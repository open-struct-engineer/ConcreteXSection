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B\Desktop\Spreadsheets\"/>
    </mc:Choice>
  </mc:AlternateContent>
  <xr:revisionPtr revIDLastSave="0" documentId="8_{9E2D2DCC-9068-41E3-BAE9-93B4C606BC7D}" xr6:coauthVersionLast="45" xr6:coauthVersionMax="45" xr10:uidLastSave="{00000000-0000-0000-0000-000000000000}"/>
  <bookViews>
    <workbookView xWindow="-120" yWindow="-120" windowWidth="29040" windowHeight="15840" xr2:uid="{A97B9A5E-BB54-4E55-BD22-158AAF84A460}"/>
  </bookViews>
  <sheets>
    <sheet name="Cross Section Analysis" sheetId="1" r:id="rId1"/>
    <sheet name="Reference" sheetId="2" r:id="rId2"/>
  </sheets>
  <definedNames>
    <definedName name="solver_adj" localSheetId="0" hidden="1">'Cross Section Analysis'!$B$53,'Cross Section Analysis'!$B$78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'Cross Section Analysis'!$D$121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1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1" i="1" l="1"/>
  <c r="Q123" i="1" l="1"/>
  <c r="D120" i="1"/>
  <c r="Q122" i="1" s="1"/>
  <c r="E120" i="1"/>
  <c r="R122" i="1" s="1"/>
  <c r="C490" i="1" l="1"/>
  <c r="B490" i="1"/>
  <c r="C35" i="1" l="1"/>
  <c r="C36" i="1"/>
  <c r="C37" i="1"/>
  <c r="C38" i="1"/>
  <c r="C39" i="1"/>
  <c r="C40" i="1"/>
  <c r="C41" i="1"/>
  <c r="C42" i="1"/>
  <c r="C43" i="1"/>
  <c r="C44" i="1"/>
  <c r="C45" i="1"/>
  <c r="C34" i="1"/>
  <c r="C14" i="1"/>
  <c r="C15" i="1"/>
  <c r="C16" i="1"/>
  <c r="C17" i="1"/>
  <c r="C18" i="1"/>
  <c r="C19" i="1"/>
  <c r="C20" i="1"/>
  <c r="C21" i="1"/>
  <c r="C22" i="1"/>
  <c r="C23" i="1"/>
  <c r="C24" i="1"/>
  <c r="C13" i="1"/>
  <c r="G115" i="1"/>
  <c r="G114" i="1"/>
  <c r="D97" i="1"/>
  <c r="C97" i="1"/>
  <c r="B85" i="1"/>
  <c r="B3" i="1"/>
  <c r="J117" i="1" l="1"/>
  <c r="J118" i="1"/>
  <c r="Q129" i="1" s="1"/>
  <c r="B98" i="1"/>
  <c r="B4" i="1"/>
  <c r="B81" i="1" s="1"/>
  <c r="A75" i="1"/>
  <c r="A109" i="1" s="1"/>
  <c r="B75" i="1"/>
  <c r="A65" i="1"/>
  <c r="A99" i="1" s="1"/>
  <c r="B65" i="1"/>
  <c r="A66" i="1"/>
  <c r="A100" i="1" s="1"/>
  <c r="B66" i="1"/>
  <c r="A67" i="1"/>
  <c r="A101" i="1" s="1"/>
  <c r="B67" i="1"/>
  <c r="A68" i="1"/>
  <c r="A102" i="1" s="1"/>
  <c r="B68" i="1"/>
  <c r="A69" i="1"/>
  <c r="A103" i="1" s="1"/>
  <c r="B69" i="1"/>
  <c r="A70" i="1"/>
  <c r="A104" i="1" s="1"/>
  <c r="B70" i="1"/>
  <c r="A71" i="1"/>
  <c r="A105" i="1" s="1"/>
  <c r="B71" i="1"/>
  <c r="A72" i="1"/>
  <c r="A106" i="1" s="1"/>
  <c r="B72" i="1"/>
  <c r="A73" i="1"/>
  <c r="A107" i="1" s="1"/>
  <c r="B73" i="1"/>
  <c r="A74" i="1"/>
  <c r="A108" i="1" s="1"/>
  <c r="B74" i="1"/>
  <c r="B64" i="1"/>
  <c r="A64" i="1"/>
  <c r="A98" i="1" s="1"/>
  <c r="H7" i="1"/>
  <c r="G7" i="1"/>
  <c r="A35" i="1"/>
  <c r="A36" i="1"/>
  <c r="A37" i="1"/>
  <c r="A38" i="1"/>
  <c r="A39" i="1"/>
  <c r="A40" i="1"/>
  <c r="A41" i="1"/>
  <c r="A42" i="1"/>
  <c r="A43" i="1"/>
  <c r="A44" i="1"/>
  <c r="A45" i="1"/>
  <c r="A34" i="1"/>
  <c r="B28" i="1"/>
  <c r="B29" i="1" s="1"/>
  <c r="B30" i="1" s="1"/>
  <c r="B103" i="1"/>
  <c r="B104" i="1"/>
  <c r="B105" i="1"/>
  <c r="C72" i="1"/>
  <c r="B107" i="1"/>
  <c r="C74" i="1"/>
  <c r="C75" i="1"/>
  <c r="B34" i="1"/>
  <c r="F75" i="1" l="1"/>
  <c r="G75" i="1"/>
  <c r="F74" i="1"/>
  <c r="G74" i="1"/>
  <c r="B43" i="1"/>
  <c r="C70" i="1"/>
  <c r="B38" i="1"/>
  <c r="D38" i="1" s="1"/>
  <c r="E38" i="1" s="1"/>
  <c r="B102" i="1"/>
  <c r="C69" i="1"/>
  <c r="B37" i="1"/>
  <c r="D37" i="1" s="1"/>
  <c r="E37" i="1" s="1"/>
  <c r="B101" i="1"/>
  <c r="B44" i="1"/>
  <c r="D44" i="1" s="1"/>
  <c r="B108" i="1"/>
  <c r="B35" i="1"/>
  <c r="D35" i="1" s="1"/>
  <c r="F35" i="1" s="1"/>
  <c r="B99" i="1"/>
  <c r="B40" i="1"/>
  <c r="D40" i="1" s="1"/>
  <c r="E40" i="1" s="1"/>
  <c r="B45" i="1"/>
  <c r="D45" i="1" s="1"/>
  <c r="E45" i="1" s="1"/>
  <c r="B109" i="1"/>
  <c r="B36" i="1"/>
  <c r="D36" i="1" s="1"/>
  <c r="B100" i="1"/>
  <c r="B41" i="1"/>
  <c r="D41" i="1" s="1"/>
  <c r="F41" i="1" s="1"/>
  <c r="C71" i="1"/>
  <c r="B42" i="1"/>
  <c r="D42" i="1" s="1"/>
  <c r="E42" i="1" s="1"/>
  <c r="B106" i="1"/>
  <c r="B39" i="1"/>
  <c r="D39" i="1" s="1"/>
  <c r="E39" i="1" s="1"/>
  <c r="C73" i="1"/>
  <c r="C68" i="1"/>
  <c r="C67" i="1"/>
  <c r="C66" i="1"/>
  <c r="C65" i="1"/>
  <c r="C64" i="1"/>
  <c r="D34" i="1"/>
  <c r="B31" i="1"/>
  <c r="E6" i="1"/>
  <c r="E5" i="1"/>
  <c r="D5" i="1"/>
  <c r="D4" i="1"/>
  <c r="F34" i="1" l="1"/>
  <c r="E34" i="1"/>
  <c r="D43" i="1"/>
  <c r="E43" i="1" s="1"/>
  <c r="F39" i="1"/>
  <c r="E44" i="1"/>
  <c r="F44" i="1"/>
  <c r="F36" i="1"/>
  <c r="E36" i="1"/>
  <c r="E41" i="1"/>
  <c r="F42" i="1"/>
  <c r="F45" i="1"/>
  <c r="F37" i="1"/>
  <c r="F38" i="1"/>
  <c r="F40" i="1"/>
  <c r="E35" i="1"/>
  <c r="G3" i="1"/>
  <c r="H3" i="1" s="1"/>
  <c r="D46" i="1" l="1"/>
  <c r="B48" i="1" s="1"/>
  <c r="F43" i="1"/>
  <c r="F46" i="1" s="1"/>
  <c r="B50" i="1" s="1"/>
  <c r="E46" i="1"/>
  <c r="B49" i="1" s="1"/>
  <c r="D49" i="1" l="1"/>
  <c r="A60" i="1" s="1"/>
  <c r="E49" i="1"/>
  <c r="B60" i="1" s="1"/>
  <c r="C60" i="1" l="1"/>
  <c r="B91" i="1" s="1"/>
  <c r="D60" i="1"/>
  <c r="C91" i="1" s="1"/>
  <c r="B57" i="1"/>
  <c r="B58" i="1"/>
  <c r="B61" i="1"/>
  <c r="E67" i="1"/>
  <c r="A59" i="1"/>
  <c r="E74" i="1"/>
  <c r="D65" i="1"/>
  <c r="E75" i="1"/>
  <c r="D73" i="1"/>
  <c r="B59" i="1"/>
  <c r="E69" i="1"/>
  <c r="E68" i="1"/>
  <c r="E65" i="1"/>
  <c r="E72" i="1"/>
  <c r="A61" i="1"/>
  <c r="D72" i="1"/>
  <c r="D70" i="1"/>
  <c r="D71" i="1"/>
  <c r="D69" i="1"/>
  <c r="D66" i="1"/>
  <c r="A57" i="1"/>
  <c r="A58" i="1"/>
  <c r="D64" i="1"/>
  <c r="D68" i="1"/>
  <c r="D67" i="1"/>
  <c r="D74" i="1"/>
  <c r="D75" i="1"/>
  <c r="E64" i="1"/>
  <c r="E73" i="1"/>
  <c r="E70" i="1"/>
  <c r="E66" i="1"/>
  <c r="E71" i="1"/>
  <c r="G67" i="1" l="1"/>
  <c r="D101" i="1" s="1"/>
  <c r="F66" i="1"/>
  <c r="C100" i="1" s="1"/>
  <c r="G66" i="1"/>
  <c r="D100" i="1" s="1"/>
  <c r="F69" i="1"/>
  <c r="C103" i="1" s="1"/>
  <c r="G69" i="1"/>
  <c r="D103" i="1" s="1"/>
  <c r="F71" i="1"/>
  <c r="C105" i="1" s="1"/>
  <c r="G71" i="1"/>
  <c r="D105" i="1" s="1"/>
  <c r="F70" i="1"/>
  <c r="C104" i="1" s="1"/>
  <c r="G70" i="1"/>
  <c r="D104" i="1" s="1"/>
  <c r="G68" i="1"/>
  <c r="D102" i="1" s="1"/>
  <c r="F72" i="1"/>
  <c r="C106" i="1" s="1"/>
  <c r="G72" i="1"/>
  <c r="D106" i="1" s="1"/>
  <c r="G73" i="1"/>
  <c r="D107" i="1" s="1"/>
  <c r="G65" i="1"/>
  <c r="D99" i="1" s="1"/>
  <c r="F73" i="1"/>
  <c r="C107" i="1" s="1"/>
  <c r="G64" i="1"/>
  <c r="F65" i="1"/>
  <c r="C99" i="1" s="1"/>
  <c r="F64" i="1"/>
  <c r="C98" i="1" s="1"/>
  <c r="F67" i="1"/>
  <c r="C101" i="1" s="1"/>
  <c r="F68" i="1"/>
  <c r="C102" i="1" s="1"/>
  <c r="C109" i="1"/>
  <c r="D109" i="1"/>
  <c r="C108" i="1"/>
  <c r="D108" i="1"/>
  <c r="C61" i="1"/>
  <c r="D91" i="1" s="1"/>
  <c r="D61" i="1"/>
  <c r="E91" i="1" s="1"/>
  <c r="C58" i="1"/>
  <c r="D58" i="1"/>
  <c r="C59" i="1"/>
  <c r="D89" i="1" s="1"/>
  <c r="D59" i="1"/>
  <c r="C57" i="1"/>
  <c r="D57" i="1"/>
  <c r="C88" i="1" s="1"/>
  <c r="D90" i="1"/>
  <c r="E90" i="1"/>
  <c r="G76" i="1" l="1"/>
  <c r="D98" i="1"/>
  <c r="T59" i="1"/>
  <c r="D83" i="1"/>
  <c r="B90" i="1"/>
  <c r="B88" i="1"/>
  <c r="G91" i="1"/>
  <c r="G58" i="1"/>
  <c r="E103" i="1" s="1"/>
  <c r="E88" i="1"/>
  <c r="E82" i="1"/>
  <c r="F91" i="1" s="1"/>
  <c r="C89" i="1"/>
  <c r="D79" i="1"/>
  <c r="G57" i="1"/>
  <c r="E78" i="1"/>
  <c r="E79" i="1" s="1"/>
  <c r="E89" i="1"/>
  <c r="C90" i="1"/>
  <c r="D88" i="1"/>
  <c r="B89" i="1"/>
  <c r="D78" i="1"/>
  <c r="D82" i="1"/>
  <c r="U59" i="1" l="1"/>
  <c r="U60" i="1" s="1"/>
  <c r="T60" i="1"/>
  <c r="F90" i="1"/>
  <c r="F89" i="1"/>
  <c r="F88" i="1"/>
  <c r="I88" i="1" s="1"/>
  <c r="H91" i="1"/>
  <c r="G88" i="1"/>
  <c r="G90" i="1"/>
  <c r="E108" i="1"/>
  <c r="E98" i="1"/>
  <c r="E106" i="1"/>
  <c r="F106" i="1" s="1"/>
  <c r="E100" i="1"/>
  <c r="F100" i="1" s="1"/>
  <c r="G100" i="1" s="1"/>
  <c r="H100" i="1" s="1"/>
  <c r="J100" i="1" s="1"/>
  <c r="E105" i="1"/>
  <c r="F105" i="1" s="1"/>
  <c r="E102" i="1"/>
  <c r="F102" i="1" s="1"/>
  <c r="G102" i="1" s="1"/>
  <c r="H102" i="1" s="1"/>
  <c r="J102" i="1" s="1"/>
  <c r="E104" i="1"/>
  <c r="F104" i="1" s="1"/>
  <c r="E107" i="1"/>
  <c r="F107" i="1" s="1"/>
  <c r="E109" i="1"/>
  <c r="E99" i="1"/>
  <c r="F99" i="1" s="1"/>
  <c r="G99" i="1" s="1"/>
  <c r="H99" i="1" s="1"/>
  <c r="J99" i="1" s="1"/>
  <c r="E101" i="1"/>
  <c r="F101" i="1" s="1"/>
  <c r="G101" i="1" s="1"/>
  <c r="H101" i="1" s="1"/>
  <c r="J101" i="1" s="1"/>
  <c r="I91" i="1"/>
  <c r="E83" i="1"/>
  <c r="G89" i="1"/>
  <c r="F103" i="1"/>
  <c r="G103" i="1" s="1"/>
  <c r="H103" i="1" s="1"/>
  <c r="J103" i="1" s="1"/>
  <c r="F108" i="1"/>
  <c r="F109" i="1"/>
  <c r="P115" i="1" l="1"/>
  <c r="F98" i="1"/>
  <c r="G98" i="1" s="1"/>
  <c r="H98" i="1" s="1"/>
  <c r="J98" i="1" s="1"/>
  <c r="I100" i="1"/>
  <c r="I101" i="1"/>
  <c r="I99" i="1"/>
  <c r="H90" i="1"/>
  <c r="L91" i="1"/>
  <c r="H89" i="1"/>
  <c r="G106" i="1"/>
  <c r="H106" i="1" s="1"/>
  <c r="J106" i="1" s="1"/>
  <c r="G108" i="1"/>
  <c r="H108" i="1" s="1"/>
  <c r="J108" i="1" s="1"/>
  <c r="J91" i="1"/>
  <c r="K91" i="1"/>
  <c r="G109" i="1"/>
  <c r="H109" i="1" s="1"/>
  <c r="J109" i="1" s="1"/>
  <c r="H88" i="1"/>
  <c r="K88" i="1" s="1"/>
  <c r="I102" i="1"/>
  <c r="G105" i="1"/>
  <c r="H105" i="1" s="1"/>
  <c r="J105" i="1" s="1"/>
  <c r="I89" i="1"/>
  <c r="G107" i="1"/>
  <c r="H107" i="1" s="1"/>
  <c r="J107" i="1" s="1"/>
  <c r="G104" i="1"/>
  <c r="H104" i="1" s="1"/>
  <c r="J104" i="1" s="1"/>
  <c r="I90" i="1"/>
  <c r="I103" i="1"/>
  <c r="F110" i="1" l="1"/>
  <c r="J113" i="1" s="1"/>
  <c r="I98" i="1"/>
  <c r="J110" i="1"/>
  <c r="I104" i="1"/>
  <c r="I108" i="1"/>
  <c r="J90" i="1"/>
  <c r="K90" i="1"/>
  <c r="L90" i="1"/>
  <c r="J89" i="1"/>
  <c r="L89" i="1"/>
  <c r="K89" i="1"/>
  <c r="I106" i="1"/>
  <c r="L88" i="1"/>
  <c r="J88" i="1"/>
  <c r="I105" i="1"/>
  <c r="I109" i="1"/>
  <c r="H110" i="1"/>
  <c r="I107" i="1"/>
  <c r="L92" i="1" l="1"/>
  <c r="K92" i="1"/>
  <c r="J92" i="1"/>
  <c r="B113" i="1" s="1"/>
  <c r="D114" i="1" s="1"/>
  <c r="I110" i="1"/>
  <c r="J116" i="1" l="1"/>
  <c r="B114" i="1"/>
  <c r="D115" i="1"/>
  <c r="B115" i="1"/>
  <c r="F114" i="1" l="1"/>
  <c r="H114" i="1" s="1"/>
  <c r="J114" i="1" s="1"/>
  <c r="F115" i="1"/>
  <c r="H115" i="1" s="1"/>
  <c r="J115" i="1" s="1"/>
  <c r="M117" i="1" l="1"/>
  <c r="I125" i="1"/>
  <c r="H125" i="1"/>
  <c r="R123" i="1" l="1"/>
  <c r="N115" i="1"/>
</calcChain>
</file>

<file path=xl/sharedStrings.xml><?xml version="1.0" encoding="utf-8"?>
<sst xmlns="http://schemas.openxmlformats.org/spreadsheetml/2006/main" count="139" uniqueCount="94">
  <si>
    <t>x</t>
  </si>
  <si>
    <t>y</t>
  </si>
  <si>
    <t xml:space="preserve">B = </t>
  </si>
  <si>
    <t xml:space="preserve">H = </t>
  </si>
  <si>
    <t xml:space="preserve">F'c = </t>
  </si>
  <si>
    <t>ksi</t>
  </si>
  <si>
    <t>in</t>
  </si>
  <si>
    <t>Section Coordinates</t>
  </si>
  <si>
    <t>Reinf Steel:</t>
  </si>
  <si>
    <t xml:space="preserve">Fy = </t>
  </si>
  <si>
    <t>Bar #</t>
  </si>
  <si>
    <t>As (in^2)</t>
  </si>
  <si>
    <t xml:space="preserve">Es = </t>
  </si>
  <si>
    <t xml:space="preserve">Ec = </t>
  </si>
  <si>
    <t>plot_scale</t>
  </si>
  <si>
    <t>Plastic Center</t>
  </si>
  <si>
    <t>Concrete:</t>
  </si>
  <si>
    <t xml:space="preserve">Area = </t>
  </si>
  <si>
    <t>in^2</t>
  </si>
  <si>
    <t xml:space="preserve">CC = </t>
  </si>
  <si>
    <t>kips</t>
  </si>
  <si>
    <t xml:space="preserve">CC_Mx = </t>
  </si>
  <si>
    <t xml:space="preserve">CC_My = </t>
  </si>
  <si>
    <t>in-kips</t>
  </si>
  <si>
    <t>Steel:</t>
  </si>
  <si>
    <t>CS (kips)</t>
  </si>
  <si>
    <t>CS_Mx</t>
  </si>
  <si>
    <t>CS_My</t>
  </si>
  <si>
    <t>C =</t>
  </si>
  <si>
    <t>Mx =</t>
  </si>
  <si>
    <t xml:space="preserve">My = </t>
  </si>
  <si>
    <t>Xp:</t>
  </si>
  <si>
    <t>Yp:</t>
  </si>
  <si>
    <t>Geometric Center</t>
  </si>
  <si>
    <t>Coordinate Transformation to make plastic center = 0,0</t>
  </si>
  <si>
    <t xml:space="preserve">Beta1 = </t>
  </si>
  <si>
    <t>NA Angle:</t>
  </si>
  <si>
    <t>x'</t>
  </si>
  <si>
    <t>y'</t>
  </si>
  <si>
    <t>degrees</t>
  </si>
  <si>
    <t>Transformed H:</t>
  </si>
  <si>
    <t>NA Depth:</t>
  </si>
  <si>
    <t>Beta1*NA=</t>
  </si>
  <si>
    <t>X1</t>
  </si>
  <si>
    <t>Y1</t>
  </si>
  <si>
    <t>X2</t>
  </si>
  <si>
    <t>Y2</t>
  </si>
  <si>
    <t>Forces From Compression Block</t>
  </si>
  <si>
    <t>Edge Segment</t>
  </si>
  <si>
    <t>M</t>
  </si>
  <si>
    <t>Xna</t>
  </si>
  <si>
    <t>Yna</t>
  </si>
  <si>
    <t>Cc</t>
  </si>
  <si>
    <t>Cc_Mx</t>
  </si>
  <si>
    <t>Cc_My</t>
  </si>
  <si>
    <t xml:space="preserve">0.85*F'c = </t>
  </si>
  <si>
    <t>Forces from Steel</t>
  </si>
  <si>
    <t>Bar</t>
  </si>
  <si>
    <t xml:space="preserve">eu = </t>
  </si>
  <si>
    <t>Strain</t>
  </si>
  <si>
    <t>As</t>
  </si>
  <si>
    <t>depth:</t>
  </si>
  <si>
    <t>peak:</t>
  </si>
  <si>
    <t>Stress</t>
  </si>
  <si>
    <t>Ps</t>
  </si>
  <si>
    <t>Ps_Mx</t>
  </si>
  <si>
    <t>Ps_My</t>
  </si>
  <si>
    <t xml:space="preserve">Pn = </t>
  </si>
  <si>
    <t>Pn * ecc. From PC to GC</t>
  </si>
  <si>
    <t xml:space="preserve">Mnx,pc = </t>
  </si>
  <si>
    <t xml:space="preserve">Mny,pc = </t>
  </si>
  <si>
    <t xml:space="preserve">Fy -F'c </t>
  </si>
  <si>
    <t>ft-kips</t>
  </si>
  <si>
    <t xml:space="preserve">phi = </t>
  </si>
  <si>
    <t>Goal:</t>
  </si>
  <si>
    <t>P</t>
  </si>
  <si>
    <t>Mx</t>
  </si>
  <si>
    <t>My</t>
  </si>
  <si>
    <t xml:space="preserve">Theta = </t>
  </si>
  <si>
    <t xml:space="preserve">theta = </t>
  </si>
  <si>
    <t>Iterations to try:</t>
  </si>
  <si>
    <t>Iterations Used:</t>
  </si>
  <si>
    <t>scale</t>
  </si>
  <si>
    <t>max phiPn</t>
  </si>
  <si>
    <t>min phiPn</t>
  </si>
  <si>
    <t>Alpha</t>
  </si>
  <si>
    <t>points:</t>
  </si>
  <si>
    <t>Depth for all bars yield in compression:</t>
  </si>
  <si>
    <t>Sign Convention Note:</t>
  </si>
  <si>
    <t>Right hand rule with compression positive</t>
  </si>
  <si>
    <t>this means that +Mx puts compression on the top</t>
  </si>
  <si>
    <t>of the cross-section and +My puts compression on</t>
  </si>
  <si>
    <t>the left of the cross section</t>
  </si>
  <si>
    <t>(See Sign Convention Note Above)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</si>
</sst>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"/>
    <numFmt numFmtId="166" formatCode="0.00000"/>
    <numFmt numFmtId="167" formatCode="0.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2" fontId="0" fillId="0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6" fontId="0" fillId="0" borderId="0" xfId="0" applyNumberFormat="1" applyAlignment="1">
      <alignment horizontal="left"/>
    </xf>
    <xf numFmtId="167" fontId="0" fillId="0" borderId="0" xfId="0" applyNumberFormat="1"/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0" xfId="0" applyFill="1"/>
    <xf numFmtId="0" fontId="2" fillId="0" borderId="0" xfId="0" applyFont="1" applyFill="1" applyAlignment="1">
      <alignment horizontal="left"/>
    </xf>
    <xf numFmtId="0" fontId="3" fillId="0" borderId="0" xfId="0" applyFont="1" applyFill="1"/>
    <xf numFmtId="0" fontId="3" fillId="0" borderId="0" xfId="0" applyFont="1" applyFill="1" applyAlignment="1">
      <alignment horizontal="right"/>
    </xf>
    <xf numFmtId="0" fontId="3" fillId="0" borderId="0" xfId="0" applyFont="1" applyFill="1" applyAlignment="1">
      <alignment horizontal="center"/>
    </xf>
    <xf numFmtId="166" fontId="3" fillId="0" borderId="0" xfId="0" applyNumberFormat="1" applyFont="1" applyFill="1" applyAlignment="1">
      <alignment horizontal="center"/>
    </xf>
    <xf numFmtId="164" fontId="3" fillId="0" borderId="0" xfId="0" applyNumberFormat="1" applyFont="1" applyFill="1"/>
    <xf numFmtId="164" fontId="3" fillId="0" borderId="0" xfId="0" applyNumberFormat="1" applyFont="1" applyFill="1" applyAlignment="1">
      <alignment horizontal="center"/>
    </xf>
    <xf numFmtId="166" fontId="3" fillId="0" borderId="0" xfId="0" applyNumberFormat="1" applyFont="1" applyFill="1"/>
    <xf numFmtId="2" fontId="3" fillId="0" borderId="0" xfId="0" applyNumberFormat="1" applyFont="1" applyFill="1" applyAlignment="1">
      <alignment horizontal="center"/>
    </xf>
    <xf numFmtId="0" fontId="1" fillId="0" borderId="0" xfId="0" applyFont="1" applyAlignment="1">
      <alignment horizontal="right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" xfId="0" applyNumberFormat="1" applyBorder="1"/>
    <xf numFmtId="0" fontId="4" fillId="0" borderId="0" xfId="0" applyFont="1"/>
    <xf numFmtId="0" fontId="4" fillId="0" borderId="0" xfId="0" applyFont="1" applyAlignment="1">
      <alignment horizontal="left"/>
    </xf>
    <xf numFmtId="2" fontId="0" fillId="0" borderId="0" xfId="0" applyNumberFormat="1" applyAlignment="1">
      <alignment horizontal="right"/>
    </xf>
    <xf numFmtId="2" fontId="0" fillId="3" borderId="2" xfId="0" applyNumberForma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166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2" fontId="0" fillId="2" borderId="0" xfId="0" applyNumberFormat="1" applyFill="1" applyAlignment="1" applyProtection="1">
      <alignment horizontal="center"/>
      <protection locked="0"/>
    </xf>
    <xf numFmtId="0" fontId="3" fillId="0" borderId="0" xfId="0" applyFont="1" applyFill="1" applyProtection="1">
      <protection locked="0"/>
    </xf>
    <xf numFmtId="0" fontId="3" fillId="0" borderId="0" xfId="0" applyFont="1" applyFill="1" applyAlignment="1" applyProtection="1">
      <alignment horizontal="center"/>
      <protection locked="0"/>
    </xf>
    <xf numFmtId="0" fontId="3" fillId="0" borderId="0" xfId="0" applyFont="1" applyFill="1" applyAlignment="1" applyProtection="1">
      <alignment horizontal="right"/>
      <protection locked="0"/>
    </xf>
    <xf numFmtId="166" fontId="3" fillId="0" borderId="0" xfId="0" applyNumberFormat="1" applyFont="1" applyFill="1" applyAlignment="1" applyProtection="1">
      <alignment horizontal="center"/>
      <protection locked="0"/>
    </xf>
    <xf numFmtId="0" fontId="0" fillId="0" borderId="0" xfId="0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'Cross Section Analysis'!$D$3:$D$7</c:f>
              <c:numCache>
                <c:formatCode>0.00</c:formatCode>
                <c:ptCount val="5"/>
                <c:pt idx="0">
                  <c:v>0</c:v>
                </c:pt>
                <c:pt idx="1">
                  <c:v>20</c:v>
                </c:pt>
                <c:pt idx="2">
                  <c:v>20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'Cross Section Analysis'!$E$3:$E$7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30</c:v>
                </c:pt>
                <c:pt idx="3">
                  <c:v>30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042-49CA-9FFE-7F61A1310FE6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'Cross Section Analysis'!$D$13:$D$24</c:f>
              <c:numCache>
                <c:formatCode>0.00</c:formatCode>
                <c:ptCount val="12"/>
                <c:pt idx="0">
                  <c:v>4</c:v>
                </c:pt>
                <c:pt idx="1">
                  <c:v>16</c:v>
                </c:pt>
                <c:pt idx="2">
                  <c:v>16</c:v>
                </c:pt>
                <c:pt idx="3">
                  <c:v>10</c:v>
                </c:pt>
                <c:pt idx="4">
                  <c:v>4</c:v>
                </c:pt>
              </c:numCache>
            </c:numRef>
          </c:xVal>
          <c:yVal>
            <c:numRef>
              <c:f>'Cross Section Analysis'!$E$13:$E$24</c:f>
              <c:numCache>
                <c:formatCode>0.00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26</c:v>
                </c:pt>
                <c:pt idx="3">
                  <c:v>26</c:v>
                </c:pt>
                <c:pt idx="4">
                  <c:v>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042-49CA-9FFE-7F61A1310FE6}"/>
            </c:ext>
          </c:extLst>
        </c:ser>
        <c:ser>
          <c:idx val="2"/>
          <c:order val="2"/>
          <c:tx>
            <c:v>_scale_point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'Cross Section Analysis'!$G$3:$G$4</c:f>
              <c:numCache>
                <c:formatCode>General</c:formatCode>
                <c:ptCount val="2"/>
                <c:pt idx="0" formatCode="0.00">
                  <c:v>30</c:v>
                </c:pt>
                <c:pt idx="1">
                  <c:v>-1</c:v>
                </c:pt>
              </c:numCache>
            </c:numRef>
          </c:xVal>
          <c:yVal>
            <c:numRef>
              <c:f>'Cross Section Analysis'!$H$3:$H$4</c:f>
              <c:numCache>
                <c:formatCode>General</c:formatCode>
                <c:ptCount val="2"/>
                <c:pt idx="0" formatCode="0.00">
                  <c:v>30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042-49CA-9FFE-7F61A1310FE6}"/>
            </c:ext>
          </c:extLst>
        </c:ser>
        <c:ser>
          <c:idx val="3"/>
          <c:order val="3"/>
          <c:tx>
            <c:v>PLASTIC CENTER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'Cross Section Analysis'!$D$49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'Cross Section Analysis'!$E$49</c:f>
              <c:numCache>
                <c:formatCode>0.000</c:formatCode>
                <c:ptCount val="1"/>
                <c:pt idx="0">
                  <c:v>15.229409569306561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042-49CA-9FFE-7F61A1310FE6}"/>
            </c:ext>
          </c:extLst>
        </c:ser>
        <c:ser>
          <c:idx val="4"/>
          <c:order val="4"/>
          <c:tx>
            <c:v>GEOMETRIC CENTER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0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'Cross Section Analysis'!$G$7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'Cross Section Analysis'!$H$7</c:f>
              <c:numCache>
                <c:formatCode>General</c:formatCode>
                <c:ptCount val="1"/>
                <c:pt idx="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042-49CA-9FFE-7F61A1310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TRANSFORMED X 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'Cross Section Analysis'!$C$57:$C$61</c:f>
              <c:numCache>
                <c:formatCode>0.000</c:formatCode>
                <c:ptCount val="5"/>
                <c:pt idx="0">
                  <c:v>-17.88708407219508</c:v>
                </c:pt>
                <c:pt idx="1">
                  <c:v>-10.2866244491372</c:v>
                </c:pt>
                <c:pt idx="2">
                  <c:v>17.46268690116662</c:v>
                </c:pt>
                <c:pt idx="3">
                  <c:v>9.8622272781087403</c:v>
                </c:pt>
                <c:pt idx="4">
                  <c:v>-17.88708407219508</c:v>
                </c:pt>
              </c:numCache>
            </c:numRef>
          </c:xVal>
          <c:yVal>
            <c:numRef>
              <c:f>'Cross Section Analysis'!$D$57:$D$61</c:f>
              <c:numCache>
                <c:formatCode>0.000</c:formatCode>
                <c:ptCount val="5"/>
                <c:pt idx="0">
                  <c:v>3.4622448243749826</c:v>
                </c:pt>
                <c:pt idx="1">
                  <c:v>-15.037296075827564</c:v>
                </c:pt>
                <c:pt idx="2">
                  <c:v>-3.6366066412407445</c:v>
                </c:pt>
                <c:pt idx="3">
                  <c:v>14.862934258961802</c:v>
                </c:pt>
                <c:pt idx="4">
                  <c:v>3.4622448243749826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F1-4499-A626-F3141CCA3A28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'Cross Section Analysis'!$F$64:$F$75</c:f>
              <c:numCache>
                <c:formatCode>0.000</c:formatCode>
                <c:ptCount val="12"/>
                <c:pt idx="0">
                  <c:v>-12.667083967542995</c:v>
                </c:pt>
                <c:pt idx="1">
                  <c:v>-8.1068081937082663</c:v>
                </c:pt>
                <c:pt idx="2">
                  <c:v>12.242686796514535</c:v>
                </c:pt>
                <c:pt idx="3">
                  <c:v>9.9625489095971709</c:v>
                </c:pt>
                <c:pt idx="4">
                  <c:v>7.6824110226798066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'Cross Section Analysis'!$G$64:$G$75</c:f>
              <c:numCache>
                <c:formatCode>0.000</c:formatCode>
                <c:ptCount val="12"/>
                <c:pt idx="0">
                  <c:v>1.2824285689460488</c:v>
                </c:pt>
                <c:pt idx="1">
                  <c:v>-9.8172959711754793</c:v>
                </c:pt>
                <c:pt idx="2">
                  <c:v>-1.4567903858118108</c:v>
                </c:pt>
                <c:pt idx="3">
                  <c:v>4.0930718842489533</c:v>
                </c:pt>
                <c:pt idx="4">
                  <c:v>9.6429341543097173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F1-4499-A626-F3141CCA3A28}"/>
            </c:ext>
          </c:extLst>
        </c:ser>
        <c:ser>
          <c:idx val="2"/>
          <c:order val="2"/>
          <c:tx>
            <c:v>NA</c:v>
          </c:tx>
          <c:spPr>
            <a:ln w="12700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Analysis'!$D$78:$D$79</c:f>
              <c:numCache>
                <c:formatCode>0.000</c:formatCode>
                <c:ptCount val="2"/>
                <c:pt idx="0">
                  <c:v>-17.88708407219508</c:v>
                </c:pt>
                <c:pt idx="1">
                  <c:v>17.46268690116662</c:v>
                </c:pt>
              </c:numCache>
            </c:numRef>
          </c:xVal>
          <c:yVal>
            <c:numRef>
              <c:f>'Cross Section Analysis'!$E$78:$E$79</c:f>
              <c:numCache>
                <c:formatCode>0.000</c:formatCode>
                <c:ptCount val="2"/>
                <c:pt idx="0">
                  <c:v>0.98581143501605517</c:v>
                </c:pt>
                <c:pt idx="1">
                  <c:v>0.98581143501605517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3F1-4499-A626-F3141CCA3A28}"/>
            </c:ext>
          </c:extLst>
        </c:ser>
        <c:ser>
          <c:idx val="3"/>
          <c:order val="3"/>
          <c:tx>
            <c:v>Compression Block Base</c:v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Analysis'!$D$82:$D$83</c:f>
              <c:numCache>
                <c:formatCode>0.000</c:formatCode>
                <c:ptCount val="2"/>
                <c:pt idx="0">
                  <c:v>-17.88708407219508</c:v>
                </c:pt>
                <c:pt idx="1">
                  <c:v>17.46268690116662</c:v>
                </c:pt>
              </c:numCache>
            </c:numRef>
          </c:xVal>
          <c:yVal>
            <c:numRef>
              <c:f>'Cross Section Analysis'!$E$82:$E$83</c:f>
              <c:numCache>
                <c:formatCode>0.000</c:formatCode>
                <c:ptCount val="2"/>
                <c:pt idx="0">
                  <c:v>3.761235999805205</c:v>
                </c:pt>
                <c:pt idx="1">
                  <c:v>3.761235999805205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3F1-4499-A626-F3141CCA3A28}"/>
            </c:ext>
          </c:extLst>
        </c:ser>
        <c:ser>
          <c:idx val="4"/>
          <c:order val="4"/>
          <c:tx>
            <c:v>cbloc_points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Analysis'!$H$88:$H$91</c:f>
              <c:numCache>
                <c:formatCode>0.000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14.42331394621994</c:v>
                </c:pt>
                <c:pt idx="3">
                  <c:v>-17.159338678759823</c:v>
                </c:pt>
              </c:numCache>
            </c:numRef>
          </c:xVal>
          <c:yVal>
            <c:numRef>
              <c:f>'Cross Section Analysis'!$I$88:$I$91</c:f>
              <c:numCache>
                <c:formatCode>0.000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3.761235999805205</c:v>
                </c:pt>
                <c:pt idx="3">
                  <c:v>3.761235999805205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A5-4190-9AC0-CF117630758C}"/>
            </c:ext>
          </c:extLst>
        </c:ser>
        <c:ser>
          <c:idx val="5"/>
          <c:order val="5"/>
          <c:tx>
            <c:v>_scale</c:v>
          </c:tx>
          <c:spPr>
            <a:ln w="19050" cap="rnd">
              <a:noFill/>
              <a:round/>
            </a:ln>
            <a:effectLst/>
          </c:spPr>
          <c:marker>
            <c:symbol val="dot"/>
            <c:size val="2"/>
            <c:spPr>
              <a:solidFill>
                <a:schemeClr val="accent6"/>
              </a:solidFill>
              <a:ln w="9525">
                <a:solidFill>
                  <a:schemeClr val="bg1">
                    <a:lumMod val="85000"/>
                  </a:schemeClr>
                </a:solidFill>
              </a:ln>
              <a:effectLst/>
            </c:spPr>
          </c:marker>
          <c:xVal>
            <c:numRef>
              <c:f>'Cross Section Analysis'!$T$59:$T$60</c:f>
              <c:numCache>
                <c:formatCode>General</c:formatCode>
                <c:ptCount val="2"/>
                <c:pt idx="0">
                  <c:v>17.46268690116662</c:v>
                </c:pt>
                <c:pt idx="1">
                  <c:v>-17.46268690116662</c:v>
                </c:pt>
              </c:numCache>
            </c:numRef>
          </c:xVal>
          <c:yVal>
            <c:numRef>
              <c:f>'Cross Section Analysis'!$U$59:$U$60</c:f>
              <c:numCache>
                <c:formatCode>General</c:formatCode>
                <c:ptCount val="2"/>
                <c:pt idx="0">
                  <c:v>17.46268690116662</c:v>
                </c:pt>
                <c:pt idx="1">
                  <c:v>-17.46268690116662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27-4C63-A03A-DC06FDF14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Mx</a:t>
            </a:r>
            <a:r>
              <a:rPr lang="en-US" baseline="0"/>
              <a:t> vs My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'Cross Section Analysis'!$B$129:$B$490</c:f>
              <c:numCache>
                <c:formatCode>General</c:formatCode>
                <c:ptCount val="362"/>
                <c:pt idx="0">
                  <c:v>741.10914351757447</c:v>
                </c:pt>
                <c:pt idx="1">
                  <c:v>740.68250280048062</c:v>
                </c:pt>
                <c:pt idx="2">
                  <c:v>740.20476779348371</c:v>
                </c:pt>
                <c:pt idx="3">
                  <c:v>739.67469268850721</c:v>
                </c:pt>
                <c:pt idx="4">
                  <c:v>739.09096633195657</c:v>
                </c:pt>
                <c:pt idx="5">
                  <c:v>738.45219858139853</c:v>
                </c:pt>
                <c:pt idx="6">
                  <c:v>737.7569075387795</c:v>
                </c:pt>
                <c:pt idx="7">
                  <c:v>737.00350732726281</c:v>
                </c:pt>
                <c:pt idx="8">
                  <c:v>736.19029613474811</c:v>
                </c:pt>
                <c:pt idx="9">
                  <c:v>735.31544428493703</c:v>
                </c:pt>
                <c:pt idx="10">
                  <c:v>734.37698212396026</c:v>
                </c:pt>
                <c:pt idx="11">
                  <c:v>733.37278753511191</c:v>
                </c:pt>
                <c:pt idx="12">
                  <c:v>731.0039938973124</c:v>
                </c:pt>
                <c:pt idx="13">
                  <c:v>724.08634459196207</c:v>
                </c:pt>
                <c:pt idx="14">
                  <c:v>717.48166938646807</c:v>
                </c:pt>
                <c:pt idx="15">
                  <c:v>711.15025217043274</c:v>
                </c:pt>
                <c:pt idx="16">
                  <c:v>705.05722710320049</c:v>
                </c:pt>
                <c:pt idx="17">
                  <c:v>699.17177510793852</c:v>
                </c:pt>
                <c:pt idx="18">
                  <c:v>693.46646099868883</c:v>
                </c:pt>
                <c:pt idx="19">
                  <c:v>687.91668339023761</c:v>
                </c:pt>
                <c:pt idx="20">
                  <c:v>682.50021527250158</c:v>
                </c:pt>
                <c:pt idx="21">
                  <c:v>677.19681763178096</c:v>
                </c:pt>
                <c:pt idx="22">
                  <c:v>671.98791203287271</c:v>
                </c:pt>
                <c:pt idx="23">
                  <c:v>666.8563008450534</c:v>
                </c:pt>
                <c:pt idx="24">
                  <c:v>661.78592596798273</c:v>
                </c:pt>
                <c:pt idx="25">
                  <c:v>656.76165861785728</c:v>
                </c:pt>
                <c:pt idx="26">
                  <c:v>651.76911407307523</c:v>
                </c:pt>
                <c:pt idx="27">
                  <c:v>646.79448632729509</c:v>
                </c:pt>
                <c:pt idx="28">
                  <c:v>641.82439841723328</c:v>
                </c:pt>
                <c:pt idx="29">
                  <c:v>635.75055737465232</c:v>
                </c:pt>
                <c:pt idx="30">
                  <c:v>628.21355252036858</c:v>
                </c:pt>
                <c:pt idx="31">
                  <c:v>620.68854290390072</c:v>
                </c:pt>
                <c:pt idx="32">
                  <c:v>613.16073857161507</c:v>
                </c:pt>
                <c:pt idx="33">
                  <c:v>605.61512696185252</c:v>
                </c:pt>
                <c:pt idx="34">
                  <c:v>598.03636807653197</c:v>
                </c:pt>
                <c:pt idx="35">
                  <c:v>593.32723391046932</c:v>
                </c:pt>
                <c:pt idx="36">
                  <c:v>585.56606919959313</c:v>
                </c:pt>
                <c:pt idx="37">
                  <c:v>577.72460708030781</c:v>
                </c:pt>
                <c:pt idx="38">
                  <c:v>569.78489206269148</c:v>
                </c:pt>
                <c:pt idx="39">
                  <c:v>561.72799758699023</c:v>
                </c:pt>
                <c:pt idx="40">
                  <c:v>553.56433862906761</c:v>
                </c:pt>
                <c:pt idx="41">
                  <c:v>545.47859317632913</c:v>
                </c:pt>
                <c:pt idx="42">
                  <c:v>537.4906565014262</c:v>
                </c:pt>
                <c:pt idx="43">
                  <c:v>529.5832742083154</c:v>
                </c:pt>
                <c:pt idx="44">
                  <c:v>521.73980971508252</c:v>
                </c:pt>
                <c:pt idx="45">
                  <c:v>513.94408968265122</c:v>
                </c:pt>
                <c:pt idx="46">
                  <c:v>506.18025698284742</c:v>
                </c:pt>
                <c:pt idx="47">
                  <c:v>498.43262826525819</c:v>
                </c:pt>
                <c:pt idx="48">
                  <c:v>490.68555329990045</c:v>
                </c:pt>
                <c:pt idx="49">
                  <c:v>482.92327329680592</c:v>
                </c:pt>
                <c:pt idx="50">
                  <c:v>475.12977532613564</c:v>
                </c:pt>
                <c:pt idx="51">
                  <c:v>467.28863978334755</c:v>
                </c:pt>
                <c:pt idx="52">
                  <c:v>459.38287754869526</c:v>
                </c:pt>
                <c:pt idx="53">
                  <c:v>451.39475306268889</c:v>
                </c:pt>
                <c:pt idx="54">
                  <c:v>443.30558895031049</c:v>
                </c:pt>
                <c:pt idx="55">
                  <c:v>435.09554704165384</c:v>
                </c:pt>
                <c:pt idx="56">
                  <c:v>426.74337960105936</c:v>
                </c:pt>
                <c:pt idx="57">
                  <c:v>418.22614322262933</c:v>
                </c:pt>
                <c:pt idx="58">
                  <c:v>409.51886607794245</c:v>
                </c:pt>
                <c:pt idx="59">
                  <c:v>400.5941568804833</c:v>
                </c:pt>
                <c:pt idx="60">
                  <c:v>391.42174087689301</c:v>
                </c:pt>
                <c:pt idx="61">
                  <c:v>381.96790413028333</c:v>
                </c:pt>
                <c:pt idx="62">
                  <c:v>372.19482196864448</c:v>
                </c:pt>
                <c:pt idx="63">
                  <c:v>362.05974021970206</c:v>
                </c:pt>
                <c:pt idx="64">
                  <c:v>351.51396801193636</c:v>
                </c:pt>
                <c:pt idx="65">
                  <c:v>340.50162742751996</c:v>
                </c:pt>
                <c:pt idx="66">
                  <c:v>328.9580865843277</c:v>
                </c:pt>
                <c:pt idx="67">
                  <c:v>316.80797647133619</c:v>
                </c:pt>
                <c:pt idx="68">
                  <c:v>303.96265453772935</c:v>
                </c:pt>
                <c:pt idx="69">
                  <c:v>290.35848334822413</c:v>
                </c:pt>
                <c:pt idx="70">
                  <c:v>280.19527573529012</c:v>
                </c:pt>
                <c:pt idx="71">
                  <c:v>266.21477437456764</c:v>
                </c:pt>
                <c:pt idx="72">
                  <c:v>252.12106687344283</c:v>
                </c:pt>
                <c:pt idx="73">
                  <c:v>237.89043690614585</c:v>
                </c:pt>
                <c:pt idx="74">
                  <c:v>223.49798718510289</c:v>
                </c:pt>
                <c:pt idx="75">
                  <c:v>208.91746756497386</c:v>
                </c:pt>
                <c:pt idx="76">
                  <c:v>194.12108995126735</c:v>
                </c:pt>
                <c:pt idx="77">
                  <c:v>179.07932879184645</c:v>
                </c:pt>
                <c:pt idx="78">
                  <c:v>163.76070605526107</c:v>
                </c:pt>
                <c:pt idx="79">
                  <c:v>148.13155981290441</c:v>
                </c:pt>
                <c:pt idx="80">
                  <c:v>136.04302383741859</c:v>
                </c:pt>
                <c:pt idx="81">
                  <c:v>119.80152276817842</c:v>
                </c:pt>
                <c:pt idx="82">
                  <c:v>103.14222076092872</c:v>
                </c:pt>
                <c:pt idx="83">
                  <c:v>86.281850028209917</c:v>
                </c:pt>
                <c:pt idx="84">
                  <c:v>71.982449121976828</c:v>
                </c:pt>
                <c:pt idx="85">
                  <c:v>57.097029732898235</c:v>
                </c:pt>
                <c:pt idx="86">
                  <c:v>41.517157774762936</c:v>
                </c:pt>
                <c:pt idx="87">
                  <c:v>25.110844238702409</c:v>
                </c:pt>
                <c:pt idx="88">
                  <c:v>7.7157731854786142</c:v>
                </c:pt>
                <c:pt idx="89">
                  <c:v>-10.869739496012015</c:v>
                </c:pt>
                <c:pt idx="90">
                  <c:v>-30.898895372098423</c:v>
                </c:pt>
                <c:pt idx="91">
                  <c:v>-43.16475714337637</c:v>
                </c:pt>
                <c:pt idx="92">
                  <c:v>-54.930701382849364</c:v>
                </c:pt>
                <c:pt idx="93">
                  <c:v>-66.301663719809042</c:v>
                </c:pt>
                <c:pt idx="94">
                  <c:v>-77.356746873458107</c:v>
                </c:pt>
                <c:pt idx="95">
                  <c:v>-88.157191965855674</c:v>
                </c:pt>
                <c:pt idx="96">
                  <c:v>-98.751582476948272</c:v>
                </c:pt>
                <c:pt idx="97">
                  <c:v>-113.82823069086058</c:v>
                </c:pt>
                <c:pt idx="98">
                  <c:v>-128.62505365968622</c:v>
                </c:pt>
                <c:pt idx="99">
                  <c:v>-143.00675562875969</c:v>
                </c:pt>
                <c:pt idx="100">
                  <c:v>-157.02658243470074</c:v>
                </c:pt>
                <c:pt idx="101">
                  <c:v>-170.73162334902264</c:v>
                </c:pt>
                <c:pt idx="102">
                  <c:v>-181.41217638485517</c:v>
                </c:pt>
                <c:pt idx="103">
                  <c:v>-194.66365236099091</c:v>
                </c:pt>
                <c:pt idx="104">
                  <c:v>-207.70891486652471</c:v>
                </c:pt>
                <c:pt idx="105">
                  <c:v>-220.57924062286733</c:v>
                </c:pt>
                <c:pt idx="106">
                  <c:v>-233.3032108580307</c:v>
                </c:pt>
                <c:pt idx="107">
                  <c:v>-245.90712815171082</c:v>
                </c:pt>
                <c:pt idx="108">
                  <c:v>-258.41537235764019</c:v>
                </c:pt>
                <c:pt idx="109">
                  <c:v>-270.85070658862702</c:v>
                </c:pt>
                <c:pt idx="110">
                  <c:v>-283.23454220888783</c:v>
                </c:pt>
                <c:pt idx="111">
                  <c:v>-295.58717015819809</c:v>
                </c:pt>
                <c:pt idx="112">
                  <c:v>-307.92796464409685</c:v>
                </c:pt>
                <c:pt idx="113">
                  <c:v>-320.2754621753819</c:v>
                </c:pt>
                <c:pt idx="114">
                  <c:v>-332.34599781435207</c:v>
                </c:pt>
                <c:pt idx="115">
                  <c:v>-343.9144888293996</c:v>
                </c:pt>
                <c:pt idx="116">
                  <c:v>-355.04615289708943</c:v>
                </c:pt>
                <c:pt idx="117">
                  <c:v>-365.79715431284848</c:v>
                </c:pt>
                <c:pt idx="118">
                  <c:v>-376.21629693383738</c:v>
                </c:pt>
                <c:pt idx="119">
                  <c:v>-386.34636134347113</c:v>
                </c:pt>
                <c:pt idx="120">
                  <c:v>-396.22517208459288</c:v>
                </c:pt>
                <c:pt idx="121">
                  <c:v>-405.94023611730142</c:v>
                </c:pt>
                <c:pt idx="122">
                  <c:v>-415.45120344246618</c:v>
                </c:pt>
                <c:pt idx="123">
                  <c:v>-424.74710652195512</c:v>
                </c:pt>
                <c:pt idx="124">
                  <c:v>-433.82480436842718</c:v>
                </c:pt>
                <c:pt idx="125">
                  <c:v>-442.79717442095051</c:v>
                </c:pt>
                <c:pt idx="126">
                  <c:v>-451.69749216126434</c:v>
                </c:pt>
                <c:pt idx="127">
                  <c:v>-460.53943415858396</c:v>
                </c:pt>
                <c:pt idx="128">
                  <c:v>-469.3414516623186</c:v>
                </c:pt>
                <c:pt idx="129">
                  <c:v>-478.12128341100953</c:v>
                </c:pt>
                <c:pt idx="130">
                  <c:v>-486.89614192206284</c:v>
                </c:pt>
                <c:pt idx="131">
                  <c:v>-495.68288398885738</c:v>
                </c:pt>
                <c:pt idx="132">
                  <c:v>-504.49816960026413</c:v>
                </c:pt>
                <c:pt idx="133">
                  <c:v>-513.35861294999097</c:v>
                </c:pt>
                <c:pt idx="134">
                  <c:v>-522.28092881578209</c:v>
                </c:pt>
                <c:pt idx="135">
                  <c:v>-531.28207733382112</c:v>
                </c:pt>
                <c:pt idx="136">
                  <c:v>-540.3794100547326</c:v>
                </c:pt>
                <c:pt idx="137">
                  <c:v>-546.07219732245892</c:v>
                </c:pt>
                <c:pt idx="138">
                  <c:v>-554.7602794239142</c:v>
                </c:pt>
                <c:pt idx="139">
                  <c:v>-563.19809008292748</c:v>
                </c:pt>
                <c:pt idx="140">
                  <c:v>-571.40849533130995</c:v>
                </c:pt>
                <c:pt idx="141">
                  <c:v>-579.41242196319843</c:v>
                </c:pt>
                <c:pt idx="142">
                  <c:v>-587.22908652475644</c:v>
                </c:pt>
                <c:pt idx="143">
                  <c:v>-594.87619536008685</c:v>
                </c:pt>
                <c:pt idx="144">
                  <c:v>-602.37011998862556</c:v>
                </c:pt>
                <c:pt idx="145">
                  <c:v>-609.72605140463315</c:v>
                </c:pt>
                <c:pt idx="146">
                  <c:v>-616.95813632472448</c:v>
                </c:pt>
                <c:pt idx="147">
                  <c:v>-624.07959794341366</c:v>
                </c:pt>
                <c:pt idx="148">
                  <c:v>-631.10284337080986</c:v>
                </c:pt>
                <c:pt idx="149">
                  <c:v>-638.03955960557346</c:v>
                </c:pt>
                <c:pt idx="150">
                  <c:v>-644.90079962857135</c:v>
                </c:pt>
                <c:pt idx="151">
                  <c:v>-651.69705997937228</c:v>
                </c:pt>
                <c:pt idx="152">
                  <c:v>-658.43835099052626</c:v>
                </c:pt>
                <c:pt idx="153">
                  <c:v>-664.52047117527979</c:v>
                </c:pt>
                <c:pt idx="154">
                  <c:v>-670.45593718929388</c:v>
                </c:pt>
                <c:pt idx="155">
                  <c:v>-676.39021184967805</c:v>
                </c:pt>
                <c:pt idx="156">
                  <c:v>-682.3336743150935</c:v>
                </c:pt>
                <c:pt idx="157">
                  <c:v>-688.29668850214421</c:v>
                </c:pt>
                <c:pt idx="158">
                  <c:v>-694.28966645064577</c:v>
                </c:pt>
                <c:pt idx="159">
                  <c:v>-700.32313173915691</c:v>
                </c:pt>
                <c:pt idx="160">
                  <c:v>-706.40778369070426</c:v>
                </c:pt>
                <c:pt idx="161">
                  <c:v>-711.61127534310049</c:v>
                </c:pt>
                <c:pt idx="162">
                  <c:v>-716.4322890580396</c:v>
                </c:pt>
                <c:pt idx="163">
                  <c:v>-721.20728272345298</c:v>
                </c:pt>
                <c:pt idx="164">
                  <c:v>-726.06577153053081</c:v>
                </c:pt>
                <c:pt idx="165">
                  <c:v>-731.04917461412674</c:v>
                </c:pt>
                <c:pt idx="166">
                  <c:v>-736.17726891397615</c:v>
                </c:pt>
                <c:pt idx="167">
                  <c:v>-741.47206350313388</c:v>
                </c:pt>
                <c:pt idx="168">
                  <c:v>-746.95824886442472</c:v>
                </c:pt>
                <c:pt idx="169">
                  <c:v>-752.66374656089329</c:v>
                </c:pt>
                <c:pt idx="170">
                  <c:v>-758.62038818920018</c:v>
                </c:pt>
                <c:pt idx="171">
                  <c:v>-764.86476226878972</c:v>
                </c:pt>
                <c:pt idx="172">
                  <c:v>-771.43928137491628</c:v>
                </c:pt>
                <c:pt idx="173">
                  <c:v>-778.39354117168796</c:v>
                </c:pt>
                <c:pt idx="174">
                  <c:v>-785.78607077242611</c:v>
                </c:pt>
                <c:pt idx="175">
                  <c:v>-793.68661428689688</c:v>
                </c:pt>
                <c:pt idx="176">
                  <c:v>-802.17914317951784</c:v>
                </c:pt>
                <c:pt idx="177">
                  <c:v>-811.36588880108059</c:v>
                </c:pt>
                <c:pt idx="178">
                  <c:v>-821.37282148431791</c:v>
                </c:pt>
                <c:pt idx="179">
                  <c:v>-832.3572154478943</c:v>
                </c:pt>
                <c:pt idx="180">
                  <c:v>-841.11424587221609</c:v>
                </c:pt>
                <c:pt idx="181">
                  <c:v>-832.35721544789419</c:v>
                </c:pt>
                <c:pt idx="182">
                  <c:v>-821.37282148431802</c:v>
                </c:pt>
                <c:pt idx="183">
                  <c:v>-811.36588880108036</c:v>
                </c:pt>
                <c:pt idx="184">
                  <c:v>-802.17914317951772</c:v>
                </c:pt>
                <c:pt idx="185">
                  <c:v>-793.68661428689688</c:v>
                </c:pt>
                <c:pt idx="186">
                  <c:v>-785.78607077242611</c:v>
                </c:pt>
                <c:pt idx="187">
                  <c:v>-778.3935411716883</c:v>
                </c:pt>
                <c:pt idx="188">
                  <c:v>-771.43928137491605</c:v>
                </c:pt>
                <c:pt idx="189">
                  <c:v>-764.86476226879017</c:v>
                </c:pt>
                <c:pt idx="190">
                  <c:v>-758.6203881892003</c:v>
                </c:pt>
                <c:pt idx="191">
                  <c:v>-752.66374656089306</c:v>
                </c:pt>
                <c:pt idx="192">
                  <c:v>-746.95824886442438</c:v>
                </c:pt>
                <c:pt idx="193">
                  <c:v>-741.47206350313388</c:v>
                </c:pt>
                <c:pt idx="194">
                  <c:v>-736.17726891397604</c:v>
                </c:pt>
                <c:pt idx="195">
                  <c:v>-731.04917461412685</c:v>
                </c:pt>
                <c:pt idx="196">
                  <c:v>-726.06577153053081</c:v>
                </c:pt>
                <c:pt idx="197">
                  <c:v>-721.20728272345275</c:v>
                </c:pt>
                <c:pt idx="198">
                  <c:v>-716.43228905803971</c:v>
                </c:pt>
                <c:pt idx="199">
                  <c:v>-711.61127534310015</c:v>
                </c:pt>
                <c:pt idx="200">
                  <c:v>-706.40778369070438</c:v>
                </c:pt>
                <c:pt idx="201">
                  <c:v>-700.32313173915713</c:v>
                </c:pt>
                <c:pt idx="202">
                  <c:v>-694.289666450646</c:v>
                </c:pt>
                <c:pt idx="203">
                  <c:v>-688.29668850214398</c:v>
                </c:pt>
                <c:pt idx="204">
                  <c:v>-682.33367431509373</c:v>
                </c:pt>
                <c:pt idx="205">
                  <c:v>-676.39021184967805</c:v>
                </c:pt>
                <c:pt idx="206">
                  <c:v>-670.45593718929376</c:v>
                </c:pt>
                <c:pt idx="207">
                  <c:v>-664.52047117527968</c:v>
                </c:pt>
                <c:pt idx="208">
                  <c:v>-658.43835099052626</c:v>
                </c:pt>
                <c:pt idx="209">
                  <c:v>-651.69705997937228</c:v>
                </c:pt>
                <c:pt idx="210">
                  <c:v>-644.90079962857101</c:v>
                </c:pt>
                <c:pt idx="211">
                  <c:v>-638.03955960557369</c:v>
                </c:pt>
                <c:pt idx="212">
                  <c:v>-631.10284337081021</c:v>
                </c:pt>
                <c:pt idx="213">
                  <c:v>-624.07959794341355</c:v>
                </c:pt>
                <c:pt idx="214">
                  <c:v>-616.95813632472471</c:v>
                </c:pt>
                <c:pt idx="215">
                  <c:v>-609.72605140463304</c:v>
                </c:pt>
                <c:pt idx="216">
                  <c:v>-602.37011998862567</c:v>
                </c:pt>
                <c:pt idx="217">
                  <c:v>-594.87619536008697</c:v>
                </c:pt>
                <c:pt idx="218">
                  <c:v>-587.22908652475655</c:v>
                </c:pt>
                <c:pt idx="219">
                  <c:v>-579.41242196319831</c:v>
                </c:pt>
                <c:pt idx="220">
                  <c:v>-571.40849533130972</c:v>
                </c:pt>
                <c:pt idx="221">
                  <c:v>-563.19809008292737</c:v>
                </c:pt>
                <c:pt idx="222">
                  <c:v>-554.76027942391454</c:v>
                </c:pt>
                <c:pt idx="223">
                  <c:v>-546.07219732245892</c:v>
                </c:pt>
                <c:pt idx="224">
                  <c:v>-540.3794100547326</c:v>
                </c:pt>
                <c:pt idx="225">
                  <c:v>-531.28207733382146</c:v>
                </c:pt>
                <c:pt idx="226">
                  <c:v>-522.28092881578198</c:v>
                </c:pt>
                <c:pt idx="227">
                  <c:v>-513.35861294999108</c:v>
                </c:pt>
                <c:pt idx="228">
                  <c:v>-504.49816960026413</c:v>
                </c:pt>
                <c:pt idx="229">
                  <c:v>-495.68288398885738</c:v>
                </c:pt>
                <c:pt idx="230">
                  <c:v>-486.8961419220629</c:v>
                </c:pt>
                <c:pt idx="231">
                  <c:v>-478.12128341100976</c:v>
                </c:pt>
                <c:pt idx="232">
                  <c:v>-469.34145166231832</c:v>
                </c:pt>
                <c:pt idx="233">
                  <c:v>-460.53943415858373</c:v>
                </c:pt>
                <c:pt idx="234">
                  <c:v>-451.69749216126456</c:v>
                </c:pt>
                <c:pt idx="235">
                  <c:v>-442.79717442095085</c:v>
                </c:pt>
                <c:pt idx="236">
                  <c:v>-433.82480436842707</c:v>
                </c:pt>
                <c:pt idx="237">
                  <c:v>-424.74710652195506</c:v>
                </c:pt>
                <c:pt idx="238">
                  <c:v>-415.45120344246646</c:v>
                </c:pt>
                <c:pt idx="239">
                  <c:v>-405.94023611730148</c:v>
                </c:pt>
                <c:pt idx="240">
                  <c:v>-396.22517208459357</c:v>
                </c:pt>
                <c:pt idx="241">
                  <c:v>-386.34636134347113</c:v>
                </c:pt>
                <c:pt idx="242">
                  <c:v>-376.21629693383721</c:v>
                </c:pt>
                <c:pt idx="243">
                  <c:v>-365.79715431284876</c:v>
                </c:pt>
                <c:pt idx="244">
                  <c:v>-355.04615289708937</c:v>
                </c:pt>
                <c:pt idx="245">
                  <c:v>-343.91448882939943</c:v>
                </c:pt>
                <c:pt idx="246">
                  <c:v>-332.34599781435202</c:v>
                </c:pt>
                <c:pt idx="247">
                  <c:v>-320.27546217538207</c:v>
                </c:pt>
                <c:pt idx="248">
                  <c:v>-307.92796464409707</c:v>
                </c:pt>
                <c:pt idx="249">
                  <c:v>-295.58717015819866</c:v>
                </c:pt>
                <c:pt idx="250">
                  <c:v>-283.23454220888772</c:v>
                </c:pt>
                <c:pt idx="251">
                  <c:v>-270.85070658862696</c:v>
                </c:pt>
                <c:pt idx="252">
                  <c:v>-258.41537235764036</c:v>
                </c:pt>
                <c:pt idx="253">
                  <c:v>-245.90712815171102</c:v>
                </c:pt>
                <c:pt idx="254">
                  <c:v>-233.3032108580305</c:v>
                </c:pt>
                <c:pt idx="255">
                  <c:v>-220.57924062286705</c:v>
                </c:pt>
                <c:pt idx="256">
                  <c:v>-207.70891486652476</c:v>
                </c:pt>
                <c:pt idx="257">
                  <c:v>-194.66365236099099</c:v>
                </c:pt>
                <c:pt idx="258">
                  <c:v>-181.41217638485571</c:v>
                </c:pt>
                <c:pt idx="259">
                  <c:v>-170.73162334902256</c:v>
                </c:pt>
                <c:pt idx="260">
                  <c:v>-157.0265824347008</c:v>
                </c:pt>
                <c:pt idx="261">
                  <c:v>-143.00675562875998</c:v>
                </c:pt>
                <c:pt idx="262">
                  <c:v>-128.62505365968659</c:v>
                </c:pt>
                <c:pt idx="263">
                  <c:v>-113.82823069086041</c:v>
                </c:pt>
                <c:pt idx="264">
                  <c:v>-98.751582476948073</c:v>
                </c:pt>
                <c:pt idx="265">
                  <c:v>-88.157191965855688</c:v>
                </c:pt>
                <c:pt idx="266">
                  <c:v>-77.356746873458263</c:v>
                </c:pt>
                <c:pt idx="267">
                  <c:v>-66.301663719809454</c:v>
                </c:pt>
                <c:pt idx="268">
                  <c:v>-54.930701382849122</c:v>
                </c:pt>
                <c:pt idx="269">
                  <c:v>-43.16475714337632</c:v>
                </c:pt>
                <c:pt idx="270">
                  <c:v>-30.898895372098792</c:v>
                </c:pt>
                <c:pt idx="271">
                  <c:v>-10.869739496012409</c:v>
                </c:pt>
                <c:pt idx="272">
                  <c:v>7.7157731854787732</c:v>
                </c:pt>
                <c:pt idx="273">
                  <c:v>25.110844238702366</c:v>
                </c:pt>
                <c:pt idx="274">
                  <c:v>41.517157774762872</c:v>
                </c:pt>
                <c:pt idx="275">
                  <c:v>57.097029732898037</c:v>
                </c:pt>
                <c:pt idx="276">
                  <c:v>71.982449121976586</c:v>
                </c:pt>
                <c:pt idx="277">
                  <c:v>86.281850028210002</c:v>
                </c:pt>
                <c:pt idx="278">
                  <c:v>103.14222076092872</c:v>
                </c:pt>
                <c:pt idx="279">
                  <c:v>119.80152276817823</c:v>
                </c:pt>
                <c:pt idx="280">
                  <c:v>136.04302383741819</c:v>
                </c:pt>
                <c:pt idx="281">
                  <c:v>148.13155981290453</c:v>
                </c:pt>
                <c:pt idx="282">
                  <c:v>163.76070605526107</c:v>
                </c:pt>
                <c:pt idx="283">
                  <c:v>179.07932879184645</c:v>
                </c:pt>
                <c:pt idx="284">
                  <c:v>194.12108995126709</c:v>
                </c:pt>
                <c:pt idx="285">
                  <c:v>208.91746756497335</c:v>
                </c:pt>
                <c:pt idx="286">
                  <c:v>223.49798718510306</c:v>
                </c:pt>
                <c:pt idx="287">
                  <c:v>237.89043690614585</c:v>
                </c:pt>
                <c:pt idx="288">
                  <c:v>252.12106687344274</c:v>
                </c:pt>
                <c:pt idx="289">
                  <c:v>266.21477437456724</c:v>
                </c:pt>
                <c:pt idx="290">
                  <c:v>280.19527573529024</c:v>
                </c:pt>
                <c:pt idx="291">
                  <c:v>290.35848334822413</c:v>
                </c:pt>
                <c:pt idx="292">
                  <c:v>303.96265453772941</c:v>
                </c:pt>
                <c:pt idx="293">
                  <c:v>316.80797647133602</c:v>
                </c:pt>
                <c:pt idx="294">
                  <c:v>328.95808658432725</c:v>
                </c:pt>
                <c:pt idx="295">
                  <c:v>340.50162742752019</c:v>
                </c:pt>
                <c:pt idx="296">
                  <c:v>351.5139680119363</c:v>
                </c:pt>
                <c:pt idx="297">
                  <c:v>362.05974021970201</c:v>
                </c:pt>
                <c:pt idx="298">
                  <c:v>372.19482196864425</c:v>
                </c:pt>
                <c:pt idx="299">
                  <c:v>381.96790413028344</c:v>
                </c:pt>
                <c:pt idx="300">
                  <c:v>391.42174087689295</c:v>
                </c:pt>
                <c:pt idx="301">
                  <c:v>400.59415688048313</c:v>
                </c:pt>
                <c:pt idx="302">
                  <c:v>409.51886607794245</c:v>
                </c:pt>
                <c:pt idx="303">
                  <c:v>418.22614322262905</c:v>
                </c:pt>
                <c:pt idx="304">
                  <c:v>426.74337960105947</c:v>
                </c:pt>
                <c:pt idx="305">
                  <c:v>435.09554704165362</c:v>
                </c:pt>
                <c:pt idx="306">
                  <c:v>443.30558895031044</c:v>
                </c:pt>
                <c:pt idx="307">
                  <c:v>451.39475306268849</c:v>
                </c:pt>
                <c:pt idx="308">
                  <c:v>459.38287754869549</c:v>
                </c:pt>
                <c:pt idx="309">
                  <c:v>467.28863978334732</c:v>
                </c:pt>
                <c:pt idx="310">
                  <c:v>475.12977532613564</c:v>
                </c:pt>
                <c:pt idx="311">
                  <c:v>482.92327329680592</c:v>
                </c:pt>
                <c:pt idx="312">
                  <c:v>490.68555329990016</c:v>
                </c:pt>
                <c:pt idx="313">
                  <c:v>498.43262826525819</c:v>
                </c:pt>
                <c:pt idx="314">
                  <c:v>506.18025698284754</c:v>
                </c:pt>
                <c:pt idx="315">
                  <c:v>513.94408968265122</c:v>
                </c:pt>
                <c:pt idx="316">
                  <c:v>521.73980971508229</c:v>
                </c:pt>
                <c:pt idx="317">
                  <c:v>529.58327420831563</c:v>
                </c:pt>
                <c:pt idx="318">
                  <c:v>537.49065650142586</c:v>
                </c:pt>
                <c:pt idx="319">
                  <c:v>545.4785931763289</c:v>
                </c:pt>
                <c:pt idx="320">
                  <c:v>553.56433862906738</c:v>
                </c:pt>
                <c:pt idx="321">
                  <c:v>561.72799758699</c:v>
                </c:pt>
                <c:pt idx="322">
                  <c:v>569.78489206269182</c:v>
                </c:pt>
                <c:pt idx="323">
                  <c:v>577.72460708030781</c:v>
                </c:pt>
                <c:pt idx="324">
                  <c:v>585.56606919959324</c:v>
                </c:pt>
                <c:pt idx="325">
                  <c:v>593.3272339104692</c:v>
                </c:pt>
                <c:pt idx="326">
                  <c:v>598.03636807653243</c:v>
                </c:pt>
                <c:pt idx="327">
                  <c:v>605.61512696185252</c:v>
                </c:pt>
                <c:pt idx="328">
                  <c:v>613.16073857161507</c:v>
                </c:pt>
                <c:pt idx="329">
                  <c:v>620.68854290390027</c:v>
                </c:pt>
                <c:pt idx="330">
                  <c:v>628.21355252036835</c:v>
                </c:pt>
                <c:pt idx="331">
                  <c:v>635.7505573746522</c:v>
                </c:pt>
                <c:pt idx="332">
                  <c:v>641.82439841723317</c:v>
                </c:pt>
                <c:pt idx="333">
                  <c:v>646.79448632729509</c:v>
                </c:pt>
                <c:pt idx="334">
                  <c:v>651.769114073075</c:v>
                </c:pt>
                <c:pt idx="335">
                  <c:v>656.76165861785751</c:v>
                </c:pt>
                <c:pt idx="336">
                  <c:v>661.78592596798285</c:v>
                </c:pt>
                <c:pt idx="337">
                  <c:v>666.8563008450534</c:v>
                </c:pt>
                <c:pt idx="338">
                  <c:v>671.98791203287249</c:v>
                </c:pt>
                <c:pt idx="339">
                  <c:v>677.19681763178062</c:v>
                </c:pt>
                <c:pt idx="340">
                  <c:v>682.50021527250158</c:v>
                </c:pt>
                <c:pt idx="341">
                  <c:v>687.91668339023761</c:v>
                </c:pt>
                <c:pt idx="342">
                  <c:v>693.46646099868883</c:v>
                </c:pt>
                <c:pt idx="343">
                  <c:v>699.17177510793829</c:v>
                </c:pt>
                <c:pt idx="344">
                  <c:v>705.05722710320049</c:v>
                </c:pt>
                <c:pt idx="345">
                  <c:v>711.15025217043274</c:v>
                </c:pt>
                <c:pt idx="346">
                  <c:v>717.48166938646807</c:v>
                </c:pt>
                <c:pt idx="347">
                  <c:v>724.08634459196207</c:v>
                </c:pt>
                <c:pt idx="348">
                  <c:v>731.00399389731228</c:v>
                </c:pt>
                <c:pt idx="349">
                  <c:v>733.37278753511202</c:v>
                </c:pt>
                <c:pt idx="350">
                  <c:v>734.37698212396026</c:v>
                </c:pt>
                <c:pt idx="351">
                  <c:v>735.31544428493646</c:v>
                </c:pt>
                <c:pt idx="352">
                  <c:v>736.19029613474788</c:v>
                </c:pt>
                <c:pt idx="353">
                  <c:v>737.00350732726304</c:v>
                </c:pt>
                <c:pt idx="354">
                  <c:v>737.75690753877927</c:v>
                </c:pt>
                <c:pt idx="355">
                  <c:v>738.45219858139842</c:v>
                </c:pt>
                <c:pt idx="356">
                  <c:v>739.09096633195657</c:v>
                </c:pt>
                <c:pt idx="357">
                  <c:v>739.67469268850721</c:v>
                </c:pt>
                <c:pt idx="358">
                  <c:v>740.20476779348348</c:v>
                </c:pt>
                <c:pt idx="359">
                  <c:v>740.68250280048051</c:v>
                </c:pt>
                <c:pt idx="360">
                  <c:v>741.10914351757424</c:v>
                </c:pt>
                <c:pt idx="361">
                  <c:v>741.10914351757447</c:v>
                </c:pt>
              </c:numCache>
            </c:numRef>
          </c:xVal>
          <c:yVal>
            <c:numRef>
              <c:f>'Cross Section Analysis'!$C$129:$C$490</c:f>
              <c:numCache>
                <c:formatCode>General</c:formatCode>
                <c:ptCount val="362"/>
                <c:pt idx="0">
                  <c:v>0</c:v>
                </c:pt>
                <c:pt idx="1">
                  <c:v>5.0002333288012855</c:v>
                </c:pt>
                <c:pt idx="2">
                  <c:v>9.9289684962461511</c:v>
                </c:pt>
                <c:pt idx="3">
                  <c:v>14.795833249003769</c:v>
                </c:pt>
                <c:pt idx="4">
                  <c:v>19.609500492918016</c:v>
                </c:pt>
                <c:pt idx="5" formatCode="0.00000">
                  <c:v>24.377851854839474</c:v>
                </c:pt>
                <c:pt idx="6" formatCode="0.00000">
                  <c:v>29.108110799638538</c:v>
                </c:pt>
                <c:pt idx="7">
                  <c:v>33.806952091487133</c:v>
                </c:pt>
                <c:pt idx="8">
                  <c:v>38.480592715940965</c:v>
                </c:pt>
                <c:pt idx="9">
                  <c:v>43.134868162663629</c:v>
                </c:pt>
                <c:pt idx="10">
                  <c:v>47.775297073323081</c:v>
                </c:pt>
                <c:pt idx="11">
                  <c:v>52.407136593275204</c:v>
                </c:pt>
                <c:pt idx="12">
                  <c:v>56.807909189385377</c:v>
                </c:pt>
                <c:pt idx="13">
                  <c:v>60.334348407134534</c:v>
                </c:pt>
                <c:pt idx="14">
                  <c:v>63.798493685625374</c:v>
                </c:pt>
                <c:pt idx="15">
                  <c:v>67.212135782616684</c:v>
                </c:pt>
                <c:pt idx="16">
                  <c:v>70.585539309070398</c:v>
                </c:pt>
                <c:pt idx="17">
                  <c:v>73.927745147009432</c:v>
                </c:pt>
                <c:pt idx="18">
                  <c:v>77.246810054179448</c:v>
                </c:pt>
                <c:pt idx="19">
                  <c:v>80.549998314352166</c:v>
                </c:pt>
                <c:pt idx="20">
                  <c:v>83.843936546207871</c:v>
                </c:pt>
                <c:pt idx="21">
                  <c:v>87.134740047901275</c:v>
                </c:pt>
                <c:pt idx="22">
                  <c:v>90.428117042402405</c:v>
                </c:pt>
                <c:pt idx="23">
                  <c:v>93.729455700579109</c:v>
                </c:pt>
                <c:pt idx="24">
                  <c:v>97.043897710974761</c:v>
                </c:pt>
                <c:pt idx="25">
                  <c:v>100.37640133649172</c:v>
                </c:pt>
                <c:pt idx="26">
                  <c:v>103.73179627404151</c:v>
                </c:pt>
                <c:pt idx="27">
                  <c:v>107.11483216241996</c:v>
                </c:pt>
                <c:pt idx="28">
                  <c:v>110.530222227344</c:v>
                </c:pt>
                <c:pt idx="29">
                  <c:v>114.56782641564605</c:v>
                </c:pt>
                <c:pt idx="30">
                  <c:v>119.40984745989124</c:v>
                </c:pt>
                <c:pt idx="31">
                  <c:v>124.26367889218318</c:v>
                </c:pt>
                <c:pt idx="32">
                  <c:v>129.13598798938565</c:v>
                </c:pt>
                <c:pt idx="33">
                  <c:v>134.03350817437817</c:v>
                </c:pt>
                <c:pt idx="34">
                  <c:v>138.96307618595583</c:v>
                </c:pt>
                <c:pt idx="35">
                  <c:v>142.21692311089461</c:v>
                </c:pt>
                <c:pt idx="36">
                  <c:v>147.25784770189185</c:v>
                </c:pt>
                <c:pt idx="37">
                  <c:v>152.3514319806649</c:v>
                </c:pt>
                <c:pt idx="38">
                  <c:v>157.50537333118825</c:v>
                </c:pt>
                <c:pt idx="39">
                  <c:v>162.72768247363788</c:v>
                </c:pt>
                <c:pt idx="40">
                  <c:v>168.00431835325776</c:v>
                </c:pt>
                <c:pt idx="41">
                  <c:v>173.19525172096724</c:v>
                </c:pt>
                <c:pt idx="42">
                  <c:v>178.28561228449894</c:v>
                </c:pt>
                <c:pt idx="43">
                  <c:v>183.28784372026749</c:v>
                </c:pt>
                <c:pt idx="44">
                  <c:v>188.21360771025573</c:v>
                </c:pt>
                <c:pt idx="45">
                  <c:v>193.0739119587189</c:v>
                </c:pt>
                <c:pt idx="46">
                  <c:v>197.8792254921787</c:v>
                </c:pt>
                <c:pt idx="47">
                  <c:v>202.63958390645035</c:v>
                </c:pt>
                <c:pt idx="48">
                  <c:v>207.36468689146909</c:v>
                </c:pt>
                <c:pt idx="49">
                  <c:v>212.06399012000824</c:v>
                </c:pt>
                <c:pt idx="50">
                  <c:v>216.74679341922027</c:v>
                </c:pt>
                <c:pt idx="51">
                  <c:v>221.42232704564196</c:v>
                </c:pt>
                <c:pt idx="52">
                  <c:v>226.09983785130615</c:v>
                </c:pt>
                <c:pt idx="53">
                  <c:v>230.78867716049402</c:v>
                </c:pt>
                <c:pt idx="54">
                  <c:v>235.49839227658859</c:v>
                </c:pt>
                <c:pt idx="55">
                  <c:v>240.2388237140004</c:v>
                </c:pt>
                <c:pt idx="56">
                  <c:v>245.02021051279786</c:v>
                </c:pt>
                <c:pt idx="57">
                  <c:v>249.85330636192145</c:v>
                </c:pt>
                <c:pt idx="58">
                  <c:v>254.74950975544829</c:v>
                </c:pt>
                <c:pt idx="59">
                  <c:v>259.72101207097182</c:v>
                </c:pt>
                <c:pt idx="60">
                  <c:v>264.78096833941265</c:v>
                </c:pt>
                <c:pt idx="61">
                  <c:v>269.94369663791321</c:v>
                </c:pt>
                <c:pt idx="62">
                  <c:v>275.22491357864243</c:v>
                </c:pt>
                <c:pt idx="63">
                  <c:v>280.64201541740039</c:v>
                </c:pt>
                <c:pt idx="64">
                  <c:v>286.21441705492089</c:v>
                </c:pt>
                <c:pt idx="65">
                  <c:v>291.9639649185836</c:v>
                </c:pt>
                <c:pt idx="66">
                  <c:v>297.91544477986571</c:v>
                </c:pt>
                <c:pt idx="67">
                  <c:v>304.09721254847875</c:v>
                </c:pt>
                <c:pt idx="68">
                  <c:v>310.54198582909294</c:v>
                </c:pt>
                <c:pt idx="69">
                  <c:v>317.2636512826262</c:v>
                </c:pt>
                <c:pt idx="70">
                  <c:v>323.41967296841659</c:v>
                </c:pt>
                <c:pt idx="71">
                  <c:v>330.02149620810883</c:v>
                </c:pt>
                <c:pt idx="72">
                  <c:v>336.51183484521556</c:v>
                </c:pt>
                <c:pt idx="73">
                  <c:v>342.90717721303764</c:v>
                </c:pt>
                <c:pt idx="74">
                  <c:v>349.22386072751385</c:v>
                </c:pt>
                <c:pt idx="75">
                  <c:v>355.47817062332069</c:v>
                </c:pt>
                <c:pt idx="76">
                  <c:v>361.68643663007839</c:v>
                </c:pt>
                <c:pt idx="77">
                  <c:v>367.86512786112269</c:v>
                </c:pt>
                <c:pt idx="78">
                  <c:v>374.03094595472629</c:v>
                </c:pt>
                <c:pt idx="79">
                  <c:v>380.20091622373906</c:v>
                </c:pt>
                <c:pt idx="80">
                  <c:v>384.42420724800905</c:v>
                </c:pt>
                <c:pt idx="81">
                  <c:v>390.56900049113256</c:v>
                </c:pt>
                <c:pt idx="82">
                  <c:v>396.76682435525885</c:v>
                </c:pt>
                <c:pt idx="83">
                  <c:v>402.88654857548511</c:v>
                </c:pt>
                <c:pt idx="84">
                  <c:v>407.34513080492388</c:v>
                </c:pt>
                <c:pt idx="85">
                  <c:v>411.94949679594316</c:v>
                </c:pt>
                <c:pt idx="86">
                  <c:v>416.74681684897911</c:v>
                </c:pt>
                <c:pt idx="87">
                  <c:v>421.79316560174402</c:v>
                </c:pt>
                <c:pt idx="88">
                  <c:v>427.15589291479779</c:v>
                </c:pt>
                <c:pt idx="89">
                  <c:v>432.91668161407301</c:v>
                </c:pt>
                <c:pt idx="90">
                  <c:v>439.17550123931915</c:v>
                </c:pt>
                <c:pt idx="91">
                  <c:v>432.48662691045195</c:v>
                </c:pt>
                <c:pt idx="92">
                  <c:v>426.54814766509224</c:v>
                </c:pt>
                <c:pt idx="93">
                  <c:v>421.18154694055607</c:v>
                </c:pt>
                <c:pt idx="94">
                  <c:v>416.25182348805487</c:v>
                </c:pt>
                <c:pt idx="95">
                  <c:v>411.65499240504647</c:v>
                </c:pt>
                <c:pt idx="96">
                  <c:v>407.30952927618586</c:v>
                </c:pt>
                <c:pt idx="97">
                  <c:v>401.25979671574572</c:v>
                </c:pt>
                <c:pt idx="98">
                  <c:v>395.30980846355294</c:v>
                </c:pt>
                <c:pt idx="99">
                  <c:v>389.50027854105122</c:v>
                </c:pt>
                <c:pt idx="100">
                  <c:v>383.79833409596705</c:v>
                </c:pt>
                <c:pt idx="101">
                  <c:v>378.17434637746817</c:v>
                </c:pt>
                <c:pt idx="102">
                  <c:v>374.45065883183867</c:v>
                </c:pt>
                <c:pt idx="103">
                  <c:v>368.84220294501301</c:v>
                </c:pt>
                <c:pt idx="104">
                  <c:v>363.24084164669284</c:v>
                </c:pt>
                <c:pt idx="105">
                  <c:v>357.62477119544457</c:v>
                </c:pt>
                <c:pt idx="106">
                  <c:v>351.97339884522466</c:v>
                </c:pt>
                <c:pt idx="107">
                  <c:v>346.26707520857593</c:v>
                </c:pt>
                <c:pt idx="108">
                  <c:v>340.48685704052122</c:v>
                </c:pt>
                <c:pt idx="109">
                  <c:v>334.61429428726206</c:v>
                </c:pt>
                <c:pt idx="110">
                  <c:v>328.63123621868635</c:v>
                </c:pt>
                <c:pt idx="111">
                  <c:v>322.51965223106794</c:v>
                </c:pt>
                <c:pt idx="112">
                  <c:v>316.26146350503143</c:v>
                </c:pt>
                <c:pt idx="113">
                  <c:v>309.8384545657326</c:v>
                </c:pt>
                <c:pt idx="114">
                  <c:v>303.4511089554864</c:v>
                </c:pt>
                <c:pt idx="115">
                  <c:v>297.27586214725125</c:v>
                </c:pt>
                <c:pt idx="116">
                  <c:v>291.28443720680917</c:v>
                </c:pt>
                <c:pt idx="117">
                  <c:v>285.45202046136956</c:v>
                </c:pt>
                <c:pt idx="118">
                  <c:v>279.75663683376791</c:v>
                </c:pt>
                <c:pt idx="119">
                  <c:v>274.17864633328821</c:v>
                </c:pt>
                <c:pt idx="120">
                  <c:v>268.70033388846497</c:v>
                </c:pt>
                <c:pt idx="121">
                  <c:v>263.32723728736926</c:v>
                </c:pt>
                <c:pt idx="122">
                  <c:v>258.01625388892683</c:v>
                </c:pt>
                <c:pt idx="123">
                  <c:v>252.73785118746099</c:v>
                </c:pt>
                <c:pt idx="124">
                  <c:v>247.46511984754721</c:v>
                </c:pt>
                <c:pt idx="125">
                  <c:v>242.21947595389523</c:v>
                </c:pt>
                <c:pt idx="126">
                  <c:v>236.99765865788814</c:v>
                </c:pt>
                <c:pt idx="127">
                  <c:v>231.78606806856189</c:v>
                </c:pt>
                <c:pt idx="128">
                  <c:v>226.57375614142725</c:v>
                </c:pt>
                <c:pt idx="129">
                  <c:v>221.34996411636581</c:v>
                </c:pt>
                <c:pt idx="130">
                  <c:v>216.10401493289515</c:v>
                </c:pt>
                <c:pt idx="131">
                  <c:v>210.8252100665367</c:v>
                </c:pt>
                <c:pt idx="132">
                  <c:v>205.50272847169734</c:v>
                </c:pt>
                <c:pt idx="133">
                  <c:v>200.12552545961691</c:v>
                </c:pt>
                <c:pt idx="134">
                  <c:v>194.68222939959168</c:v>
                </c:pt>
                <c:pt idx="135">
                  <c:v>189.16103411280125</c:v>
                </c:pt>
                <c:pt idx="136">
                  <c:v>183.54958473327102</c:v>
                </c:pt>
                <c:pt idx="137">
                  <c:v>179.3878829959198</c:v>
                </c:pt>
                <c:pt idx="138">
                  <c:v>173.92669806005173</c:v>
                </c:pt>
                <c:pt idx="139">
                  <c:v>168.58665002087386</c:v>
                </c:pt>
                <c:pt idx="140">
                  <c:v>163.35869109914344</c:v>
                </c:pt>
                <c:pt idx="141">
                  <c:v>158.23438717709632</c:v>
                </c:pt>
                <c:pt idx="142">
                  <c:v>153.20585454577053</c:v>
                </c:pt>
                <c:pt idx="143">
                  <c:v>148.26570349530797</c:v>
                </c:pt>
                <c:pt idx="144">
                  <c:v>143.40698783883136</c:v>
                </c:pt>
                <c:pt idx="145">
                  <c:v>138.62315959162586</c:v>
                </c:pt>
                <c:pt idx="146">
                  <c:v>133.90802813577258</c:v>
                </c:pt>
                <c:pt idx="147">
                  <c:v>129.25572329213929</c:v>
                </c:pt>
                <c:pt idx="148">
                  <c:v>124.66066179894798</c:v>
                </c:pt>
                <c:pt idx="149">
                  <c:v>120.11751676117173</c:v>
                </c:pt>
                <c:pt idx="150">
                  <c:v>115.62118969009947</c:v>
                </c:pt>
                <c:pt idx="151">
                  <c:v>111.16678479917876</c:v>
                </c:pt>
                <c:pt idx="152">
                  <c:v>106.74958526180137</c:v>
                </c:pt>
                <c:pt idx="153">
                  <c:v>102.40394160936447</c:v>
                </c:pt>
                <c:pt idx="154">
                  <c:v>98.086496219730961</c:v>
                </c:pt>
                <c:pt idx="155">
                  <c:v>93.782991436095159</c:v>
                </c:pt>
                <c:pt idx="156">
                  <c:v>89.488405963090571</c:v>
                </c:pt>
                <c:pt idx="157">
                  <c:v>85.197720772034131</c:v>
                </c:pt>
                <c:pt idx="158">
                  <c:v>80.905893981890287</c:v>
                </c:pt>
                <c:pt idx="159">
                  <c:v>76.607835319821717</c:v>
                </c:pt>
                <c:pt idx="160">
                  <c:v>72.298379889910137</c:v>
                </c:pt>
                <c:pt idx="161">
                  <c:v>68.76161360899448</c:v>
                </c:pt>
                <c:pt idx="162">
                  <c:v>65.625104107479956</c:v>
                </c:pt>
                <c:pt idx="163">
                  <c:v>62.405446892744301</c:v>
                </c:pt>
                <c:pt idx="164">
                  <c:v>59.166356809070429</c:v>
                </c:pt>
                <c:pt idx="165">
                  <c:v>55.916651902732063</c:v>
                </c:pt>
                <c:pt idx="166">
                  <c:v>52.65091625702933</c:v>
                </c:pt>
                <c:pt idx="167">
                  <c:v>49.363292028650839</c:v>
                </c:pt>
                <c:pt idx="168">
                  <c:v>46.047377290857426</c:v>
                </c:pt>
                <c:pt idx="169">
                  <c:v>42.69610063166926</c:v>
                </c:pt>
                <c:pt idx="170">
                  <c:v>39.301565386618655</c:v>
                </c:pt>
                <c:pt idx="171">
                  <c:v>35.854853833176705</c:v>
                </c:pt>
                <c:pt idx="172">
                  <c:v>32.345778032306541</c:v>
                </c:pt>
                <c:pt idx="173">
                  <c:v>28.762558738053638</c:v>
                </c:pt>
                <c:pt idx="174">
                  <c:v>25.091406063368673</c:v>
                </c:pt>
                <c:pt idx="175">
                  <c:v>21.315964045511315</c:v>
                </c:pt>
                <c:pt idx="176">
                  <c:v>17.416563709342118</c:v>
                </c:pt>
                <c:pt idx="177">
                  <c:v>13.369202042554793</c:v>
                </c:pt>
                <c:pt idx="178">
                  <c:v>9.1441213015380018</c:v>
                </c:pt>
                <c:pt idx="179">
                  <c:v>4.7037935297755151</c:v>
                </c:pt>
                <c:pt idx="180">
                  <c:v>6.5850418484547959E-14</c:v>
                </c:pt>
                <c:pt idx="181">
                  <c:v>-4.7037935297756004</c:v>
                </c:pt>
                <c:pt idx="182">
                  <c:v>-9.1441213015380516</c:v>
                </c:pt>
                <c:pt idx="183">
                  <c:v>-13.369202042554727</c:v>
                </c:pt>
                <c:pt idx="184">
                  <c:v>-17.41656370934211</c:v>
                </c:pt>
                <c:pt idx="185">
                  <c:v>-21.315964045511198</c:v>
                </c:pt>
                <c:pt idx="186">
                  <c:v>-25.09140606336862</c:v>
                </c:pt>
                <c:pt idx="187">
                  <c:v>-28.762558738053649</c:v>
                </c:pt>
                <c:pt idx="188">
                  <c:v>-32.345778032306612</c:v>
                </c:pt>
                <c:pt idx="189">
                  <c:v>-35.854853833176598</c:v>
                </c:pt>
                <c:pt idx="190">
                  <c:v>-39.301565386618726</c:v>
                </c:pt>
                <c:pt idx="191">
                  <c:v>-42.696100631669175</c:v>
                </c:pt>
                <c:pt idx="192">
                  <c:v>-46.047377290857419</c:v>
                </c:pt>
                <c:pt idx="193">
                  <c:v>-49.36329202865069</c:v>
                </c:pt>
                <c:pt idx="194">
                  <c:v>-52.650916257029202</c:v>
                </c:pt>
                <c:pt idx="195">
                  <c:v>-55.91665190273207</c:v>
                </c:pt>
                <c:pt idx="196">
                  <c:v>-59.166356809070294</c:v>
                </c:pt>
                <c:pt idx="197">
                  <c:v>-62.405446892744301</c:v>
                </c:pt>
                <c:pt idx="198">
                  <c:v>-65.625104107479928</c:v>
                </c:pt>
                <c:pt idx="199">
                  <c:v>-68.761613608994551</c:v>
                </c:pt>
                <c:pt idx="200">
                  <c:v>-72.298379889910095</c:v>
                </c:pt>
                <c:pt idx="201">
                  <c:v>-76.607835319821717</c:v>
                </c:pt>
                <c:pt idx="202">
                  <c:v>-80.905893981890287</c:v>
                </c:pt>
                <c:pt idx="203">
                  <c:v>-85.197720772033932</c:v>
                </c:pt>
                <c:pt idx="204">
                  <c:v>-89.488405963090642</c:v>
                </c:pt>
                <c:pt idx="205">
                  <c:v>-93.782991436095088</c:v>
                </c:pt>
                <c:pt idx="206">
                  <c:v>-98.086496219731117</c:v>
                </c:pt>
                <c:pt idx="207">
                  <c:v>-102.40394160936432</c:v>
                </c:pt>
                <c:pt idx="208">
                  <c:v>-106.74958526180141</c:v>
                </c:pt>
                <c:pt idx="209">
                  <c:v>-111.16678479917859</c:v>
                </c:pt>
                <c:pt idx="210">
                  <c:v>-115.62118969009951</c:v>
                </c:pt>
                <c:pt idx="211">
                  <c:v>-120.11751676117163</c:v>
                </c:pt>
                <c:pt idx="212">
                  <c:v>-124.66066179894794</c:v>
                </c:pt>
                <c:pt idx="213">
                  <c:v>-129.25572329213912</c:v>
                </c:pt>
                <c:pt idx="214">
                  <c:v>-133.9080281357725</c:v>
                </c:pt>
                <c:pt idx="215">
                  <c:v>-138.62315959162589</c:v>
                </c:pt>
                <c:pt idx="216">
                  <c:v>-143.4069878388313</c:v>
                </c:pt>
                <c:pt idx="217">
                  <c:v>-148.26570349530809</c:v>
                </c:pt>
                <c:pt idx="218">
                  <c:v>-153.20585454577051</c:v>
                </c:pt>
                <c:pt idx="219">
                  <c:v>-158.23438717709644</c:v>
                </c:pt>
                <c:pt idx="220">
                  <c:v>-163.35869109914327</c:v>
                </c:pt>
                <c:pt idx="221">
                  <c:v>-168.58665002087361</c:v>
                </c:pt>
                <c:pt idx="222">
                  <c:v>-173.92669806005168</c:v>
                </c:pt>
                <c:pt idx="223">
                  <c:v>-179.38788299591977</c:v>
                </c:pt>
                <c:pt idx="224">
                  <c:v>-183.54958473327102</c:v>
                </c:pt>
                <c:pt idx="225">
                  <c:v>-189.16103411280119</c:v>
                </c:pt>
                <c:pt idx="226">
                  <c:v>-194.68222939959171</c:v>
                </c:pt>
                <c:pt idx="227">
                  <c:v>-200.12552545961685</c:v>
                </c:pt>
                <c:pt idx="228">
                  <c:v>-205.50272847169737</c:v>
                </c:pt>
                <c:pt idx="229">
                  <c:v>-210.82521006653661</c:v>
                </c:pt>
                <c:pt idx="230">
                  <c:v>-216.10401493289527</c:v>
                </c:pt>
                <c:pt idx="231">
                  <c:v>-221.34996411636556</c:v>
                </c:pt>
                <c:pt idx="232">
                  <c:v>-226.57375614142742</c:v>
                </c:pt>
                <c:pt idx="233">
                  <c:v>-231.78606806856183</c:v>
                </c:pt>
                <c:pt idx="234">
                  <c:v>-236.99765865788802</c:v>
                </c:pt>
                <c:pt idx="235">
                  <c:v>-242.21947595389526</c:v>
                </c:pt>
                <c:pt idx="236">
                  <c:v>-247.46511984754733</c:v>
                </c:pt>
                <c:pt idx="237">
                  <c:v>-252.73785118746108</c:v>
                </c:pt>
                <c:pt idx="238">
                  <c:v>-258.01625388892683</c:v>
                </c:pt>
                <c:pt idx="239">
                  <c:v>-263.32723728736897</c:v>
                </c:pt>
                <c:pt idx="240">
                  <c:v>-268.7003338884648</c:v>
                </c:pt>
                <c:pt idx="241">
                  <c:v>-274.17864633328844</c:v>
                </c:pt>
                <c:pt idx="242">
                  <c:v>-279.75663683376803</c:v>
                </c:pt>
                <c:pt idx="243">
                  <c:v>-285.45202046136944</c:v>
                </c:pt>
                <c:pt idx="244">
                  <c:v>-291.28443720680889</c:v>
                </c:pt>
                <c:pt idx="245">
                  <c:v>-297.27586214725142</c:v>
                </c:pt>
                <c:pt idx="246">
                  <c:v>-303.45110895548652</c:v>
                </c:pt>
                <c:pt idx="247">
                  <c:v>-309.83845456573266</c:v>
                </c:pt>
                <c:pt idx="248">
                  <c:v>-316.26146350503137</c:v>
                </c:pt>
                <c:pt idx="249">
                  <c:v>-322.51965223106782</c:v>
                </c:pt>
                <c:pt idx="250">
                  <c:v>-328.63123621868635</c:v>
                </c:pt>
                <c:pt idx="251">
                  <c:v>-334.61429428726206</c:v>
                </c:pt>
                <c:pt idx="252">
                  <c:v>-340.48685704052104</c:v>
                </c:pt>
                <c:pt idx="253">
                  <c:v>-346.26707520857565</c:v>
                </c:pt>
                <c:pt idx="254">
                  <c:v>-351.97339884522506</c:v>
                </c:pt>
                <c:pt idx="255">
                  <c:v>-357.62477119544474</c:v>
                </c:pt>
                <c:pt idx="256">
                  <c:v>-363.24084164669284</c:v>
                </c:pt>
                <c:pt idx="257">
                  <c:v>-368.84220294501284</c:v>
                </c:pt>
                <c:pt idx="258">
                  <c:v>-374.45065883183861</c:v>
                </c:pt>
                <c:pt idx="259">
                  <c:v>-378.17434637746811</c:v>
                </c:pt>
                <c:pt idx="260">
                  <c:v>-383.79833409596705</c:v>
                </c:pt>
                <c:pt idx="261">
                  <c:v>-389.50027854105093</c:v>
                </c:pt>
                <c:pt idx="262">
                  <c:v>-395.30980846355277</c:v>
                </c:pt>
                <c:pt idx="263">
                  <c:v>-401.25979671574567</c:v>
                </c:pt>
                <c:pt idx="264">
                  <c:v>-407.30952927618603</c:v>
                </c:pt>
                <c:pt idx="265">
                  <c:v>-411.65499240504647</c:v>
                </c:pt>
                <c:pt idx="266">
                  <c:v>-416.25182348805475</c:v>
                </c:pt>
                <c:pt idx="267">
                  <c:v>-421.1815469405559</c:v>
                </c:pt>
                <c:pt idx="268">
                  <c:v>-426.54814766509219</c:v>
                </c:pt>
                <c:pt idx="269">
                  <c:v>-432.48662691045195</c:v>
                </c:pt>
                <c:pt idx="270">
                  <c:v>-439.17550123931915</c:v>
                </c:pt>
                <c:pt idx="271">
                  <c:v>-432.91668161407313</c:v>
                </c:pt>
                <c:pt idx="272">
                  <c:v>-427.15589291479779</c:v>
                </c:pt>
                <c:pt idx="273">
                  <c:v>-421.79316560174414</c:v>
                </c:pt>
                <c:pt idx="274">
                  <c:v>-416.74681684897928</c:v>
                </c:pt>
                <c:pt idx="275">
                  <c:v>-411.94949679594316</c:v>
                </c:pt>
                <c:pt idx="276">
                  <c:v>-407.34513080492405</c:v>
                </c:pt>
                <c:pt idx="277">
                  <c:v>-402.88654857548522</c:v>
                </c:pt>
                <c:pt idx="278">
                  <c:v>-396.76682435525885</c:v>
                </c:pt>
                <c:pt idx="279">
                  <c:v>-390.56900049113273</c:v>
                </c:pt>
                <c:pt idx="280">
                  <c:v>-384.42420724800917</c:v>
                </c:pt>
                <c:pt idx="281">
                  <c:v>-380.20091622373894</c:v>
                </c:pt>
                <c:pt idx="282">
                  <c:v>-374.03094595472629</c:v>
                </c:pt>
                <c:pt idx="283">
                  <c:v>-367.86512786112269</c:v>
                </c:pt>
                <c:pt idx="284">
                  <c:v>-361.68643663007839</c:v>
                </c:pt>
                <c:pt idx="285">
                  <c:v>-355.47817062332081</c:v>
                </c:pt>
                <c:pt idx="286">
                  <c:v>-349.22386072751368</c:v>
                </c:pt>
                <c:pt idx="287">
                  <c:v>-342.90717721303764</c:v>
                </c:pt>
                <c:pt idx="288">
                  <c:v>-336.51183484521579</c:v>
                </c:pt>
                <c:pt idx="289">
                  <c:v>-330.02149620810917</c:v>
                </c:pt>
                <c:pt idx="290">
                  <c:v>-323.41967296841665</c:v>
                </c:pt>
                <c:pt idx="291">
                  <c:v>-317.2636512826262</c:v>
                </c:pt>
                <c:pt idx="292">
                  <c:v>-310.54198582909294</c:v>
                </c:pt>
                <c:pt idx="293">
                  <c:v>-304.09721254847892</c:v>
                </c:pt>
                <c:pt idx="294">
                  <c:v>-297.91544477986582</c:v>
                </c:pt>
                <c:pt idx="295">
                  <c:v>-291.96396491858377</c:v>
                </c:pt>
                <c:pt idx="296">
                  <c:v>-286.21441705492077</c:v>
                </c:pt>
                <c:pt idx="297">
                  <c:v>-280.6420154174005</c:v>
                </c:pt>
                <c:pt idx="298">
                  <c:v>-275.22491357864283</c:v>
                </c:pt>
                <c:pt idx="299">
                  <c:v>-269.94369663791304</c:v>
                </c:pt>
                <c:pt idx="300">
                  <c:v>-264.7809683394126</c:v>
                </c:pt>
                <c:pt idx="301">
                  <c:v>-259.72101207097182</c:v>
                </c:pt>
                <c:pt idx="302">
                  <c:v>-254.74950975544846</c:v>
                </c:pt>
                <c:pt idx="303">
                  <c:v>-249.85330636192151</c:v>
                </c:pt>
                <c:pt idx="304">
                  <c:v>-245.02021051279769</c:v>
                </c:pt>
                <c:pt idx="305">
                  <c:v>-240.2388237140004</c:v>
                </c:pt>
                <c:pt idx="306">
                  <c:v>-235.49839227658867</c:v>
                </c:pt>
                <c:pt idx="307">
                  <c:v>-230.7886771604941</c:v>
                </c:pt>
                <c:pt idx="308">
                  <c:v>-226.09983785130615</c:v>
                </c:pt>
                <c:pt idx="309">
                  <c:v>-221.42232704564188</c:v>
                </c:pt>
                <c:pt idx="310">
                  <c:v>-216.7467934192203</c:v>
                </c:pt>
                <c:pt idx="311">
                  <c:v>-212.06399012000841</c:v>
                </c:pt>
                <c:pt idx="312">
                  <c:v>-207.36468689146932</c:v>
                </c:pt>
                <c:pt idx="313">
                  <c:v>-202.6395839064503</c:v>
                </c:pt>
                <c:pt idx="314">
                  <c:v>-197.87922549217876</c:v>
                </c:pt>
                <c:pt idx="315">
                  <c:v>-193.07391195871884</c:v>
                </c:pt>
                <c:pt idx="316">
                  <c:v>-188.21360771025584</c:v>
                </c:pt>
                <c:pt idx="317">
                  <c:v>-183.28784372026729</c:v>
                </c:pt>
                <c:pt idx="318">
                  <c:v>-178.28561228449897</c:v>
                </c:pt>
                <c:pt idx="319">
                  <c:v>-173.19525172096724</c:v>
                </c:pt>
                <c:pt idx="320">
                  <c:v>-168.00431835325787</c:v>
                </c:pt>
                <c:pt idx="321">
                  <c:v>-162.72768247363825</c:v>
                </c:pt>
                <c:pt idx="322">
                  <c:v>-157.50537333118828</c:v>
                </c:pt>
                <c:pt idx="323">
                  <c:v>-152.3514319806649</c:v>
                </c:pt>
                <c:pt idx="324">
                  <c:v>-147.25784770189196</c:v>
                </c:pt>
                <c:pt idx="325">
                  <c:v>-142.21692311089473</c:v>
                </c:pt>
                <c:pt idx="326">
                  <c:v>-138.96307618595583</c:v>
                </c:pt>
                <c:pt idx="327">
                  <c:v>-134.03350817437811</c:v>
                </c:pt>
                <c:pt idx="328">
                  <c:v>-129.13598798938582</c:v>
                </c:pt>
                <c:pt idx="329">
                  <c:v>-124.26367889218318</c:v>
                </c:pt>
                <c:pt idx="330">
                  <c:v>-119.40984745989144</c:v>
                </c:pt>
                <c:pt idx="331">
                  <c:v>-114.56782641564583</c:v>
                </c:pt>
                <c:pt idx="332">
                  <c:v>-110.53022222734403</c:v>
                </c:pt>
                <c:pt idx="333">
                  <c:v>-107.11483216242004</c:v>
                </c:pt>
                <c:pt idx="334">
                  <c:v>-103.73179627404157</c:v>
                </c:pt>
                <c:pt idx="335">
                  <c:v>-100.37640133649168</c:v>
                </c:pt>
                <c:pt idx="336">
                  <c:v>-97.043897710974704</c:v>
                </c:pt>
                <c:pt idx="337">
                  <c:v>-93.729455700579052</c:v>
                </c:pt>
                <c:pt idx="338">
                  <c:v>-90.428117042402462</c:v>
                </c:pt>
                <c:pt idx="339">
                  <c:v>-87.134740047901445</c:v>
                </c:pt>
                <c:pt idx="340">
                  <c:v>-83.843936546207743</c:v>
                </c:pt>
                <c:pt idx="341">
                  <c:v>-80.549998314352166</c:v>
                </c:pt>
                <c:pt idx="342">
                  <c:v>-77.246810054179448</c:v>
                </c:pt>
                <c:pt idx="343">
                  <c:v>-73.927745147009702</c:v>
                </c:pt>
                <c:pt idx="344">
                  <c:v>-70.585539309070313</c:v>
                </c:pt>
                <c:pt idx="345">
                  <c:v>-67.21213578261667</c:v>
                </c:pt>
                <c:pt idx="346">
                  <c:v>-63.798493685625473</c:v>
                </c:pt>
                <c:pt idx="347">
                  <c:v>-60.334348407134797</c:v>
                </c:pt>
                <c:pt idx="348">
                  <c:v>-56.807909189385491</c:v>
                </c:pt>
                <c:pt idx="349">
                  <c:v>-52.407136593275119</c:v>
                </c:pt>
                <c:pt idx="350">
                  <c:v>-47.77529707332301</c:v>
                </c:pt>
                <c:pt idx="351">
                  <c:v>-43.134868162663707</c:v>
                </c:pt>
                <c:pt idx="352">
                  <c:v>-38.480592715941079</c:v>
                </c:pt>
                <c:pt idx="353">
                  <c:v>-33.806952091487084</c:v>
                </c:pt>
                <c:pt idx="354">
                  <c:v>-29.108110799638453</c:v>
                </c:pt>
                <c:pt idx="355">
                  <c:v>-24.377851854839523</c:v>
                </c:pt>
                <c:pt idx="356">
                  <c:v>-19.609500492918109</c:v>
                </c:pt>
                <c:pt idx="357">
                  <c:v>-14.79583324900393</c:v>
                </c:pt>
                <c:pt idx="358">
                  <c:v>-9.9289684962461493</c:v>
                </c:pt>
                <c:pt idx="359">
                  <c:v>-5.0002333288012961</c:v>
                </c:pt>
                <c:pt idx="360">
                  <c:v>-1.4088294800400401E-13</c:v>
                </c:pt>
                <c:pt idx="36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35-104B-91C4-30CCC9729C73}"/>
            </c:ext>
          </c:extLst>
        </c:ser>
        <c:ser>
          <c:idx val="1"/>
          <c:order val="1"/>
          <c:tx>
            <c:v>goal</c:v>
          </c:tx>
          <c:spPr>
            <a:ln w="22225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x"/>
            <c:size val="7"/>
            <c:spPr>
              <a:noFill/>
              <a:ln w="15875">
                <a:solidFill>
                  <a:srgbClr val="FF0000"/>
                </a:solidFill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'Cross Section Analysis'!$B$119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'Cross Section Analysis'!$B$120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35-104B-91C4-30CCC9729C73}"/>
            </c:ext>
          </c:extLst>
        </c:ser>
        <c:ser>
          <c:idx val="2"/>
          <c:order val="2"/>
          <c:tx>
            <c:v>goal_line</c:v>
          </c:tx>
          <c:spPr>
            <a:ln w="12700" cap="rnd">
              <a:solidFill>
                <a:schemeClr val="bg2">
                  <a:lumMod val="90000"/>
                </a:schemeClr>
              </a:solidFill>
              <a:prstDash val="sysDash"/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'Cross Section Analysis'!$H$124:$H$125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308.35077135888253</c:v>
                </c:pt>
              </c:numCache>
            </c:numRef>
          </c:xVal>
          <c:yVal>
            <c:numRef>
              <c:f>'Cross Section Analysis'!$I$124:$I$125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308.35077135888235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335-104B-91C4-30CCC9729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</c:valAx>
      <c:valAx>
        <c:axId val="189269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P-M</a:t>
            </a:r>
            <a:endParaRPr lang="en-US" baseline="0"/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p_m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'Cross Section Analysis'!$R$129:$R$229</c:f>
              <c:numCache>
                <c:formatCode>General</c:formatCode>
                <c:ptCount val="101"/>
                <c:pt idx="0">
                  <c:v>62.864999999999469</c:v>
                </c:pt>
                <c:pt idx="1">
                  <c:v>#N/A</c:v>
                </c:pt>
                <c:pt idx="2">
                  <c:v>59.042775738109732</c:v>
                </c:pt>
                <c:pt idx="3">
                  <c:v>113.86992270677055</c:v>
                </c:pt>
                <c:pt idx="4">
                  <c:v>163.99343496987203</c:v>
                </c:pt>
                <c:pt idx="5">
                  <c:v>208.10360794410801</c:v>
                </c:pt>
                <c:pt idx="6">
                  <c:v>250.9655367300023</c:v>
                </c:pt>
                <c:pt idx="7">
                  <c:v>293.08961439230717</c:v>
                </c:pt>
                <c:pt idx="8">
                  <c:v>333.96331889576061</c:v>
                </c:pt>
                <c:pt idx="9">
                  <c:v>372.98097897926715</c:v>
                </c:pt>
                <c:pt idx="10">
                  <c:v>407.02656707713646</c:v>
                </c:pt>
                <c:pt idx="11">
                  <c:v>425.00416179086938</c:v>
                </c:pt>
                <c:pt idx="12">
                  <c:v>429.54351347321995</c:v>
                </c:pt>
                <c:pt idx="13">
                  <c:v>426.6485033008139</c:v>
                </c:pt>
                <c:pt idx="14">
                  <c:v>415.89924459150012</c:v>
                </c:pt>
                <c:pt idx="15">
                  <c:v>417.31048121206362</c:v>
                </c:pt>
                <c:pt idx="16">
                  <c:v>416.59679450357243</c:v>
                </c:pt>
                <c:pt idx="17">
                  <c:v>414.11134666390785</c:v>
                </c:pt>
                <c:pt idx="18">
                  <c:v>408.46799934916777</c:v>
                </c:pt>
                <c:pt idx="19">
                  <c:v>399.61826413140898</c:v>
                </c:pt>
                <c:pt idx="20">
                  <c:v>387.57222103049293</c:v>
                </c:pt>
                <c:pt idx="21">
                  <c:v>372.15137222359704</c:v>
                </c:pt>
                <c:pt idx="22">
                  <c:v>353.06705284135654</c:v>
                </c:pt>
                <c:pt idx="23">
                  <c:v>330.07500202044457</c:v>
                </c:pt>
                <c:pt idx="24">
                  <c:v>302.96857804858666</c:v>
                </c:pt>
                <c:pt idx="25">
                  <c:v>271.46915524366807</c:v>
                </c:pt>
                <c:pt idx="26">
                  <c:v>235.39767402334195</c:v>
                </c:pt>
                <c:pt idx="27">
                  <c:v>0</c:v>
                </c:pt>
              </c:numCache>
            </c:numRef>
          </c:xVal>
          <c:yVal>
            <c:numRef>
              <c:f>'Cross Section Analysis'!$Q$129:$Q$229</c:f>
              <c:numCache>
                <c:formatCode>General</c:formatCode>
                <c:ptCount val="101"/>
                <c:pt idx="0">
                  <c:v>-342.9</c:v>
                </c:pt>
                <c:pt idx="1">
                  <c:v>-337.9</c:v>
                </c:pt>
                <c:pt idx="2">
                  <c:v>-263.98053999999996</c:v>
                </c:pt>
                <c:pt idx="3">
                  <c:v>-190.06107999999995</c:v>
                </c:pt>
                <c:pt idx="4">
                  <c:v>-116.14161999999995</c:v>
                </c:pt>
                <c:pt idx="5">
                  <c:v>-42.222159999999946</c:v>
                </c:pt>
                <c:pt idx="6">
                  <c:v>31.697300000000055</c:v>
                </c:pt>
                <c:pt idx="7">
                  <c:v>105.61676000000006</c:v>
                </c:pt>
                <c:pt idx="8">
                  <c:v>179.53622000000007</c:v>
                </c:pt>
                <c:pt idx="9">
                  <c:v>253.45568000000009</c:v>
                </c:pt>
                <c:pt idx="10">
                  <c:v>327.3751400000001</c:v>
                </c:pt>
                <c:pt idx="11">
                  <c:v>401.29460000000012</c:v>
                </c:pt>
                <c:pt idx="12">
                  <c:v>475.21406000000013</c:v>
                </c:pt>
                <c:pt idx="13">
                  <c:v>549.13352000000009</c:v>
                </c:pt>
                <c:pt idx="14">
                  <c:v>623.05298000000005</c:v>
                </c:pt>
                <c:pt idx="15">
                  <c:v>696.97244000000001</c:v>
                </c:pt>
                <c:pt idx="16">
                  <c:v>770.89189999999996</c:v>
                </c:pt>
                <c:pt idx="17">
                  <c:v>844.81135999999992</c:v>
                </c:pt>
                <c:pt idx="18">
                  <c:v>918.73081999999988</c:v>
                </c:pt>
                <c:pt idx="19">
                  <c:v>992.65027999999984</c:v>
                </c:pt>
                <c:pt idx="20">
                  <c:v>1066.5697399999999</c:v>
                </c:pt>
                <c:pt idx="21">
                  <c:v>1140.4892</c:v>
                </c:pt>
                <c:pt idx="22">
                  <c:v>1214.4086600000001</c:v>
                </c:pt>
                <c:pt idx="23">
                  <c:v>1288.3281200000001</c:v>
                </c:pt>
                <c:pt idx="24">
                  <c:v>1362.2475800000002</c:v>
                </c:pt>
                <c:pt idx="25">
                  <c:v>1436.1670400000003</c:v>
                </c:pt>
                <c:pt idx="26">
                  <c:v>1510.0865000000003</c:v>
                </c:pt>
                <c:pt idx="27">
                  <c:v>1510.0865000000003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88-45A8-82B1-F1E57D0B9DAF}"/>
            </c:ext>
          </c:extLst>
        </c:ser>
        <c:ser>
          <c:idx val="1"/>
          <c:order val="1"/>
          <c:tx>
            <c:v>goal</c:v>
          </c:tx>
          <c:spPr>
            <a:ln w="22225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x"/>
            <c:size val="9"/>
            <c:spPr>
              <a:noFill/>
              <a:ln w="15875">
                <a:solidFill>
                  <a:srgbClr val="FF0000"/>
                </a:solidFill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'Cross Section Analysis'!$E$120</c:f>
              <c:numCache>
                <c:formatCode>General</c:formatCode>
                <c:ptCount val="1"/>
                <c:pt idx="0">
                  <c:v>1.4142135623730951</c:v>
                </c:pt>
              </c:numCache>
            </c:numRef>
          </c:xVal>
          <c:yVal>
            <c:numRef>
              <c:f>'Cross Section Analysis'!$D$120</c:f>
              <c:numCache>
                <c:formatCode>General</c:formatCode>
                <c:ptCount val="1"/>
                <c:pt idx="0">
                  <c:v>499.85387999999972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88-45A8-82B1-F1E57D0B9DAF}"/>
            </c:ext>
          </c:extLst>
        </c:ser>
        <c:ser>
          <c:idx val="2"/>
          <c:order val="2"/>
          <c:tx>
            <c:v>goal_line</c:v>
          </c:tx>
          <c:spPr>
            <a:ln w="12700" cap="rnd">
              <a:solidFill>
                <a:schemeClr val="accent3"/>
              </a:solidFill>
              <a:prstDash val="sysDash"/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solidFill>
                  <a:schemeClr val="accent2">
                    <a:lumMod val="40000"/>
                    <a:lumOff val="60000"/>
                  </a:schemeClr>
                </a:solidFill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'Cross Section Analysis'!$R$122:$R$124</c:f>
              <c:numCache>
                <c:formatCode>General</c:formatCode>
                <c:ptCount val="3"/>
                <c:pt idx="0">
                  <c:v>1.4142135623730951</c:v>
                </c:pt>
                <c:pt idx="1">
                  <c:v>436.0738428239369</c:v>
                </c:pt>
              </c:numCache>
            </c:numRef>
          </c:xVal>
          <c:yVal>
            <c:numRef>
              <c:f>'Cross Section Analysis'!$Q$122:$Q$124</c:f>
              <c:numCache>
                <c:formatCode>General</c:formatCode>
                <c:ptCount val="3"/>
                <c:pt idx="0">
                  <c:v>499.85387999999972</c:v>
                </c:pt>
                <c:pt idx="1">
                  <c:v>499.85387999999972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88-45A8-82B1-F1E57D0B9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</c:valAx>
      <c:valAx>
        <c:axId val="189269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504826</xdr:colOff>
      <xdr:row>0</xdr:row>
      <xdr:rowOff>123825</xdr:rowOff>
    </xdr:from>
    <xdr:to>
      <xdr:col>18</xdr:col>
      <xdr:colOff>133351</xdr:colOff>
      <xdr:row>33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838201</xdr:colOff>
      <xdr:row>44</xdr:row>
      <xdr:rowOff>150187</xdr:rowOff>
    </xdr:from>
    <xdr:to>
      <xdr:col>18</xdr:col>
      <xdr:colOff>209550</xdr:colOff>
      <xdr:row>78</xdr:row>
      <xdr:rowOff>152401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25400</xdr:colOff>
      <xdr:row>116</xdr:row>
      <xdr:rowOff>152400</xdr:rowOff>
    </xdr:from>
    <xdr:to>
      <xdr:col>5</xdr:col>
      <xdr:colOff>698500</xdr:colOff>
      <xdr:row>120</xdr:row>
      <xdr:rowOff>0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771525</xdr:colOff>
          <xdr:row>121</xdr:row>
          <xdr:rowOff>66675</xdr:rowOff>
        </xdr:from>
        <xdr:to>
          <xdr:col>2</xdr:col>
          <xdr:colOff>885825</xdr:colOff>
          <xdr:row>126</xdr:row>
          <xdr:rowOff>47625</xdr:rowOff>
        </xdr:to>
        <xdr:sp macro="" textlink="">
          <xdr:nvSpPr>
            <xdr:cNvPr id="1027" name="Button 3" descr="Attempt to Find&#10;Interaction point for Goal&#10;(Form Button)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to find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Interaction point for Goal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(Form Button)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234950</xdr:colOff>
      <xdr:row>127</xdr:row>
      <xdr:rowOff>69850</xdr:rowOff>
    </xdr:from>
    <xdr:to>
      <xdr:col>14</xdr:col>
      <xdr:colOff>660400</xdr:colOff>
      <xdr:row>170</xdr:row>
      <xdr:rowOff>139700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121</xdr:row>
          <xdr:rowOff>47625</xdr:rowOff>
        </xdr:from>
        <xdr:to>
          <xdr:col>5</xdr:col>
          <xdr:colOff>1152525</xdr:colOff>
          <xdr:row>126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try to build mx vs 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121</xdr:row>
          <xdr:rowOff>152400</xdr:rowOff>
        </xdr:from>
        <xdr:to>
          <xdr:col>13</xdr:col>
          <xdr:colOff>342900</xdr:colOff>
          <xdr:row>125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a P-M curve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314325</xdr:colOff>
      <xdr:row>171</xdr:row>
      <xdr:rowOff>142875</xdr:rowOff>
    </xdr:from>
    <xdr:to>
      <xdr:col>15</xdr:col>
      <xdr:colOff>82550</xdr:colOff>
      <xdr:row>215</xdr:row>
      <xdr:rowOff>22225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F3883-D7DC-4528-8AF2-C728ADB69584}">
  <sheetPr codeName="Sheet1"/>
  <dimension ref="A1:Z490"/>
  <sheetViews>
    <sheetView tabSelected="1" topLeftCell="A85" workbookViewId="0">
      <selection activeCell="E118" sqref="E118"/>
    </sheetView>
  </sheetViews>
  <sheetFormatPr defaultColWidth="8.85546875" defaultRowHeight="15" x14ac:dyDescent="0.25"/>
  <cols>
    <col min="1" max="1" width="16.42578125" customWidth="1"/>
    <col min="2" max="2" width="18.42578125" bestFit="1" customWidth="1"/>
    <col min="3" max="3" width="13.85546875" customWidth="1"/>
    <col min="4" max="4" width="10.7109375" customWidth="1"/>
    <col min="5" max="5" width="10.42578125" customWidth="1"/>
    <col min="6" max="6" width="19.85546875" customWidth="1"/>
    <col min="7" max="7" width="12.42578125" bestFit="1" customWidth="1"/>
    <col min="8" max="8" width="14.42578125" bestFit="1" customWidth="1"/>
    <col min="9" max="9" width="13.42578125" bestFit="1" customWidth="1"/>
    <col min="10" max="10" width="10.140625" customWidth="1"/>
    <col min="11" max="11" width="11.7109375" customWidth="1"/>
    <col min="14" max="14" width="12.42578125" customWidth="1"/>
  </cols>
  <sheetData>
    <row r="1" spans="1:8" x14ac:dyDescent="0.25">
      <c r="D1" t="s">
        <v>7</v>
      </c>
      <c r="G1" t="s">
        <v>14</v>
      </c>
    </row>
    <row r="2" spans="1:8" x14ac:dyDescent="0.25">
      <c r="A2" s="2" t="s">
        <v>4</v>
      </c>
      <c r="B2" s="38">
        <v>5</v>
      </c>
      <c r="C2" t="s">
        <v>5</v>
      </c>
      <c r="D2" s="1" t="s">
        <v>0</v>
      </c>
      <c r="E2" s="1" t="s">
        <v>1</v>
      </c>
      <c r="G2" t="s">
        <v>0</v>
      </c>
      <c r="H2" t="s">
        <v>1</v>
      </c>
    </row>
    <row r="3" spans="1:8" x14ac:dyDescent="0.25">
      <c r="A3" s="2" t="s">
        <v>13</v>
      </c>
      <c r="B3" s="3">
        <f>(POWER(145,1.5)*33*SQRT(1000*B2))/1000</f>
        <v>4074.2806880478911</v>
      </c>
      <c r="C3" t="s">
        <v>5</v>
      </c>
      <c r="D3" s="5">
        <v>0</v>
      </c>
      <c r="E3" s="5">
        <v>0</v>
      </c>
      <c r="G3" s="6">
        <f>MAX(MAX(D3:D7),MAX(E3:E7))</f>
        <v>30</v>
      </c>
      <c r="H3" s="6">
        <f>G3</f>
        <v>30</v>
      </c>
    </row>
    <row r="4" spans="1:8" x14ac:dyDescent="0.25">
      <c r="A4" s="2" t="s">
        <v>35</v>
      </c>
      <c r="B4" s="1">
        <f>IF(B2&lt;=4,0.85,IF(B2&lt;=8,0.85 - ((0.05*(B2-4))/1),0.65))</f>
        <v>0.79999999999999993</v>
      </c>
      <c r="D4" s="5">
        <f>B5</f>
        <v>20</v>
      </c>
      <c r="E4" s="5">
        <v>0</v>
      </c>
      <c r="G4">
        <v>-1</v>
      </c>
      <c r="H4">
        <v>-1</v>
      </c>
    </row>
    <row r="5" spans="1:8" x14ac:dyDescent="0.25">
      <c r="A5" s="2" t="s">
        <v>2</v>
      </c>
      <c r="B5" s="38">
        <v>20</v>
      </c>
      <c r="C5" t="s">
        <v>6</v>
      </c>
      <c r="D5" s="5">
        <f>B5</f>
        <v>20</v>
      </c>
      <c r="E5" s="5">
        <f>B6</f>
        <v>30</v>
      </c>
      <c r="G5" t="s">
        <v>33</v>
      </c>
    </row>
    <row r="6" spans="1:8" x14ac:dyDescent="0.25">
      <c r="A6" s="2" t="s">
        <v>3</v>
      </c>
      <c r="B6" s="38">
        <v>30</v>
      </c>
      <c r="C6" t="s">
        <v>6</v>
      </c>
      <c r="D6" s="5">
        <v>0</v>
      </c>
      <c r="E6" s="5">
        <f>B6</f>
        <v>30</v>
      </c>
      <c r="G6" t="s">
        <v>0</v>
      </c>
      <c r="H6" t="s">
        <v>1</v>
      </c>
    </row>
    <row r="7" spans="1:8" x14ac:dyDescent="0.25">
      <c r="D7" s="5">
        <v>0</v>
      </c>
      <c r="E7" s="5">
        <v>0</v>
      </c>
      <c r="G7">
        <f>B5/2</f>
        <v>10</v>
      </c>
      <c r="H7">
        <f>B6/2</f>
        <v>15</v>
      </c>
    </row>
    <row r="9" spans="1:8" x14ac:dyDescent="0.25">
      <c r="A9" t="s">
        <v>8</v>
      </c>
    </row>
    <row r="10" spans="1:8" x14ac:dyDescent="0.25">
      <c r="A10" t="s">
        <v>9</v>
      </c>
      <c r="B10" s="38">
        <v>60</v>
      </c>
      <c r="C10" t="s">
        <v>5</v>
      </c>
      <c r="F10" s="29" t="s">
        <v>88</v>
      </c>
    </row>
    <row r="11" spans="1:8" x14ac:dyDescent="0.25">
      <c r="A11" t="s">
        <v>12</v>
      </c>
      <c r="B11" s="3">
        <v>30000</v>
      </c>
      <c r="C11" t="s">
        <v>5</v>
      </c>
      <c r="F11" s="29" t="s">
        <v>89</v>
      </c>
    </row>
    <row r="12" spans="1:8" x14ac:dyDescent="0.25">
      <c r="B12" s="1" t="s">
        <v>10</v>
      </c>
      <c r="C12" t="s">
        <v>11</v>
      </c>
      <c r="D12" s="1" t="s">
        <v>0</v>
      </c>
      <c r="E12" s="1" t="s">
        <v>1</v>
      </c>
      <c r="F12" s="29" t="s">
        <v>90</v>
      </c>
    </row>
    <row r="13" spans="1:8" x14ac:dyDescent="0.25">
      <c r="A13">
        <v>1</v>
      </c>
      <c r="B13" s="37">
        <v>10</v>
      </c>
      <c r="C13" s="4">
        <f ca="1">OFFSET(Reference!A$1,MATCH('Cross Section Analysis'!B13,Reference!A$1:A$12,0)-1,2)</f>
        <v>1.27</v>
      </c>
      <c r="D13" s="38">
        <v>4</v>
      </c>
      <c r="E13" s="38">
        <v>4</v>
      </c>
      <c r="F13" s="29" t="s">
        <v>91</v>
      </c>
    </row>
    <row r="14" spans="1:8" x14ac:dyDescent="0.25">
      <c r="A14">
        <v>2</v>
      </c>
      <c r="B14" s="37">
        <v>10</v>
      </c>
      <c r="C14" s="4">
        <f ca="1">OFFSET(Reference!A$1,MATCH('Cross Section Analysis'!B14,Reference!A$1:A$12,0)-1,2)</f>
        <v>1.27</v>
      </c>
      <c r="D14" s="38">
        <v>16</v>
      </c>
      <c r="E14" s="38">
        <v>4</v>
      </c>
      <c r="F14" s="29" t="s">
        <v>92</v>
      </c>
    </row>
    <row r="15" spans="1:8" x14ac:dyDescent="0.25">
      <c r="A15">
        <v>3</v>
      </c>
      <c r="B15" s="37">
        <v>10</v>
      </c>
      <c r="C15" s="4">
        <f ca="1">OFFSET(Reference!A$1,MATCH('Cross Section Analysis'!B15,Reference!A$1:A$12,0)-1,2)</f>
        <v>1.27</v>
      </c>
      <c r="D15" s="38">
        <v>16</v>
      </c>
      <c r="E15" s="38">
        <v>26</v>
      </c>
    </row>
    <row r="16" spans="1:8" x14ac:dyDescent="0.25">
      <c r="A16">
        <v>4</v>
      </c>
      <c r="B16" s="37">
        <v>10</v>
      </c>
      <c r="C16" s="4">
        <f ca="1">OFFSET(Reference!A$1,MATCH('Cross Section Analysis'!B16,Reference!A$1:A$12,0)-1,2)</f>
        <v>1.27</v>
      </c>
      <c r="D16" s="38">
        <v>10</v>
      </c>
      <c r="E16" s="38">
        <v>26</v>
      </c>
    </row>
    <row r="17" spans="1:5" x14ac:dyDescent="0.25">
      <c r="A17">
        <v>5</v>
      </c>
      <c r="B17" s="37">
        <v>10</v>
      </c>
      <c r="C17" s="4">
        <f ca="1">OFFSET(Reference!A$1,MATCH('Cross Section Analysis'!B17,Reference!A$1:A$12,0)-1,2)</f>
        <v>1.27</v>
      </c>
      <c r="D17" s="38">
        <v>4</v>
      </c>
      <c r="E17" s="38">
        <v>26</v>
      </c>
    </row>
    <row r="18" spans="1:5" x14ac:dyDescent="0.25">
      <c r="A18">
        <v>6</v>
      </c>
      <c r="B18" s="37">
        <v>0</v>
      </c>
      <c r="C18" s="4">
        <f ca="1">OFFSET(Reference!A$1,MATCH('Cross Section Analysis'!B18,Reference!A$1:A$12,0)-1,2)</f>
        <v>0</v>
      </c>
      <c r="D18" s="36"/>
      <c r="E18" s="36"/>
    </row>
    <row r="19" spans="1:5" x14ac:dyDescent="0.25">
      <c r="A19">
        <v>7</v>
      </c>
      <c r="B19" s="37">
        <v>0</v>
      </c>
      <c r="C19" s="4">
        <f ca="1">OFFSET(Reference!A$1,MATCH('Cross Section Analysis'!B19,Reference!A$1:A$12,0)-1,2)</f>
        <v>0</v>
      </c>
      <c r="D19" s="36"/>
      <c r="E19" s="36"/>
    </row>
    <row r="20" spans="1:5" x14ac:dyDescent="0.25">
      <c r="A20">
        <v>8</v>
      </c>
      <c r="B20" s="37">
        <v>0</v>
      </c>
      <c r="C20" s="4">
        <f ca="1">OFFSET(Reference!A$1,MATCH('Cross Section Analysis'!B20,Reference!A$1:A$12,0)-1,2)</f>
        <v>0</v>
      </c>
      <c r="D20" s="36"/>
      <c r="E20" s="36"/>
    </row>
    <row r="21" spans="1:5" x14ac:dyDescent="0.25">
      <c r="A21">
        <v>9</v>
      </c>
      <c r="B21" s="37">
        <v>0</v>
      </c>
      <c r="C21" s="4">
        <f ca="1">OFFSET(Reference!A$1,MATCH('Cross Section Analysis'!B21,Reference!A$1:A$12,0)-1,2)</f>
        <v>0</v>
      </c>
      <c r="D21" s="36"/>
      <c r="E21" s="36"/>
    </row>
    <row r="22" spans="1:5" x14ac:dyDescent="0.25">
      <c r="A22">
        <v>10</v>
      </c>
      <c r="B22" s="37">
        <v>0</v>
      </c>
      <c r="C22" s="4">
        <f ca="1">OFFSET(Reference!A$1,MATCH('Cross Section Analysis'!B22,Reference!A$1:A$12,0)-1,2)</f>
        <v>0</v>
      </c>
      <c r="D22" s="36"/>
      <c r="E22" s="36"/>
    </row>
    <row r="23" spans="1:5" x14ac:dyDescent="0.25">
      <c r="A23">
        <v>11</v>
      </c>
      <c r="B23" s="37">
        <v>0</v>
      </c>
      <c r="C23" s="4">
        <f ca="1">OFFSET(Reference!A$1,MATCH('Cross Section Analysis'!B23,Reference!A$1:A$12,0)-1,2)</f>
        <v>0</v>
      </c>
      <c r="D23" s="36"/>
      <c r="E23" s="36"/>
    </row>
    <row r="24" spans="1:5" x14ac:dyDescent="0.25">
      <c r="A24">
        <v>12</v>
      </c>
      <c r="B24" s="37">
        <v>0</v>
      </c>
      <c r="C24" s="4">
        <f ca="1">OFFSET(Reference!A$1,MATCH('Cross Section Analysis'!B24,Reference!A$1:A$12,0)-1,2)</f>
        <v>0</v>
      </c>
      <c r="D24" s="36"/>
      <c r="E24" s="36"/>
    </row>
    <row r="26" spans="1:5" x14ac:dyDescent="0.25">
      <c r="A26" s="28" t="s">
        <v>15</v>
      </c>
    </row>
    <row r="27" spans="1:5" x14ac:dyDescent="0.25">
      <c r="A27" s="2" t="s">
        <v>16</v>
      </c>
    </row>
    <row r="28" spans="1:5" x14ac:dyDescent="0.25">
      <c r="A28" s="2" t="s">
        <v>17</v>
      </c>
      <c r="B28">
        <f>B5*B6</f>
        <v>600</v>
      </c>
      <c r="C28" t="s">
        <v>18</v>
      </c>
    </row>
    <row r="29" spans="1:5" x14ac:dyDescent="0.25">
      <c r="A29" s="2" t="s">
        <v>19</v>
      </c>
      <c r="B29">
        <f>B28*B2</f>
        <v>3000</v>
      </c>
      <c r="C29" t="s">
        <v>20</v>
      </c>
    </row>
    <row r="30" spans="1:5" x14ac:dyDescent="0.25">
      <c r="A30" s="2" t="s">
        <v>21</v>
      </c>
      <c r="B30">
        <f>B29*(B6/2)</f>
        <v>45000</v>
      </c>
      <c r="C30" t="s">
        <v>23</v>
      </c>
    </row>
    <row r="31" spans="1:5" x14ac:dyDescent="0.25">
      <c r="A31" s="2" t="s">
        <v>22</v>
      </c>
      <c r="B31">
        <f>B29*(B5/2)</f>
        <v>30000</v>
      </c>
      <c r="C31" t="s">
        <v>23</v>
      </c>
    </row>
    <row r="33" spans="1:6" x14ac:dyDescent="0.25">
      <c r="A33" s="2" t="s">
        <v>24</v>
      </c>
      <c r="C33" s="1" t="s">
        <v>71</v>
      </c>
      <c r="D33" s="1" t="s">
        <v>25</v>
      </c>
      <c r="E33" s="1" t="s">
        <v>26</v>
      </c>
      <c r="F33" s="1" t="s">
        <v>27</v>
      </c>
    </row>
    <row r="34" spans="1:6" x14ac:dyDescent="0.25">
      <c r="A34">
        <f>A13</f>
        <v>1</v>
      </c>
      <c r="B34" s="7">
        <f ca="1">C13</f>
        <v>1.27</v>
      </c>
      <c r="C34" s="6">
        <f>($B$10-($B$2))</f>
        <v>55</v>
      </c>
      <c r="D34" s="6">
        <f ca="1">B34*C34</f>
        <v>69.849999999999994</v>
      </c>
      <c r="E34" s="6">
        <f ca="1">D34*E13</f>
        <v>279.39999999999998</v>
      </c>
      <c r="F34" s="6">
        <f ca="1">D34*D13</f>
        <v>279.39999999999998</v>
      </c>
    </row>
    <row r="35" spans="1:6" x14ac:dyDescent="0.25">
      <c r="A35">
        <f t="shared" ref="A35:A45" si="0">A14</f>
        <v>2</v>
      </c>
      <c r="B35" s="7">
        <f t="shared" ref="B35:B45" ca="1" si="1">C14</f>
        <v>1.27</v>
      </c>
      <c r="C35" s="6">
        <f t="shared" ref="C35:C45" si="2">($B$10-($B$2))</f>
        <v>55</v>
      </c>
      <c r="D35" s="6">
        <f t="shared" ref="D35:D45" ca="1" si="3">B35*C35</f>
        <v>69.849999999999994</v>
      </c>
      <c r="E35" s="6">
        <f t="shared" ref="E35:E45" ca="1" si="4">D35*E14</f>
        <v>279.39999999999998</v>
      </c>
      <c r="F35" s="6">
        <f t="shared" ref="F35:F45" ca="1" si="5">D35*D14</f>
        <v>1117.5999999999999</v>
      </c>
    </row>
    <row r="36" spans="1:6" x14ac:dyDescent="0.25">
      <c r="A36">
        <f t="shared" si="0"/>
        <v>3</v>
      </c>
      <c r="B36" s="7">
        <f t="shared" ca="1" si="1"/>
        <v>1.27</v>
      </c>
      <c r="C36" s="6">
        <f t="shared" si="2"/>
        <v>55</v>
      </c>
      <c r="D36" s="6">
        <f t="shared" ca="1" si="3"/>
        <v>69.849999999999994</v>
      </c>
      <c r="E36" s="6">
        <f t="shared" ca="1" si="4"/>
        <v>1816.1</v>
      </c>
      <c r="F36" s="6">
        <f t="shared" ca="1" si="5"/>
        <v>1117.5999999999999</v>
      </c>
    </row>
    <row r="37" spans="1:6" x14ac:dyDescent="0.25">
      <c r="A37">
        <f t="shared" si="0"/>
        <v>4</v>
      </c>
      <c r="B37" s="7">
        <f t="shared" ca="1" si="1"/>
        <v>1.27</v>
      </c>
      <c r="C37" s="6">
        <f t="shared" si="2"/>
        <v>55</v>
      </c>
      <c r="D37" s="6">
        <f t="shared" ca="1" si="3"/>
        <v>69.849999999999994</v>
      </c>
      <c r="E37" s="6">
        <f t="shared" ca="1" si="4"/>
        <v>1816.1</v>
      </c>
      <c r="F37" s="6">
        <f t="shared" ca="1" si="5"/>
        <v>698.5</v>
      </c>
    </row>
    <row r="38" spans="1:6" x14ac:dyDescent="0.25">
      <c r="A38">
        <f t="shared" si="0"/>
        <v>5</v>
      </c>
      <c r="B38" s="7">
        <f t="shared" ca="1" si="1"/>
        <v>1.27</v>
      </c>
      <c r="C38" s="6">
        <f t="shared" si="2"/>
        <v>55</v>
      </c>
      <c r="D38" s="6">
        <f t="shared" ca="1" si="3"/>
        <v>69.849999999999994</v>
      </c>
      <c r="E38" s="6">
        <f t="shared" ca="1" si="4"/>
        <v>1816.1</v>
      </c>
      <c r="F38" s="6">
        <f t="shared" ca="1" si="5"/>
        <v>279.39999999999998</v>
      </c>
    </row>
    <row r="39" spans="1:6" x14ac:dyDescent="0.25">
      <c r="A39">
        <f t="shared" si="0"/>
        <v>6</v>
      </c>
      <c r="B39" s="7">
        <f t="shared" ca="1" si="1"/>
        <v>0</v>
      </c>
      <c r="C39" s="6">
        <f t="shared" si="2"/>
        <v>55</v>
      </c>
      <c r="D39" s="6">
        <f t="shared" ca="1" si="3"/>
        <v>0</v>
      </c>
      <c r="E39" s="6">
        <f t="shared" ca="1" si="4"/>
        <v>0</v>
      </c>
      <c r="F39" s="6">
        <f t="shared" ca="1" si="5"/>
        <v>0</v>
      </c>
    </row>
    <row r="40" spans="1:6" x14ac:dyDescent="0.25">
      <c r="A40">
        <f t="shared" si="0"/>
        <v>7</v>
      </c>
      <c r="B40" s="7">
        <f t="shared" ca="1" si="1"/>
        <v>0</v>
      </c>
      <c r="C40" s="6">
        <f t="shared" si="2"/>
        <v>55</v>
      </c>
      <c r="D40" s="6">
        <f t="shared" ca="1" si="3"/>
        <v>0</v>
      </c>
      <c r="E40" s="6">
        <f ca="1">D40*E19</f>
        <v>0</v>
      </c>
      <c r="F40" s="6">
        <f t="shared" ca="1" si="5"/>
        <v>0</v>
      </c>
    </row>
    <row r="41" spans="1:6" x14ac:dyDescent="0.25">
      <c r="A41">
        <f t="shared" si="0"/>
        <v>8</v>
      </c>
      <c r="B41" s="7">
        <f t="shared" ca="1" si="1"/>
        <v>0</v>
      </c>
      <c r="C41" s="6">
        <f t="shared" si="2"/>
        <v>55</v>
      </c>
      <c r="D41" s="6">
        <f t="shared" ca="1" si="3"/>
        <v>0</v>
      </c>
      <c r="E41" s="6">
        <f t="shared" ca="1" si="4"/>
        <v>0</v>
      </c>
      <c r="F41" s="6">
        <f t="shared" ca="1" si="5"/>
        <v>0</v>
      </c>
    </row>
    <row r="42" spans="1:6" x14ac:dyDescent="0.25">
      <c r="A42">
        <f t="shared" si="0"/>
        <v>9</v>
      </c>
      <c r="B42" s="7">
        <f t="shared" ca="1" si="1"/>
        <v>0</v>
      </c>
      <c r="C42" s="6">
        <f t="shared" si="2"/>
        <v>55</v>
      </c>
      <c r="D42" s="6">
        <f t="shared" ca="1" si="3"/>
        <v>0</v>
      </c>
      <c r="E42" s="6">
        <f t="shared" ca="1" si="4"/>
        <v>0</v>
      </c>
      <c r="F42" s="6">
        <f t="shared" ca="1" si="5"/>
        <v>0</v>
      </c>
    </row>
    <row r="43" spans="1:6" x14ac:dyDescent="0.25">
      <c r="A43">
        <f t="shared" si="0"/>
        <v>10</v>
      </c>
      <c r="B43" s="7">
        <f t="shared" ca="1" si="1"/>
        <v>0</v>
      </c>
      <c r="C43" s="6">
        <f t="shared" si="2"/>
        <v>55</v>
      </c>
      <c r="D43" s="6">
        <f t="shared" ca="1" si="3"/>
        <v>0</v>
      </c>
      <c r="E43" s="6">
        <f t="shared" ca="1" si="4"/>
        <v>0</v>
      </c>
      <c r="F43" s="6">
        <f t="shared" ca="1" si="5"/>
        <v>0</v>
      </c>
    </row>
    <row r="44" spans="1:6" x14ac:dyDescent="0.25">
      <c r="A44">
        <f t="shared" si="0"/>
        <v>11</v>
      </c>
      <c r="B44" s="7">
        <f t="shared" ca="1" si="1"/>
        <v>0</v>
      </c>
      <c r="C44" s="6">
        <f t="shared" si="2"/>
        <v>55</v>
      </c>
      <c r="D44" s="6">
        <f t="shared" ca="1" si="3"/>
        <v>0</v>
      </c>
      <c r="E44" s="6">
        <f t="shared" ca="1" si="4"/>
        <v>0</v>
      </c>
      <c r="F44" s="6">
        <f t="shared" ca="1" si="5"/>
        <v>0</v>
      </c>
    </row>
    <row r="45" spans="1:6" ht="15.75" thickBot="1" x14ac:dyDescent="0.3">
      <c r="A45">
        <f t="shared" si="0"/>
        <v>12</v>
      </c>
      <c r="B45" s="7">
        <f t="shared" ca="1" si="1"/>
        <v>0</v>
      </c>
      <c r="C45" s="6">
        <f t="shared" si="2"/>
        <v>55</v>
      </c>
      <c r="D45" s="27">
        <f t="shared" ca="1" si="3"/>
        <v>0</v>
      </c>
      <c r="E45" s="27">
        <f t="shared" ca="1" si="4"/>
        <v>0</v>
      </c>
      <c r="F45" s="27">
        <f t="shared" ca="1" si="5"/>
        <v>0</v>
      </c>
    </row>
    <row r="46" spans="1:6" ht="15.75" thickTop="1" x14ac:dyDescent="0.25">
      <c r="C46" s="6"/>
      <c r="D46" s="6">
        <f ca="1">SUM(D34:D45)</f>
        <v>349.25</v>
      </c>
      <c r="E46" s="6">
        <f t="shared" ref="E46:F46" ca="1" si="6">SUM(E34:E45)</f>
        <v>6007.1</v>
      </c>
      <c r="F46" s="6">
        <f t="shared" ca="1" si="6"/>
        <v>3492.5</v>
      </c>
    </row>
    <row r="48" spans="1:6" x14ac:dyDescent="0.25">
      <c r="A48" s="2" t="s">
        <v>28</v>
      </c>
      <c r="B48" s="6">
        <f ca="1">B29+D46</f>
        <v>3349.25</v>
      </c>
      <c r="D48" t="s">
        <v>31</v>
      </c>
      <c r="E48" t="s">
        <v>32</v>
      </c>
    </row>
    <row r="49" spans="1:21" x14ac:dyDescent="0.25">
      <c r="A49" s="2" t="s">
        <v>29</v>
      </c>
      <c r="B49" s="6">
        <f ca="1">E46+B30</f>
        <v>51007.1</v>
      </c>
      <c r="D49" s="1">
        <f ca="1">B50/B48</f>
        <v>10</v>
      </c>
      <c r="E49" s="4">
        <f ca="1">B49/B48</f>
        <v>15.229409569306561</v>
      </c>
    </row>
    <row r="50" spans="1:21" x14ac:dyDescent="0.25">
      <c r="A50" s="2" t="s">
        <v>30</v>
      </c>
      <c r="B50" s="6">
        <f ca="1">F46+B31</f>
        <v>33492.5</v>
      </c>
    </row>
    <row r="52" spans="1:21" x14ac:dyDescent="0.25">
      <c r="A52" s="29" t="s">
        <v>34</v>
      </c>
    </row>
    <row r="53" spans="1:21" x14ac:dyDescent="0.25">
      <c r="A53" s="2" t="s">
        <v>36</v>
      </c>
      <c r="B53" s="36">
        <v>-67.664893829734311</v>
      </c>
      <c r="C53" t="s">
        <v>39</v>
      </c>
    </row>
    <row r="55" spans="1:21" x14ac:dyDescent="0.25">
      <c r="A55" s="2" t="s">
        <v>16</v>
      </c>
    </row>
    <row r="56" spans="1:21" x14ac:dyDescent="0.25">
      <c r="A56" s="1" t="s">
        <v>0</v>
      </c>
      <c r="B56" s="1" t="s">
        <v>1</v>
      </c>
      <c r="C56" s="1" t="s">
        <v>37</v>
      </c>
      <c r="D56" s="1" t="s">
        <v>38</v>
      </c>
    </row>
    <row r="57" spans="1:21" x14ac:dyDescent="0.25">
      <c r="A57" s="6">
        <f ca="1">D3-$D$49</f>
        <v>-10</v>
      </c>
      <c r="B57" s="7">
        <f ca="1">E3-$E$49</f>
        <v>-15.229409569306561</v>
      </c>
      <c r="C57" s="4">
        <f ca="1">A57*COS(RADIANS(-1*$B$53))+B57*SIN(RADIANS(-1*$B$53))</f>
        <v>-17.88708407219508</v>
      </c>
      <c r="D57" s="4">
        <f ca="1">-1*A57*SIN(RADIANS(-1*$B$53))+B57*COS(RADIANS(-1*$B$53))</f>
        <v>3.4622448243749826</v>
      </c>
      <c r="F57" t="s">
        <v>40</v>
      </c>
      <c r="G57">
        <f ca="1">MAX(D57:D61)-MIN(D57:D61)</f>
        <v>29.900230334789367</v>
      </c>
      <c r="H57" t="s">
        <v>6</v>
      </c>
      <c r="T57" t="s">
        <v>82</v>
      </c>
    </row>
    <row r="58" spans="1:21" x14ac:dyDescent="0.25">
      <c r="A58" s="6">
        <f ca="1">D4-$D$49</f>
        <v>10</v>
      </c>
      <c r="B58" s="7">
        <f t="shared" ref="B58:B61" ca="1" si="7">E4-$E$49</f>
        <v>-15.229409569306561</v>
      </c>
      <c r="C58" s="4">
        <f t="shared" ref="C58:C61" ca="1" si="8">A58*COS(RADIANS(-1*$B$53))+B58*SIN(RADIANS(-1*$B$53))</f>
        <v>-10.2866244491372</v>
      </c>
      <c r="D58" s="4">
        <f t="shared" ref="D58:D61" ca="1" si="9">-1*A58*SIN(RADIANS(-1*$B$53))+B58*COS(RADIANS(-1*$B$53))</f>
        <v>-15.037296075827564</v>
      </c>
      <c r="F58" t="s">
        <v>62</v>
      </c>
      <c r="G58" s="7">
        <f ca="1">MAX(D57:D61)</f>
        <v>14.862934258961802</v>
      </c>
      <c r="T58" t="s">
        <v>0</v>
      </c>
      <c r="U58" t="s">
        <v>1</v>
      </c>
    </row>
    <row r="59" spans="1:21" x14ac:dyDescent="0.25">
      <c r="A59" s="6">
        <f ca="1">D5-$D$49</f>
        <v>10</v>
      </c>
      <c r="B59" s="7">
        <f t="shared" ca="1" si="7"/>
        <v>14.770590430693439</v>
      </c>
      <c r="C59" s="4">
        <f t="shared" ca="1" si="8"/>
        <v>17.46268690116662</v>
      </c>
      <c r="D59" s="4">
        <f t="shared" ca="1" si="9"/>
        <v>-3.6366066412407445</v>
      </c>
      <c r="T59">
        <f ca="1">MAX(MAX(C57:C61),MAX(D57:D61))</f>
        <v>17.46268690116662</v>
      </c>
      <c r="U59">
        <f ca="1">T59</f>
        <v>17.46268690116662</v>
      </c>
    </row>
    <row r="60" spans="1:21" x14ac:dyDescent="0.25">
      <c r="A60" s="6">
        <f ca="1">D6-$D$49</f>
        <v>-10</v>
      </c>
      <c r="B60" s="7">
        <f t="shared" ca="1" si="7"/>
        <v>14.770590430693439</v>
      </c>
      <c r="C60" s="4">
        <f t="shared" ca="1" si="8"/>
        <v>9.8622272781087403</v>
      </c>
      <c r="D60" s="4">
        <f t="shared" ca="1" si="9"/>
        <v>14.862934258961802</v>
      </c>
      <c r="T60">
        <f ca="1">-1*T59</f>
        <v>-17.46268690116662</v>
      </c>
      <c r="U60">
        <f ca="1">-1*U59</f>
        <v>-17.46268690116662</v>
      </c>
    </row>
    <row r="61" spans="1:21" x14ac:dyDescent="0.25">
      <c r="A61" s="6">
        <f ca="1">D7-$D$49</f>
        <v>-10</v>
      </c>
      <c r="B61" s="7">
        <f t="shared" ca="1" si="7"/>
        <v>-15.229409569306561</v>
      </c>
      <c r="C61" s="4">
        <f t="shared" ca="1" si="8"/>
        <v>-17.88708407219508</v>
      </c>
      <c r="D61" s="4">
        <f t="shared" ca="1" si="9"/>
        <v>3.4622448243749826</v>
      </c>
    </row>
    <row r="62" spans="1:21" x14ac:dyDescent="0.25">
      <c r="A62" s="6"/>
    </row>
    <row r="63" spans="1:21" x14ac:dyDescent="0.25">
      <c r="A63" s="30" t="s">
        <v>24</v>
      </c>
      <c r="F63" s="1" t="s">
        <v>37</v>
      </c>
      <c r="G63" s="1" t="s">
        <v>38</v>
      </c>
    </row>
    <row r="64" spans="1:21" x14ac:dyDescent="0.25">
      <c r="A64" s="8">
        <f t="shared" ref="A64:C75" si="10">A13</f>
        <v>1</v>
      </c>
      <c r="B64" s="6">
        <f t="shared" si="10"/>
        <v>10</v>
      </c>
      <c r="C64" s="6">
        <f t="shared" ca="1" si="10"/>
        <v>1.27</v>
      </c>
      <c r="D64" s="6">
        <f ca="1">D13-$D$49</f>
        <v>-6</v>
      </c>
      <c r="E64" s="6">
        <f ca="1">E13-$E$49</f>
        <v>-11.229409569306561</v>
      </c>
      <c r="F64" s="4">
        <f ca="1">IF(C64&gt;0,D64*COS(RADIANS(-1*$B$53))+E64*SIN(RADIANS(-1*$B$53)),0)</f>
        <v>-12.667083967542995</v>
      </c>
      <c r="G64" s="4">
        <f ca="1">IF(C64&gt;0,-1*D64*SIN(RADIANS(-1*$B$53))+E64*COS(RADIANS(-1*$B$53)),0)</f>
        <v>1.2824285689460488</v>
      </c>
    </row>
    <row r="65" spans="1:7" x14ac:dyDescent="0.25">
      <c r="A65" s="8">
        <f t="shared" si="10"/>
        <v>2</v>
      </c>
      <c r="B65" s="6">
        <f t="shared" si="10"/>
        <v>10</v>
      </c>
      <c r="C65" s="6">
        <f t="shared" ca="1" si="10"/>
        <v>1.27</v>
      </c>
      <c r="D65" s="6">
        <f t="shared" ref="D65:D75" ca="1" si="11">D14-$D$49</f>
        <v>6</v>
      </c>
      <c r="E65" s="6">
        <f t="shared" ref="E65:E75" ca="1" si="12">E14-$E$49</f>
        <v>-11.229409569306561</v>
      </c>
      <c r="F65" s="4">
        <f t="shared" ref="F65:F75" ca="1" si="13">IF(C65&gt;0,D65*COS(RADIANS(-1*$B$53))+E65*SIN(RADIANS(-1*$B$53)),0)</f>
        <v>-8.1068081937082663</v>
      </c>
      <c r="G65" s="4">
        <f t="shared" ref="G65:G75" ca="1" si="14">IF(C65&gt;0,-1*D65*SIN(RADIANS(-1*$B$53))+E65*COS(RADIANS(-1*$B$53)),0)</f>
        <v>-9.8172959711754793</v>
      </c>
    </row>
    <row r="66" spans="1:7" x14ac:dyDescent="0.25">
      <c r="A66" s="8">
        <f t="shared" si="10"/>
        <v>3</v>
      </c>
      <c r="B66" s="6">
        <f t="shared" si="10"/>
        <v>10</v>
      </c>
      <c r="C66" s="6">
        <f t="shared" ca="1" si="10"/>
        <v>1.27</v>
      </c>
      <c r="D66" s="6">
        <f t="shared" ca="1" si="11"/>
        <v>6</v>
      </c>
      <c r="E66" s="6">
        <f t="shared" ca="1" si="12"/>
        <v>10.770590430693439</v>
      </c>
      <c r="F66" s="4">
        <f t="shared" ca="1" si="13"/>
        <v>12.242686796514535</v>
      </c>
      <c r="G66" s="4">
        <f t="shared" ca="1" si="14"/>
        <v>-1.4567903858118108</v>
      </c>
    </row>
    <row r="67" spans="1:7" x14ac:dyDescent="0.25">
      <c r="A67" s="8">
        <f t="shared" si="10"/>
        <v>4</v>
      </c>
      <c r="B67" s="6">
        <f t="shared" si="10"/>
        <v>10</v>
      </c>
      <c r="C67" s="6">
        <f t="shared" ca="1" si="10"/>
        <v>1.27</v>
      </c>
      <c r="D67" s="6">
        <f t="shared" ca="1" si="11"/>
        <v>0</v>
      </c>
      <c r="E67" s="6">
        <f t="shared" ca="1" si="12"/>
        <v>10.770590430693439</v>
      </c>
      <c r="F67" s="4">
        <f t="shared" ca="1" si="13"/>
        <v>9.9625489095971709</v>
      </c>
      <c r="G67" s="4">
        <f t="shared" ca="1" si="14"/>
        <v>4.0930718842489533</v>
      </c>
    </row>
    <row r="68" spans="1:7" x14ac:dyDescent="0.25">
      <c r="A68" s="8">
        <f t="shared" si="10"/>
        <v>5</v>
      </c>
      <c r="B68" s="6">
        <f t="shared" si="10"/>
        <v>10</v>
      </c>
      <c r="C68" s="6">
        <f t="shared" ca="1" si="10"/>
        <v>1.27</v>
      </c>
      <c r="D68" s="6">
        <f t="shared" ca="1" si="11"/>
        <v>-6</v>
      </c>
      <c r="E68" s="6">
        <f t="shared" ca="1" si="12"/>
        <v>10.770590430693439</v>
      </c>
      <c r="F68" s="4">
        <f t="shared" ca="1" si="13"/>
        <v>7.6824110226798066</v>
      </c>
      <c r="G68" s="4">
        <f t="shared" ca="1" si="14"/>
        <v>9.6429341543097173</v>
      </c>
    </row>
    <row r="69" spans="1:7" x14ac:dyDescent="0.25">
      <c r="A69" s="8">
        <f t="shared" si="10"/>
        <v>6</v>
      </c>
      <c r="B69" s="6">
        <f t="shared" si="10"/>
        <v>0</v>
      </c>
      <c r="C69" s="6">
        <f t="shared" ca="1" si="10"/>
        <v>0</v>
      </c>
      <c r="D69" s="6">
        <f t="shared" ca="1" si="11"/>
        <v>-10</v>
      </c>
      <c r="E69" s="6">
        <f t="shared" ca="1" si="12"/>
        <v>-15.229409569306561</v>
      </c>
      <c r="F69" s="4">
        <f t="shared" ca="1" si="13"/>
        <v>0</v>
      </c>
      <c r="G69" s="4">
        <f t="shared" ca="1" si="14"/>
        <v>0</v>
      </c>
    </row>
    <row r="70" spans="1:7" x14ac:dyDescent="0.25">
      <c r="A70" s="8">
        <f t="shared" si="10"/>
        <v>7</v>
      </c>
      <c r="B70" s="6">
        <f t="shared" si="10"/>
        <v>0</v>
      </c>
      <c r="C70" s="6">
        <f t="shared" ca="1" si="10"/>
        <v>0</v>
      </c>
      <c r="D70" s="6">
        <f t="shared" ca="1" si="11"/>
        <v>-10</v>
      </c>
      <c r="E70" s="6">
        <f t="shared" ca="1" si="12"/>
        <v>-15.229409569306561</v>
      </c>
      <c r="F70" s="4">
        <f t="shared" ca="1" si="13"/>
        <v>0</v>
      </c>
      <c r="G70" s="4">
        <f t="shared" ca="1" si="14"/>
        <v>0</v>
      </c>
    </row>
    <row r="71" spans="1:7" x14ac:dyDescent="0.25">
      <c r="A71" s="8">
        <f t="shared" si="10"/>
        <v>8</v>
      </c>
      <c r="B71" s="6">
        <f t="shared" si="10"/>
        <v>0</v>
      </c>
      <c r="C71" s="6">
        <f t="shared" ca="1" si="10"/>
        <v>0</v>
      </c>
      <c r="D71" s="6">
        <f t="shared" ca="1" si="11"/>
        <v>-10</v>
      </c>
      <c r="E71" s="6">
        <f t="shared" ca="1" si="12"/>
        <v>-15.229409569306561</v>
      </c>
      <c r="F71" s="4">
        <f t="shared" ca="1" si="13"/>
        <v>0</v>
      </c>
      <c r="G71" s="4">
        <f t="shared" ca="1" si="14"/>
        <v>0</v>
      </c>
    </row>
    <row r="72" spans="1:7" x14ac:dyDescent="0.25">
      <c r="A72" s="8">
        <f t="shared" si="10"/>
        <v>9</v>
      </c>
      <c r="B72" s="6">
        <f t="shared" si="10"/>
        <v>0</v>
      </c>
      <c r="C72" s="6">
        <f t="shared" ca="1" si="10"/>
        <v>0</v>
      </c>
      <c r="D72" s="6">
        <f t="shared" ca="1" si="11"/>
        <v>-10</v>
      </c>
      <c r="E72" s="6">
        <f t="shared" ca="1" si="12"/>
        <v>-15.229409569306561</v>
      </c>
      <c r="F72" s="4">
        <f t="shared" ca="1" si="13"/>
        <v>0</v>
      </c>
      <c r="G72" s="4">
        <f t="shared" ca="1" si="14"/>
        <v>0</v>
      </c>
    </row>
    <row r="73" spans="1:7" x14ac:dyDescent="0.25">
      <c r="A73" s="8">
        <f t="shared" si="10"/>
        <v>10</v>
      </c>
      <c r="B73" s="6">
        <f t="shared" si="10"/>
        <v>0</v>
      </c>
      <c r="C73" s="6">
        <f t="shared" ca="1" si="10"/>
        <v>0</v>
      </c>
      <c r="D73" s="6">
        <f t="shared" ca="1" si="11"/>
        <v>-10</v>
      </c>
      <c r="E73" s="6">
        <f t="shared" ca="1" si="12"/>
        <v>-15.229409569306561</v>
      </c>
      <c r="F73" s="4">
        <f t="shared" ca="1" si="13"/>
        <v>0</v>
      </c>
      <c r="G73" s="4">
        <f t="shared" ca="1" si="14"/>
        <v>0</v>
      </c>
    </row>
    <row r="74" spans="1:7" x14ac:dyDescent="0.25">
      <c r="A74" s="8">
        <f t="shared" si="10"/>
        <v>11</v>
      </c>
      <c r="B74" s="6">
        <f t="shared" si="10"/>
        <v>0</v>
      </c>
      <c r="C74" s="6">
        <f t="shared" ca="1" si="10"/>
        <v>0</v>
      </c>
      <c r="D74" s="6">
        <f t="shared" ca="1" si="11"/>
        <v>-10</v>
      </c>
      <c r="E74" s="6">
        <f t="shared" ca="1" si="12"/>
        <v>-15.229409569306561</v>
      </c>
      <c r="F74" s="4">
        <f t="shared" ca="1" si="13"/>
        <v>0</v>
      </c>
      <c r="G74" s="4">
        <f t="shared" ca="1" si="14"/>
        <v>0</v>
      </c>
    </row>
    <row r="75" spans="1:7" x14ac:dyDescent="0.25">
      <c r="A75" s="8">
        <f t="shared" si="10"/>
        <v>12</v>
      </c>
      <c r="B75" s="6">
        <f t="shared" si="10"/>
        <v>0</v>
      </c>
      <c r="C75" s="6">
        <f t="shared" ca="1" si="10"/>
        <v>0</v>
      </c>
      <c r="D75" s="6">
        <f t="shared" ca="1" si="11"/>
        <v>-10</v>
      </c>
      <c r="E75" s="6">
        <f t="shared" ca="1" si="12"/>
        <v>-15.229409569306561</v>
      </c>
      <c r="F75" s="4">
        <f t="shared" ca="1" si="13"/>
        <v>0</v>
      </c>
      <c r="G75" s="4">
        <f t="shared" ca="1" si="14"/>
        <v>0</v>
      </c>
    </row>
    <row r="76" spans="1:7" x14ac:dyDescent="0.25">
      <c r="G76" s="7">
        <f ca="1">MIN(G64:G75)</f>
        <v>-9.8172959711754793</v>
      </c>
    </row>
    <row r="77" spans="1:7" x14ac:dyDescent="0.25">
      <c r="D77" t="s">
        <v>0</v>
      </c>
      <c r="E77" t="s">
        <v>1</v>
      </c>
    </row>
    <row r="78" spans="1:7" x14ac:dyDescent="0.25">
      <c r="A78" s="2" t="s">
        <v>41</v>
      </c>
      <c r="B78" s="36">
        <v>13.877122823945747</v>
      </c>
      <c r="C78" t="s">
        <v>6</v>
      </c>
      <c r="D78" s="4">
        <f ca="1">MIN(C57:C61)</f>
        <v>-17.88708407219508</v>
      </c>
      <c r="E78" s="4">
        <f ca="1">MAX(D57:D61)-B78</f>
        <v>0.98581143501605517</v>
      </c>
    </row>
    <row r="79" spans="1:7" x14ac:dyDescent="0.25">
      <c r="A79" s="2"/>
      <c r="D79" s="4">
        <f ca="1">MAX(C57:C61)</f>
        <v>17.46268690116662</v>
      </c>
      <c r="E79" s="4">
        <f ca="1">E78</f>
        <v>0.98581143501605517</v>
      </c>
    </row>
    <row r="80" spans="1:7" x14ac:dyDescent="0.25">
      <c r="A80" s="2"/>
    </row>
    <row r="81" spans="1:12" x14ac:dyDescent="0.25">
      <c r="A81" s="2" t="s">
        <v>42</v>
      </c>
      <c r="B81" s="1">
        <f>B78*B4</f>
        <v>11.101698259156597</v>
      </c>
      <c r="C81" t="s">
        <v>6</v>
      </c>
      <c r="D81" t="s">
        <v>0</v>
      </c>
      <c r="E81" t="s">
        <v>1</v>
      </c>
    </row>
    <row r="82" spans="1:12" x14ac:dyDescent="0.25">
      <c r="D82" s="4">
        <f ca="1">MIN(C57:C61)</f>
        <v>-17.88708407219508</v>
      </c>
      <c r="E82" s="4">
        <f ca="1">MAX(D57:D61)-B81</f>
        <v>3.761235999805205</v>
      </c>
    </row>
    <row r="83" spans="1:12" x14ac:dyDescent="0.25">
      <c r="D83" s="4">
        <f ca="1">MAX(C57:C61)</f>
        <v>17.46268690116662</v>
      </c>
      <c r="E83" s="4">
        <f ca="1">E82</f>
        <v>3.761235999805205</v>
      </c>
    </row>
    <row r="84" spans="1:12" x14ac:dyDescent="0.25">
      <c r="A84" t="s">
        <v>47</v>
      </c>
    </row>
    <row r="85" spans="1:12" x14ac:dyDescent="0.25">
      <c r="A85" s="2" t="s">
        <v>55</v>
      </c>
      <c r="B85" s="1">
        <f>0.85*B2</f>
        <v>4.25</v>
      </c>
      <c r="C85" t="s">
        <v>5</v>
      </c>
    </row>
    <row r="87" spans="1:12" x14ac:dyDescent="0.25">
      <c r="A87" t="s">
        <v>48</v>
      </c>
      <c r="B87" t="s">
        <v>43</v>
      </c>
      <c r="C87" t="s">
        <v>44</v>
      </c>
      <c r="D87" t="s">
        <v>45</v>
      </c>
      <c r="E87" t="s">
        <v>46</v>
      </c>
      <c r="G87" s="1" t="s">
        <v>49</v>
      </c>
      <c r="H87" s="1" t="s">
        <v>50</v>
      </c>
      <c r="I87" s="1" t="s">
        <v>51</v>
      </c>
      <c r="J87" s="1" t="s">
        <v>52</v>
      </c>
      <c r="K87" s="1" t="s">
        <v>53</v>
      </c>
      <c r="L87" s="1" t="s">
        <v>54</v>
      </c>
    </row>
    <row r="88" spans="1:12" x14ac:dyDescent="0.25">
      <c r="A88">
        <v>1</v>
      </c>
      <c r="B88" s="4">
        <f t="shared" ref="B88:C91" ca="1" si="15">C57</f>
        <v>-17.88708407219508</v>
      </c>
      <c r="C88" s="4">
        <f t="shared" ca="1" si="15"/>
        <v>3.4622448243749826</v>
      </c>
      <c r="D88" s="4">
        <f t="shared" ref="D88:E91" ca="1" si="16">C58</f>
        <v>-10.2866244491372</v>
      </c>
      <c r="E88" s="4">
        <f t="shared" ca="1" si="16"/>
        <v>-15.037296075827564</v>
      </c>
      <c r="F88" s="1">
        <f ca="1">IF(AND(E88&gt;=E$82,C88&lt;=E$82),1,IF(AND(C88&gt;=E$82,E88&gt;=E$82),3,IF(AND(E88&lt;=E$82,C88&gt;=E$82),2,0)))</f>
        <v>0</v>
      </c>
      <c r="G88" s="1">
        <f ca="1">IF(E88=C88,"H",IF(B88=D88,"V",(E88-C88)/(D88-B88)))</f>
        <v>-2.4340029179392784</v>
      </c>
      <c r="H88" s="4" t="e">
        <f ca="1">IF(OR(F88=1,F88=2),IF(G88="V",B88,(E$82-C88+(G88*B88))/G88),NA())</f>
        <v>#N/A</v>
      </c>
      <c r="I88" s="4" t="e">
        <f ca="1">IF(OR(F88=1,F88=2),E$82,NA())</f>
        <v>#N/A</v>
      </c>
      <c r="J88" s="5">
        <f ca="1">IF(F88=0,0,IF(F88=1,-0.5*B$85*(H88+D88)*(I88-E88),IF(F88=2,-0.5*B$85*(B88+H88)*(C88-I88),IF(F88=3,-0.5*B$85*(B88+D88)*(C88-E88),0))))</f>
        <v>0</v>
      </c>
      <c r="K88" s="5">
        <f ca="1">IF(F88=1,(1/6)*B$85*(E88-I88)*((H88*(2*I88+E88))+(D88*(I88+2*E88))),IF(F88=2,(1/6)*B$85*(I88-C88)*((B88*(2*C88+I88))+(H88*(C88+2*I88))),IF(F88=3,(1/6)*B$85*(E88-C88)*((B88*(2*C88+E88))+(D88*(C88+2*E88))),0)))</f>
        <v>0</v>
      </c>
      <c r="L88" s="5">
        <f ca="1">IF(F88=1,(1/6)*B$85*(POWER(H88,2)+H88*D88+POWER(D88,2))*(E88-I88),IF(F88=2,(1/6)*B$85*(POWER(B88,2)+B88*H88+POWER(H88,2))*(I88-C88),IF(F88=3,(1/6)*B$85*(POWER(B88,2)+B88*D88+POWER(D88,2))*(E88-C88),0)))</f>
        <v>0</v>
      </c>
    </row>
    <row r="89" spans="1:12" x14ac:dyDescent="0.25">
      <c r="A89">
        <v>2</v>
      </c>
      <c r="B89" s="4">
        <f t="shared" ca="1" si="15"/>
        <v>-10.2866244491372</v>
      </c>
      <c r="C89" s="4">
        <f t="shared" ca="1" si="15"/>
        <v>-15.037296075827564</v>
      </c>
      <c r="D89" s="4">
        <f t="shared" ca="1" si="16"/>
        <v>17.46268690116662</v>
      </c>
      <c r="E89" s="4">
        <f t="shared" ca="1" si="16"/>
        <v>-3.6366066412407445</v>
      </c>
      <c r="F89" s="1">
        <f t="shared" ref="F89:F91" ca="1" si="17">IF(AND(E89&gt;=E$82,C89&lt;=E$82),1,IF(AND(C89&gt;=E$82,E89&gt;=E$82),3,IF(AND(E89&lt;=E$82,C89&gt;=E$82),2,0)))</f>
        <v>0</v>
      </c>
      <c r="G89" s="1">
        <f t="shared" ref="G89:G91" ca="1" si="18">IF(E89=C89,"H",IF(B89=D89,"V",(E89-C89)/(D89-B89)))</f>
        <v>0.41084585093539616</v>
      </c>
      <c r="H89" s="4" t="e">
        <f t="shared" ref="H89:H91" ca="1" si="19">IF(OR(F89=1,F89=2),IF(G89="V",B89,(E$82-C89+(G89*B89))/G89),NA())</f>
        <v>#N/A</v>
      </c>
      <c r="I89" s="4" t="e">
        <f t="shared" ref="I89:I91" ca="1" si="20">IF(OR(F89=1,F89=2),E$82,NA())</f>
        <v>#N/A</v>
      </c>
      <c r="J89" s="5">
        <f t="shared" ref="J89:J91" ca="1" si="21">IF(F89=0,0,IF(F89=1,-0.5*B$85*(H89+D89)*(I89-E89),IF(F89=2,-0.5*B$85*(B89+H89)*(C89-I89),IF(F89=3,-0.5*B$85*(B89+D89)*(C89-E89),0))))</f>
        <v>0</v>
      </c>
      <c r="K89" s="5">
        <f t="shared" ref="K89:K91" ca="1" si="22">IF(F89=1,(1/6)*B$85*(E89-I89)*((H89*(2*I89+E89))+(D89*(I89+2*E89))),IF(F89=2,(1/6)*B$85*(I89-C89)*((B89*(2*C89+I89))+(H89*(C89+2*I89))),IF(F89=3,(1/6)*B$85*(E89-C89)*((B89*(2*C89+E89))+(D89*(C89+2*E89))),0)))</f>
        <v>0</v>
      </c>
      <c r="L89" s="5">
        <f t="shared" ref="L89:L91" ca="1" si="23">IF(F89=1,(1/6)*B$85*(POWER(H89,2)+H89*D89+POWER(D89,2))*(E89-I89),IF(F89=2,(1/6)*B$85*(POWER(B89,2)+B89*H89+POWER(H89,2))*(I89-C89),IF(F89=3,(1/6)*B$85*(POWER(B89,2)+B89*D89+POWER(D89,2))*(E89-C89),0)))</f>
        <v>0</v>
      </c>
    </row>
    <row r="90" spans="1:12" x14ac:dyDescent="0.25">
      <c r="A90">
        <v>3</v>
      </c>
      <c r="B90" s="4">
        <f t="shared" ca="1" si="15"/>
        <v>17.46268690116662</v>
      </c>
      <c r="C90" s="4">
        <f t="shared" ca="1" si="15"/>
        <v>-3.6366066412407445</v>
      </c>
      <c r="D90" s="4">
        <f t="shared" ca="1" si="16"/>
        <v>9.8622272781087403</v>
      </c>
      <c r="E90" s="4">
        <f t="shared" ca="1" si="16"/>
        <v>14.862934258961802</v>
      </c>
      <c r="F90" s="1">
        <f t="shared" ca="1" si="17"/>
        <v>1</v>
      </c>
      <c r="G90" s="1">
        <f t="shared" ca="1" si="18"/>
        <v>-2.4340029179392784</v>
      </c>
      <c r="H90" s="4">
        <f t="shared" ca="1" si="19"/>
        <v>14.42331394621994</v>
      </c>
      <c r="I90" s="4">
        <f t="shared" ca="1" si="20"/>
        <v>3.761235999805205</v>
      </c>
      <c r="J90" s="5">
        <f t="shared" ca="1" si="21"/>
        <v>572.92284530721167</v>
      </c>
      <c r="K90" s="5">
        <f t="shared" ca="1" si="22"/>
        <v>5136.0138324145846</v>
      </c>
      <c r="L90" s="5">
        <f t="shared" ca="1" si="23"/>
        <v>3519.3335033046055</v>
      </c>
    </row>
    <row r="91" spans="1:12" ht="15.75" thickBot="1" x14ac:dyDescent="0.3">
      <c r="A91">
        <v>4</v>
      </c>
      <c r="B91" s="4">
        <f t="shared" ca="1" si="15"/>
        <v>9.8622272781087403</v>
      </c>
      <c r="C91" s="4">
        <f t="shared" ca="1" si="15"/>
        <v>14.862934258961802</v>
      </c>
      <c r="D91" s="4">
        <f t="shared" ca="1" si="16"/>
        <v>-17.88708407219508</v>
      </c>
      <c r="E91" s="4">
        <f t="shared" ca="1" si="16"/>
        <v>3.4622448243749826</v>
      </c>
      <c r="F91" s="1">
        <f t="shared" ca="1" si="17"/>
        <v>2</v>
      </c>
      <c r="G91" s="1">
        <f t="shared" ca="1" si="18"/>
        <v>0.41084585093539616</v>
      </c>
      <c r="H91" s="4">
        <f t="shared" ca="1" si="19"/>
        <v>-17.159338678759823</v>
      </c>
      <c r="I91" s="4">
        <f t="shared" ca="1" si="20"/>
        <v>3.761235999805205</v>
      </c>
      <c r="J91" s="26">
        <f t="shared" ca="1" si="21"/>
        <v>172.14694898364476</v>
      </c>
      <c r="K91" s="26">
        <f t="shared" ca="1" si="22"/>
        <v>423.54951298263092</v>
      </c>
      <c r="L91" s="26">
        <f t="shared" ca="1" si="23"/>
        <v>-1749.4940817372835</v>
      </c>
    </row>
    <row r="92" spans="1:12" ht="15.75" thickTop="1" x14ac:dyDescent="0.25">
      <c r="B92" s="1"/>
      <c r="C92" s="1"/>
      <c r="D92" s="1"/>
      <c r="E92" s="1"/>
      <c r="F92" s="1"/>
      <c r="G92" s="1"/>
      <c r="H92" s="1"/>
      <c r="I92" s="1"/>
      <c r="J92" s="5">
        <f ca="1">SUM(J88:J91)</f>
        <v>745.06979429085641</v>
      </c>
      <c r="K92" s="5">
        <f ca="1">SUM(K88:K91)</f>
        <v>5559.5633453972159</v>
      </c>
      <c r="L92" s="5">
        <f ca="1">SUM(L88:L91)*-1</f>
        <v>-1769.839421567322</v>
      </c>
    </row>
    <row r="95" spans="1:12" x14ac:dyDescent="0.25">
      <c r="A95" t="s">
        <v>56</v>
      </c>
    </row>
    <row r="96" spans="1:12" x14ac:dyDescent="0.25">
      <c r="A96" s="2" t="s">
        <v>58</v>
      </c>
      <c r="B96" s="1">
        <v>3.0000000000000001E-3</v>
      </c>
    </row>
    <row r="97" spans="1:10" x14ac:dyDescent="0.25">
      <c r="A97" t="s">
        <v>57</v>
      </c>
      <c r="B97" t="s">
        <v>60</v>
      </c>
      <c r="C97" t="str">
        <f t="shared" ref="C97:C109" si="24">F63</f>
        <v>x'</v>
      </c>
      <c r="D97" t="str">
        <f t="shared" ref="D97:D109" si="25">G63</f>
        <v>y'</v>
      </c>
      <c r="E97" t="s">
        <v>61</v>
      </c>
      <c r="F97" t="s">
        <v>59</v>
      </c>
      <c r="G97" t="s">
        <v>63</v>
      </c>
      <c r="H97" s="1" t="s">
        <v>64</v>
      </c>
      <c r="I97" s="1" t="s">
        <v>65</v>
      </c>
      <c r="J97" s="1" t="s">
        <v>66</v>
      </c>
    </row>
    <row r="98" spans="1:10" x14ac:dyDescent="0.25">
      <c r="A98" s="8">
        <f>A64</f>
        <v>1</v>
      </c>
      <c r="B98" s="7">
        <f ca="1">C13</f>
        <v>1.27</v>
      </c>
      <c r="C98">
        <f t="shared" ca="1" si="24"/>
        <v>-12.667083967542995</v>
      </c>
      <c r="D98">
        <f t="shared" ca="1" si="25"/>
        <v>1.2824285689460488</v>
      </c>
      <c r="E98" s="7">
        <f ca="1">G$58-D98</f>
        <v>13.580505690015753</v>
      </c>
      <c r="F98" s="11">
        <f ca="1">IF(B98=0,0,((B$78-E98)/B$78)*B$96)</f>
        <v>6.412362368476648E-5</v>
      </c>
      <c r="G98" s="4">
        <f ca="1">IF(AND(F98&gt;0,E98&lt;=B$81),MIN((F98*B$11),B$10)-B$85,MAX(F98*B$11,-1*B$10))</f>
        <v>1.9237087105429944</v>
      </c>
      <c r="H98" s="4">
        <f ca="1">G98*B98</f>
        <v>2.4431100623896032</v>
      </c>
      <c r="I98" s="4">
        <f ca="1">H98*D98</f>
        <v>3.133114141087991</v>
      </c>
      <c r="J98" s="4">
        <f ca="1">H98*C98</f>
        <v>-30.947080302238309</v>
      </c>
    </row>
    <row r="99" spans="1:10" x14ac:dyDescent="0.25">
      <c r="A99" s="8">
        <f t="shared" ref="A99:A108" si="26">A65</f>
        <v>2</v>
      </c>
      <c r="B99" s="7">
        <f t="shared" ref="B99:B109" ca="1" si="27">C14</f>
        <v>1.27</v>
      </c>
      <c r="C99">
        <f t="shared" ca="1" si="24"/>
        <v>-8.1068081937082663</v>
      </c>
      <c r="D99">
        <f t="shared" ca="1" si="25"/>
        <v>-9.8172959711754793</v>
      </c>
      <c r="E99" s="7">
        <f t="shared" ref="E99:E109" ca="1" si="28">G$58-D99</f>
        <v>24.680230230137283</v>
      </c>
      <c r="F99" s="11">
        <f t="shared" ref="F99:F109" ca="1" si="29">IF(B99=0,0,((B$78-E99)/B$78)*B$96)</f>
        <v>-2.3354496915347985E-3</v>
      </c>
      <c r="G99" s="4">
        <f t="shared" ref="G99:G109" ca="1" si="30">IF(AND(F99&gt;0,E99&lt;=B$81),MIN((F99*B$11),B$10)-B$85,MAX(F99*B$11,-1*B$10))</f>
        <v>-60</v>
      </c>
      <c r="H99" s="4">
        <f t="shared" ref="H99:H109" ca="1" si="31">G99*B99</f>
        <v>-76.2</v>
      </c>
      <c r="I99" s="4">
        <f t="shared" ref="I99:I109" ca="1" si="32">H99*D99</f>
        <v>748.07795300357157</v>
      </c>
      <c r="J99" s="4">
        <f t="shared" ref="J99:J109" ca="1" si="33">H99*C99</f>
        <v>617.73878436056987</v>
      </c>
    </row>
    <row r="100" spans="1:10" x14ac:dyDescent="0.25">
      <c r="A100" s="8">
        <f t="shared" si="26"/>
        <v>3</v>
      </c>
      <c r="B100" s="7">
        <f t="shared" ca="1" si="27"/>
        <v>1.27</v>
      </c>
      <c r="C100">
        <f t="shared" ca="1" si="24"/>
        <v>12.242686796514535</v>
      </c>
      <c r="D100">
        <f t="shared" ca="1" si="25"/>
        <v>-1.4567903858118108</v>
      </c>
      <c r="E100" s="7">
        <f t="shared" ca="1" si="28"/>
        <v>16.319724644773615</v>
      </c>
      <c r="F100" s="11">
        <f t="shared" ca="1" si="29"/>
        <v>-5.2804933381717047E-4</v>
      </c>
      <c r="G100" s="4">
        <f t="shared" ca="1" si="30"/>
        <v>-15.841480014515113</v>
      </c>
      <c r="H100" s="4">
        <f t="shared" ca="1" si="31"/>
        <v>-20.118679618434193</v>
      </c>
      <c r="I100" s="4">
        <f t="shared" ca="1" si="32"/>
        <v>29.30869904336296</v>
      </c>
      <c r="J100" s="4">
        <f t="shared" ca="1" si="33"/>
        <v>-246.30669332791038</v>
      </c>
    </row>
    <row r="101" spans="1:10" x14ac:dyDescent="0.25">
      <c r="A101" s="8">
        <f t="shared" si="26"/>
        <v>4</v>
      </c>
      <c r="B101" s="7">
        <f t="shared" ca="1" si="27"/>
        <v>1.27</v>
      </c>
      <c r="C101">
        <f t="shared" ca="1" si="24"/>
        <v>9.9625489095971709</v>
      </c>
      <c r="D101">
        <f t="shared" ca="1" si="25"/>
        <v>4.0930718842489533</v>
      </c>
      <c r="E101" s="7">
        <f t="shared" ca="1" si="28"/>
        <v>10.769862374712849</v>
      </c>
      <c r="F101" s="11">
        <f t="shared" ca="1" si="29"/>
        <v>6.7173732379261224E-4</v>
      </c>
      <c r="G101" s="4">
        <f t="shared" ca="1" si="30"/>
        <v>15.902119713778369</v>
      </c>
      <c r="H101" s="4">
        <f t="shared" ca="1" si="31"/>
        <v>20.195692036498528</v>
      </c>
      <c r="I101" s="4">
        <f t="shared" ca="1" si="32"/>
        <v>82.662419257542609</v>
      </c>
      <c r="J101" s="4">
        <f t="shared" ca="1" si="33"/>
        <v>201.20056967677868</v>
      </c>
    </row>
    <row r="102" spans="1:10" x14ac:dyDescent="0.25">
      <c r="A102" s="8">
        <f t="shared" si="26"/>
        <v>5</v>
      </c>
      <c r="B102" s="7">
        <f t="shared" ca="1" si="27"/>
        <v>1.27</v>
      </c>
      <c r="C102">
        <f t="shared" ca="1" si="24"/>
        <v>7.6824110226798066</v>
      </c>
      <c r="D102">
        <f t="shared" ca="1" si="25"/>
        <v>9.6429341543097173</v>
      </c>
      <c r="E102" s="7">
        <f t="shared" ca="1" si="28"/>
        <v>5.220000104652085</v>
      </c>
      <c r="F102" s="11">
        <f t="shared" ca="1" si="29"/>
        <v>1.8715239814023946E-3</v>
      </c>
      <c r="G102" s="4">
        <f t="shared" ca="1" si="30"/>
        <v>51.895719442071837</v>
      </c>
      <c r="H102" s="4">
        <f t="shared" ca="1" si="31"/>
        <v>65.907563691431235</v>
      </c>
      <c r="I102" s="4">
        <f t="shared" ca="1" si="32"/>
        <v>635.54229694744527</v>
      </c>
      <c r="J102" s="4">
        <f t="shared" ca="1" si="33"/>
        <v>506.32899378102275</v>
      </c>
    </row>
    <row r="103" spans="1:10" x14ac:dyDescent="0.25">
      <c r="A103" s="8">
        <f t="shared" si="26"/>
        <v>6</v>
      </c>
      <c r="B103" s="7">
        <f t="shared" ca="1" si="27"/>
        <v>0</v>
      </c>
      <c r="C103">
        <f t="shared" ca="1" si="24"/>
        <v>0</v>
      </c>
      <c r="D103">
        <f t="shared" ca="1" si="25"/>
        <v>0</v>
      </c>
      <c r="E103" s="7">
        <f t="shared" ca="1" si="28"/>
        <v>14.862934258961802</v>
      </c>
      <c r="F103" s="11">
        <f t="shared" ca="1" si="29"/>
        <v>0</v>
      </c>
      <c r="G103" s="4">
        <f t="shared" ca="1" si="30"/>
        <v>0</v>
      </c>
      <c r="H103" s="4">
        <f t="shared" ca="1" si="31"/>
        <v>0</v>
      </c>
      <c r="I103" s="4">
        <f t="shared" ca="1" si="32"/>
        <v>0</v>
      </c>
      <c r="J103" s="4">
        <f t="shared" ca="1" si="33"/>
        <v>0</v>
      </c>
    </row>
    <row r="104" spans="1:10" x14ac:dyDescent="0.25">
      <c r="A104" s="8">
        <f t="shared" si="26"/>
        <v>7</v>
      </c>
      <c r="B104" s="7">
        <f t="shared" ca="1" si="27"/>
        <v>0</v>
      </c>
      <c r="C104">
        <f t="shared" ca="1" si="24"/>
        <v>0</v>
      </c>
      <c r="D104">
        <f t="shared" ca="1" si="25"/>
        <v>0</v>
      </c>
      <c r="E104" s="7">
        <f t="shared" ca="1" si="28"/>
        <v>14.862934258961802</v>
      </c>
      <c r="F104" s="11">
        <f t="shared" ca="1" si="29"/>
        <v>0</v>
      </c>
      <c r="G104" s="4">
        <f t="shared" ca="1" si="30"/>
        <v>0</v>
      </c>
      <c r="H104" s="4">
        <f t="shared" ca="1" si="31"/>
        <v>0</v>
      </c>
      <c r="I104" s="4">
        <f t="shared" ca="1" si="32"/>
        <v>0</v>
      </c>
      <c r="J104" s="4">
        <f t="shared" ca="1" si="33"/>
        <v>0</v>
      </c>
    </row>
    <row r="105" spans="1:10" x14ac:dyDescent="0.25">
      <c r="A105" s="8">
        <f t="shared" si="26"/>
        <v>8</v>
      </c>
      <c r="B105" s="7">
        <f t="shared" ca="1" si="27"/>
        <v>0</v>
      </c>
      <c r="C105">
        <f t="shared" ca="1" si="24"/>
        <v>0</v>
      </c>
      <c r="D105">
        <f t="shared" ca="1" si="25"/>
        <v>0</v>
      </c>
      <c r="E105" s="7">
        <f t="shared" ca="1" si="28"/>
        <v>14.862934258961802</v>
      </c>
      <c r="F105" s="11">
        <f t="shared" ca="1" si="29"/>
        <v>0</v>
      </c>
      <c r="G105" s="4">
        <f t="shared" ca="1" si="30"/>
        <v>0</v>
      </c>
      <c r="H105" s="4">
        <f t="shared" ca="1" si="31"/>
        <v>0</v>
      </c>
      <c r="I105" s="4">
        <f t="shared" ca="1" si="32"/>
        <v>0</v>
      </c>
      <c r="J105" s="4">
        <f t="shared" ca="1" si="33"/>
        <v>0</v>
      </c>
    </row>
    <row r="106" spans="1:10" x14ac:dyDescent="0.25">
      <c r="A106" s="8">
        <f t="shared" si="26"/>
        <v>9</v>
      </c>
      <c r="B106" s="7">
        <f t="shared" ca="1" si="27"/>
        <v>0</v>
      </c>
      <c r="C106">
        <f t="shared" ca="1" si="24"/>
        <v>0</v>
      </c>
      <c r="D106">
        <f t="shared" ca="1" si="25"/>
        <v>0</v>
      </c>
      <c r="E106" s="7">
        <f t="shared" ca="1" si="28"/>
        <v>14.862934258961802</v>
      </c>
      <c r="F106" s="11">
        <f t="shared" ca="1" si="29"/>
        <v>0</v>
      </c>
      <c r="G106" s="4">
        <f t="shared" ca="1" si="30"/>
        <v>0</v>
      </c>
      <c r="H106" s="4">
        <f t="shared" ca="1" si="31"/>
        <v>0</v>
      </c>
      <c r="I106" s="4">
        <f t="shared" ca="1" si="32"/>
        <v>0</v>
      </c>
      <c r="J106" s="4">
        <f t="shared" ca="1" si="33"/>
        <v>0</v>
      </c>
    </row>
    <row r="107" spans="1:10" x14ac:dyDescent="0.25">
      <c r="A107" s="8">
        <f t="shared" si="26"/>
        <v>10</v>
      </c>
      <c r="B107" s="7">
        <f t="shared" ca="1" si="27"/>
        <v>0</v>
      </c>
      <c r="C107">
        <f t="shared" ca="1" si="24"/>
        <v>0</v>
      </c>
      <c r="D107">
        <f t="shared" ca="1" si="25"/>
        <v>0</v>
      </c>
      <c r="E107" s="7">
        <f t="shared" ca="1" si="28"/>
        <v>14.862934258961802</v>
      </c>
      <c r="F107" s="11">
        <f t="shared" ca="1" si="29"/>
        <v>0</v>
      </c>
      <c r="G107" s="4">
        <f t="shared" ca="1" si="30"/>
        <v>0</v>
      </c>
      <c r="H107" s="4">
        <f t="shared" ca="1" si="31"/>
        <v>0</v>
      </c>
      <c r="I107" s="4">
        <f t="shared" ca="1" si="32"/>
        <v>0</v>
      </c>
      <c r="J107" s="4">
        <f t="shared" ca="1" si="33"/>
        <v>0</v>
      </c>
    </row>
    <row r="108" spans="1:10" x14ac:dyDescent="0.25">
      <c r="A108" s="8">
        <f t="shared" si="26"/>
        <v>11</v>
      </c>
      <c r="B108" s="7">
        <f t="shared" ca="1" si="27"/>
        <v>0</v>
      </c>
      <c r="C108">
        <f t="shared" ca="1" si="24"/>
        <v>0</v>
      </c>
      <c r="D108">
        <f t="shared" ca="1" si="25"/>
        <v>0</v>
      </c>
      <c r="E108" s="7">
        <f t="shared" ca="1" si="28"/>
        <v>14.862934258961802</v>
      </c>
      <c r="F108" s="11">
        <f t="shared" ca="1" si="29"/>
        <v>0</v>
      </c>
      <c r="G108" s="4">
        <f t="shared" ca="1" si="30"/>
        <v>0</v>
      </c>
      <c r="H108" s="4">
        <f t="shared" ca="1" si="31"/>
        <v>0</v>
      </c>
      <c r="I108" s="4">
        <f t="shared" ca="1" si="32"/>
        <v>0</v>
      </c>
      <c r="J108" s="4">
        <f t="shared" ca="1" si="33"/>
        <v>0</v>
      </c>
    </row>
    <row r="109" spans="1:10" ht="15.75" thickBot="1" x14ac:dyDescent="0.3">
      <c r="A109" s="8">
        <f>A75</f>
        <v>12</v>
      </c>
      <c r="B109" s="7">
        <f t="shared" ca="1" si="27"/>
        <v>0</v>
      </c>
      <c r="C109">
        <f t="shared" ca="1" si="24"/>
        <v>0</v>
      </c>
      <c r="D109">
        <f t="shared" ca="1" si="25"/>
        <v>0</v>
      </c>
      <c r="E109" s="7">
        <f t="shared" ca="1" si="28"/>
        <v>14.862934258961802</v>
      </c>
      <c r="F109" s="25">
        <f t="shared" ca="1" si="29"/>
        <v>0</v>
      </c>
      <c r="G109" s="4">
        <f t="shared" ca="1" si="30"/>
        <v>0</v>
      </c>
      <c r="H109" s="24">
        <f t="shared" ca="1" si="31"/>
        <v>0</v>
      </c>
      <c r="I109" s="24">
        <f t="shared" ca="1" si="32"/>
        <v>0</v>
      </c>
      <c r="J109" s="24">
        <f t="shared" ca="1" si="33"/>
        <v>0</v>
      </c>
    </row>
    <row r="110" spans="1:10" ht="15.75" thickTop="1" x14ac:dyDescent="0.25">
      <c r="F110" s="11">
        <f ca="1">MIN(F98:F109)</f>
        <v>-2.3354496915347985E-3</v>
      </c>
      <c r="H110" s="4">
        <f ca="1">SUM(H98:H109)</f>
        <v>-7.7723138281148181</v>
      </c>
      <c r="I110" s="4">
        <f ca="1">SUM(I98:I109)</f>
        <v>1498.7244823930105</v>
      </c>
      <c r="J110" s="4">
        <f ca="1">SUM(J98:J109)*-1</f>
        <v>-1048.0145741882227</v>
      </c>
    </row>
    <row r="113" spans="1:26" x14ac:dyDescent="0.25">
      <c r="A113" s="2" t="s">
        <v>67</v>
      </c>
      <c r="B113" s="33">
        <f ca="1">J92+H110</f>
        <v>737.29748046274153</v>
      </c>
      <c r="C113" t="s">
        <v>20</v>
      </c>
      <c r="D113" t="s">
        <v>68</v>
      </c>
      <c r="I113" s="2" t="s">
        <v>73</v>
      </c>
      <c r="J113" s="1">
        <f ca="1">IF(ABS(F110)&lt;0.002,0.65,IF(ABS(F110)&gt;0.005,0.9,0.65+((ABS(F110)-0.002)*(250/3))))</f>
        <v>0.67795414096123319</v>
      </c>
    </row>
    <row r="114" spans="1:26" x14ac:dyDescent="0.25">
      <c r="A114" s="2" t="s">
        <v>69</v>
      </c>
      <c r="B114" s="4">
        <f ca="1">(((K92+I110)*COS(RADIANS(B53)))+((L92+J110)*SIN(RADIANS(B53))))</f>
        <v>5288.7618444159707</v>
      </c>
      <c r="C114" t="s">
        <v>23</v>
      </c>
      <c r="D114" s="4">
        <f ca="1">(B113*(E49-H7))</f>
        <v>169.14309744377042</v>
      </c>
      <c r="E114" t="s">
        <v>23</v>
      </c>
      <c r="F114" s="4">
        <f ca="1">B114+D114</f>
        <v>5457.9049418597415</v>
      </c>
      <c r="G114" s="10" t="str">
        <f>"= Mnx,gc"</f>
        <v>= Mnx,gc</v>
      </c>
      <c r="H114" s="4">
        <f ca="1">F114/12</f>
        <v>454.8254118216451</v>
      </c>
      <c r="I114" t="s">
        <v>72</v>
      </c>
      <c r="J114" s="31">
        <f ca="1">H114*J113</f>
        <v>308.35077135888253</v>
      </c>
      <c r="K114" t="s">
        <v>72</v>
      </c>
      <c r="P114" t="s">
        <v>87</v>
      </c>
    </row>
    <row r="115" spans="1:26" x14ac:dyDescent="0.25">
      <c r="A115" s="2" t="s">
        <v>70</v>
      </c>
      <c r="B115" s="4">
        <f ca="1">(-1*(K92+I110)*SIN(RADIANS(B53)))+((L92+J110)*COS(RADIANS(B53)))</f>
        <v>5457.9049418597378</v>
      </c>
      <c r="C115" t="s">
        <v>23</v>
      </c>
      <c r="D115" s="1">
        <f ca="1">-1*B113*(D49-G7)</f>
        <v>0</v>
      </c>
      <c r="E115" t="s">
        <v>23</v>
      </c>
      <c r="F115" s="4">
        <f ca="1">B115+D115</f>
        <v>5457.9049418597378</v>
      </c>
      <c r="G115" s="10" t="str">
        <f>"= Mny,gc"</f>
        <v>= Mny,gc</v>
      </c>
      <c r="H115" s="4">
        <f ca="1">F115/12</f>
        <v>454.82541182164482</v>
      </c>
      <c r="I115" t="s">
        <v>72</v>
      </c>
      <c r="J115" s="31">
        <f ca="1">H115*J113</f>
        <v>308.35077135888235</v>
      </c>
      <c r="K115" t="s">
        <v>72</v>
      </c>
      <c r="M115" t="s">
        <v>79</v>
      </c>
      <c r="N115" s="9">
        <f ca="1">DEGREES(ATAN2(J114,J115))</f>
        <v>44.999999999999986</v>
      </c>
      <c r="P115">
        <f ca="1">(-1*0.003*MAX(E98:E109))/(0.002-0.003)</f>
        <v>74.04069069041185</v>
      </c>
    </row>
    <row r="116" spans="1:26" x14ac:dyDescent="0.25">
      <c r="J116" s="32">
        <f ca="1">B113*J113</f>
        <v>499.85387999999955</v>
      </c>
      <c r="K116" t="s">
        <v>20</v>
      </c>
    </row>
    <row r="117" spans="1:26" x14ac:dyDescent="0.25">
      <c r="A117" s="23" t="s">
        <v>74</v>
      </c>
      <c r="B117" t="s">
        <v>93</v>
      </c>
      <c r="I117" t="s">
        <v>83</v>
      </c>
      <c r="J117" s="1">
        <f ca="1">0.65*((0.85*B2*B5*B6)+((B10-0.85*B2)*SUM(C13:C24)))*0.8</f>
        <v>1510.0865000000001</v>
      </c>
      <c r="K117" t="s">
        <v>20</v>
      </c>
      <c r="M117">
        <f ca="1">SQRT((J114*J114)+(J115*J115))</f>
        <v>436.0738428239369</v>
      </c>
    </row>
    <row r="118" spans="1:26" x14ac:dyDescent="0.25">
      <c r="A118" s="2" t="s">
        <v>75</v>
      </c>
      <c r="B118" s="36">
        <v>499.85387999999972</v>
      </c>
      <c r="C118" t="s">
        <v>20</v>
      </c>
      <c r="I118" t="s">
        <v>84</v>
      </c>
      <c r="J118" s="1">
        <f ca="1">-1*0.9*B10*SUM(C13:C24)</f>
        <v>-342.9</v>
      </c>
      <c r="K118" t="s">
        <v>20</v>
      </c>
    </row>
    <row r="119" spans="1:26" x14ac:dyDescent="0.25">
      <c r="A119" s="2" t="s">
        <v>76</v>
      </c>
      <c r="B119" s="36">
        <v>1</v>
      </c>
      <c r="C119" t="s">
        <v>72</v>
      </c>
      <c r="G119" s="2" t="s">
        <v>80</v>
      </c>
      <c r="H119" s="35">
        <v>100</v>
      </c>
    </row>
    <row r="120" spans="1:26" x14ac:dyDescent="0.25">
      <c r="A120" s="2" t="s">
        <v>77</v>
      </c>
      <c r="B120" s="36">
        <v>1</v>
      </c>
      <c r="C120" t="s">
        <v>72</v>
      </c>
      <c r="D120">
        <f>B118</f>
        <v>499.85387999999972</v>
      </c>
      <c r="E120">
        <f>SQRT((B119*B119)+(B120*B120))</f>
        <v>1.4142135623730951</v>
      </c>
      <c r="G120" s="2" t="s">
        <v>81</v>
      </c>
      <c r="H120" s="1">
        <v>101</v>
      </c>
    </row>
    <row r="121" spans="1:26" x14ac:dyDescent="0.25">
      <c r="A121" s="2" t="s">
        <v>78</v>
      </c>
      <c r="B121" s="12">
        <f>DEGREES(ATAN2(B119,B120))</f>
        <v>45</v>
      </c>
    </row>
    <row r="122" spans="1:26" x14ac:dyDescent="0.25">
      <c r="Q122">
        <f>D120</f>
        <v>499.85387999999972</v>
      </c>
      <c r="R122">
        <f>E120</f>
        <v>1.4142135623730951</v>
      </c>
    </row>
    <row r="123" spans="1:26" x14ac:dyDescent="0.25">
      <c r="A123" s="14"/>
      <c r="B123" s="15"/>
      <c r="C123" s="15"/>
      <c r="D123" s="15"/>
      <c r="E123" s="15"/>
      <c r="F123" s="15"/>
      <c r="G123" s="15"/>
      <c r="H123" s="15"/>
      <c r="I123" s="15"/>
      <c r="Q123">
        <f>B118</f>
        <v>499.85387999999972</v>
      </c>
      <c r="R123">
        <f ca="1">SQRT((J114*J114)+(J115*J115))</f>
        <v>436.0738428239369</v>
      </c>
    </row>
    <row r="124" spans="1:26" x14ac:dyDescent="0.25">
      <c r="A124" s="16"/>
      <c r="B124" s="15"/>
      <c r="C124" s="15"/>
      <c r="D124" s="15"/>
      <c r="E124" s="15"/>
      <c r="F124" s="15"/>
      <c r="G124" s="15"/>
      <c r="H124" s="17">
        <v>0</v>
      </c>
      <c r="I124" s="34">
        <v>0</v>
      </c>
      <c r="J124" s="15"/>
      <c r="K124" s="15"/>
      <c r="L124" s="13"/>
      <c r="M124" s="15"/>
      <c r="N124" s="15"/>
    </row>
    <row r="125" spans="1:26" x14ac:dyDescent="0.25">
      <c r="A125" s="16"/>
      <c r="B125" s="22"/>
      <c r="C125" s="15"/>
      <c r="D125" s="16"/>
      <c r="E125" s="17"/>
      <c r="F125" s="17"/>
      <c r="G125" s="16"/>
      <c r="H125" s="22">
        <f ca="1">J114</f>
        <v>308.35077135888253</v>
      </c>
      <c r="I125" s="3">
        <f ca="1">J115</f>
        <v>308.35077135888235</v>
      </c>
      <c r="J125" s="16"/>
      <c r="K125" s="17"/>
      <c r="L125" s="13"/>
      <c r="M125" s="16"/>
      <c r="N125" s="17"/>
    </row>
    <row r="126" spans="1:26" x14ac:dyDescent="0.25">
      <c r="A126" s="16"/>
      <c r="B126" s="18"/>
      <c r="C126" s="17"/>
      <c r="D126" s="16"/>
      <c r="E126" s="22"/>
      <c r="F126" s="15"/>
      <c r="G126" s="16"/>
      <c r="H126" s="17"/>
      <c r="I126" s="13"/>
      <c r="J126" s="16"/>
      <c r="K126" s="17"/>
      <c r="L126" s="13"/>
      <c r="M126" s="16"/>
      <c r="N126" s="17"/>
    </row>
    <row r="127" spans="1:26" x14ac:dyDescent="0.25">
      <c r="A127" s="16"/>
      <c r="B127" s="17"/>
      <c r="C127" s="18"/>
      <c r="D127" s="16"/>
      <c r="E127" s="17"/>
      <c r="F127" s="15"/>
      <c r="G127" s="16"/>
      <c r="H127" s="17"/>
      <c r="I127" s="13"/>
      <c r="J127" s="16"/>
      <c r="K127" s="17"/>
      <c r="L127" s="13"/>
      <c r="M127" s="16"/>
      <c r="N127" s="17"/>
      <c r="Q127" s="2" t="s">
        <v>86</v>
      </c>
      <c r="R127">
        <v>25</v>
      </c>
      <c r="V127" s="43">
        <v>-110.33031644660696</v>
      </c>
      <c r="W127" s="43">
        <v>-1.9450396848696982E-7</v>
      </c>
      <c r="X127" s="43"/>
      <c r="Y127" s="43">
        <v>1658.4820692466058</v>
      </c>
      <c r="Z127" s="43">
        <v>-15.031969717557867</v>
      </c>
    </row>
    <row r="128" spans="1:26" x14ac:dyDescent="0.25">
      <c r="A128" s="16" t="s">
        <v>85</v>
      </c>
      <c r="B128" s="17" t="s">
        <v>76</v>
      </c>
      <c r="C128" s="18" t="s">
        <v>77</v>
      </c>
      <c r="D128" s="16"/>
      <c r="E128" s="17"/>
      <c r="F128" s="15"/>
      <c r="G128" s="16"/>
      <c r="H128" s="17"/>
      <c r="I128" s="13"/>
      <c r="J128" s="16"/>
      <c r="K128" s="17"/>
      <c r="L128" s="13"/>
      <c r="M128" s="16"/>
      <c r="N128" s="17"/>
      <c r="Q128" t="s">
        <v>75</v>
      </c>
      <c r="R128" t="s">
        <v>49</v>
      </c>
      <c r="V128" s="43">
        <v>-5.4700382920600532</v>
      </c>
      <c r="W128" s="43">
        <v>0.40655239845932556</v>
      </c>
      <c r="X128" s="43"/>
      <c r="Y128" s="43">
        <v>-113.19294989883899</v>
      </c>
      <c r="Z128" s="43">
        <v>-480.67211163807394</v>
      </c>
    </row>
    <row r="129" spans="1:19" x14ac:dyDescent="0.25">
      <c r="A129" s="39">
        <v>0</v>
      </c>
      <c r="B129" s="40">
        <v>741.10914351757447</v>
      </c>
      <c r="C129" s="39">
        <v>0</v>
      </c>
      <c r="D129" s="16"/>
      <c r="E129" s="17"/>
      <c r="F129" s="15"/>
      <c r="G129" s="16"/>
      <c r="H129" s="17"/>
      <c r="I129" s="13"/>
      <c r="J129" s="16"/>
      <c r="K129" s="17"/>
      <c r="L129" s="13"/>
      <c r="M129" s="16"/>
      <c r="N129" s="17"/>
      <c r="P129" s="43"/>
      <c r="Q129" s="43">
        <f ca="1">J118</f>
        <v>-342.9</v>
      </c>
      <c r="R129" s="43">
        <v>62.864999999999469</v>
      </c>
      <c r="S129" s="43">
        <v>179.99999999999966</v>
      </c>
    </row>
    <row r="130" spans="1:19" x14ac:dyDescent="0.25">
      <c r="A130" s="41">
        <v>-1</v>
      </c>
      <c r="B130" s="40">
        <v>740.68250280048062</v>
      </c>
      <c r="C130" s="39">
        <v>5.0002333288012855</v>
      </c>
      <c r="D130" s="16"/>
      <c r="E130" s="17"/>
      <c r="F130" s="15"/>
      <c r="G130" s="16"/>
      <c r="H130" s="17"/>
      <c r="I130" s="13"/>
      <c r="J130" s="16"/>
      <c r="K130" s="17"/>
      <c r="L130" s="13"/>
      <c r="M130" s="16"/>
      <c r="N130" s="17"/>
      <c r="P130" s="43">
        <v>1</v>
      </c>
      <c r="Q130">
        <v>-337.9</v>
      </c>
      <c r="R130" t="e">
        <v>#N/A</v>
      </c>
      <c r="S130" s="43">
        <v>-179.99999999999994</v>
      </c>
    </row>
    <row r="131" spans="1:19" x14ac:dyDescent="0.25">
      <c r="A131" s="41">
        <v>-2</v>
      </c>
      <c r="B131" s="40">
        <v>740.20476779348371</v>
      </c>
      <c r="C131" s="39">
        <v>9.9289684962461511</v>
      </c>
      <c r="D131" s="15"/>
      <c r="E131" s="15"/>
      <c r="F131" s="15"/>
      <c r="G131" s="15"/>
      <c r="H131" s="15"/>
      <c r="I131" s="15"/>
      <c r="P131" s="43">
        <v>2</v>
      </c>
      <c r="Q131">
        <v>-263.98053999999996</v>
      </c>
      <c r="R131">
        <v>59.042775738109732</v>
      </c>
      <c r="S131" s="43">
        <v>90.000000000000043</v>
      </c>
    </row>
    <row r="132" spans="1:19" x14ac:dyDescent="0.25">
      <c r="A132" s="39">
        <v>-3</v>
      </c>
      <c r="B132" s="39">
        <v>739.67469268850721</v>
      </c>
      <c r="C132" s="39">
        <v>14.795833249003769</v>
      </c>
      <c r="D132" s="15"/>
      <c r="E132" s="15"/>
      <c r="F132" s="15"/>
      <c r="G132" s="15"/>
      <c r="H132" s="15"/>
      <c r="I132" s="15"/>
      <c r="P132" s="43">
        <v>3</v>
      </c>
      <c r="Q132">
        <v>-190.06107999999995</v>
      </c>
      <c r="R132">
        <v>113.86992270677055</v>
      </c>
      <c r="S132" s="43">
        <v>89.999999999999986</v>
      </c>
    </row>
    <row r="133" spans="1:19" x14ac:dyDescent="0.25">
      <c r="A133" s="39">
        <v>-4</v>
      </c>
      <c r="B133" s="39">
        <v>739.09096633195657</v>
      </c>
      <c r="C133" s="39">
        <v>19.609500492918016</v>
      </c>
      <c r="D133" s="15"/>
      <c r="E133" s="15"/>
      <c r="F133" s="15"/>
      <c r="G133" s="15"/>
      <c r="H133" s="15"/>
      <c r="I133" s="15"/>
      <c r="P133" s="43">
        <v>4</v>
      </c>
      <c r="Q133">
        <v>-116.14161999999995</v>
      </c>
      <c r="R133">
        <v>163.99343496987203</v>
      </c>
      <c r="S133" s="43">
        <v>90</v>
      </c>
    </row>
    <row r="134" spans="1:19" x14ac:dyDescent="0.25">
      <c r="A134" s="41">
        <v>-5</v>
      </c>
      <c r="B134" s="40">
        <v>738.45219858139853</v>
      </c>
      <c r="C134" s="42">
        <v>24.377851854839474</v>
      </c>
      <c r="D134" s="18"/>
      <c r="E134" s="15"/>
      <c r="F134" s="15"/>
      <c r="G134" s="15"/>
      <c r="H134" s="15"/>
      <c r="I134" s="15"/>
      <c r="P134" s="43">
        <v>5</v>
      </c>
      <c r="Q134">
        <v>-42.222159999999946</v>
      </c>
      <c r="R134">
        <v>208.10360794410801</v>
      </c>
      <c r="S134" s="43">
        <v>90</v>
      </c>
    </row>
    <row r="135" spans="1:19" x14ac:dyDescent="0.25">
      <c r="A135" s="41">
        <v>-6</v>
      </c>
      <c r="B135" s="40">
        <v>737.7569075387795</v>
      </c>
      <c r="C135" s="42">
        <v>29.108110799638538</v>
      </c>
      <c r="D135" s="18"/>
      <c r="E135" s="15"/>
      <c r="F135" s="15"/>
      <c r="G135" s="15"/>
      <c r="H135" s="15"/>
      <c r="I135" s="15"/>
      <c r="P135" s="43">
        <v>6</v>
      </c>
      <c r="Q135">
        <v>31.697300000000055</v>
      </c>
      <c r="R135">
        <v>250.9655367300023</v>
      </c>
      <c r="S135" s="43">
        <v>90.000000000000028</v>
      </c>
    </row>
    <row r="136" spans="1:19" x14ac:dyDescent="0.25">
      <c r="A136" s="39">
        <v>-7</v>
      </c>
      <c r="B136" s="39">
        <v>737.00350732726281</v>
      </c>
      <c r="C136" s="39">
        <v>33.806952091487133</v>
      </c>
      <c r="D136" s="15"/>
      <c r="E136" s="15"/>
      <c r="F136" s="15"/>
      <c r="G136" s="15"/>
      <c r="H136" s="15"/>
      <c r="I136" s="15"/>
      <c r="P136" s="43">
        <v>7</v>
      </c>
      <c r="Q136">
        <v>105.61676000000006</v>
      </c>
      <c r="R136">
        <v>293.08961439230717</v>
      </c>
      <c r="S136" s="43">
        <v>89.999999999999957</v>
      </c>
    </row>
    <row r="137" spans="1:19" x14ac:dyDescent="0.25">
      <c r="A137" s="39">
        <v>-8</v>
      </c>
      <c r="B137" s="40">
        <v>736.19029613474811</v>
      </c>
      <c r="C137" s="39">
        <v>38.480592715940965</v>
      </c>
      <c r="D137" s="15"/>
      <c r="E137" s="15"/>
      <c r="F137" s="15"/>
      <c r="G137" s="15"/>
      <c r="H137" s="15"/>
      <c r="I137" s="15"/>
      <c r="P137" s="43">
        <v>8</v>
      </c>
      <c r="Q137">
        <v>179.53622000000007</v>
      </c>
      <c r="R137">
        <v>333.96331889576061</v>
      </c>
      <c r="S137" s="43">
        <v>90.000000000000014</v>
      </c>
    </row>
    <row r="138" spans="1:19" x14ac:dyDescent="0.25">
      <c r="A138" s="41">
        <v>-9</v>
      </c>
      <c r="B138" s="40">
        <v>735.31544428493703</v>
      </c>
      <c r="C138" s="39">
        <v>43.134868162663629</v>
      </c>
      <c r="D138" s="15"/>
      <c r="E138" s="15"/>
      <c r="F138" s="15"/>
      <c r="G138" s="15"/>
      <c r="H138" s="15"/>
      <c r="I138" s="15"/>
      <c r="P138" s="43">
        <v>9</v>
      </c>
      <c r="Q138">
        <v>253.45568000000009</v>
      </c>
      <c r="R138">
        <v>372.98097897926715</v>
      </c>
      <c r="S138" s="43">
        <v>89.999999999999986</v>
      </c>
    </row>
    <row r="139" spans="1:19" x14ac:dyDescent="0.25">
      <c r="A139" s="41">
        <v>-10</v>
      </c>
      <c r="B139" s="39">
        <v>734.37698212396026</v>
      </c>
      <c r="C139" s="39">
        <v>47.775297073323081</v>
      </c>
      <c r="D139" s="15"/>
      <c r="E139" s="15"/>
      <c r="F139" s="15"/>
      <c r="G139" s="15"/>
      <c r="H139" s="15"/>
      <c r="I139" s="15"/>
      <c r="P139" s="43">
        <v>10</v>
      </c>
      <c r="Q139">
        <v>327.3751400000001</v>
      </c>
      <c r="R139">
        <v>407.02656707713646</v>
      </c>
      <c r="S139" s="43">
        <v>90</v>
      </c>
    </row>
    <row r="140" spans="1:19" x14ac:dyDescent="0.25">
      <c r="A140" s="39">
        <v>-11</v>
      </c>
      <c r="B140" s="39">
        <v>733.37278753511191</v>
      </c>
      <c r="C140" s="39">
        <v>52.407136593275204</v>
      </c>
      <c r="D140" s="15"/>
      <c r="E140" s="15"/>
      <c r="F140" s="15"/>
      <c r="G140" s="15"/>
      <c r="H140" s="15"/>
      <c r="I140" s="15"/>
      <c r="P140" s="43">
        <v>11</v>
      </c>
      <c r="Q140">
        <v>401.29460000000012</v>
      </c>
      <c r="R140">
        <v>425.00416179086938</v>
      </c>
      <c r="S140" s="43">
        <v>89.999999999999986</v>
      </c>
    </row>
    <row r="141" spans="1:19" x14ac:dyDescent="0.25">
      <c r="A141" s="39">
        <v>-12</v>
      </c>
      <c r="B141" s="39">
        <v>731.0039938973124</v>
      </c>
      <c r="C141" s="39">
        <v>56.807909189385377</v>
      </c>
      <c r="D141" s="15"/>
      <c r="E141" s="15"/>
      <c r="F141" s="15"/>
      <c r="G141" s="15"/>
      <c r="H141" s="15"/>
      <c r="I141" s="15"/>
      <c r="P141" s="43">
        <v>12</v>
      </c>
      <c r="Q141">
        <v>475.21406000000013</v>
      </c>
      <c r="R141">
        <v>429.54351347321995</v>
      </c>
      <c r="S141" s="43">
        <v>90</v>
      </c>
    </row>
    <row r="142" spans="1:19" x14ac:dyDescent="0.25">
      <c r="A142" s="41">
        <v>-13</v>
      </c>
      <c r="B142" s="39">
        <v>724.08634459196207</v>
      </c>
      <c r="C142" s="39">
        <v>60.334348407134534</v>
      </c>
      <c r="D142" s="15"/>
      <c r="E142" s="15"/>
      <c r="F142" s="15"/>
      <c r="G142" s="15"/>
      <c r="H142" s="15"/>
      <c r="I142" s="15"/>
      <c r="P142" s="43">
        <v>13</v>
      </c>
      <c r="Q142">
        <v>549.13352000000009</v>
      </c>
      <c r="R142">
        <v>426.6485033008139</v>
      </c>
      <c r="S142" s="43">
        <v>90.000000000000014</v>
      </c>
    </row>
    <row r="143" spans="1:19" x14ac:dyDescent="0.25">
      <c r="A143" s="41">
        <v>-14</v>
      </c>
      <c r="B143" s="39">
        <v>717.48166938646807</v>
      </c>
      <c r="C143" s="39">
        <v>63.798493685625374</v>
      </c>
      <c r="D143" s="15"/>
      <c r="E143" s="15"/>
      <c r="F143" s="15"/>
      <c r="G143" s="15"/>
      <c r="H143" s="15"/>
      <c r="I143" s="15"/>
      <c r="P143" s="43">
        <v>14</v>
      </c>
      <c r="Q143">
        <v>623.05298000000005</v>
      </c>
      <c r="R143">
        <v>415.89924459150012</v>
      </c>
      <c r="S143" s="43">
        <v>89.999999999999986</v>
      </c>
    </row>
    <row r="144" spans="1:19" x14ac:dyDescent="0.25">
      <c r="A144" s="39">
        <v>-15</v>
      </c>
      <c r="B144" s="39">
        <v>711.15025217043274</v>
      </c>
      <c r="C144" s="39">
        <v>67.212135782616684</v>
      </c>
      <c r="D144" s="19"/>
      <c r="E144" s="15"/>
      <c r="F144" s="15"/>
      <c r="G144" s="15"/>
      <c r="H144" s="16"/>
      <c r="I144" s="20"/>
      <c r="P144" s="43">
        <v>15</v>
      </c>
      <c r="Q144">
        <v>696.97244000000001</v>
      </c>
      <c r="R144">
        <v>417.31048121206362</v>
      </c>
      <c r="S144" s="43">
        <v>89.999999999999986</v>
      </c>
    </row>
    <row r="145" spans="1:19" x14ac:dyDescent="0.25">
      <c r="A145" s="39">
        <v>-16</v>
      </c>
      <c r="B145" s="39">
        <v>705.05722710320049</v>
      </c>
      <c r="C145" s="39">
        <v>70.585539309070398</v>
      </c>
      <c r="D145" s="21"/>
      <c r="E145" s="15"/>
      <c r="F145" s="15"/>
      <c r="G145" s="15"/>
      <c r="H145" s="16"/>
      <c r="I145" s="20"/>
      <c r="P145" s="43">
        <v>16</v>
      </c>
      <c r="Q145">
        <v>770.89189999999996</v>
      </c>
      <c r="R145">
        <v>416.59679450357243</v>
      </c>
      <c r="S145" s="43">
        <v>90.000000000000014</v>
      </c>
    </row>
    <row r="146" spans="1:19" x14ac:dyDescent="0.25">
      <c r="A146" s="41">
        <v>-17</v>
      </c>
      <c r="B146" s="39">
        <v>699.17177510793852</v>
      </c>
      <c r="C146" s="39">
        <v>73.927745147009432</v>
      </c>
      <c r="D146" s="15"/>
      <c r="E146" s="15"/>
      <c r="F146" s="15"/>
      <c r="G146" s="15"/>
      <c r="H146" s="15"/>
      <c r="I146" s="15"/>
      <c r="P146" s="43">
        <v>17</v>
      </c>
      <c r="Q146">
        <v>844.81135999999992</v>
      </c>
      <c r="R146">
        <v>414.11134666390785</v>
      </c>
      <c r="S146" s="43">
        <v>90.000000000000014</v>
      </c>
    </row>
    <row r="147" spans="1:19" x14ac:dyDescent="0.25">
      <c r="A147" s="41">
        <v>-18</v>
      </c>
      <c r="B147" s="43">
        <v>693.46646099868883</v>
      </c>
      <c r="C147" s="43">
        <v>77.246810054179448</v>
      </c>
      <c r="P147" s="43">
        <v>18</v>
      </c>
      <c r="Q147">
        <v>918.73081999999988</v>
      </c>
      <c r="R147">
        <v>408.46799934916777</v>
      </c>
      <c r="S147" s="43">
        <v>90</v>
      </c>
    </row>
    <row r="148" spans="1:19" x14ac:dyDescent="0.25">
      <c r="A148" s="39">
        <v>-19</v>
      </c>
      <c r="B148" s="43">
        <v>687.91668339023761</v>
      </c>
      <c r="C148" s="43">
        <v>80.549998314352166</v>
      </c>
      <c r="P148" s="43">
        <v>19</v>
      </c>
      <c r="Q148">
        <v>992.65027999999984</v>
      </c>
      <c r="R148">
        <v>399.61826413140898</v>
      </c>
      <c r="S148" s="43">
        <v>90</v>
      </c>
    </row>
    <row r="149" spans="1:19" x14ac:dyDescent="0.25">
      <c r="A149" s="39">
        <v>-20</v>
      </c>
      <c r="B149" s="43">
        <v>682.50021527250158</v>
      </c>
      <c r="C149" s="43">
        <v>83.843936546207871</v>
      </c>
      <c r="P149" s="43">
        <v>20</v>
      </c>
      <c r="Q149">
        <v>1066.5697399999999</v>
      </c>
      <c r="R149">
        <v>387.57222103049293</v>
      </c>
      <c r="S149" s="43">
        <v>90</v>
      </c>
    </row>
    <row r="150" spans="1:19" x14ac:dyDescent="0.25">
      <c r="A150" s="41">
        <v>-21</v>
      </c>
      <c r="B150" s="43">
        <v>677.19681763178096</v>
      </c>
      <c r="C150" s="43">
        <v>87.134740047901275</v>
      </c>
      <c r="P150" s="43">
        <v>21</v>
      </c>
      <c r="Q150">
        <v>1140.4892</v>
      </c>
      <c r="R150">
        <v>372.15137222359704</v>
      </c>
      <c r="S150" s="43">
        <v>90</v>
      </c>
    </row>
    <row r="151" spans="1:19" x14ac:dyDescent="0.25">
      <c r="A151" s="41">
        <v>-22</v>
      </c>
      <c r="B151" s="43">
        <v>671.98791203287271</v>
      </c>
      <c r="C151" s="43">
        <v>90.428117042402405</v>
      </c>
      <c r="P151" s="43">
        <v>22</v>
      </c>
      <c r="Q151">
        <v>1214.4086600000001</v>
      </c>
      <c r="R151">
        <v>353.06705284135654</v>
      </c>
      <c r="S151" s="43">
        <v>90</v>
      </c>
    </row>
    <row r="152" spans="1:19" x14ac:dyDescent="0.25">
      <c r="A152" s="39">
        <v>-23</v>
      </c>
      <c r="B152" s="43">
        <v>666.8563008450534</v>
      </c>
      <c r="C152" s="43">
        <v>93.729455700579109</v>
      </c>
      <c r="P152" s="43">
        <v>23</v>
      </c>
      <c r="Q152">
        <v>1288.3281200000001</v>
      </c>
      <c r="R152">
        <v>330.07500202044457</v>
      </c>
      <c r="S152" s="43">
        <v>89.999999999999986</v>
      </c>
    </row>
    <row r="153" spans="1:19" x14ac:dyDescent="0.25">
      <c r="A153" s="39">
        <v>-24</v>
      </c>
      <c r="B153" s="43">
        <v>661.78592596798273</v>
      </c>
      <c r="C153" s="43">
        <v>97.043897710974761</v>
      </c>
      <c r="P153" s="43">
        <v>24</v>
      </c>
      <c r="Q153">
        <v>1362.2475800000002</v>
      </c>
      <c r="R153">
        <v>302.96857804858666</v>
      </c>
      <c r="S153" s="43">
        <v>90</v>
      </c>
    </row>
    <row r="154" spans="1:19" x14ac:dyDescent="0.25">
      <c r="A154" s="41">
        <v>-25</v>
      </c>
      <c r="B154" s="43">
        <v>656.76165861785728</v>
      </c>
      <c r="C154" s="43">
        <v>100.37640133649172</v>
      </c>
      <c r="P154" s="43">
        <v>25</v>
      </c>
      <c r="Q154">
        <v>1436.1670400000003</v>
      </c>
      <c r="R154">
        <v>271.46915524366807</v>
      </c>
      <c r="S154" s="43">
        <v>89.999999999999986</v>
      </c>
    </row>
    <row r="155" spans="1:19" x14ac:dyDescent="0.25">
      <c r="A155" s="41">
        <v>-26</v>
      </c>
      <c r="B155" s="43">
        <v>651.76911407307523</v>
      </c>
      <c r="C155" s="43">
        <v>103.73179627404151</v>
      </c>
      <c r="P155" s="43">
        <v>26</v>
      </c>
      <c r="Q155">
        <v>1510.0865000000003</v>
      </c>
      <c r="R155">
        <v>235.39767402334195</v>
      </c>
      <c r="S155" s="43">
        <v>90.000000000000014</v>
      </c>
    </row>
    <row r="156" spans="1:19" x14ac:dyDescent="0.25">
      <c r="A156" s="39">
        <v>-27</v>
      </c>
      <c r="B156" s="43">
        <v>646.79448632729509</v>
      </c>
      <c r="C156" s="43">
        <v>107.11483216241996</v>
      </c>
      <c r="P156" s="43">
        <v>27</v>
      </c>
      <c r="Q156">
        <v>1510.0865000000003</v>
      </c>
      <c r="R156">
        <v>0</v>
      </c>
      <c r="S156" s="43">
        <v>89.999999999999986</v>
      </c>
    </row>
    <row r="157" spans="1:19" x14ac:dyDescent="0.25">
      <c r="A157" s="39">
        <v>-28</v>
      </c>
      <c r="B157" s="43">
        <v>641.82439841723328</v>
      </c>
      <c r="C157" s="43">
        <v>110.530222227344</v>
      </c>
      <c r="P157" s="43">
        <v>28</v>
      </c>
      <c r="S157" s="43">
        <v>90</v>
      </c>
    </row>
    <row r="158" spans="1:19" x14ac:dyDescent="0.25">
      <c r="A158" s="41">
        <v>-29</v>
      </c>
      <c r="B158" s="43">
        <v>635.75055737465232</v>
      </c>
      <c r="C158" s="43">
        <v>114.56782641564605</v>
      </c>
      <c r="P158" s="43">
        <v>29</v>
      </c>
      <c r="S158" s="43">
        <v>90.000000000000014</v>
      </c>
    </row>
    <row r="159" spans="1:19" x14ac:dyDescent="0.25">
      <c r="A159" s="41">
        <v>-30</v>
      </c>
      <c r="B159" s="43">
        <v>628.21355252036858</v>
      </c>
      <c r="C159" s="43">
        <v>119.40984745989124</v>
      </c>
      <c r="P159" s="43">
        <v>30</v>
      </c>
      <c r="S159" s="43">
        <v>89.999999999999986</v>
      </c>
    </row>
    <row r="160" spans="1:19" x14ac:dyDescent="0.25">
      <c r="A160" s="39">
        <v>-31</v>
      </c>
      <c r="B160" s="43">
        <v>620.68854290390072</v>
      </c>
      <c r="C160" s="43">
        <v>124.26367889218318</v>
      </c>
      <c r="P160" s="43">
        <v>31</v>
      </c>
      <c r="S160" s="43">
        <v>89.999999999999986</v>
      </c>
    </row>
    <row r="161" spans="1:19" x14ac:dyDescent="0.25">
      <c r="A161" s="39">
        <v>-32</v>
      </c>
      <c r="B161" s="43">
        <v>613.16073857161507</v>
      </c>
      <c r="C161" s="43">
        <v>129.13598798938565</v>
      </c>
      <c r="P161" s="43">
        <v>32</v>
      </c>
      <c r="S161" s="43">
        <v>90.000000000000014</v>
      </c>
    </row>
    <row r="162" spans="1:19" x14ac:dyDescent="0.25">
      <c r="A162" s="41">
        <v>-33</v>
      </c>
      <c r="B162" s="43">
        <v>605.61512696185252</v>
      </c>
      <c r="C162" s="43">
        <v>134.03350817437817</v>
      </c>
      <c r="P162" s="43">
        <v>33</v>
      </c>
      <c r="S162" s="43">
        <v>90.000000000000014</v>
      </c>
    </row>
    <row r="163" spans="1:19" x14ac:dyDescent="0.25">
      <c r="A163" s="41">
        <v>-34</v>
      </c>
      <c r="B163" s="43">
        <v>598.03636807653197</v>
      </c>
      <c r="C163" s="43">
        <v>138.96307618595583</v>
      </c>
      <c r="P163" s="43">
        <v>34</v>
      </c>
      <c r="S163" s="43">
        <v>90</v>
      </c>
    </row>
    <row r="164" spans="1:19" x14ac:dyDescent="0.25">
      <c r="A164" s="39">
        <v>-35</v>
      </c>
      <c r="B164" s="43">
        <v>593.32723391046932</v>
      </c>
      <c r="C164" s="43">
        <v>142.21692311089461</v>
      </c>
      <c r="P164" s="43">
        <v>35</v>
      </c>
      <c r="S164" s="43">
        <v>89.999999999999986</v>
      </c>
    </row>
    <row r="165" spans="1:19" x14ac:dyDescent="0.25">
      <c r="A165" s="39">
        <v>-36</v>
      </c>
      <c r="B165" s="43">
        <v>585.56606919959313</v>
      </c>
      <c r="C165" s="43">
        <v>147.25784770189185</v>
      </c>
      <c r="P165" s="43">
        <v>36</v>
      </c>
      <c r="S165" s="43">
        <v>90</v>
      </c>
    </row>
    <row r="166" spans="1:19" x14ac:dyDescent="0.25">
      <c r="A166" s="41">
        <v>-37</v>
      </c>
      <c r="B166" s="43">
        <v>577.72460708030781</v>
      </c>
      <c r="C166" s="43">
        <v>152.3514319806649</v>
      </c>
      <c r="P166" s="43">
        <v>37</v>
      </c>
      <c r="S166" s="43">
        <v>90.000000000000014</v>
      </c>
    </row>
    <row r="167" spans="1:19" x14ac:dyDescent="0.25">
      <c r="A167" s="41">
        <v>-38</v>
      </c>
      <c r="B167" s="43">
        <v>569.78489206269148</v>
      </c>
      <c r="C167" s="43">
        <v>157.50537333118825</v>
      </c>
      <c r="P167" s="43">
        <v>38</v>
      </c>
      <c r="S167" s="43">
        <v>90.000000000000014</v>
      </c>
    </row>
    <row r="168" spans="1:19" x14ac:dyDescent="0.25">
      <c r="A168" s="39">
        <v>-39</v>
      </c>
      <c r="B168" s="43">
        <v>561.72799758699023</v>
      </c>
      <c r="C168" s="43">
        <v>162.72768247363788</v>
      </c>
      <c r="P168" s="43">
        <v>39</v>
      </c>
      <c r="S168" s="43">
        <v>90</v>
      </c>
    </row>
    <row r="169" spans="1:19" x14ac:dyDescent="0.25">
      <c r="A169" s="39">
        <v>-40</v>
      </c>
      <c r="B169" s="43">
        <v>553.56433862906761</v>
      </c>
      <c r="C169" s="43">
        <v>168.00431835325776</v>
      </c>
      <c r="P169" s="43">
        <v>40</v>
      </c>
      <c r="S169" s="43">
        <v>89.999999999999986</v>
      </c>
    </row>
    <row r="170" spans="1:19" x14ac:dyDescent="0.25">
      <c r="A170" s="41">
        <v>-41</v>
      </c>
      <c r="B170" s="43">
        <v>545.47859317632913</v>
      </c>
      <c r="C170" s="43">
        <v>173.19525172096724</v>
      </c>
      <c r="P170" s="43">
        <v>41</v>
      </c>
      <c r="S170" s="43">
        <v>89.999999999999986</v>
      </c>
    </row>
    <row r="171" spans="1:19" x14ac:dyDescent="0.25">
      <c r="A171" s="41">
        <v>-42</v>
      </c>
      <c r="B171" s="43">
        <v>537.4906565014262</v>
      </c>
      <c r="C171" s="43">
        <v>178.28561228449894</v>
      </c>
      <c r="P171" s="43">
        <v>42</v>
      </c>
      <c r="S171" s="43">
        <v>90.000000000000014</v>
      </c>
    </row>
    <row r="172" spans="1:19" x14ac:dyDescent="0.25">
      <c r="A172" s="39">
        <v>-43</v>
      </c>
      <c r="B172" s="43">
        <v>529.5832742083154</v>
      </c>
      <c r="C172" s="43">
        <v>183.28784372026749</v>
      </c>
      <c r="P172" s="43">
        <v>43</v>
      </c>
      <c r="S172" s="43">
        <v>89.999999999999986</v>
      </c>
    </row>
    <row r="173" spans="1:19" x14ac:dyDescent="0.25">
      <c r="A173" s="39">
        <v>-44</v>
      </c>
      <c r="B173" s="43">
        <v>521.73980971508252</v>
      </c>
      <c r="C173" s="43">
        <v>188.21360771025573</v>
      </c>
      <c r="P173" s="43">
        <v>44</v>
      </c>
      <c r="S173" s="43">
        <v>89.999999999999986</v>
      </c>
    </row>
    <row r="174" spans="1:19" x14ac:dyDescent="0.25">
      <c r="A174" s="41">
        <v>-45</v>
      </c>
      <c r="B174" s="43">
        <v>513.94408968265122</v>
      </c>
      <c r="C174" s="43">
        <v>193.0739119587189</v>
      </c>
      <c r="P174" s="43">
        <v>45</v>
      </c>
      <c r="S174" s="43">
        <v>90.000000000000014</v>
      </c>
    </row>
    <row r="175" spans="1:19" x14ac:dyDescent="0.25">
      <c r="A175" s="41">
        <v>-46</v>
      </c>
      <c r="B175" s="43">
        <v>506.18025698284742</v>
      </c>
      <c r="C175" s="43">
        <v>197.8792254921787</v>
      </c>
      <c r="P175" s="43">
        <v>46</v>
      </c>
      <c r="S175" s="43">
        <v>90.000000000000014</v>
      </c>
    </row>
    <row r="176" spans="1:19" x14ac:dyDescent="0.25">
      <c r="A176" s="39">
        <v>-47</v>
      </c>
      <c r="B176" s="43">
        <v>498.43262826525819</v>
      </c>
      <c r="C176" s="43">
        <v>202.63958390645035</v>
      </c>
      <c r="P176" s="43">
        <v>47</v>
      </c>
      <c r="S176" s="43">
        <v>90</v>
      </c>
    </row>
    <row r="177" spans="1:19" x14ac:dyDescent="0.25">
      <c r="A177" s="39">
        <v>-48</v>
      </c>
      <c r="B177" s="43">
        <v>490.68555329990045</v>
      </c>
      <c r="C177" s="43">
        <v>207.36468689146909</v>
      </c>
      <c r="P177" s="43">
        <v>48</v>
      </c>
      <c r="S177" s="43">
        <v>90</v>
      </c>
    </row>
    <row r="178" spans="1:19" x14ac:dyDescent="0.25">
      <c r="A178" s="41">
        <v>-49</v>
      </c>
      <c r="B178" s="43">
        <v>482.92327329680592</v>
      </c>
      <c r="C178" s="43">
        <v>212.06399012000824</v>
      </c>
      <c r="P178" s="43">
        <v>49</v>
      </c>
      <c r="S178" s="43">
        <v>90.000000000000014</v>
      </c>
    </row>
    <row r="179" spans="1:19" x14ac:dyDescent="0.25">
      <c r="A179" s="41">
        <v>-50</v>
      </c>
      <c r="B179" s="43">
        <v>475.12977532613564</v>
      </c>
      <c r="C179" s="43">
        <v>216.74679341922027</v>
      </c>
      <c r="P179" s="43">
        <v>50</v>
      </c>
      <c r="S179" s="43">
        <v>90</v>
      </c>
    </row>
    <row r="180" spans="1:19" x14ac:dyDescent="0.25">
      <c r="A180" s="39">
        <v>-51</v>
      </c>
      <c r="B180" s="43">
        <v>467.28863978334755</v>
      </c>
      <c r="C180" s="43">
        <v>221.42232704564196</v>
      </c>
      <c r="P180" s="43">
        <v>51</v>
      </c>
      <c r="S180" s="43">
        <v>90</v>
      </c>
    </row>
    <row r="181" spans="1:19" x14ac:dyDescent="0.25">
      <c r="A181" s="39">
        <v>-52</v>
      </c>
      <c r="B181" s="43">
        <v>459.38287754869526</v>
      </c>
      <c r="C181" s="43">
        <v>226.09983785130615</v>
      </c>
      <c r="P181" s="43">
        <v>52</v>
      </c>
      <c r="S181" s="43">
        <v>90</v>
      </c>
    </row>
    <row r="182" spans="1:19" x14ac:dyDescent="0.25">
      <c r="A182" s="41">
        <v>-53</v>
      </c>
      <c r="B182" s="43">
        <v>451.39475306268889</v>
      </c>
      <c r="C182" s="43">
        <v>230.78867716049402</v>
      </c>
      <c r="P182" s="43">
        <v>53</v>
      </c>
      <c r="S182" s="43">
        <v>90</v>
      </c>
    </row>
    <row r="183" spans="1:19" x14ac:dyDescent="0.25">
      <c r="A183" s="41">
        <v>-54</v>
      </c>
      <c r="B183" s="43">
        <v>443.30558895031049</v>
      </c>
      <c r="C183" s="43">
        <v>235.49839227658859</v>
      </c>
      <c r="P183" s="43">
        <v>54</v>
      </c>
      <c r="S183" s="43">
        <v>90.000000000000014</v>
      </c>
    </row>
    <row r="184" spans="1:19" x14ac:dyDescent="0.25">
      <c r="A184" s="39">
        <v>-55</v>
      </c>
      <c r="B184" s="43">
        <v>435.09554704165384</v>
      </c>
      <c r="C184" s="43">
        <v>240.2388237140004</v>
      </c>
      <c r="P184" s="43">
        <v>55</v>
      </c>
      <c r="S184" s="43">
        <v>90</v>
      </c>
    </row>
    <row r="185" spans="1:19" x14ac:dyDescent="0.25">
      <c r="A185" s="39">
        <v>-56</v>
      </c>
      <c r="B185" s="43">
        <v>426.74337960105936</v>
      </c>
      <c r="C185" s="43">
        <v>245.02021051279786</v>
      </c>
      <c r="P185" s="43">
        <v>56</v>
      </c>
      <c r="S185" s="43">
        <v>90</v>
      </c>
    </row>
    <row r="186" spans="1:19" x14ac:dyDescent="0.25">
      <c r="A186" s="41">
        <v>-57</v>
      </c>
      <c r="B186" s="43">
        <v>418.22614322262933</v>
      </c>
      <c r="C186" s="43">
        <v>249.85330636192145</v>
      </c>
      <c r="P186" s="43">
        <v>57</v>
      </c>
      <c r="S186" s="43">
        <v>90</v>
      </c>
    </row>
    <row r="187" spans="1:19" x14ac:dyDescent="0.25">
      <c r="A187" s="41">
        <v>-58</v>
      </c>
      <c r="B187" s="43">
        <v>409.51886607794245</v>
      </c>
      <c r="C187" s="43">
        <v>254.74950975544829</v>
      </c>
      <c r="P187" s="43">
        <v>58</v>
      </c>
      <c r="S187" s="43">
        <v>90</v>
      </c>
    </row>
    <row r="188" spans="1:19" x14ac:dyDescent="0.25">
      <c r="A188" s="39">
        <v>-59</v>
      </c>
      <c r="B188" s="43">
        <v>400.5941568804833</v>
      </c>
      <c r="C188" s="43">
        <v>259.72101207097182</v>
      </c>
      <c r="P188" s="43">
        <v>59</v>
      </c>
      <c r="S188" s="43">
        <v>89.999999999999986</v>
      </c>
    </row>
    <row r="189" spans="1:19" x14ac:dyDescent="0.25">
      <c r="A189" s="39">
        <v>-60</v>
      </c>
      <c r="B189" s="43">
        <v>391.42174087689301</v>
      </c>
      <c r="C189" s="43">
        <v>264.78096833941265</v>
      </c>
      <c r="P189" s="43">
        <v>60</v>
      </c>
      <c r="S189" s="43">
        <v>90</v>
      </c>
    </row>
    <row r="190" spans="1:19" x14ac:dyDescent="0.25">
      <c r="A190" s="41">
        <v>-61</v>
      </c>
      <c r="B190" s="43">
        <v>381.96790413028333</v>
      </c>
      <c r="C190" s="43">
        <v>269.94369663791321</v>
      </c>
      <c r="P190" s="43">
        <v>61</v>
      </c>
      <c r="S190" s="43">
        <v>90</v>
      </c>
    </row>
    <row r="191" spans="1:19" x14ac:dyDescent="0.25">
      <c r="A191" s="41">
        <v>-62</v>
      </c>
      <c r="B191" s="43">
        <v>372.19482196864448</v>
      </c>
      <c r="C191" s="43">
        <v>275.22491357864243</v>
      </c>
      <c r="P191" s="43">
        <v>62</v>
      </c>
      <c r="S191" s="43">
        <v>90.000000000000014</v>
      </c>
    </row>
    <row r="192" spans="1:19" x14ac:dyDescent="0.25">
      <c r="A192" s="39">
        <v>-63</v>
      </c>
      <c r="B192" s="43">
        <v>362.05974021970206</v>
      </c>
      <c r="C192" s="43">
        <v>280.64201541740039</v>
      </c>
      <c r="P192" s="43">
        <v>63</v>
      </c>
      <c r="S192" s="43">
        <v>90</v>
      </c>
    </row>
    <row r="193" spans="1:19" x14ac:dyDescent="0.25">
      <c r="A193" s="39">
        <v>-64</v>
      </c>
      <c r="B193" s="43">
        <v>351.51396801193636</v>
      </c>
      <c r="C193" s="43">
        <v>286.21441705492089</v>
      </c>
      <c r="P193" s="43">
        <v>64</v>
      </c>
      <c r="S193" s="43">
        <v>90</v>
      </c>
    </row>
    <row r="194" spans="1:19" x14ac:dyDescent="0.25">
      <c r="A194" s="41">
        <v>-65</v>
      </c>
      <c r="B194" s="43">
        <v>340.50162742751996</v>
      </c>
      <c r="C194" s="43">
        <v>291.9639649185836</v>
      </c>
      <c r="P194" s="43">
        <v>65</v>
      </c>
      <c r="S194" s="43">
        <v>89.999999999999986</v>
      </c>
    </row>
    <row r="195" spans="1:19" x14ac:dyDescent="0.25">
      <c r="A195" s="41">
        <v>-66</v>
      </c>
      <c r="B195" s="43">
        <v>328.9580865843277</v>
      </c>
      <c r="C195" s="43">
        <v>297.91544477986571</v>
      </c>
      <c r="P195" s="43">
        <v>66</v>
      </c>
      <c r="S195" s="43">
        <v>89.999999999999986</v>
      </c>
    </row>
    <row r="196" spans="1:19" x14ac:dyDescent="0.25">
      <c r="A196" s="39">
        <v>-67</v>
      </c>
      <c r="B196" s="43">
        <v>316.80797647133619</v>
      </c>
      <c r="C196" s="43">
        <v>304.09721254847875</v>
      </c>
      <c r="P196" s="43">
        <v>67</v>
      </c>
      <c r="S196" s="43">
        <v>89.999999999999986</v>
      </c>
    </row>
    <row r="197" spans="1:19" x14ac:dyDescent="0.25">
      <c r="A197" s="39">
        <v>-68</v>
      </c>
      <c r="B197" s="43">
        <v>303.96265453772935</v>
      </c>
      <c r="C197" s="43">
        <v>310.54198582909294</v>
      </c>
      <c r="P197" s="43">
        <v>68</v>
      </c>
      <c r="S197" s="43">
        <v>90.000000000000014</v>
      </c>
    </row>
    <row r="198" spans="1:19" x14ac:dyDescent="0.25">
      <c r="A198" s="41">
        <v>-69</v>
      </c>
      <c r="B198" s="43">
        <v>290.35848334822413</v>
      </c>
      <c r="C198" s="43">
        <v>317.2636512826262</v>
      </c>
      <c r="P198" s="43">
        <v>69</v>
      </c>
      <c r="S198" s="43">
        <v>90</v>
      </c>
    </row>
    <row r="199" spans="1:19" x14ac:dyDescent="0.25">
      <c r="A199" s="41">
        <v>-70</v>
      </c>
      <c r="B199" s="43">
        <v>280.19527573529012</v>
      </c>
      <c r="C199" s="43">
        <v>323.41967296841659</v>
      </c>
      <c r="P199" s="43">
        <v>70</v>
      </c>
      <c r="S199" s="43">
        <v>90</v>
      </c>
    </row>
    <row r="200" spans="1:19" x14ac:dyDescent="0.25">
      <c r="A200" s="39">
        <v>-71</v>
      </c>
      <c r="B200" s="43">
        <v>266.21477437456764</v>
      </c>
      <c r="C200" s="43">
        <v>330.02149620810883</v>
      </c>
      <c r="P200" s="43">
        <v>71</v>
      </c>
      <c r="S200" s="43">
        <v>90</v>
      </c>
    </row>
    <row r="201" spans="1:19" x14ac:dyDescent="0.25">
      <c r="A201" s="39">
        <v>-72</v>
      </c>
      <c r="B201" s="43">
        <v>252.12106687344283</v>
      </c>
      <c r="C201" s="43">
        <v>336.51183484521556</v>
      </c>
      <c r="P201" s="43">
        <v>72</v>
      </c>
      <c r="S201" s="43">
        <v>90.000000000000014</v>
      </c>
    </row>
    <row r="202" spans="1:19" x14ac:dyDescent="0.25">
      <c r="A202" s="41">
        <v>-73</v>
      </c>
      <c r="B202" s="43">
        <v>237.89043690614585</v>
      </c>
      <c r="C202" s="43">
        <v>342.90717721303764</v>
      </c>
      <c r="P202" s="43">
        <v>73</v>
      </c>
      <c r="S202" s="43">
        <v>89.999999999999986</v>
      </c>
    </row>
    <row r="203" spans="1:19" x14ac:dyDescent="0.25">
      <c r="A203" s="41">
        <v>-74</v>
      </c>
      <c r="B203" s="43">
        <v>223.49798718510289</v>
      </c>
      <c r="C203" s="43">
        <v>349.22386072751385</v>
      </c>
      <c r="P203" s="43">
        <v>74</v>
      </c>
      <c r="S203" s="43">
        <v>90.000000000000028</v>
      </c>
    </row>
    <row r="204" spans="1:19" x14ac:dyDescent="0.25">
      <c r="A204" s="39">
        <v>-75</v>
      </c>
      <c r="B204" s="43">
        <v>208.91746756497386</v>
      </c>
      <c r="C204" s="43">
        <v>355.47817062332069</v>
      </c>
      <c r="P204" s="43">
        <v>75</v>
      </c>
      <c r="S204" s="43">
        <v>90</v>
      </c>
    </row>
    <row r="205" spans="1:19" x14ac:dyDescent="0.25">
      <c r="A205" s="39">
        <v>-76</v>
      </c>
      <c r="B205" s="43">
        <v>194.12108995126735</v>
      </c>
      <c r="C205" s="43">
        <v>361.68643663007839</v>
      </c>
      <c r="P205" s="43">
        <v>76</v>
      </c>
      <c r="S205" s="43">
        <v>90.000000000000014</v>
      </c>
    </row>
    <row r="206" spans="1:19" x14ac:dyDescent="0.25">
      <c r="A206" s="41">
        <v>-77</v>
      </c>
      <c r="B206" s="43">
        <v>179.07932879184645</v>
      </c>
      <c r="C206" s="43">
        <v>367.86512786112269</v>
      </c>
      <c r="P206" s="43"/>
      <c r="S206" s="43"/>
    </row>
    <row r="207" spans="1:19" x14ac:dyDescent="0.25">
      <c r="A207" s="41">
        <v>-78</v>
      </c>
      <c r="B207" s="43">
        <v>163.76070605526107</v>
      </c>
      <c r="C207" s="43">
        <v>374.03094595472629</v>
      </c>
    </row>
    <row r="208" spans="1:19" x14ac:dyDescent="0.25">
      <c r="A208" s="39">
        <v>-79</v>
      </c>
      <c r="B208" s="43">
        <v>148.13155981290441</v>
      </c>
      <c r="C208" s="43">
        <v>380.20091622373906</v>
      </c>
    </row>
    <row r="209" spans="1:3" x14ac:dyDescent="0.25">
      <c r="A209" s="39">
        <v>-80</v>
      </c>
      <c r="B209" s="43">
        <v>136.04302383741859</v>
      </c>
      <c r="C209" s="43">
        <v>384.42420724800905</v>
      </c>
    </row>
    <row r="210" spans="1:3" x14ac:dyDescent="0.25">
      <c r="A210" s="41">
        <v>-81</v>
      </c>
      <c r="B210" s="43">
        <v>119.80152276817842</v>
      </c>
      <c r="C210" s="43">
        <v>390.56900049113256</v>
      </c>
    </row>
    <row r="211" spans="1:3" x14ac:dyDescent="0.25">
      <c r="A211" s="41">
        <v>-82</v>
      </c>
      <c r="B211" s="43">
        <v>103.14222076092872</v>
      </c>
      <c r="C211" s="43">
        <v>396.76682435525885</v>
      </c>
    </row>
    <row r="212" spans="1:3" x14ac:dyDescent="0.25">
      <c r="A212" s="39">
        <v>-83</v>
      </c>
      <c r="B212" s="43">
        <v>86.281850028209917</v>
      </c>
      <c r="C212" s="43">
        <v>402.88654857548511</v>
      </c>
    </row>
    <row r="213" spans="1:3" x14ac:dyDescent="0.25">
      <c r="A213" s="39">
        <v>-84</v>
      </c>
      <c r="B213" s="43">
        <v>71.982449121976828</v>
      </c>
      <c r="C213" s="43">
        <v>407.34513080492388</v>
      </c>
    </row>
    <row r="214" spans="1:3" x14ac:dyDescent="0.25">
      <c r="A214" s="41">
        <v>-85</v>
      </c>
      <c r="B214" s="43">
        <v>57.097029732898235</v>
      </c>
      <c r="C214" s="43">
        <v>411.94949679594316</v>
      </c>
    </row>
    <row r="215" spans="1:3" x14ac:dyDescent="0.25">
      <c r="A215" s="41">
        <v>-86</v>
      </c>
      <c r="B215" s="43">
        <v>41.517157774762936</v>
      </c>
      <c r="C215" s="43">
        <v>416.74681684897911</v>
      </c>
    </row>
    <row r="216" spans="1:3" x14ac:dyDescent="0.25">
      <c r="A216" s="39">
        <v>-87</v>
      </c>
      <c r="B216" s="43">
        <v>25.110844238702409</v>
      </c>
      <c r="C216" s="43">
        <v>421.79316560174402</v>
      </c>
    </row>
    <row r="217" spans="1:3" x14ac:dyDescent="0.25">
      <c r="A217" s="39">
        <v>-88</v>
      </c>
      <c r="B217" s="43">
        <v>7.7157731854786142</v>
      </c>
      <c r="C217" s="43">
        <v>427.15589291479779</v>
      </c>
    </row>
    <row r="218" spans="1:3" x14ac:dyDescent="0.25">
      <c r="A218" s="41">
        <v>-89</v>
      </c>
      <c r="B218" s="43">
        <v>-10.869739496012015</v>
      </c>
      <c r="C218" s="43">
        <v>432.91668161407301</v>
      </c>
    </row>
    <row r="219" spans="1:3" x14ac:dyDescent="0.25">
      <c r="A219" s="41">
        <v>-90</v>
      </c>
      <c r="B219" s="43">
        <v>-30.898895372098423</v>
      </c>
      <c r="C219" s="43">
        <v>439.17550123931915</v>
      </c>
    </row>
    <row r="220" spans="1:3" x14ac:dyDescent="0.25">
      <c r="A220" s="39">
        <v>-91</v>
      </c>
      <c r="B220" s="43">
        <v>-43.16475714337637</v>
      </c>
      <c r="C220" s="43">
        <v>432.48662691045195</v>
      </c>
    </row>
    <row r="221" spans="1:3" x14ac:dyDescent="0.25">
      <c r="A221" s="39">
        <v>-92</v>
      </c>
      <c r="B221" s="43">
        <v>-54.930701382849364</v>
      </c>
      <c r="C221" s="43">
        <v>426.54814766509224</v>
      </c>
    </row>
    <row r="222" spans="1:3" x14ac:dyDescent="0.25">
      <c r="A222" s="41">
        <v>-93</v>
      </c>
      <c r="B222" s="43">
        <v>-66.301663719809042</v>
      </c>
      <c r="C222" s="43">
        <v>421.18154694055607</v>
      </c>
    </row>
    <row r="223" spans="1:3" x14ac:dyDescent="0.25">
      <c r="A223" s="41">
        <v>-94</v>
      </c>
      <c r="B223" s="43">
        <v>-77.356746873458107</v>
      </c>
      <c r="C223" s="43">
        <v>416.25182348805487</v>
      </c>
    </row>
    <row r="224" spans="1:3" x14ac:dyDescent="0.25">
      <c r="A224" s="39">
        <v>-95</v>
      </c>
      <c r="B224" s="43">
        <v>-88.157191965855674</v>
      </c>
      <c r="C224" s="43">
        <v>411.65499240504647</v>
      </c>
    </row>
    <row r="225" spans="1:3" x14ac:dyDescent="0.25">
      <c r="A225" s="39">
        <v>-96</v>
      </c>
      <c r="B225" s="43">
        <v>-98.751582476948272</v>
      </c>
      <c r="C225" s="43">
        <v>407.30952927618586</v>
      </c>
    </row>
    <row r="226" spans="1:3" x14ac:dyDescent="0.25">
      <c r="A226" s="41">
        <v>-97</v>
      </c>
      <c r="B226" s="43">
        <v>-113.82823069086058</v>
      </c>
      <c r="C226" s="43">
        <v>401.25979671574572</v>
      </c>
    </row>
    <row r="227" spans="1:3" x14ac:dyDescent="0.25">
      <c r="A227" s="41">
        <v>-98</v>
      </c>
      <c r="B227" s="43">
        <v>-128.62505365968622</v>
      </c>
      <c r="C227" s="43">
        <v>395.30980846355294</v>
      </c>
    </row>
    <row r="228" spans="1:3" x14ac:dyDescent="0.25">
      <c r="A228" s="39">
        <v>-99</v>
      </c>
      <c r="B228" s="43">
        <v>-143.00675562875969</v>
      </c>
      <c r="C228" s="43">
        <v>389.50027854105122</v>
      </c>
    </row>
    <row r="229" spans="1:3" x14ac:dyDescent="0.25">
      <c r="A229" s="39">
        <v>-100</v>
      </c>
      <c r="B229" s="43">
        <v>-157.02658243470074</v>
      </c>
      <c r="C229" s="43">
        <v>383.79833409596705</v>
      </c>
    </row>
    <row r="230" spans="1:3" x14ac:dyDescent="0.25">
      <c r="A230" s="41">
        <v>-101</v>
      </c>
      <c r="B230" s="43">
        <v>-170.73162334902264</v>
      </c>
      <c r="C230" s="43">
        <v>378.17434637746817</v>
      </c>
    </row>
    <row r="231" spans="1:3" x14ac:dyDescent="0.25">
      <c r="A231" s="41">
        <v>-102</v>
      </c>
      <c r="B231" s="43">
        <v>-181.41217638485517</v>
      </c>
      <c r="C231" s="43">
        <v>374.45065883183867</v>
      </c>
    </row>
    <row r="232" spans="1:3" x14ac:dyDescent="0.25">
      <c r="A232" s="39">
        <v>-103</v>
      </c>
      <c r="B232" s="43">
        <v>-194.66365236099091</v>
      </c>
      <c r="C232" s="43">
        <v>368.84220294501301</v>
      </c>
    </row>
    <row r="233" spans="1:3" x14ac:dyDescent="0.25">
      <c r="A233" s="39">
        <v>-104</v>
      </c>
      <c r="B233" s="43">
        <v>-207.70891486652471</v>
      </c>
      <c r="C233" s="43">
        <v>363.24084164669284</v>
      </c>
    </row>
    <row r="234" spans="1:3" x14ac:dyDescent="0.25">
      <c r="A234" s="41">
        <v>-105</v>
      </c>
      <c r="B234" s="43">
        <v>-220.57924062286733</v>
      </c>
      <c r="C234" s="43">
        <v>357.62477119544457</v>
      </c>
    </row>
    <row r="235" spans="1:3" x14ac:dyDescent="0.25">
      <c r="A235" s="41">
        <v>-106</v>
      </c>
      <c r="B235" s="43">
        <v>-233.3032108580307</v>
      </c>
      <c r="C235" s="43">
        <v>351.97339884522466</v>
      </c>
    </row>
    <row r="236" spans="1:3" x14ac:dyDescent="0.25">
      <c r="A236" s="39">
        <v>-107</v>
      </c>
      <c r="B236" s="43">
        <v>-245.90712815171082</v>
      </c>
      <c r="C236" s="43">
        <v>346.26707520857593</v>
      </c>
    </row>
    <row r="237" spans="1:3" x14ac:dyDescent="0.25">
      <c r="A237" s="39">
        <v>-108</v>
      </c>
      <c r="B237" s="43">
        <v>-258.41537235764019</v>
      </c>
      <c r="C237" s="43">
        <v>340.48685704052122</v>
      </c>
    </row>
    <row r="238" spans="1:3" x14ac:dyDescent="0.25">
      <c r="A238" s="41">
        <v>-109</v>
      </c>
      <c r="B238" s="43">
        <v>-270.85070658862702</v>
      </c>
      <c r="C238" s="43">
        <v>334.61429428726206</v>
      </c>
    </row>
    <row r="239" spans="1:3" x14ac:dyDescent="0.25">
      <c r="A239" s="41">
        <v>-110</v>
      </c>
      <c r="B239" s="43">
        <v>-283.23454220888783</v>
      </c>
      <c r="C239" s="43">
        <v>328.63123621868635</v>
      </c>
    </row>
    <row r="240" spans="1:3" x14ac:dyDescent="0.25">
      <c r="A240" s="39">
        <v>-111</v>
      </c>
      <c r="B240" s="43">
        <v>-295.58717015819809</v>
      </c>
      <c r="C240" s="43">
        <v>322.51965223106794</v>
      </c>
    </row>
    <row r="241" spans="1:3" x14ac:dyDescent="0.25">
      <c r="A241" s="39">
        <v>-112</v>
      </c>
      <c r="B241" s="43">
        <v>-307.92796464409685</v>
      </c>
      <c r="C241" s="43">
        <v>316.26146350503143</v>
      </c>
    </row>
    <row r="242" spans="1:3" x14ac:dyDescent="0.25">
      <c r="A242" s="41">
        <v>-113</v>
      </c>
      <c r="B242" s="43">
        <v>-320.2754621753819</v>
      </c>
      <c r="C242" s="43">
        <v>309.8384545657326</v>
      </c>
    </row>
    <row r="243" spans="1:3" x14ac:dyDescent="0.25">
      <c r="A243" s="41">
        <v>-114</v>
      </c>
      <c r="B243" s="43">
        <v>-332.34599781435207</v>
      </c>
      <c r="C243" s="43">
        <v>303.4511089554864</v>
      </c>
    </row>
    <row r="244" spans="1:3" x14ac:dyDescent="0.25">
      <c r="A244" s="39">
        <v>-115</v>
      </c>
      <c r="B244" s="43">
        <v>-343.9144888293996</v>
      </c>
      <c r="C244" s="43">
        <v>297.27586214725125</v>
      </c>
    </row>
    <row r="245" spans="1:3" x14ac:dyDescent="0.25">
      <c r="A245" s="39">
        <v>-116</v>
      </c>
      <c r="B245" s="43">
        <v>-355.04615289708943</v>
      </c>
      <c r="C245" s="43">
        <v>291.28443720680917</v>
      </c>
    </row>
    <row r="246" spans="1:3" x14ac:dyDescent="0.25">
      <c r="A246" s="41">
        <v>-117</v>
      </c>
      <c r="B246" s="43">
        <v>-365.79715431284848</v>
      </c>
      <c r="C246" s="43">
        <v>285.45202046136956</v>
      </c>
    </row>
    <row r="247" spans="1:3" x14ac:dyDescent="0.25">
      <c r="A247" s="41">
        <v>-118</v>
      </c>
      <c r="B247" s="43">
        <v>-376.21629693383738</v>
      </c>
      <c r="C247" s="43">
        <v>279.75663683376791</v>
      </c>
    </row>
    <row r="248" spans="1:3" x14ac:dyDescent="0.25">
      <c r="A248" s="39">
        <v>-119</v>
      </c>
      <c r="B248" s="43">
        <v>-386.34636134347113</v>
      </c>
      <c r="C248" s="43">
        <v>274.17864633328821</v>
      </c>
    </row>
    <row r="249" spans="1:3" x14ac:dyDescent="0.25">
      <c r="A249" s="39">
        <v>-120</v>
      </c>
      <c r="B249" s="43">
        <v>-396.22517208459288</v>
      </c>
      <c r="C249" s="43">
        <v>268.70033388846497</v>
      </c>
    </row>
    <row r="250" spans="1:3" x14ac:dyDescent="0.25">
      <c r="A250" s="41">
        <v>-121</v>
      </c>
      <c r="B250" s="43">
        <v>-405.94023611730142</v>
      </c>
      <c r="C250" s="43">
        <v>263.32723728736926</v>
      </c>
    </row>
    <row r="251" spans="1:3" x14ac:dyDescent="0.25">
      <c r="A251" s="41">
        <v>-122</v>
      </c>
      <c r="B251" s="43">
        <v>-415.45120344246618</v>
      </c>
      <c r="C251" s="43">
        <v>258.01625388892683</v>
      </c>
    </row>
    <row r="252" spans="1:3" x14ac:dyDescent="0.25">
      <c r="A252" s="39">
        <v>-123</v>
      </c>
      <c r="B252" s="43">
        <v>-424.74710652195512</v>
      </c>
      <c r="C252" s="43">
        <v>252.73785118746099</v>
      </c>
    </row>
    <row r="253" spans="1:3" x14ac:dyDescent="0.25">
      <c r="A253" s="39">
        <v>-124</v>
      </c>
      <c r="B253" s="43">
        <v>-433.82480436842718</v>
      </c>
      <c r="C253" s="43">
        <v>247.46511984754721</v>
      </c>
    </row>
    <row r="254" spans="1:3" x14ac:dyDescent="0.25">
      <c r="A254" s="41">
        <v>-125</v>
      </c>
      <c r="B254" s="43">
        <v>-442.79717442095051</v>
      </c>
      <c r="C254" s="43">
        <v>242.21947595389523</v>
      </c>
    </row>
    <row r="255" spans="1:3" x14ac:dyDescent="0.25">
      <c r="A255" s="41">
        <v>-126</v>
      </c>
      <c r="B255" s="43">
        <v>-451.69749216126434</v>
      </c>
      <c r="C255" s="43">
        <v>236.99765865788814</v>
      </c>
    </row>
    <row r="256" spans="1:3" x14ac:dyDescent="0.25">
      <c r="A256" s="39">
        <v>-127</v>
      </c>
      <c r="B256" s="43">
        <v>-460.53943415858396</v>
      </c>
      <c r="C256" s="43">
        <v>231.78606806856189</v>
      </c>
    </row>
    <row r="257" spans="1:3" x14ac:dyDescent="0.25">
      <c r="A257" s="39">
        <v>-128</v>
      </c>
      <c r="B257" s="43">
        <v>-469.3414516623186</v>
      </c>
      <c r="C257" s="43">
        <v>226.57375614142725</v>
      </c>
    </row>
    <row r="258" spans="1:3" x14ac:dyDescent="0.25">
      <c r="A258" s="41">
        <v>-129</v>
      </c>
      <c r="B258" s="43">
        <v>-478.12128341100953</v>
      </c>
      <c r="C258" s="43">
        <v>221.34996411636581</v>
      </c>
    </row>
    <row r="259" spans="1:3" x14ac:dyDescent="0.25">
      <c r="A259" s="41">
        <v>-130</v>
      </c>
      <c r="B259" s="43">
        <v>-486.89614192206284</v>
      </c>
      <c r="C259" s="43">
        <v>216.10401493289515</v>
      </c>
    </row>
    <row r="260" spans="1:3" x14ac:dyDescent="0.25">
      <c r="A260" s="39">
        <v>-131</v>
      </c>
      <c r="B260" s="43">
        <v>-495.68288398885738</v>
      </c>
      <c r="C260" s="43">
        <v>210.8252100665367</v>
      </c>
    </row>
    <row r="261" spans="1:3" x14ac:dyDescent="0.25">
      <c r="A261" s="39">
        <v>-132</v>
      </c>
      <c r="B261" s="43">
        <v>-504.49816960026413</v>
      </c>
      <c r="C261" s="43">
        <v>205.50272847169734</v>
      </c>
    </row>
    <row r="262" spans="1:3" x14ac:dyDescent="0.25">
      <c r="A262" s="41">
        <v>-133</v>
      </c>
      <c r="B262" s="43">
        <v>-513.35861294999097</v>
      </c>
      <c r="C262" s="43">
        <v>200.12552545961691</v>
      </c>
    </row>
    <row r="263" spans="1:3" x14ac:dyDescent="0.25">
      <c r="A263" s="41">
        <v>-134</v>
      </c>
      <c r="B263" s="43">
        <v>-522.28092881578209</v>
      </c>
      <c r="C263" s="43">
        <v>194.68222939959168</v>
      </c>
    </row>
    <row r="264" spans="1:3" x14ac:dyDescent="0.25">
      <c r="A264" s="39">
        <v>-135</v>
      </c>
      <c r="B264" s="43">
        <v>-531.28207733382112</v>
      </c>
      <c r="C264" s="43">
        <v>189.16103411280125</v>
      </c>
    </row>
    <row r="265" spans="1:3" x14ac:dyDescent="0.25">
      <c r="A265" s="39">
        <v>-136</v>
      </c>
      <c r="B265" s="43">
        <v>-540.3794100547326</v>
      </c>
      <c r="C265" s="43">
        <v>183.54958473327102</v>
      </c>
    </row>
    <row r="266" spans="1:3" x14ac:dyDescent="0.25">
      <c r="A266" s="41">
        <v>-137</v>
      </c>
      <c r="B266" s="43">
        <v>-546.07219732245892</v>
      </c>
      <c r="C266" s="43">
        <v>179.3878829959198</v>
      </c>
    </row>
    <row r="267" spans="1:3" x14ac:dyDescent="0.25">
      <c r="A267" s="41">
        <v>-138</v>
      </c>
      <c r="B267" s="43">
        <v>-554.7602794239142</v>
      </c>
      <c r="C267" s="43">
        <v>173.92669806005173</v>
      </c>
    </row>
    <row r="268" spans="1:3" x14ac:dyDescent="0.25">
      <c r="A268" s="39">
        <v>-139</v>
      </c>
      <c r="B268" s="43">
        <v>-563.19809008292748</v>
      </c>
      <c r="C268" s="43">
        <v>168.58665002087386</v>
      </c>
    </row>
    <row r="269" spans="1:3" x14ac:dyDescent="0.25">
      <c r="A269" s="39">
        <v>-140</v>
      </c>
      <c r="B269" s="43">
        <v>-571.40849533130995</v>
      </c>
      <c r="C269" s="43">
        <v>163.35869109914344</v>
      </c>
    </row>
    <row r="270" spans="1:3" x14ac:dyDescent="0.25">
      <c r="A270" s="41">
        <v>-141</v>
      </c>
      <c r="B270" s="43">
        <v>-579.41242196319843</v>
      </c>
      <c r="C270" s="43">
        <v>158.23438717709632</v>
      </c>
    </row>
    <row r="271" spans="1:3" x14ac:dyDescent="0.25">
      <c r="A271" s="41">
        <v>-142</v>
      </c>
      <c r="B271" s="43">
        <v>-587.22908652475644</v>
      </c>
      <c r="C271" s="43">
        <v>153.20585454577053</v>
      </c>
    </row>
    <row r="272" spans="1:3" x14ac:dyDescent="0.25">
      <c r="A272" s="39">
        <v>-143</v>
      </c>
      <c r="B272" s="43">
        <v>-594.87619536008685</v>
      </c>
      <c r="C272" s="43">
        <v>148.26570349530797</v>
      </c>
    </row>
    <row r="273" spans="1:3" x14ac:dyDescent="0.25">
      <c r="A273" s="39">
        <v>-144</v>
      </c>
      <c r="B273" s="43">
        <v>-602.37011998862556</v>
      </c>
      <c r="C273" s="43">
        <v>143.40698783883136</v>
      </c>
    </row>
    <row r="274" spans="1:3" x14ac:dyDescent="0.25">
      <c r="A274" s="41">
        <v>-145</v>
      </c>
      <c r="B274" s="43">
        <v>-609.72605140463315</v>
      </c>
      <c r="C274" s="43">
        <v>138.62315959162586</v>
      </c>
    </row>
    <row r="275" spans="1:3" x14ac:dyDescent="0.25">
      <c r="A275" s="41">
        <v>-146</v>
      </c>
      <c r="B275" s="43">
        <v>-616.95813632472448</v>
      </c>
      <c r="C275" s="43">
        <v>133.90802813577258</v>
      </c>
    </row>
    <row r="276" spans="1:3" x14ac:dyDescent="0.25">
      <c r="A276" s="39">
        <v>-147</v>
      </c>
      <c r="B276" s="43">
        <v>-624.07959794341366</v>
      </c>
      <c r="C276" s="43">
        <v>129.25572329213929</v>
      </c>
    </row>
    <row r="277" spans="1:3" x14ac:dyDescent="0.25">
      <c r="A277" s="39">
        <v>-148</v>
      </c>
      <c r="B277" s="43">
        <v>-631.10284337080986</v>
      </c>
      <c r="C277" s="43">
        <v>124.66066179894798</v>
      </c>
    </row>
    <row r="278" spans="1:3" x14ac:dyDescent="0.25">
      <c r="A278" s="41">
        <v>-149</v>
      </c>
      <c r="B278" s="43">
        <v>-638.03955960557346</v>
      </c>
      <c r="C278" s="43">
        <v>120.11751676117173</v>
      </c>
    </row>
    <row r="279" spans="1:3" x14ac:dyDescent="0.25">
      <c r="A279" s="41">
        <v>-150</v>
      </c>
      <c r="B279" s="43">
        <v>-644.90079962857135</v>
      </c>
      <c r="C279" s="43">
        <v>115.62118969009947</v>
      </c>
    </row>
    <row r="280" spans="1:3" x14ac:dyDescent="0.25">
      <c r="A280" s="39">
        <v>-151</v>
      </c>
      <c r="B280" s="43">
        <v>-651.69705997937228</v>
      </c>
      <c r="C280" s="43">
        <v>111.16678479917876</v>
      </c>
    </row>
    <row r="281" spans="1:3" x14ac:dyDescent="0.25">
      <c r="A281" s="39">
        <v>-152</v>
      </c>
      <c r="B281" s="43">
        <v>-658.43835099052626</v>
      </c>
      <c r="C281" s="43">
        <v>106.74958526180137</v>
      </c>
    </row>
    <row r="282" spans="1:3" x14ac:dyDescent="0.25">
      <c r="A282" s="41">
        <v>-153</v>
      </c>
      <c r="B282" s="43">
        <v>-664.52047117527979</v>
      </c>
      <c r="C282" s="43">
        <v>102.40394160936447</v>
      </c>
    </row>
    <row r="283" spans="1:3" x14ac:dyDescent="0.25">
      <c r="A283" s="41">
        <v>-154</v>
      </c>
      <c r="B283" s="43">
        <v>-670.45593718929388</v>
      </c>
      <c r="C283" s="43">
        <v>98.086496219730961</v>
      </c>
    </row>
    <row r="284" spans="1:3" x14ac:dyDescent="0.25">
      <c r="A284" s="39">
        <v>-155</v>
      </c>
      <c r="B284" s="43">
        <v>-676.39021184967805</v>
      </c>
      <c r="C284" s="43">
        <v>93.782991436095159</v>
      </c>
    </row>
    <row r="285" spans="1:3" x14ac:dyDescent="0.25">
      <c r="A285" s="39">
        <v>-156</v>
      </c>
      <c r="B285" s="43">
        <v>-682.3336743150935</v>
      </c>
      <c r="C285" s="43">
        <v>89.488405963090571</v>
      </c>
    </row>
    <row r="286" spans="1:3" x14ac:dyDescent="0.25">
      <c r="A286" s="41">
        <v>-157</v>
      </c>
      <c r="B286" s="43">
        <v>-688.29668850214421</v>
      </c>
      <c r="C286" s="43">
        <v>85.197720772034131</v>
      </c>
    </row>
    <row r="287" spans="1:3" x14ac:dyDescent="0.25">
      <c r="A287" s="41">
        <v>-158</v>
      </c>
      <c r="B287" s="43">
        <v>-694.28966645064577</v>
      </c>
      <c r="C287" s="43">
        <v>80.905893981890287</v>
      </c>
    </row>
    <row r="288" spans="1:3" x14ac:dyDescent="0.25">
      <c r="A288" s="39">
        <v>-159</v>
      </c>
      <c r="B288" s="43">
        <v>-700.32313173915691</v>
      </c>
      <c r="C288" s="43">
        <v>76.607835319821717</v>
      </c>
    </row>
    <row r="289" spans="1:3" x14ac:dyDescent="0.25">
      <c r="A289" s="39">
        <v>-160</v>
      </c>
      <c r="B289" s="43">
        <v>-706.40778369070426</v>
      </c>
      <c r="C289" s="43">
        <v>72.298379889910137</v>
      </c>
    </row>
    <row r="290" spans="1:3" x14ac:dyDescent="0.25">
      <c r="A290" s="41">
        <v>-161</v>
      </c>
      <c r="B290" s="43">
        <v>-711.61127534310049</v>
      </c>
      <c r="C290" s="43">
        <v>68.76161360899448</v>
      </c>
    </row>
    <row r="291" spans="1:3" x14ac:dyDescent="0.25">
      <c r="A291" s="41">
        <v>-162</v>
      </c>
      <c r="B291" s="43">
        <v>-716.4322890580396</v>
      </c>
      <c r="C291" s="43">
        <v>65.625104107479956</v>
      </c>
    </row>
    <row r="292" spans="1:3" x14ac:dyDescent="0.25">
      <c r="A292" s="39">
        <v>-163</v>
      </c>
      <c r="B292" s="43">
        <v>-721.20728272345298</v>
      </c>
      <c r="C292" s="43">
        <v>62.405446892744301</v>
      </c>
    </row>
    <row r="293" spans="1:3" x14ac:dyDescent="0.25">
      <c r="A293" s="39">
        <v>-164</v>
      </c>
      <c r="B293" s="43">
        <v>-726.06577153053081</v>
      </c>
      <c r="C293" s="43">
        <v>59.166356809070429</v>
      </c>
    </row>
    <row r="294" spans="1:3" x14ac:dyDescent="0.25">
      <c r="A294" s="41">
        <v>-165</v>
      </c>
      <c r="B294" s="43">
        <v>-731.04917461412674</v>
      </c>
      <c r="C294" s="43">
        <v>55.916651902732063</v>
      </c>
    </row>
    <row r="295" spans="1:3" x14ac:dyDescent="0.25">
      <c r="A295" s="41">
        <v>-166</v>
      </c>
      <c r="B295" s="43">
        <v>-736.17726891397615</v>
      </c>
      <c r="C295" s="43">
        <v>52.65091625702933</v>
      </c>
    </row>
    <row r="296" spans="1:3" x14ac:dyDescent="0.25">
      <c r="A296" s="39">
        <v>-167</v>
      </c>
      <c r="B296" s="43">
        <v>-741.47206350313388</v>
      </c>
      <c r="C296" s="43">
        <v>49.363292028650839</v>
      </c>
    </row>
    <row r="297" spans="1:3" x14ac:dyDescent="0.25">
      <c r="A297" s="39">
        <v>-168</v>
      </c>
      <c r="B297" s="43">
        <v>-746.95824886442472</v>
      </c>
      <c r="C297" s="43">
        <v>46.047377290857426</v>
      </c>
    </row>
    <row r="298" spans="1:3" x14ac:dyDescent="0.25">
      <c r="A298" s="41">
        <v>-169</v>
      </c>
      <c r="B298" s="43">
        <v>-752.66374656089329</v>
      </c>
      <c r="C298" s="43">
        <v>42.69610063166926</v>
      </c>
    </row>
    <row r="299" spans="1:3" x14ac:dyDescent="0.25">
      <c r="A299" s="41">
        <v>-170</v>
      </c>
      <c r="B299" s="43">
        <v>-758.62038818920018</v>
      </c>
      <c r="C299" s="43">
        <v>39.301565386618655</v>
      </c>
    </row>
    <row r="300" spans="1:3" x14ac:dyDescent="0.25">
      <c r="A300" s="39">
        <v>-171</v>
      </c>
      <c r="B300" s="43">
        <v>-764.86476226878972</v>
      </c>
      <c r="C300" s="43">
        <v>35.854853833176705</v>
      </c>
    </row>
    <row r="301" spans="1:3" x14ac:dyDescent="0.25">
      <c r="A301" s="39">
        <v>-172</v>
      </c>
      <c r="B301" s="43">
        <v>-771.43928137491628</v>
      </c>
      <c r="C301" s="43">
        <v>32.345778032306541</v>
      </c>
    </row>
    <row r="302" spans="1:3" x14ac:dyDescent="0.25">
      <c r="A302" s="41">
        <v>-173</v>
      </c>
      <c r="B302" s="43">
        <v>-778.39354117168796</v>
      </c>
      <c r="C302" s="43">
        <v>28.762558738053638</v>
      </c>
    </row>
    <row r="303" spans="1:3" x14ac:dyDescent="0.25">
      <c r="A303" s="41">
        <v>-174</v>
      </c>
      <c r="B303" s="43">
        <v>-785.78607077242611</v>
      </c>
      <c r="C303" s="43">
        <v>25.091406063368673</v>
      </c>
    </row>
    <row r="304" spans="1:3" x14ac:dyDescent="0.25">
      <c r="A304" s="39">
        <v>-175</v>
      </c>
      <c r="B304" s="43">
        <v>-793.68661428689688</v>
      </c>
      <c r="C304" s="43">
        <v>21.315964045511315</v>
      </c>
    </row>
    <row r="305" spans="1:3" x14ac:dyDescent="0.25">
      <c r="A305" s="39">
        <v>-176</v>
      </c>
      <c r="B305" s="43">
        <v>-802.17914317951784</v>
      </c>
      <c r="C305" s="43">
        <v>17.416563709342118</v>
      </c>
    </row>
    <row r="306" spans="1:3" x14ac:dyDescent="0.25">
      <c r="A306" s="41">
        <v>-177</v>
      </c>
      <c r="B306" s="43">
        <v>-811.36588880108059</v>
      </c>
      <c r="C306" s="43">
        <v>13.369202042554793</v>
      </c>
    </row>
    <row r="307" spans="1:3" x14ac:dyDescent="0.25">
      <c r="A307" s="41">
        <v>-178</v>
      </c>
      <c r="B307" s="43">
        <v>-821.37282148431791</v>
      </c>
      <c r="C307" s="43">
        <v>9.1441213015380018</v>
      </c>
    </row>
    <row r="308" spans="1:3" x14ac:dyDescent="0.25">
      <c r="A308" s="39">
        <v>-179</v>
      </c>
      <c r="B308" s="43">
        <v>-832.3572154478943</v>
      </c>
      <c r="C308" s="43">
        <v>4.7037935297755151</v>
      </c>
    </row>
    <row r="309" spans="1:3" x14ac:dyDescent="0.25">
      <c r="A309" s="39">
        <v>-180</v>
      </c>
      <c r="B309" s="43">
        <v>-841.11424587221609</v>
      </c>
      <c r="C309" s="43">
        <v>6.5850418484547959E-14</v>
      </c>
    </row>
    <row r="310" spans="1:3" x14ac:dyDescent="0.25">
      <c r="A310" s="41">
        <v>-181</v>
      </c>
      <c r="B310" s="43">
        <v>-832.35721544789419</v>
      </c>
      <c r="C310" s="43">
        <v>-4.7037935297756004</v>
      </c>
    </row>
    <row r="311" spans="1:3" x14ac:dyDescent="0.25">
      <c r="A311" s="41">
        <v>-182</v>
      </c>
      <c r="B311" s="43">
        <v>-821.37282148431802</v>
      </c>
      <c r="C311" s="43">
        <v>-9.1441213015380516</v>
      </c>
    </row>
    <row r="312" spans="1:3" x14ac:dyDescent="0.25">
      <c r="A312" s="39">
        <v>-183</v>
      </c>
      <c r="B312" s="43">
        <v>-811.36588880108036</v>
      </c>
      <c r="C312" s="43">
        <v>-13.369202042554727</v>
      </c>
    </row>
    <row r="313" spans="1:3" x14ac:dyDescent="0.25">
      <c r="A313" s="39">
        <v>-184</v>
      </c>
      <c r="B313" s="43">
        <v>-802.17914317951772</v>
      </c>
      <c r="C313" s="43">
        <v>-17.41656370934211</v>
      </c>
    </row>
    <row r="314" spans="1:3" x14ac:dyDescent="0.25">
      <c r="A314" s="41">
        <v>-185</v>
      </c>
      <c r="B314" s="43">
        <v>-793.68661428689688</v>
      </c>
      <c r="C314" s="43">
        <v>-21.315964045511198</v>
      </c>
    </row>
    <row r="315" spans="1:3" x14ac:dyDescent="0.25">
      <c r="A315" s="41">
        <v>-186</v>
      </c>
      <c r="B315" s="43">
        <v>-785.78607077242611</v>
      </c>
      <c r="C315" s="43">
        <v>-25.09140606336862</v>
      </c>
    </row>
    <row r="316" spans="1:3" x14ac:dyDescent="0.25">
      <c r="A316" s="39">
        <v>-187</v>
      </c>
      <c r="B316" s="43">
        <v>-778.3935411716883</v>
      </c>
      <c r="C316" s="43">
        <v>-28.762558738053649</v>
      </c>
    </row>
    <row r="317" spans="1:3" x14ac:dyDescent="0.25">
      <c r="A317" s="39">
        <v>-188</v>
      </c>
      <c r="B317" s="43">
        <v>-771.43928137491605</v>
      </c>
      <c r="C317" s="43">
        <v>-32.345778032306612</v>
      </c>
    </row>
    <row r="318" spans="1:3" x14ac:dyDescent="0.25">
      <c r="A318" s="41">
        <v>-189</v>
      </c>
      <c r="B318" s="43">
        <v>-764.86476226879017</v>
      </c>
      <c r="C318" s="43">
        <v>-35.854853833176598</v>
      </c>
    </row>
    <row r="319" spans="1:3" x14ac:dyDescent="0.25">
      <c r="A319" s="41">
        <v>-190</v>
      </c>
      <c r="B319" s="43">
        <v>-758.6203881892003</v>
      </c>
      <c r="C319" s="43">
        <v>-39.301565386618726</v>
      </c>
    </row>
    <row r="320" spans="1:3" x14ac:dyDescent="0.25">
      <c r="A320" s="39">
        <v>-191</v>
      </c>
      <c r="B320" s="43">
        <v>-752.66374656089306</v>
      </c>
      <c r="C320" s="43">
        <v>-42.696100631669175</v>
      </c>
    </row>
    <row r="321" spans="1:3" x14ac:dyDescent="0.25">
      <c r="A321" s="39">
        <v>-192</v>
      </c>
      <c r="B321" s="43">
        <v>-746.95824886442438</v>
      </c>
      <c r="C321" s="43">
        <v>-46.047377290857419</v>
      </c>
    </row>
    <row r="322" spans="1:3" x14ac:dyDescent="0.25">
      <c r="A322" s="41">
        <v>-193</v>
      </c>
      <c r="B322" s="43">
        <v>-741.47206350313388</v>
      </c>
      <c r="C322" s="43">
        <v>-49.36329202865069</v>
      </c>
    </row>
    <row r="323" spans="1:3" x14ac:dyDescent="0.25">
      <c r="A323" s="41">
        <v>-194</v>
      </c>
      <c r="B323" s="43">
        <v>-736.17726891397604</v>
      </c>
      <c r="C323" s="43">
        <v>-52.650916257029202</v>
      </c>
    </row>
    <row r="324" spans="1:3" x14ac:dyDescent="0.25">
      <c r="A324" s="39">
        <v>-195</v>
      </c>
      <c r="B324" s="43">
        <v>-731.04917461412685</v>
      </c>
      <c r="C324" s="43">
        <v>-55.91665190273207</v>
      </c>
    </row>
    <row r="325" spans="1:3" x14ac:dyDescent="0.25">
      <c r="A325" s="39">
        <v>-196</v>
      </c>
      <c r="B325" s="43">
        <v>-726.06577153053081</v>
      </c>
      <c r="C325" s="43">
        <v>-59.166356809070294</v>
      </c>
    </row>
    <row r="326" spans="1:3" x14ac:dyDescent="0.25">
      <c r="A326" s="41">
        <v>-197</v>
      </c>
      <c r="B326" s="43">
        <v>-721.20728272345275</v>
      </c>
      <c r="C326" s="43">
        <v>-62.405446892744301</v>
      </c>
    </row>
    <row r="327" spans="1:3" x14ac:dyDescent="0.25">
      <c r="A327" s="41">
        <v>-198</v>
      </c>
      <c r="B327" s="43">
        <v>-716.43228905803971</v>
      </c>
      <c r="C327" s="43">
        <v>-65.625104107479928</v>
      </c>
    </row>
    <row r="328" spans="1:3" x14ac:dyDescent="0.25">
      <c r="A328" s="39">
        <v>-199</v>
      </c>
      <c r="B328" s="43">
        <v>-711.61127534310015</v>
      </c>
      <c r="C328" s="43">
        <v>-68.761613608994551</v>
      </c>
    </row>
    <row r="329" spans="1:3" x14ac:dyDescent="0.25">
      <c r="A329" s="39">
        <v>-200</v>
      </c>
      <c r="B329" s="43">
        <v>-706.40778369070438</v>
      </c>
      <c r="C329" s="43">
        <v>-72.298379889910095</v>
      </c>
    </row>
    <row r="330" spans="1:3" x14ac:dyDescent="0.25">
      <c r="A330" s="41">
        <v>-201</v>
      </c>
      <c r="B330" s="43">
        <v>-700.32313173915713</v>
      </c>
      <c r="C330" s="43">
        <v>-76.607835319821717</v>
      </c>
    </row>
    <row r="331" spans="1:3" x14ac:dyDescent="0.25">
      <c r="A331" s="41">
        <v>-202</v>
      </c>
      <c r="B331" s="43">
        <v>-694.289666450646</v>
      </c>
      <c r="C331" s="43">
        <v>-80.905893981890287</v>
      </c>
    </row>
    <row r="332" spans="1:3" x14ac:dyDescent="0.25">
      <c r="A332" s="39">
        <v>-203</v>
      </c>
      <c r="B332" s="43">
        <v>-688.29668850214398</v>
      </c>
      <c r="C332" s="43">
        <v>-85.197720772033932</v>
      </c>
    </row>
    <row r="333" spans="1:3" x14ac:dyDescent="0.25">
      <c r="A333" s="39">
        <v>-204</v>
      </c>
      <c r="B333" s="43">
        <v>-682.33367431509373</v>
      </c>
      <c r="C333" s="43">
        <v>-89.488405963090642</v>
      </c>
    </row>
    <row r="334" spans="1:3" x14ac:dyDescent="0.25">
      <c r="A334" s="41">
        <v>-205</v>
      </c>
      <c r="B334" s="43">
        <v>-676.39021184967805</v>
      </c>
      <c r="C334" s="43">
        <v>-93.782991436095088</v>
      </c>
    </row>
    <row r="335" spans="1:3" x14ac:dyDescent="0.25">
      <c r="A335" s="41">
        <v>-206</v>
      </c>
      <c r="B335" s="43">
        <v>-670.45593718929376</v>
      </c>
      <c r="C335" s="43">
        <v>-98.086496219731117</v>
      </c>
    </row>
    <row r="336" spans="1:3" x14ac:dyDescent="0.25">
      <c r="A336" s="39">
        <v>-207</v>
      </c>
      <c r="B336" s="43">
        <v>-664.52047117527968</v>
      </c>
      <c r="C336" s="43">
        <v>-102.40394160936432</v>
      </c>
    </row>
    <row r="337" spans="1:3" x14ac:dyDescent="0.25">
      <c r="A337" s="39">
        <v>-208</v>
      </c>
      <c r="B337" s="43">
        <v>-658.43835099052626</v>
      </c>
      <c r="C337" s="43">
        <v>-106.74958526180141</v>
      </c>
    </row>
    <row r="338" spans="1:3" x14ac:dyDescent="0.25">
      <c r="A338" s="41">
        <v>-209</v>
      </c>
      <c r="B338" s="43">
        <v>-651.69705997937228</v>
      </c>
      <c r="C338" s="43">
        <v>-111.16678479917859</v>
      </c>
    </row>
    <row r="339" spans="1:3" x14ac:dyDescent="0.25">
      <c r="A339" s="41">
        <v>-210</v>
      </c>
      <c r="B339" s="43">
        <v>-644.90079962857101</v>
      </c>
      <c r="C339" s="43">
        <v>-115.62118969009951</v>
      </c>
    </row>
    <row r="340" spans="1:3" x14ac:dyDescent="0.25">
      <c r="A340" s="39">
        <v>-211</v>
      </c>
      <c r="B340" s="43">
        <v>-638.03955960557369</v>
      </c>
      <c r="C340" s="43">
        <v>-120.11751676117163</v>
      </c>
    </row>
    <row r="341" spans="1:3" x14ac:dyDescent="0.25">
      <c r="A341" s="39">
        <v>-212</v>
      </c>
      <c r="B341" s="43">
        <v>-631.10284337081021</v>
      </c>
      <c r="C341" s="43">
        <v>-124.66066179894794</v>
      </c>
    </row>
    <row r="342" spans="1:3" x14ac:dyDescent="0.25">
      <c r="A342" s="41">
        <v>-213</v>
      </c>
      <c r="B342" s="43">
        <v>-624.07959794341355</v>
      </c>
      <c r="C342" s="43">
        <v>-129.25572329213912</v>
      </c>
    </row>
    <row r="343" spans="1:3" x14ac:dyDescent="0.25">
      <c r="A343" s="41">
        <v>-214</v>
      </c>
      <c r="B343" s="43">
        <v>-616.95813632472471</v>
      </c>
      <c r="C343" s="43">
        <v>-133.9080281357725</v>
      </c>
    </row>
    <row r="344" spans="1:3" x14ac:dyDescent="0.25">
      <c r="A344" s="39">
        <v>-215</v>
      </c>
      <c r="B344" s="43">
        <v>-609.72605140463304</v>
      </c>
      <c r="C344" s="43">
        <v>-138.62315959162589</v>
      </c>
    </row>
    <row r="345" spans="1:3" x14ac:dyDescent="0.25">
      <c r="A345" s="39">
        <v>-216</v>
      </c>
      <c r="B345" s="43">
        <v>-602.37011998862567</v>
      </c>
      <c r="C345" s="43">
        <v>-143.4069878388313</v>
      </c>
    </row>
    <row r="346" spans="1:3" x14ac:dyDescent="0.25">
      <c r="A346" s="41">
        <v>-217</v>
      </c>
      <c r="B346" s="43">
        <v>-594.87619536008697</v>
      </c>
      <c r="C346" s="43">
        <v>-148.26570349530809</v>
      </c>
    </row>
    <row r="347" spans="1:3" x14ac:dyDescent="0.25">
      <c r="A347" s="41">
        <v>-218</v>
      </c>
      <c r="B347" s="43">
        <v>-587.22908652475655</v>
      </c>
      <c r="C347" s="43">
        <v>-153.20585454577051</v>
      </c>
    </row>
    <row r="348" spans="1:3" x14ac:dyDescent="0.25">
      <c r="A348" s="39">
        <v>-219</v>
      </c>
      <c r="B348" s="43">
        <v>-579.41242196319831</v>
      </c>
      <c r="C348" s="43">
        <v>-158.23438717709644</v>
      </c>
    </row>
    <row r="349" spans="1:3" x14ac:dyDescent="0.25">
      <c r="A349" s="39">
        <v>-220</v>
      </c>
      <c r="B349" s="43">
        <v>-571.40849533130972</v>
      </c>
      <c r="C349" s="43">
        <v>-163.35869109914327</v>
      </c>
    </row>
    <row r="350" spans="1:3" x14ac:dyDescent="0.25">
      <c r="A350" s="41">
        <v>-221</v>
      </c>
      <c r="B350" s="43">
        <v>-563.19809008292737</v>
      </c>
      <c r="C350" s="43">
        <v>-168.58665002087361</v>
      </c>
    </row>
    <row r="351" spans="1:3" x14ac:dyDescent="0.25">
      <c r="A351" s="41">
        <v>-222</v>
      </c>
      <c r="B351" s="43">
        <v>-554.76027942391454</v>
      </c>
      <c r="C351" s="43">
        <v>-173.92669806005168</v>
      </c>
    </row>
    <row r="352" spans="1:3" x14ac:dyDescent="0.25">
      <c r="A352" s="39">
        <v>-223</v>
      </c>
      <c r="B352" s="43">
        <v>-546.07219732245892</v>
      </c>
      <c r="C352" s="43">
        <v>-179.38788299591977</v>
      </c>
    </row>
    <row r="353" spans="1:3" x14ac:dyDescent="0.25">
      <c r="A353" s="39">
        <v>-224</v>
      </c>
      <c r="B353" s="43">
        <v>-540.3794100547326</v>
      </c>
      <c r="C353" s="43">
        <v>-183.54958473327102</v>
      </c>
    </row>
    <row r="354" spans="1:3" x14ac:dyDescent="0.25">
      <c r="A354" s="41">
        <v>-225</v>
      </c>
      <c r="B354" s="43">
        <v>-531.28207733382146</v>
      </c>
      <c r="C354" s="43">
        <v>-189.16103411280119</v>
      </c>
    </row>
    <row r="355" spans="1:3" x14ac:dyDescent="0.25">
      <c r="A355" s="41">
        <v>-226</v>
      </c>
      <c r="B355" s="43">
        <v>-522.28092881578198</v>
      </c>
      <c r="C355" s="43">
        <v>-194.68222939959171</v>
      </c>
    </row>
    <row r="356" spans="1:3" x14ac:dyDescent="0.25">
      <c r="A356" s="39">
        <v>-227</v>
      </c>
      <c r="B356" s="43">
        <v>-513.35861294999108</v>
      </c>
      <c r="C356" s="43">
        <v>-200.12552545961685</v>
      </c>
    </row>
    <row r="357" spans="1:3" x14ac:dyDescent="0.25">
      <c r="A357" s="39">
        <v>-228</v>
      </c>
      <c r="B357" s="43">
        <v>-504.49816960026413</v>
      </c>
      <c r="C357" s="43">
        <v>-205.50272847169737</v>
      </c>
    </row>
    <row r="358" spans="1:3" x14ac:dyDescent="0.25">
      <c r="A358" s="41">
        <v>-229</v>
      </c>
      <c r="B358" s="43">
        <v>-495.68288398885738</v>
      </c>
      <c r="C358" s="43">
        <v>-210.82521006653661</v>
      </c>
    </row>
    <row r="359" spans="1:3" x14ac:dyDescent="0.25">
      <c r="A359" s="41">
        <v>-230</v>
      </c>
      <c r="B359" s="43">
        <v>-486.8961419220629</v>
      </c>
      <c r="C359" s="43">
        <v>-216.10401493289527</v>
      </c>
    </row>
    <row r="360" spans="1:3" x14ac:dyDescent="0.25">
      <c r="A360" s="39">
        <v>-231</v>
      </c>
      <c r="B360" s="43">
        <v>-478.12128341100976</v>
      </c>
      <c r="C360" s="43">
        <v>-221.34996411636556</v>
      </c>
    </row>
    <row r="361" spans="1:3" x14ac:dyDescent="0.25">
      <c r="A361" s="39">
        <v>-232</v>
      </c>
      <c r="B361" s="43">
        <v>-469.34145166231832</v>
      </c>
      <c r="C361" s="43">
        <v>-226.57375614142742</v>
      </c>
    </row>
    <row r="362" spans="1:3" x14ac:dyDescent="0.25">
      <c r="A362" s="41">
        <v>-233</v>
      </c>
      <c r="B362" s="43">
        <v>-460.53943415858373</v>
      </c>
      <c r="C362" s="43">
        <v>-231.78606806856183</v>
      </c>
    </row>
    <row r="363" spans="1:3" x14ac:dyDescent="0.25">
      <c r="A363" s="41">
        <v>-234</v>
      </c>
      <c r="B363" s="43">
        <v>-451.69749216126456</v>
      </c>
      <c r="C363" s="43">
        <v>-236.99765865788802</v>
      </c>
    </row>
    <row r="364" spans="1:3" x14ac:dyDescent="0.25">
      <c r="A364" s="39">
        <v>-235</v>
      </c>
      <c r="B364" s="43">
        <v>-442.79717442095085</v>
      </c>
      <c r="C364" s="43">
        <v>-242.21947595389526</v>
      </c>
    </row>
    <row r="365" spans="1:3" x14ac:dyDescent="0.25">
      <c r="A365" s="39">
        <v>-236</v>
      </c>
      <c r="B365" s="43">
        <v>-433.82480436842707</v>
      </c>
      <c r="C365" s="43">
        <v>-247.46511984754733</v>
      </c>
    </row>
    <row r="366" spans="1:3" x14ac:dyDescent="0.25">
      <c r="A366" s="41">
        <v>-237</v>
      </c>
      <c r="B366" s="43">
        <v>-424.74710652195506</v>
      </c>
      <c r="C366" s="43">
        <v>-252.73785118746108</v>
      </c>
    </row>
    <row r="367" spans="1:3" x14ac:dyDescent="0.25">
      <c r="A367" s="41">
        <v>-238</v>
      </c>
      <c r="B367" s="43">
        <v>-415.45120344246646</v>
      </c>
      <c r="C367" s="43">
        <v>-258.01625388892683</v>
      </c>
    </row>
    <row r="368" spans="1:3" x14ac:dyDescent="0.25">
      <c r="A368" s="39">
        <v>-239</v>
      </c>
      <c r="B368" s="43">
        <v>-405.94023611730148</v>
      </c>
      <c r="C368" s="43">
        <v>-263.32723728736897</v>
      </c>
    </row>
    <row r="369" spans="1:3" x14ac:dyDescent="0.25">
      <c r="A369" s="39">
        <v>-240</v>
      </c>
      <c r="B369" s="43">
        <v>-396.22517208459357</v>
      </c>
      <c r="C369" s="43">
        <v>-268.7003338884648</v>
      </c>
    </row>
    <row r="370" spans="1:3" x14ac:dyDescent="0.25">
      <c r="A370" s="41">
        <v>-241</v>
      </c>
      <c r="B370" s="43">
        <v>-386.34636134347113</v>
      </c>
      <c r="C370" s="43">
        <v>-274.17864633328844</v>
      </c>
    </row>
    <row r="371" spans="1:3" x14ac:dyDescent="0.25">
      <c r="A371" s="41">
        <v>-242</v>
      </c>
      <c r="B371" s="43">
        <v>-376.21629693383721</v>
      </c>
      <c r="C371" s="43">
        <v>-279.75663683376803</v>
      </c>
    </row>
    <row r="372" spans="1:3" x14ac:dyDescent="0.25">
      <c r="A372" s="39">
        <v>-243</v>
      </c>
      <c r="B372" s="43">
        <v>-365.79715431284876</v>
      </c>
      <c r="C372" s="43">
        <v>-285.45202046136944</v>
      </c>
    </row>
    <row r="373" spans="1:3" x14ac:dyDescent="0.25">
      <c r="A373" s="39">
        <v>-244</v>
      </c>
      <c r="B373" s="43">
        <v>-355.04615289708937</v>
      </c>
      <c r="C373" s="43">
        <v>-291.28443720680889</v>
      </c>
    </row>
    <row r="374" spans="1:3" x14ac:dyDescent="0.25">
      <c r="A374" s="41">
        <v>-245</v>
      </c>
      <c r="B374" s="43">
        <v>-343.91448882939943</v>
      </c>
      <c r="C374" s="43">
        <v>-297.27586214725142</v>
      </c>
    </row>
    <row r="375" spans="1:3" x14ac:dyDescent="0.25">
      <c r="A375" s="41">
        <v>-246</v>
      </c>
      <c r="B375" s="43">
        <v>-332.34599781435202</v>
      </c>
      <c r="C375" s="43">
        <v>-303.45110895548652</v>
      </c>
    </row>
    <row r="376" spans="1:3" x14ac:dyDescent="0.25">
      <c r="A376" s="39">
        <v>-247</v>
      </c>
      <c r="B376" s="43">
        <v>-320.27546217538207</v>
      </c>
      <c r="C376" s="43">
        <v>-309.83845456573266</v>
      </c>
    </row>
    <row r="377" spans="1:3" x14ac:dyDescent="0.25">
      <c r="A377" s="39">
        <v>-248</v>
      </c>
      <c r="B377" s="43">
        <v>-307.92796464409707</v>
      </c>
      <c r="C377" s="43">
        <v>-316.26146350503137</v>
      </c>
    </row>
    <row r="378" spans="1:3" x14ac:dyDescent="0.25">
      <c r="A378" s="41">
        <v>-249</v>
      </c>
      <c r="B378" s="43">
        <v>-295.58717015819866</v>
      </c>
      <c r="C378" s="43">
        <v>-322.51965223106782</v>
      </c>
    </row>
    <row r="379" spans="1:3" x14ac:dyDescent="0.25">
      <c r="A379" s="41">
        <v>-250</v>
      </c>
      <c r="B379" s="43">
        <v>-283.23454220888772</v>
      </c>
      <c r="C379" s="43">
        <v>-328.63123621868635</v>
      </c>
    </row>
    <row r="380" spans="1:3" x14ac:dyDescent="0.25">
      <c r="A380" s="39">
        <v>-251</v>
      </c>
      <c r="B380" s="43">
        <v>-270.85070658862696</v>
      </c>
      <c r="C380" s="43">
        <v>-334.61429428726206</v>
      </c>
    </row>
    <row r="381" spans="1:3" x14ac:dyDescent="0.25">
      <c r="A381" s="39">
        <v>-252</v>
      </c>
      <c r="B381" s="43">
        <v>-258.41537235764036</v>
      </c>
      <c r="C381" s="43">
        <v>-340.48685704052104</v>
      </c>
    </row>
    <row r="382" spans="1:3" x14ac:dyDescent="0.25">
      <c r="A382" s="41">
        <v>-253</v>
      </c>
      <c r="B382" s="43">
        <v>-245.90712815171102</v>
      </c>
      <c r="C382" s="43">
        <v>-346.26707520857565</v>
      </c>
    </row>
    <row r="383" spans="1:3" x14ac:dyDescent="0.25">
      <c r="A383" s="41">
        <v>-254</v>
      </c>
      <c r="B383" s="43">
        <v>-233.3032108580305</v>
      </c>
      <c r="C383" s="43">
        <v>-351.97339884522506</v>
      </c>
    </row>
    <row r="384" spans="1:3" x14ac:dyDescent="0.25">
      <c r="A384" s="39">
        <v>-255</v>
      </c>
      <c r="B384" s="43">
        <v>-220.57924062286705</v>
      </c>
      <c r="C384" s="43">
        <v>-357.62477119544474</v>
      </c>
    </row>
    <row r="385" spans="1:3" x14ac:dyDescent="0.25">
      <c r="A385" s="39">
        <v>-256</v>
      </c>
      <c r="B385" s="43">
        <v>-207.70891486652476</v>
      </c>
      <c r="C385" s="43">
        <v>-363.24084164669284</v>
      </c>
    </row>
    <row r="386" spans="1:3" x14ac:dyDescent="0.25">
      <c r="A386" s="41">
        <v>-257</v>
      </c>
      <c r="B386" s="43">
        <v>-194.66365236099099</v>
      </c>
      <c r="C386" s="43">
        <v>-368.84220294501284</v>
      </c>
    </row>
    <row r="387" spans="1:3" x14ac:dyDescent="0.25">
      <c r="A387" s="41">
        <v>-258</v>
      </c>
      <c r="B387" s="43">
        <v>-181.41217638485571</v>
      </c>
      <c r="C387" s="43">
        <v>-374.45065883183861</v>
      </c>
    </row>
    <row r="388" spans="1:3" x14ac:dyDescent="0.25">
      <c r="A388" s="39">
        <v>-259</v>
      </c>
      <c r="B388" s="43">
        <v>-170.73162334902256</v>
      </c>
      <c r="C388" s="43">
        <v>-378.17434637746811</v>
      </c>
    </row>
    <row r="389" spans="1:3" x14ac:dyDescent="0.25">
      <c r="A389" s="39">
        <v>-260</v>
      </c>
      <c r="B389" s="43">
        <v>-157.0265824347008</v>
      </c>
      <c r="C389" s="43">
        <v>-383.79833409596705</v>
      </c>
    </row>
    <row r="390" spans="1:3" x14ac:dyDescent="0.25">
      <c r="A390" s="41">
        <v>-261</v>
      </c>
      <c r="B390" s="43">
        <v>-143.00675562875998</v>
      </c>
      <c r="C390" s="43">
        <v>-389.50027854105093</v>
      </c>
    </row>
    <row r="391" spans="1:3" x14ac:dyDescent="0.25">
      <c r="A391" s="41">
        <v>-262</v>
      </c>
      <c r="B391" s="43">
        <v>-128.62505365968659</v>
      </c>
      <c r="C391" s="43">
        <v>-395.30980846355277</v>
      </c>
    </row>
    <row r="392" spans="1:3" x14ac:dyDescent="0.25">
      <c r="A392" s="39">
        <v>-263</v>
      </c>
      <c r="B392" s="43">
        <v>-113.82823069086041</v>
      </c>
      <c r="C392" s="43">
        <v>-401.25979671574567</v>
      </c>
    </row>
    <row r="393" spans="1:3" x14ac:dyDescent="0.25">
      <c r="A393" s="39">
        <v>-264</v>
      </c>
      <c r="B393" s="43">
        <v>-98.751582476948073</v>
      </c>
      <c r="C393" s="43">
        <v>-407.30952927618603</v>
      </c>
    </row>
    <row r="394" spans="1:3" x14ac:dyDescent="0.25">
      <c r="A394" s="41">
        <v>-265</v>
      </c>
      <c r="B394" s="43">
        <v>-88.157191965855688</v>
      </c>
      <c r="C394" s="43">
        <v>-411.65499240504647</v>
      </c>
    </row>
    <row r="395" spans="1:3" x14ac:dyDescent="0.25">
      <c r="A395" s="41">
        <v>-266</v>
      </c>
      <c r="B395" s="43">
        <v>-77.356746873458263</v>
      </c>
      <c r="C395" s="43">
        <v>-416.25182348805475</v>
      </c>
    </row>
    <row r="396" spans="1:3" x14ac:dyDescent="0.25">
      <c r="A396" s="39">
        <v>-267</v>
      </c>
      <c r="B396" s="43">
        <v>-66.301663719809454</v>
      </c>
      <c r="C396" s="43">
        <v>-421.1815469405559</v>
      </c>
    </row>
    <row r="397" spans="1:3" x14ac:dyDescent="0.25">
      <c r="A397" s="39">
        <v>-268</v>
      </c>
      <c r="B397" s="43">
        <v>-54.930701382849122</v>
      </c>
      <c r="C397" s="43">
        <v>-426.54814766509219</v>
      </c>
    </row>
    <row r="398" spans="1:3" x14ac:dyDescent="0.25">
      <c r="A398" s="41">
        <v>-269</v>
      </c>
      <c r="B398" s="43">
        <v>-43.16475714337632</v>
      </c>
      <c r="C398" s="43">
        <v>-432.48662691045195</v>
      </c>
    </row>
    <row r="399" spans="1:3" x14ac:dyDescent="0.25">
      <c r="A399" s="41">
        <v>-270</v>
      </c>
      <c r="B399" s="43">
        <v>-30.898895372098792</v>
      </c>
      <c r="C399" s="43">
        <v>-439.17550123931915</v>
      </c>
    </row>
    <row r="400" spans="1:3" x14ac:dyDescent="0.25">
      <c r="A400" s="39">
        <v>-271</v>
      </c>
      <c r="B400" s="43">
        <v>-10.869739496012409</v>
      </c>
      <c r="C400" s="43">
        <v>-432.91668161407313</v>
      </c>
    </row>
    <row r="401" spans="1:3" x14ac:dyDescent="0.25">
      <c r="A401" s="39">
        <v>-272</v>
      </c>
      <c r="B401" s="43">
        <v>7.7157731854787732</v>
      </c>
      <c r="C401" s="43">
        <v>-427.15589291479779</v>
      </c>
    </row>
    <row r="402" spans="1:3" x14ac:dyDescent="0.25">
      <c r="A402" s="41">
        <v>-273</v>
      </c>
      <c r="B402" s="43">
        <v>25.110844238702366</v>
      </c>
      <c r="C402" s="43">
        <v>-421.79316560174414</v>
      </c>
    </row>
    <row r="403" spans="1:3" x14ac:dyDescent="0.25">
      <c r="A403" s="41">
        <v>-274</v>
      </c>
      <c r="B403" s="43">
        <v>41.517157774762872</v>
      </c>
      <c r="C403" s="43">
        <v>-416.74681684897928</v>
      </c>
    </row>
    <row r="404" spans="1:3" x14ac:dyDescent="0.25">
      <c r="A404" s="39">
        <v>-275</v>
      </c>
      <c r="B404" s="43">
        <v>57.097029732898037</v>
      </c>
      <c r="C404" s="43">
        <v>-411.94949679594316</v>
      </c>
    </row>
    <row r="405" spans="1:3" x14ac:dyDescent="0.25">
      <c r="A405" s="39">
        <v>-276</v>
      </c>
      <c r="B405" s="43">
        <v>71.982449121976586</v>
      </c>
      <c r="C405" s="43">
        <v>-407.34513080492405</v>
      </c>
    </row>
    <row r="406" spans="1:3" x14ac:dyDescent="0.25">
      <c r="A406" s="41">
        <v>-277</v>
      </c>
      <c r="B406" s="43">
        <v>86.281850028210002</v>
      </c>
      <c r="C406" s="43">
        <v>-402.88654857548522</v>
      </c>
    </row>
    <row r="407" spans="1:3" x14ac:dyDescent="0.25">
      <c r="A407" s="41">
        <v>-278</v>
      </c>
      <c r="B407" s="43">
        <v>103.14222076092872</v>
      </c>
      <c r="C407" s="43">
        <v>-396.76682435525885</v>
      </c>
    </row>
    <row r="408" spans="1:3" x14ac:dyDescent="0.25">
      <c r="A408" s="39">
        <v>-279</v>
      </c>
      <c r="B408" s="43">
        <v>119.80152276817823</v>
      </c>
      <c r="C408" s="43">
        <v>-390.56900049113273</v>
      </c>
    </row>
    <row r="409" spans="1:3" x14ac:dyDescent="0.25">
      <c r="A409" s="39">
        <v>-280</v>
      </c>
      <c r="B409" s="43">
        <v>136.04302383741819</v>
      </c>
      <c r="C409" s="43">
        <v>-384.42420724800917</v>
      </c>
    </row>
    <row r="410" spans="1:3" x14ac:dyDescent="0.25">
      <c r="A410" s="41">
        <v>-281</v>
      </c>
      <c r="B410" s="43">
        <v>148.13155981290453</v>
      </c>
      <c r="C410" s="43">
        <v>-380.20091622373894</v>
      </c>
    </row>
    <row r="411" spans="1:3" x14ac:dyDescent="0.25">
      <c r="A411" s="41">
        <v>-282</v>
      </c>
      <c r="B411" s="43">
        <v>163.76070605526107</v>
      </c>
      <c r="C411" s="43">
        <v>-374.03094595472629</v>
      </c>
    </row>
    <row r="412" spans="1:3" x14ac:dyDescent="0.25">
      <c r="A412" s="39">
        <v>-283</v>
      </c>
      <c r="B412" s="43">
        <v>179.07932879184645</v>
      </c>
      <c r="C412" s="43">
        <v>-367.86512786112269</v>
      </c>
    </row>
    <row r="413" spans="1:3" x14ac:dyDescent="0.25">
      <c r="A413" s="39">
        <v>-284</v>
      </c>
      <c r="B413" s="43">
        <v>194.12108995126709</v>
      </c>
      <c r="C413" s="43">
        <v>-361.68643663007839</v>
      </c>
    </row>
    <row r="414" spans="1:3" x14ac:dyDescent="0.25">
      <c r="A414" s="41">
        <v>-285</v>
      </c>
      <c r="B414" s="43">
        <v>208.91746756497335</v>
      </c>
      <c r="C414" s="43">
        <v>-355.47817062332081</v>
      </c>
    </row>
    <row r="415" spans="1:3" x14ac:dyDescent="0.25">
      <c r="A415" s="41">
        <v>-286</v>
      </c>
      <c r="B415" s="43">
        <v>223.49798718510306</v>
      </c>
      <c r="C415" s="43">
        <v>-349.22386072751368</v>
      </c>
    </row>
    <row r="416" spans="1:3" x14ac:dyDescent="0.25">
      <c r="A416" s="39">
        <v>-287</v>
      </c>
      <c r="B416" s="43">
        <v>237.89043690614585</v>
      </c>
      <c r="C416" s="43">
        <v>-342.90717721303764</v>
      </c>
    </row>
    <row r="417" spans="1:3" x14ac:dyDescent="0.25">
      <c r="A417" s="39">
        <v>-288</v>
      </c>
      <c r="B417" s="43">
        <v>252.12106687344274</v>
      </c>
      <c r="C417" s="43">
        <v>-336.51183484521579</v>
      </c>
    </row>
    <row r="418" spans="1:3" x14ac:dyDescent="0.25">
      <c r="A418" s="41">
        <v>-289</v>
      </c>
      <c r="B418" s="43">
        <v>266.21477437456724</v>
      </c>
      <c r="C418" s="43">
        <v>-330.02149620810917</v>
      </c>
    </row>
    <row r="419" spans="1:3" x14ac:dyDescent="0.25">
      <c r="A419" s="41">
        <v>-290</v>
      </c>
      <c r="B419" s="43">
        <v>280.19527573529024</v>
      </c>
      <c r="C419" s="43">
        <v>-323.41967296841665</v>
      </c>
    </row>
    <row r="420" spans="1:3" x14ac:dyDescent="0.25">
      <c r="A420" s="39">
        <v>-291</v>
      </c>
      <c r="B420" s="43">
        <v>290.35848334822413</v>
      </c>
      <c r="C420" s="43">
        <v>-317.2636512826262</v>
      </c>
    </row>
    <row r="421" spans="1:3" x14ac:dyDescent="0.25">
      <c r="A421" s="39">
        <v>-292</v>
      </c>
      <c r="B421" s="43">
        <v>303.96265453772941</v>
      </c>
      <c r="C421" s="43">
        <v>-310.54198582909294</v>
      </c>
    </row>
    <row r="422" spans="1:3" x14ac:dyDescent="0.25">
      <c r="A422" s="41">
        <v>-293</v>
      </c>
      <c r="B422" s="43">
        <v>316.80797647133602</v>
      </c>
      <c r="C422" s="43">
        <v>-304.09721254847892</v>
      </c>
    </row>
    <row r="423" spans="1:3" x14ac:dyDescent="0.25">
      <c r="A423" s="41">
        <v>-294</v>
      </c>
      <c r="B423" s="43">
        <v>328.95808658432725</v>
      </c>
      <c r="C423" s="43">
        <v>-297.91544477986582</v>
      </c>
    </row>
    <row r="424" spans="1:3" x14ac:dyDescent="0.25">
      <c r="A424" s="39">
        <v>-295</v>
      </c>
      <c r="B424" s="43">
        <v>340.50162742752019</v>
      </c>
      <c r="C424" s="43">
        <v>-291.96396491858377</v>
      </c>
    </row>
    <row r="425" spans="1:3" x14ac:dyDescent="0.25">
      <c r="A425" s="39">
        <v>-296</v>
      </c>
      <c r="B425" s="43">
        <v>351.5139680119363</v>
      </c>
      <c r="C425" s="43">
        <v>-286.21441705492077</v>
      </c>
    </row>
    <row r="426" spans="1:3" x14ac:dyDescent="0.25">
      <c r="A426" s="41">
        <v>-297</v>
      </c>
      <c r="B426" s="43">
        <v>362.05974021970201</v>
      </c>
      <c r="C426" s="43">
        <v>-280.6420154174005</v>
      </c>
    </row>
    <row r="427" spans="1:3" x14ac:dyDescent="0.25">
      <c r="A427" s="41">
        <v>-298</v>
      </c>
      <c r="B427" s="43">
        <v>372.19482196864425</v>
      </c>
      <c r="C427" s="43">
        <v>-275.22491357864283</v>
      </c>
    </row>
    <row r="428" spans="1:3" x14ac:dyDescent="0.25">
      <c r="A428" s="39">
        <v>-299</v>
      </c>
      <c r="B428" s="43">
        <v>381.96790413028344</v>
      </c>
      <c r="C428" s="43">
        <v>-269.94369663791304</v>
      </c>
    </row>
    <row r="429" spans="1:3" x14ac:dyDescent="0.25">
      <c r="A429" s="39">
        <v>-300</v>
      </c>
      <c r="B429" s="43">
        <v>391.42174087689295</v>
      </c>
      <c r="C429" s="43">
        <v>-264.7809683394126</v>
      </c>
    </row>
    <row r="430" spans="1:3" x14ac:dyDescent="0.25">
      <c r="A430" s="41">
        <v>-301</v>
      </c>
      <c r="B430" s="43">
        <v>400.59415688048313</v>
      </c>
      <c r="C430" s="43">
        <v>-259.72101207097182</v>
      </c>
    </row>
    <row r="431" spans="1:3" x14ac:dyDescent="0.25">
      <c r="A431" s="41">
        <v>-302</v>
      </c>
      <c r="B431" s="43">
        <v>409.51886607794245</v>
      </c>
      <c r="C431" s="43">
        <v>-254.74950975544846</v>
      </c>
    </row>
    <row r="432" spans="1:3" x14ac:dyDescent="0.25">
      <c r="A432" s="39">
        <v>-303</v>
      </c>
      <c r="B432" s="43">
        <v>418.22614322262905</v>
      </c>
      <c r="C432" s="43">
        <v>-249.85330636192151</v>
      </c>
    </row>
    <row r="433" spans="1:3" x14ac:dyDescent="0.25">
      <c r="A433" s="39">
        <v>-304</v>
      </c>
      <c r="B433" s="43">
        <v>426.74337960105947</v>
      </c>
      <c r="C433" s="43">
        <v>-245.02021051279769</v>
      </c>
    </row>
    <row r="434" spans="1:3" x14ac:dyDescent="0.25">
      <c r="A434" s="41">
        <v>-305</v>
      </c>
      <c r="B434" s="43">
        <v>435.09554704165362</v>
      </c>
      <c r="C434" s="43">
        <v>-240.2388237140004</v>
      </c>
    </row>
    <row r="435" spans="1:3" x14ac:dyDescent="0.25">
      <c r="A435" s="41">
        <v>-306</v>
      </c>
      <c r="B435" s="43">
        <v>443.30558895031044</v>
      </c>
      <c r="C435" s="43">
        <v>-235.49839227658867</v>
      </c>
    </row>
    <row r="436" spans="1:3" x14ac:dyDescent="0.25">
      <c r="A436" s="39">
        <v>-307</v>
      </c>
      <c r="B436" s="43">
        <v>451.39475306268849</v>
      </c>
      <c r="C436" s="43">
        <v>-230.7886771604941</v>
      </c>
    </row>
    <row r="437" spans="1:3" x14ac:dyDescent="0.25">
      <c r="A437" s="39">
        <v>-308</v>
      </c>
      <c r="B437" s="43">
        <v>459.38287754869549</v>
      </c>
      <c r="C437" s="43">
        <v>-226.09983785130615</v>
      </c>
    </row>
    <row r="438" spans="1:3" x14ac:dyDescent="0.25">
      <c r="A438" s="41">
        <v>-309</v>
      </c>
      <c r="B438" s="43">
        <v>467.28863978334732</v>
      </c>
      <c r="C438" s="43">
        <v>-221.42232704564188</v>
      </c>
    </row>
    <row r="439" spans="1:3" x14ac:dyDescent="0.25">
      <c r="A439" s="41">
        <v>-310</v>
      </c>
      <c r="B439" s="43">
        <v>475.12977532613564</v>
      </c>
      <c r="C439" s="43">
        <v>-216.7467934192203</v>
      </c>
    </row>
    <row r="440" spans="1:3" x14ac:dyDescent="0.25">
      <c r="A440" s="39">
        <v>-311</v>
      </c>
      <c r="B440" s="43">
        <v>482.92327329680592</v>
      </c>
      <c r="C440" s="43">
        <v>-212.06399012000841</v>
      </c>
    </row>
    <row r="441" spans="1:3" x14ac:dyDescent="0.25">
      <c r="A441" s="39">
        <v>-312</v>
      </c>
      <c r="B441" s="43">
        <v>490.68555329990016</v>
      </c>
      <c r="C441" s="43">
        <v>-207.36468689146932</v>
      </c>
    </row>
    <row r="442" spans="1:3" x14ac:dyDescent="0.25">
      <c r="A442" s="41">
        <v>-313</v>
      </c>
      <c r="B442" s="43">
        <v>498.43262826525819</v>
      </c>
      <c r="C442" s="43">
        <v>-202.6395839064503</v>
      </c>
    </row>
    <row r="443" spans="1:3" x14ac:dyDescent="0.25">
      <c r="A443" s="41">
        <v>-314</v>
      </c>
      <c r="B443" s="43">
        <v>506.18025698284754</v>
      </c>
      <c r="C443" s="43">
        <v>-197.87922549217876</v>
      </c>
    </row>
    <row r="444" spans="1:3" x14ac:dyDescent="0.25">
      <c r="A444" s="39">
        <v>-315</v>
      </c>
      <c r="B444" s="43">
        <v>513.94408968265122</v>
      </c>
      <c r="C444" s="43">
        <v>-193.07391195871884</v>
      </c>
    </row>
    <row r="445" spans="1:3" x14ac:dyDescent="0.25">
      <c r="A445" s="39">
        <v>-316</v>
      </c>
      <c r="B445" s="43">
        <v>521.73980971508229</v>
      </c>
      <c r="C445" s="43">
        <v>-188.21360771025584</v>
      </c>
    </row>
    <row r="446" spans="1:3" x14ac:dyDescent="0.25">
      <c r="A446" s="41">
        <v>-317</v>
      </c>
      <c r="B446" s="43">
        <v>529.58327420831563</v>
      </c>
      <c r="C446" s="43">
        <v>-183.28784372026729</v>
      </c>
    </row>
    <row r="447" spans="1:3" x14ac:dyDescent="0.25">
      <c r="A447" s="41">
        <v>-318</v>
      </c>
      <c r="B447" s="43">
        <v>537.49065650142586</v>
      </c>
      <c r="C447" s="43">
        <v>-178.28561228449897</v>
      </c>
    </row>
    <row r="448" spans="1:3" x14ac:dyDescent="0.25">
      <c r="A448" s="39">
        <v>-319</v>
      </c>
      <c r="B448" s="43">
        <v>545.4785931763289</v>
      </c>
      <c r="C448" s="43">
        <v>-173.19525172096724</v>
      </c>
    </row>
    <row r="449" spans="1:3" x14ac:dyDescent="0.25">
      <c r="A449" s="39">
        <v>-320</v>
      </c>
      <c r="B449" s="43">
        <v>553.56433862906738</v>
      </c>
      <c r="C449" s="43">
        <v>-168.00431835325787</v>
      </c>
    </row>
    <row r="450" spans="1:3" x14ac:dyDescent="0.25">
      <c r="A450" s="41">
        <v>-321</v>
      </c>
      <c r="B450" s="43">
        <v>561.72799758699</v>
      </c>
      <c r="C450" s="43">
        <v>-162.72768247363825</v>
      </c>
    </row>
    <row r="451" spans="1:3" x14ac:dyDescent="0.25">
      <c r="A451" s="41">
        <v>-322</v>
      </c>
      <c r="B451" s="43">
        <v>569.78489206269182</v>
      </c>
      <c r="C451" s="43">
        <v>-157.50537333118828</v>
      </c>
    </row>
    <row r="452" spans="1:3" x14ac:dyDescent="0.25">
      <c r="A452" s="39">
        <v>-323</v>
      </c>
      <c r="B452" s="43">
        <v>577.72460708030781</v>
      </c>
      <c r="C452" s="43">
        <v>-152.3514319806649</v>
      </c>
    </row>
    <row r="453" spans="1:3" x14ac:dyDescent="0.25">
      <c r="A453" s="39">
        <v>-324</v>
      </c>
      <c r="B453" s="43">
        <v>585.56606919959324</v>
      </c>
      <c r="C453" s="43">
        <v>-147.25784770189196</v>
      </c>
    </row>
    <row r="454" spans="1:3" x14ac:dyDescent="0.25">
      <c r="A454" s="41">
        <v>-325</v>
      </c>
      <c r="B454" s="43">
        <v>593.3272339104692</v>
      </c>
      <c r="C454" s="43">
        <v>-142.21692311089473</v>
      </c>
    </row>
    <row r="455" spans="1:3" x14ac:dyDescent="0.25">
      <c r="A455" s="41">
        <v>-326</v>
      </c>
      <c r="B455" s="43">
        <v>598.03636807653243</v>
      </c>
      <c r="C455" s="43">
        <v>-138.96307618595583</v>
      </c>
    </row>
    <row r="456" spans="1:3" x14ac:dyDescent="0.25">
      <c r="A456" s="39">
        <v>-327</v>
      </c>
      <c r="B456" s="43">
        <v>605.61512696185252</v>
      </c>
      <c r="C456" s="43">
        <v>-134.03350817437811</v>
      </c>
    </row>
    <row r="457" spans="1:3" x14ac:dyDescent="0.25">
      <c r="A457" s="39">
        <v>-328</v>
      </c>
      <c r="B457" s="43">
        <v>613.16073857161507</v>
      </c>
      <c r="C457" s="43">
        <v>-129.13598798938582</v>
      </c>
    </row>
    <row r="458" spans="1:3" x14ac:dyDescent="0.25">
      <c r="A458" s="41">
        <v>-329</v>
      </c>
      <c r="B458" s="43">
        <v>620.68854290390027</v>
      </c>
      <c r="C458" s="43">
        <v>-124.26367889218318</v>
      </c>
    </row>
    <row r="459" spans="1:3" x14ac:dyDescent="0.25">
      <c r="A459" s="41">
        <v>-330</v>
      </c>
      <c r="B459" s="43">
        <v>628.21355252036835</v>
      </c>
      <c r="C459" s="43">
        <v>-119.40984745989144</v>
      </c>
    </row>
    <row r="460" spans="1:3" x14ac:dyDescent="0.25">
      <c r="A460" s="39">
        <v>-331</v>
      </c>
      <c r="B460" s="43">
        <v>635.7505573746522</v>
      </c>
      <c r="C460" s="43">
        <v>-114.56782641564583</v>
      </c>
    </row>
    <row r="461" spans="1:3" x14ac:dyDescent="0.25">
      <c r="A461" s="39">
        <v>-332</v>
      </c>
      <c r="B461" s="43">
        <v>641.82439841723317</v>
      </c>
      <c r="C461" s="43">
        <v>-110.53022222734403</v>
      </c>
    </row>
    <row r="462" spans="1:3" x14ac:dyDescent="0.25">
      <c r="A462" s="41">
        <v>-333</v>
      </c>
      <c r="B462" s="43">
        <v>646.79448632729509</v>
      </c>
      <c r="C462" s="43">
        <v>-107.11483216242004</v>
      </c>
    </row>
    <row r="463" spans="1:3" x14ac:dyDescent="0.25">
      <c r="A463" s="41">
        <v>-334</v>
      </c>
      <c r="B463" s="43">
        <v>651.769114073075</v>
      </c>
      <c r="C463" s="43">
        <v>-103.73179627404157</v>
      </c>
    </row>
    <row r="464" spans="1:3" x14ac:dyDescent="0.25">
      <c r="A464" s="39">
        <v>-335</v>
      </c>
      <c r="B464" s="43">
        <v>656.76165861785751</v>
      </c>
      <c r="C464" s="43">
        <v>-100.37640133649168</v>
      </c>
    </row>
    <row r="465" spans="1:3" x14ac:dyDescent="0.25">
      <c r="A465" s="39">
        <v>-336</v>
      </c>
      <c r="B465" s="43">
        <v>661.78592596798285</v>
      </c>
      <c r="C465" s="43">
        <v>-97.043897710974704</v>
      </c>
    </row>
    <row r="466" spans="1:3" x14ac:dyDescent="0.25">
      <c r="A466" s="41">
        <v>-337</v>
      </c>
      <c r="B466" s="43">
        <v>666.8563008450534</v>
      </c>
      <c r="C466" s="43">
        <v>-93.729455700579052</v>
      </c>
    </row>
    <row r="467" spans="1:3" x14ac:dyDescent="0.25">
      <c r="A467" s="41">
        <v>-338</v>
      </c>
      <c r="B467" s="43">
        <v>671.98791203287249</v>
      </c>
      <c r="C467" s="43">
        <v>-90.428117042402462</v>
      </c>
    </row>
    <row r="468" spans="1:3" x14ac:dyDescent="0.25">
      <c r="A468" s="39">
        <v>-339</v>
      </c>
      <c r="B468" s="43">
        <v>677.19681763178062</v>
      </c>
      <c r="C468" s="43">
        <v>-87.134740047901445</v>
      </c>
    </row>
    <row r="469" spans="1:3" x14ac:dyDescent="0.25">
      <c r="A469" s="39">
        <v>-340</v>
      </c>
      <c r="B469" s="43">
        <v>682.50021527250158</v>
      </c>
      <c r="C469" s="43">
        <v>-83.843936546207743</v>
      </c>
    </row>
    <row r="470" spans="1:3" x14ac:dyDescent="0.25">
      <c r="A470" s="41">
        <v>-341</v>
      </c>
      <c r="B470" s="43">
        <v>687.91668339023761</v>
      </c>
      <c r="C470" s="43">
        <v>-80.549998314352166</v>
      </c>
    </row>
    <row r="471" spans="1:3" x14ac:dyDescent="0.25">
      <c r="A471" s="41">
        <v>-342</v>
      </c>
      <c r="B471" s="43">
        <v>693.46646099868883</v>
      </c>
      <c r="C471" s="43">
        <v>-77.246810054179448</v>
      </c>
    </row>
    <row r="472" spans="1:3" x14ac:dyDescent="0.25">
      <c r="A472" s="39">
        <v>-343</v>
      </c>
      <c r="B472" s="43">
        <v>699.17177510793829</v>
      </c>
      <c r="C472" s="43">
        <v>-73.927745147009702</v>
      </c>
    </row>
    <row r="473" spans="1:3" x14ac:dyDescent="0.25">
      <c r="A473" s="39">
        <v>-344</v>
      </c>
      <c r="B473" s="43">
        <v>705.05722710320049</v>
      </c>
      <c r="C473" s="43">
        <v>-70.585539309070313</v>
      </c>
    </row>
    <row r="474" spans="1:3" x14ac:dyDescent="0.25">
      <c r="A474" s="41">
        <v>-345</v>
      </c>
      <c r="B474" s="43">
        <v>711.15025217043274</v>
      </c>
      <c r="C474" s="43">
        <v>-67.21213578261667</v>
      </c>
    </row>
    <row r="475" spans="1:3" x14ac:dyDescent="0.25">
      <c r="A475" s="41">
        <v>-346</v>
      </c>
      <c r="B475" s="43">
        <v>717.48166938646807</v>
      </c>
      <c r="C475" s="43">
        <v>-63.798493685625473</v>
      </c>
    </row>
    <row r="476" spans="1:3" x14ac:dyDescent="0.25">
      <c r="A476" s="39">
        <v>-347</v>
      </c>
      <c r="B476" s="43">
        <v>724.08634459196207</v>
      </c>
      <c r="C476" s="43">
        <v>-60.334348407134797</v>
      </c>
    </row>
    <row r="477" spans="1:3" x14ac:dyDescent="0.25">
      <c r="A477" s="39">
        <v>-348</v>
      </c>
      <c r="B477" s="43">
        <v>731.00399389731228</v>
      </c>
      <c r="C477" s="43">
        <v>-56.807909189385491</v>
      </c>
    </row>
    <row r="478" spans="1:3" x14ac:dyDescent="0.25">
      <c r="A478" s="41">
        <v>-349</v>
      </c>
      <c r="B478" s="43">
        <v>733.37278753511202</v>
      </c>
      <c r="C478" s="43">
        <v>-52.407136593275119</v>
      </c>
    </row>
    <row r="479" spans="1:3" x14ac:dyDescent="0.25">
      <c r="A479" s="41">
        <v>-350</v>
      </c>
      <c r="B479" s="43">
        <v>734.37698212396026</v>
      </c>
      <c r="C479" s="43">
        <v>-47.77529707332301</v>
      </c>
    </row>
    <row r="480" spans="1:3" x14ac:dyDescent="0.25">
      <c r="A480" s="39">
        <v>-351</v>
      </c>
      <c r="B480" s="43">
        <v>735.31544428493646</v>
      </c>
      <c r="C480" s="43">
        <v>-43.134868162663707</v>
      </c>
    </row>
    <row r="481" spans="1:3" x14ac:dyDescent="0.25">
      <c r="A481" s="39">
        <v>-352</v>
      </c>
      <c r="B481" s="43">
        <v>736.19029613474788</v>
      </c>
      <c r="C481" s="43">
        <v>-38.480592715941079</v>
      </c>
    </row>
    <row r="482" spans="1:3" x14ac:dyDescent="0.25">
      <c r="A482" s="41">
        <v>-353</v>
      </c>
      <c r="B482" s="43">
        <v>737.00350732726304</v>
      </c>
      <c r="C482" s="43">
        <v>-33.806952091487084</v>
      </c>
    </row>
    <row r="483" spans="1:3" x14ac:dyDescent="0.25">
      <c r="A483" s="41">
        <v>-354</v>
      </c>
      <c r="B483" s="43">
        <v>737.75690753877927</v>
      </c>
      <c r="C483" s="43">
        <v>-29.108110799638453</v>
      </c>
    </row>
    <row r="484" spans="1:3" x14ac:dyDescent="0.25">
      <c r="A484" s="39">
        <v>-355</v>
      </c>
      <c r="B484" s="43">
        <v>738.45219858139842</v>
      </c>
      <c r="C484" s="43">
        <v>-24.377851854839523</v>
      </c>
    </row>
    <row r="485" spans="1:3" x14ac:dyDescent="0.25">
      <c r="A485" s="39">
        <v>-356</v>
      </c>
      <c r="B485" s="43">
        <v>739.09096633195657</v>
      </c>
      <c r="C485" s="43">
        <v>-19.609500492918109</v>
      </c>
    </row>
    <row r="486" spans="1:3" x14ac:dyDescent="0.25">
      <c r="A486" s="41">
        <v>-357</v>
      </c>
      <c r="B486" s="43">
        <v>739.67469268850721</v>
      </c>
      <c r="C486" s="43">
        <v>-14.79583324900393</v>
      </c>
    </row>
    <row r="487" spans="1:3" x14ac:dyDescent="0.25">
      <c r="A487" s="41">
        <v>-358</v>
      </c>
      <c r="B487" s="43">
        <v>740.20476779348348</v>
      </c>
      <c r="C487" s="43">
        <v>-9.9289684962461493</v>
      </c>
    </row>
    <row r="488" spans="1:3" x14ac:dyDescent="0.25">
      <c r="A488" s="39">
        <v>-359</v>
      </c>
      <c r="B488" s="43">
        <v>740.68250280048051</v>
      </c>
      <c r="C488" s="43">
        <v>-5.0002333288012961</v>
      </c>
    </row>
    <row r="489" spans="1:3" x14ac:dyDescent="0.25">
      <c r="A489" s="39">
        <v>-360</v>
      </c>
      <c r="B489" s="43">
        <v>741.10914351757424</v>
      </c>
      <c r="C489" s="43">
        <v>-1.4088294800400401E-13</v>
      </c>
    </row>
    <row r="490" spans="1:3" x14ac:dyDescent="0.25">
      <c r="A490" s="43"/>
      <c r="B490" s="43">
        <f>B129</f>
        <v>741.10914351757447</v>
      </c>
      <c r="C490" s="43">
        <f>C129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nteraction_button" altText="Attempt to Find_x000a_Interaction point for Goal_x000a_(Form Button)">
                <anchor moveWithCells="1" sizeWithCells="1">
                  <from>
                    <xdr:col>0</xdr:col>
                    <xdr:colOff>771525</xdr:colOff>
                    <xdr:row>121</xdr:row>
                    <xdr:rowOff>66675</xdr:rowOff>
                  </from>
                  <to>
                    <xdr:col>2</xdr:col>
                    <xdr:colOff>885825</xdr:colOff>
                    <xdr:row>126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x_my">
                <anchor moveWithCells="1" sizeWithCells="1">
                  <from>
                    <xdr:col>3</xdr:col>
                    <xdr:colOff>76200</xdr:colOff>
                    <xdr:row>121</xdr:row>
                    <xdr:rowOff>47625</xdr:rowOff>
                  </from>
                  <to>
                    <xdr:col>5</xdr:col>
                    <xdr:colOff>1152525</xdr:colOff>
                    <xdr:row>126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p_m_curve">
                <anchor moveWithCells="1" sizeWithCells="1">
                  <from>
                    <xdr:col>9</xdr:col>
                    <xdr:colOff>542925</xdr:colOff>
                    <xdr:row>121</xdr:row>
                    <xdr:rowOff>152400</xdr:rowOff>
                  </from>
                  <to>
                    <xdr:col>13</xdr:col>
                    <xdr:colOff>342900</xdr:colOff>
                    <xdr:row>125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438B661-79DD-4D10-A44E-D95D17099999}">
          <x14:formula1>
            <xm:f>Reference!$A$1:$A$12</xm:f>
          </x14:formula1>
          <xm:sqref>B13:B24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239C7-1FB1-47D1-ABA5-3A9CFB83700E}">
  <sheetPr codeName="Sheet2"/>
  <dimension ref="A1:C12"/>
  <sheetViews>
    <sheetView workbookViewId="0">
      <selection activeCell="C2" sqref="C2"/>
    </sheetView>
  </sheetViews>
  <sheetFormatPr defaultColWidth="8.85546875" defaultRowHeight="15" x14ac:dyDescent="0.25"/>
  <sheetData>
    <row r="1" spans="1:3" x14ac:dyDescent="0.25">
      <c r="A1">
        <v>0</v>
      </c>
      <c r="B1">
        <v>0</v>
      </c>
      <c r="C1">
        <v>0</v>
      </c>
    </row>
    <row r="2" spans="1:3" x14ac:dyDescent="0.25">
      <c r="A2">
        <v>3</v>
      </c>
      <c r="B2">
        <v>0.375</v>
      </c>
      <c r="C2">
        <v>0.11</v>
      </c>
    </row>
    <row r="3" spans="1:3" x14ac:dyDescent="0.25">
      <c r="A3">
        <v>4</v>
      </c>
      <c r="B3">
        <v>0.5</v>
      </c>
      <c r="C3">
        <v>0.2</v>
      </c>
    </row>
    <row r="4" spans="1:3" x14ac:dyDescent="0.25">
      <c r="A4">
        <v>5</v>
      </c>
      <c r="B4">
        <v>0.625</v>
      </c>
      <c r="C4">
        <v>0.31</v>
      </c>
    </row>
    <row r="5" spans="1:3" x14ac:dyDescent="0.25">
      <c r="A5">
        <v>6</v>
      </c>
      <c r="B5">
        <v>0.75</v>
      </c>
      <c r="C5">
        <v>0.44</v>
      </c>
    </row>
    <row r="6" spans="1:3" x14ac:dyDescent="0.25">
      <c r="A6">
        <v>7</v>
      </c>
      <c r="B6">
        <v>0.875</v>
      </c>
      <c r="C6">
        <v>0.6</v>
      </c>
    </row>
    <row r="7" spans="1:3" x14ac:dyDescent="0.25">
      <c r="A7">
        <v>8</v>
      </c>
      <c r="B7">
        <v>1</v>
      </c>
      <c r="C7">
        <v>0.79</v>
      </c>
    </row>
    <row r="8" spans="1:3" x14ac:dyDescent="0.25">
      <c r="A8">
        <v>9</v>
      </c>
      <c r="B8">
        <v>1.1279999999999999</v>
      </c>
      <c r="C8">
        <v>1</v>
      </c>
    </row>
    <row r="9" spans="1:3" x14ac:dyDescent="0.25">
      <c r="A9">
        <v>10</v>
      </c>
      <c r="B9">
        <v>1.27</v>
      </c>
      <c r="C9">
        <v>1.27</v>
      </c>
    </row>
    <row r="10" spans="1:3" x14ac:dyDescent="0.25">
      <c r="A10">
        <v>11</v>
      </c>
      <c r="B10">
        <v>1.41</v>
      </c>
      <c r="C10">
        <v>1.56</v>
      </c>
    </row>
    <row r="11" spans="1:3" x14ac:dyDescent="0.25">
      <c r="A11">
        <v>14</v>
      </c>
      <c r="B11">
        <v>1.6930000000000001</v>
      </c>
      <c r="C11">
        <v>2.25</v>
      </c>
    </row>
    <row r="12" spans="1:3" x14ac:dyDescent="0.25">
      <c r="A12">
        <v>18</v>
      </c>
      <c r="B12">
        <v>2.2570000000000001</v>
      </c>
      <c r="C12">
        <v>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02293755B0C1C458CEABDE3487C809F" ma:contentTypeVersion="11" ma:contentTypeDescription="Create a new document." ma:contentTypeScope="" ma:versionID="17b1a2cd11f8f5d6d4f3bb7988a2da44">
  <xsd:schema xmlns:xsd="http://www.w3.org/2001/XMLSchema" xmlns:xs="http://www.w3.org/2001/XMLSchema" xmlns:p="http://schemas.microsoft.com/office/2006/metadata/properties" xmlns:ns2="e084eb51-e41f-419d-868e-d827d41fdf42" xmlns:ns3="a54a5347-8adb-4f47-b158-08c1baf179b6" targetNamespace="http://schemas.microsoft.com/office/2006/metadata/properties" ma:root="true" ma:fieldsID="747251f9c5377854abca8fc51c5615ab" ns2:_="" ns3:_="">
    <xsd:import namespace="e084eb51-e41f-419d-868e-d827d41fdf42"/>
    <xsd:import namespace="a54a5347-8adb-4f47-b158-08c1baf179b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084eb51-e41f-419d-868e-d827d41fdf4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4a5347-8adb-4f47-b158-08c1baf179b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A6B3A5-42BC-4C96-82C2-CE544D769DC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4D90F7A-FC30-45D5-8F55-850AABE4945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13D28E3-3597-4BD9-87AD-5985392E30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084eb51-e41f-419d-868e-d827d41fdf42"/>
    <ds:schemaRef ds:uri="a54a5347-8adb-4f47-b158-08c1baf17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Cross Section Analysis</vt:lpstr>
      <vt:lpstr>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 Bockoven</dc:creator>
  <cp:lastModifiedBy>Don Bockoven</cp:lastModifiedBy>
  <dcterms:created xsi:type="dcterms:W3CDTF">2020-01-14T22:46:38Z</dcterms:created>
  <dcterms:modified xsi:type="dcterms:W3CDTF">2020-01-17T13:52:37Z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0x010100D02293755B0C1C458CEABDE3487C809F</vt:lpwstr>
  </property>
</Properties>
</file>