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F9D33820-90FB-4745-AA99-C23E6E056842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Cross Section Analysis" sheetId="1" r:id="rId1"/>
    <sheet name="Reference" sheetId="2" r:id="rId2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'Cross Section Analysis'!$B$53</definedName>
    <definedName name="solver_lhs2" localSheetId="0" hidden="1">'Cross Section Analysis'!$B$53</definedName>
    <definedName name="solver_lhs3" localSheetId="0" hidden="1">'Cross Section Analysis'!$B$78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'Cross Section Analysis'!$M$119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360</definedName>
    <definedName name="solver_rhs2" localSheetId="0" hidden="1">0</definedName>
    <definedName name="solver_rhs3" localSheetId="0" hidden="1">0.0001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1" i="1" l="1"/>
  <c r="X138" i="1" l="1"/>
  <c r="W136" i="1"/>
  <c r="V133" i="1"/>
  <c r="X133" i="1"/>
  <c r="X130" i="1"/>
  <c r="D130" i="1" l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129" i="1"/>
  <c r="Q123" i="1" l="1"/>
  <c r="D120" i="1"/>
  <c r="Q122" i="1" s="1"/>
  <c r="E120" i="1"/>
  <c r="R122" i="1" s="1"/>
  <c r="C490" i="1" l="1"/>
  <c r="B490" i="1"/>
  <c r="D490" i="1" l="1"/>
  <c r="C35" i="1"/>
  <c r="C36" i="1"/>
  <c r="C37" i="1"/>
  <c r="C38" i="1"/>
  <c r="C39" i="1"/>
  <c r="C40" i="1"/>
  <c r="C41" i="1"/>
  <c r="C42" i="1"/>
  <c r="C43" i="1"/>
  <c r="C44" i="1"/>
  <c r="C45" i="1"/>
  <c r="C34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J117" i="1" l="1"/>
  <c r="J118" i="1"/>
  <c r="Q129" i="1" s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30" i="1" s="1"/>
  <c r="B103" i="1"/>
  <c r="B104" i="1"/>
  <c r="B105" i="1"/>
  <c r="C72" i="1"/>
  <c r="B107" i="1"/>
  <c r="C74" i="1"/>
  <c r="C75" i="1"/>
  <c r="B34" i="1"/>
  <c r="F75" i="1" l="1"/>
  <c r="G75" i="1"/>
  <c r="F74" i="1"/>
  <c r="G74" i="1"/>
  <c r="B43" i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B31" i="1"/>
  <c r="E6" i="1"/>
  <c r="E5" i="1"/>
  <c r="D5" i="1"/>
  <c r="D4" i="1"/>
  <c r="G3" i="1" l="1"/>
  <c r="H3" i="1" s="1"/>
  <c r="F34" i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G67" i="1" l="1"/>
  <c r="D101" i="1" s="1"/>
  <c r="F66" i="1"/>
  <c r="C100" i="1" s="1"/>
  <c r="G66" i="1"/>
  <c r="D100" i="1" s="1"/>
  <c r="F69" i="1"/>
  <c r="C103" i="1" s="1"/>
  <c r="G69" i="1"/>
  <c r="D103" i="1" s="1"/>
  <c r="F71" i="1"/>
  <c r="C105" i="1" s="1"/>
  <c r="G71" i="1"/>
  <c r="D105" i="1" s="1"/>
  <c r="F70" i="1"/>
  <c r="C104" i="1" s="1"/>
  <c r="G70" i="1"/>
  <c r="D104" i="1" s="1"/>
  <c r="G68" i="1"/>
  <c r="D102" i="1" s="1"/>
  <c r="F72" i="1"/>
  <c r="C106" i="1" s="1"/>
  <c r="G72" i="1"/>
  <c r="D106" i="1" s="1"/>
  <c r="G73" i="1"/>
  <c r="D107" i="1" s="1"/>
  <c r="G65" i="1"/>
  <c r="D99" i="1" s="1"/>
  <c r="F73" i="1"/>
  <c r="C107" i="1" s="1"/>
  <c r="G64" i="1"/>
  <c r="F65" i="1"/>
  <c r="C99" i="1" s="1"/>
  <c r="F64" i="1"/>
  <c r="C98" i="1" s="1"/>
  <c r="F67" i="1"/>
  <c r="C101" i="1" s="1"/>
  <c r="F68" i="1"/>
  <c r="C102" i="1" s="1"/>
  <c r="C109" i="1"/>
  <c r="D109" i="1"/>
  <c r="C108" i="1"/>
  <c r="D108" i="1"/>
  <c r="C61" i="1"/>
  <c r="D91" i="1" s="1"/>
  <c r="D61" i="1"/>
  <c r="E91" i="1" s="1"/>
  <c r="C58" i="1"/>
  <c r="D58" i="1"/>
  <c r="C59" i="1"/>
  <c r="D89" i="1" s="1"/>
  <c r="D59" i="1"/>
  <c r="C57" i="1"/>
  <c r="D57" i="1"/>
  <c r="C88" i="1" s="1"/>
  <c r="D90" i="1"/>
  <c r="E90" i="1"/>
  <c r="G76" i="1" l="1"/>
  <c r="D98" i="1"/>
  <c r="T59" i="1"/>
  <c r="D83" i="1"/>
  <c r="B90" i="1"/>
  <c r="B88" i="1"/>
  <c r="G91" i="1"/>
  <c r="G58" i="1"/>
  <c r="E103" i="1" s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U59" i="1" l="1"/>
  <c r="U60" i="1" s="1"/>
  <c r="T60" i="1"/>
  <c r="F90" i="1"/>
  <c r="F89" i="1"/>
  <c r="F88" i="1"/>
  <c r="I88" i="1" s="1"/>
  <c r="H91" i="1"/>
  <c r="G88" i="1"/>
  <c r="G90" i="1"/>
  <c r="E108" i="1"/>
  <c r="E98" i="1"/>
  <c r="E106" i="1"/>
  <c r="F106" i="1" s="1"/>
  <c r="E100" i="1"/>
  <c r="F100" i="1" s="1"/>
  <c r="G100" i="1" s="1"/>
  <c r="H100" i="1" s="1"/>
  <c r="J100" i="1" s="1"/>
  <c r="E105" i="1"/>
  <c r="F105" i="1" s="1"/>
  <c r="E102" i="1"/>
  <c r="F102" i="1" s="1"/>
  <c r="G102" i="1" s="1"/>
  <c r="H102" i="1" s="1"/>
  <c r="J102" i="1" s="1"/>
  <c r="E104" i="1"/>
  <c r="F104" i="1" s="1"/>
  <c r="E107" i="1"/>
  <c r="F107" i="1" s="1"/>
  <c r="E109" i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F103" i="1"/>
  <c r="G103" i="1" s="1"/>
  <c r="H103" i="1" s="1"/>
  <c r="J103" i="1" s="1"/>
  <c r="F108" i="1"/>
  <c r="F109" i="1"/>
  <c r="P115" i="1" l="1"/>
  <c r="F98" i="1"/>
  <c r="G98" i="1" s="1"/>
  <c r="H98" i="1" s="1"/>
  <c r="J98" i="1" s="1"/>
  <c r="I100" i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103" i="1"/>
  <c r="F110" i="1" l="1"/>
  <c r="J113" i="1" s="1"/>
  <c r="I98" i="1"/>
  <c r="J110" i="1"/>
  <c r="I104" i="1"/>
  <c r="I108" i="1"/>
  <c r="J90" i="1"/>
  <c r="K90" i="1"/>
  <c r="L90" i="1"/>
  <c r="J89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D114" i="1" s="1"/>
  <c r="I110" i="1"/>
  <c r="J116" i="1" l="1"/>
  <c r="L119" i="1" s="1"/>
  <c r="B114" i="1"/>
  <c r="D115" i="1"/>
  <c r="B115" i="1"/>
  <c r="Y133" i="1" l="1"/>
  <c r="F114" i="1"/>
  <c r="H114" i="1" s="1"/>
  <c r="J114" i="1" s="1"/>
  <c r="F115" i="1"/>
  <c r="H115" i="1" s="1"/>
  <c r="J115" i="1" s="1"/>
  <c r="N115" i="1" l="1"/>
  <c r="Y134" i="1"/>
  <c r="M117" i="1"/>
  <c r="I125" i="1"/>
  <c r="H125" i="1"/>
  <c r="Y136" i="1" l="1" a="1"/>
  <c r="Y136" i="1" s="1"/>
  <c r="Y138" i="1" s="1"/>
  <c r="R123" i="1"/>
  <c r="M119" i="1"/>
  <c r="Y13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<sst xmlns="http://schemas.openxmlformats.org/spreadsheetml/2006/main" count="152" uniqueCount="105">
  <si>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</si>
  <si>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</si>
  <si>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</si>
  <si>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</si>
  <si>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</si>
  <si>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</si>
  <si>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</si>
  <si>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</si>
  <si>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</si>
  <si>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</si>
  <si>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</si>
  <si>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</si>
  <si>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</si>
  <si>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</si>
  <si>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</si>
  <si>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</si>
  <si>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</si>
  <si>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</si>
  <si>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</si>
  <si>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</si>
  <si>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</si>
  <si>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</si>
  <si>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</si>
  <si>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</si>
  <si>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</si>
  <si>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</si>
  <si>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</si>
  <si>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</si>
  <si>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</si>
  <si>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</si>
  <si>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</si>
  <si>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</si>
  <si>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</si>
  <si>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</si>
  <si>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</si>
  <si>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</si>
  <si>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</si>
  <si>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</si>
  <si>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</si>
  <si>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</si>
  <si>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</si>
  <si>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</si>
  <si>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</si>
  <si>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</si>
  <si>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</si>
  <si>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</si>
  <si>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</si>
  <si>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</si>
  <si>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</si>
  <si>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</si>
  <si>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</si>
  <si>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</si>
  <si>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</si>
  <si>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</si>
  <si>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</si>
  <si>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</si>
  <si>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</si>
  <si>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</si>
  <si>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</si>
  <si>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</si>
  <si>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</si>
  <si>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</si>
  <si>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</si>
  <si>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</si>
  <si>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</si>
  <si>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</si>
  <si>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</si>
  <si>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</si>
  <si>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</si>
  <si>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</si>
  <si>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</si>
  <si>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</si>
  <si>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</si>
  <si>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</si>
  <si>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</si>
  <si>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</si>
  <si>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</si>
  <si>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</si>
  <si>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</si>
  <si>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</si>
  <si>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</si>
  <si>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</si>
  <si>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</si>
  <si>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</si>
  <si>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</si>
  <si>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</si>
  <si>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</si>
  <si>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</si>
  <si>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</si>
  <si>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</si>
  <si>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</si>
  <si>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</si>
  <si>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</si>
  <si>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</si>
  <si>
    <t>Newton-Raphson Approach:</t>
  </si>
  <si>
    <t>dp/dna_d</t>
  </si>
  <si>
    <t>dM/dna_d</t>
  </si>
  <si>
    <t>dp/dna_a</t>
  </si>
  <si>
    <t>dM/dna_a</t>
  </si>
  <si>
    <t>Partial Derivative Matrix, J</t>
  </si>
  <si>
    <t>=</t>
  </si>
  <si>
    <t>new angle</t>
  </si>
  <si>
    <t>new depth</t>
  </si>
  <si>
    <t>delta</t>
  </si>
  <si>
    <t>run macro to populate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</si>
</sst>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right"/>
      <protection locked="0"/>
    </xf>
    <xf numFmtId="166" fontId="3" fillId="0" borderId="0" xfId="0" applyNumberFormat="1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7" xfId="0" applyBorder="1"/>
    <xf numFmtId="0" fontId="0" fillId="0" borderId="8" xfId="0" applyBorder="1"/>
    <xf numFmtId="166" fontId="0" fillId="0" borderId="0" xfId="0" applyNumberFormat="1"/>
    <xf numFmtId="0" fontId="0" fillId="0" borderId="9" xfId="0" applyBorder="1"/>
    <xf numFmtId="0" fontId="0" fillId="0" borderId="10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1" xfId="0" applyBorder="1"/>
    <xf numFmtId="0" fontId="0" fillId="0" borderId="10" xfId="0" applyBorder="1"/>
    <xf numFmtId="0" fontId="0" fillId="0" borderId="0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4</c:v>
                </c:pt>
                <c:pt idx="3">
                  <c:v>10</c:v>
                </c:pt>
                <c:pt idx="4">
                  <c:v>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31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31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15.229409569306561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10.286173691457794</c:v>
                </c:pt>
                <c:pt idx="1">
                  <c:v>17.88718784727487</c:v>
                </c:pt>
                <c:pt idx="2">
                  <c:v>-9.861781747232671</c:v>
                </c:pt>
                <c:pt idx="3">
                  <c:v>-17.462795903049745</c:v>
                </c:pt>
                <c:pt idx="4">
                  <c:v>10.286173691457794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-15.037604417554274</c:v>
                </c:pt>
                <c:pt idx="1">
                  <c:v>3.4617086454507531</c:v>
                </c:pt>
                <c:pt idx="2">
                  <c:v>14.863229879176366</c:v>
                </c:pt>
                <c:pt idx="3">
                  <c:v>-3.63608318382866</c:v>
                </c:pt>
                <c:pt idx="4">
                  <c:v>-15.037604417554274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8.1065139100202028</c:v>
                </c:pt>
                <c:pt idx="1">
                  <c:v>12.667122403510449</c:v>
                </c:pt>
                <c:pt idx="2">
                  <c:v>-12.242730459285326</c:v>
                </c:pt>
                <c:pt idx="3">
                  <c:v>-9.962426212540203</c:v>
                </c:pt>
                <c:pt idx="4">
                  <c:v>-7.6821219657950799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-9.8175389737898531</c:v>
                </c:pt>
                <c:pt idx="1">
                  <c:v>1.2820488640131629</c:v>
                </c:pt>
                <c:pt idx="2">
                  <c:v>-1.4564234023910698</c:v>
                </c:pt>
                <c:pt idx="3">
                  <c:v>4.0933705165104382</c:v>
                </c:pt>
                <c:pt idx="4">
                  <c:v>9.643164435411947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-17.462795903049745</c:v>
                </c:pt>
                <c:pt idx="1">
                  <c:v>17.88718784727487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0.98354459575961961</c:v>
                </c:pt>
                <c:pt idx="1">
                  <c:v>0.98354459575961961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-17.462795903049745</c:v>
                </c:pt>
                <c:pt idx="1">
                  <c:v>17.88718784727487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3.7594816524429699</c:v>
                </c:pt>
                <c:pt idx="1">
                  <c:v>3.7594816524429699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#N/A</c:v>
                </c:pt>
                <c:pt idx="1">
                  <c:v>17.162469281418016</c:v>
                </c:pt>
                <c:pt idx="2">
                  <c:v>-14.424099665015904</c:v>
                </c:pt>
                <c:pt idx="3">
                  <c:v>#N/A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#N/A</c:v>
                </c:pt>
                <c:pt idx="1">
                  <c:v>3.7594816524429699</c:v>
                </c:pt>
                <c:pt idx="2">
                  <c:v>3.7594816524429699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17.88718784727487</c:v>
                </c:pt>
                <c:pt idx="1">
                  <c:v>-17.88718784727487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17.88718784727487</c:v>
                </c:pt>
                <c:pt idx="1">
                  <c:v>-17.88718784727487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</a:t>
            </a:r>
            <a:r>
              <a:rPr lang="en-US" baseline="0"/>
              <a:t> vs My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Analysis'!$B$129:$B$490</c:f>
              <c:numCache>
                <c:formatCode>General</c:formatCode>
                <c:ptCount val="362"/>
                <c:pt idx="0">
                  <c:v>741.22001919593492</c:v>
                </c:pt>
                <c:pt idx="1">
                  <c:v>740.7930492605409</c:v>
                </c:pt>
                <c:pt idx="2">
                  <c:v>740.31499622532363</c:v>
                </c:pt>
                <c:pt idx="3">
                  <c:v>739.78461342857531</c:v>
                </c:pt>
                <c:pt idx="4">
                  <c:v>739.20058894699741</c:v>
                </c:pt>
                <c:pt idx="5">
                  <c:v>738.56153194093633</c:v>
                </c:pt>
                <c:pt idx="6">
                  <c:v>737.86595987846283</c:v>
                </c:pt>
                <c:pt idx="7">
                  <c:v>737.11228630465428</c:v>
                </c:pt>
                <c:pt idx="8">
                  <c:v>736.29880887831041</c:v>
                </c:pt>
                <c:pt idx="9">
                  <c:v>735.42369743697975</c:v>
                </c:pt>
                <c:pt idx="10">
                  <c:v>734.48498187951259</c:v>
                </c:pt>
                <c:pt idx="11">
                  <c:v>733.48053967571184</c:v>
                </c:pt>
                <c:pt idx="12">
                  <c:v>731.02861196590754</c:v>
                </c:pt>
                <c:pt idx="13">
                  <c:v>724.11255087060943</c:v>
                </c:pt>
                <c:pt idx="14">
                  <c:v>717.50935280328042</c:v>
                </c:pt>
                <c:pt idx="15">
                  <c:v>711.1793120761622</c:v>
                </c:pt>
                <c:pt idx="16">
                  <c:v>705.08757236679503</c:v>
                </c:pt>
                <c:pt idx="17">
                  <c:v>699.20332324394519</c:v>
                </c:pt>
                <c:pt idx="18">
                  <c:v>693.49913734728284</c:v>
                </c:pt>
                <c:pt idx="19">
                  <c:v>687.95042036110976</c:v>
                </c:pt>
                <c:pt idx="20">
                  <c:v>682.53495165546133</c:v>
                </c:pt>
                <c:pt idx="21">
                  <c:v>677.23249797393214</c:v>
                </c:pt>
                <c:pt idx="22">
                  <c:v>672.02448607934923</c:v>
                </c:pt>
                <c:pt idx="23">
                  <c:v>666.89372303923312</c:v>
                </c:pt>
                <c:pt idx="24">
                  <c:v>661.82415500597961</c:v>
                </c:pt>
                <c:pt idx="25">
                  <c:v>656.80065705257755</c:v>
                </c:pt>
                <c:pt idx="26">
                  <c:v>651.80884796310318</c:v>
                </c:pt>
                <c:pt idx="27">
                  <c:v>646.83492492557866</c:v>
                </c:pt>
                <c:pt idx="28">
                  <c:v>641.86551389601323</c:v>
                </c:pt>
                <c:pt idx="29">
                  <c:v>635.76188758957426</c:v>
                </c:pt>
                <c:pt idx="30">
                  <c:v>628.22722916641294</c:v>
                </c:pt>
                <c:pt idx="31">
                  <c:v>620.7045017294439</c:v>
                </c:pt>
                <c:pt idx="32">
                  <c:v>613.17891873356143</c:v>
                </c:pt>
                <c:pt idx="33">
                  <c:v>605.63547087133861</c:v>
                </c:pt>
                <c:pt idx="34">
                  <c:v>598.05882125665926</c:v>
                </c:pt>
                <c:pt idx="35">
                  <c:v>593.35209999255972</c:v>
                </c:pt>
                <c:pt idx="36">
                  <c:v>585.59296791152008</c:v>
                </c:pt>
                <c:pt idx="37">
                  <c:v>577.7534917621856</c:v>
                </c:pt>
                <c:pt idx="38">
                  <c:v>569.8157187308999</c:v>
                </c:pt>
                <c:pt idx="39">
                  <c:v>561.76072484605709</c:v>
                </c:pt>
                <c:pt idx="40">
                  <c:v>553.59768954485196</c:v>
                </c:pt>
                <c:pt idx="41">
                  <c:v>545.51111473907201</c:v>
                </c:pt>
                <c:pt idx="42">
                  <c:v>537.52230401140253</c:v>
                </c:pt>
                <c:pt idx="43">
                  <c:v>529.61400260612993</c:v>
                </c:pt>
                <c:pt idx="44">
                  <c:v>521.76957341851084</c:v>
                </c:pt>
                <c:pt idx="45">
                  <c:v>513.97284241950854</c:v>
                </c:pt>
                <c:pt idx="46">
                  <c:v>506.20795161973666</c:v>
                </c:pt>
                <c:pt idx="47">
                  <c:v>498.45921662957238</c:v>
                </c:pt>
                <c:pt idx="48">
                  <c:v>490.710985994471</c:v>
                </c:pt>
                <c:pt idx="49">
                  <c:v>482.94749950466303</c:v>
                </c:pt>
                <c:pt idx="50">
                  <c:v>475.15274260396069</c:v>
                </c:pt>
                <c:pt idx="51">
                  <c:v>467.31029384091141</c:v>
                </c:pt>
                <c:pt idx="52">
                  <c:v>459.40316201231661</c:v>
                </c:pt>
                <c:pt idx="53">
                  <c:v>451.41360921933745</c:v>
                </c:pt>
                <c:pt idx="54">
                  <c:v>443.3229554695227</c:v>
                </c:pt>
                <c:pt idx="55">
                  <c:v>435.11135967110869</c:v>
                </c:pt>
                <c:pt idx="56">
                  <c:v>426.7575708315498</c:v>
                </c:pt>
                <c:pt idx="57">
                  <c:v>418.23864191709265</c:v>
                </c:pt>
                <c:pt idx="58">
                  <c:v>409.52959705843949</c:v>
                </c:pt>
                <c:pt idx="59">
                  <c:v>400.60304046561021</c:v>
                </c:pt>
                <c:pt idx="60">
                  <c:v>391.42869236064143</c:v>
                </c:pt>
                <c:pt idx="61">
                  <c:v>381.97283319156924</c:v>
                </c:pt>
                <c:pt idx="62">
                  <c:v>372.19763199818823</c:v>
                </c:pt>
                <c:pt idx="63">
                  <c:v>362.06032754783615</c:v>
                </c:pt>
                <c:pt idx="64">
                  <c:v>351.51222101699994</c:v>
                </c:pt>
                <c:pt idx="65">
                  <c:v>340.49742549920023</c:v>
                </c:pt>
                <c:pt idx="66">
                  <c:v>328.95129890947698</c:v>
                </c:pt>
                <c:pt idx="67">
                  <c:v>316.79846060061925</c:v>
                </c:pt>
                <c:pt idx="68">
                  <c:v>303.95025467919476</c:v>
                </c:pt>
                <c:pt idx="69">
                  <c:v>290.34456868280643</c:v>
                </c:pt>
                <c:pt idx="70">
                  <c:v>280.18284314982037</c:v>
                </c:pt>
                <c:pt idx="71">
                  <c:v>266.2042687225599</c:v>
                </c:pt>
                <c:pt idx="72">
                  <c:v>252.11262304100208</c:v>
                </c:pt>
                <c:pt idx="73">
                  <c:v>237.88420070024276</c:v>
                </c:pt>
                <c:pt idx="74">
                  <c:v>223.49411633844221</c:v>
                </c:pt>
                <c:pt idx="75">
                  <c:v>208.91613283301638</c:v>
                </c:pt>
                <c:pt idx="76">
                  <c:v>194.1224763079729</c:v>
                </c:pt>
                <c:pt idx="77">
                  <c:v>179.08363673040625</c:v>
                </c:pt>
                <c:pt idx="78">
                  <c:v>163.7681529995329</c:v>
                </c:pt>
                <c:pt idx="79">
                  <c:v>148.14238164443969</c:v>
                </c:pt>
                <c:pt idx="80">
                  <c:v>136.05674351653755</c:v>
                </c:pt>
                <c:pt idx="81">
                  <c:v>119.81910305969254</c:v>
                </c:pt>
                <c:pt idx="82">
                  <c:v>103.16396023879882</c:v>
                </c:pt>
                <c:pt idx="83">
                  <c:v>86.282154862672982</c:v>
                </c:pt>
                <c:pt idx="84">
                  <c:v>71.986694497384676</c:v>
                </c:pt>
                <c:pt idx="85">
                  <c:v>57.105757783501907</c:v>
                </c:pt>
                <c:pt idx="86">
                  <c:v>41.531008770575852</c:v>
                </c:pt>
                <c:pt idx="87">
                  <c:v>25.130577852095392</c:v>
                </c:pt>
                <c:pt idx="88">
                  <c:v>7.7422946638270824</c:v>
                </c:pt>
                <c:pt idx="89">
                  <c:v>-10.835347333208412</c:v>
                </c:pt>
                <c:pt idx="90">
                  <c:v>-30.85533349211936</c:v>
                </c:pt>
                <c:pt idx="91">
                  <c:v>-43.1204531604415</c:v>
                </c:pt>
                <c:pt idx="92">
                  <c:v>-54.885857468475322</c:v>
                </c:pt>
                <c:pt idx="93">
                  <c:v>-66.256427502979491</c:v>
                </c:pt>
                <c:pt idx="94">
                  <c:v>-77.311227840040686</c:v>
                </c:pt>
                <c:pt idx="95">
                  <c:v>-88.111472487603834</c:v>
                </c:pt>
                <c:pt idx="96">
                  <c:v>-98.70572534211199</c:v>
                </c:pt>
                <c:pt idx="97">
                  <c:v>-113.81375195452821</c:v>
                </c:pt>
                <c:pt idx="98">
                  <c:v>-128.60789033654805</c:v>
                </c:pt>
                <c:pt idx="99">
                  <c:v>-142.98717081090757</c:v>
                </c:pt>
                <c:pt idx="100">
                  <c:v>-157.0048094076009</c:v>
                </c:pt>
                <c:pt idx="101">
                  <c:v>-170.70786946015761</c:v>
                </c:pt>
                <c:pt idx="102">
                  <c:v>-181.38690906950552</c:v>
                </c:pt>
                <c:pt idx="103">
                  <c:v>-194.63673302722736</c:v>
                </c:pt>
                <c:pt idx="104">
                  <c:v>-207.68049303270402</c:v>
                </c:pt>
                <c:pt idx="105">
                  <c:v>-220.54945043801919</c:v>
                </c:pt>
                <c:pt idx="106">
                  <c:v>-233.2721729499618</c:v>
                </c:pt>
                <c:pt idx="107">
                  <c:v>-245.87495122753606</c:v>
                </c:pt>
                <c:pt idx="108">
                  <c:v>-258.38215459295554</c:v>
                </c:pt>
                <c:pt idx="109">
                  <c:v>-270.81653683536945</c:v>
                </c:pt>
                <c:pt idx="110">
                  <c:v>-283.19950104759545</c:v>
                </c:pt>
                <c:pt idx="111">
                  <c:v>-295.55133081716235</c:v>
                </c:pt>
                <c:pt idx="112">
                  <c:v>-307.89139380340112</c:v>
                </c:pt>
                <c:pt idx="113">
                  <c:v>-320.23827619511331</c:v>
                </c:pt>
                <c:pt idx="114">
                  <c:v>-332.31168737479948</c:v>
                </c:pt>
                <c:pt idx="115">
                  <c:v>-343.88289545804076</c:v>
                </c:pt>
                <c:pt idx="116">
                  <c:v>-355.01713140683978</c:v>
                </c:pt>
                <c:pt idx="117">
                  <c:v>-365.77057118750292</c:v>
                </c:pt>
                <c:pt idx="118">
                  <c:v>-376.19202895759145</c:v>
                </c:pt>
                <c:pt idx="119">
                  <c:v>-386.32429442897666</c:v>
                </c:pt>
                <c:pt idx="120">
                  <c:v>-396.20520026415642</c:v>
                </c:pt>
                <c:pt idx="121">
                  <c:v>-405.94245113450722</c:v>
                </c:pt>
                <c:pt idx="122">
                  <c:v>-415.45535126201582</c:v>
                </c:pt>
                <c:pt idx="123">
                  <c:v>-424.75310183213742</c:v>
                </c:pt>
                <c:pt idx="124">
                  <c:v>-433.83039442037494</c:v>
                </c:pt>
                <c:pt idx="125">
                  <c:v>-442.78272892109641</c:v>
                </c:pt>
                <c:pt idx="126">
                  <c:v>-451.68469461717933</c:v>
                </c:pt>
                <c:pt idx="127">
                  <c:v>-460.52821307752538</c:v>
                </c:pt>
                <c:pt idx="128">
                  <c:v>-469.33173910833528</c:v>
                </c:pt>
                <c:pt idx="129">
                  <c:v>-478.11301465610808</c:v>
                </c:pt>
                <c:pt idx="130">
                  <c:v>-486.88925512900403</c:v>
                </c:pt>
                <c:pt idx="131">
                  <c:v>-495.67731992117751</c:v>
                </c:pt>
                <c:pt idx="132">
                  <c:v>-504.49387135571141</c:v>
                </c:pt>
                <c:pt idx="133">
                  <c:v>-513.35552571423023</c:v>
                </c:pt>
                <c:pt idx="134">
                  <c:v>-522.2789996334235</c:v>
                </c:pt>
                <c:pt idx="135">
                  <c:v>-531.28125489430499</c:v>
                </c:pt>
                <c:pt idx="136">
                  <c:v>-540.37964449079755</c:v>
                </c:pt>
                <c:pt idx="137">
                  <c:v>-546.0699891388183</c:v>
                </c:pt>
                <c:pt idx="138">
                  <c:v>-554.75574048247915</c:v>
                </c:pt>
                <c:pt idx="139">
                  <c:v>-563.19120909510787</c:v>
                </c:pt>
                <c:pt idx="140">
                  <c:v>-571.39925945745279</c:v>
                </c:pt>
                <c:pt idx="141">
                  <c:v>-579.40081682690504</c:v>
                </c:pt>
                <c:pt idx="142">
                  <c:v>-587.21509622082021</c:v>
                </c:pt>
                <c:pt idx="143">
                  <c:v>-594.85980245616963</c:v>
                </c:pt>
                <c:pt idx="144">
                  <c:v>-602.3513055213582</c:v>
                </c:pt>
                <c:pt idx="145">
                  <c:v>-609.70479487047101</c:v>
                </c:pt>
                <c:pt idx="146">
                  <c:v>-616.93441566552713</c:v>
                </c:pt>
                <c:pt idx="147">
                  <c:v>-624.05338952731893</c:v>
                </c:pt>
                <c:pt idx="148">
                  <c:v>-631.07412196838152</c:v>
                </c:pt>
                <c:pt idx="149">
                  <c:v>-638.00829836133107</c:v>
                </c:pt>
                <c:pt idx="150">
                  <c:v>-644.86697002799463</c:v>
                </c:pt>
                <c:pt idx="151">
                  <c:v>-651.66063181154482</c:v>
                </c:pt>
                <c:pt idx="152">
                  <c:v>-658.39929230639848</c:v>
                </c:pt>
                <c:pt idx="153">
                  <c:v>-664.4961399675725</c:v>
                </c:pt>
                <c:pt idx="154">
                  <c:v>-670.42909459441455</c:v>
                </c:pt>
                <c:pt idx="155">
                  <c:v>-676.3607906748216</c:v>
                </c:pt>
                <c:pt idx="156">
                  <c:v>-682.30160328287593</c:v>
                </c:pt>
                <c:pt idx="157">
                  <c:v>-688.26189200737895</c:v>
                </c:pt>
                <c:pt idx="158">
                  <c:v>-694.25206429635818</c:v>
                </c:pt>
                <c:pt idx="159">
                  <c:v>-700.28263885071817</c:v>
                </c:pt>
                <c:pt idx="160">
                  <c:v>-706.36430980576495</c:v>
                </c:pt>
                <c:pt idx="161">
                  <c:v>-711.58921200766054</c:v>
                </c:pt>
                <c:pt idx="162">
                  <c:v>-716.40806343702138</c:v>
                </c:pt>
                <c:pt idx="163">
                  <c:v>-721.1895536282201</c:v>
                </c:pt>
                <c:pt idx="164">
                  <c:v>-726.04604061913722</c:v>
                </c:pt>
                <c:pt idx="165">
                  <c:v>-731.02731808282556</c:v>
                </c:pt>
                <c:pt idx="166">
                  <c:v>-736.15314847569891</c:v>
                </c:pt>
                <c:pt idx="167">
                  <c:v>-741.44552418694548</c:v>
                </c:pt>
                <c:pt idx="168">
                  <c:v>-746.92911638181283</c:v>
                </c:pt>
                <c:pt idx="169">
                  <c:v>-752.63182413471134</c:v>
                </c:pt>
                <c:pt idx="170">
                  <c:v>-758.58545271263972</c:v>
                </c:pt>
                <c:pt idx="171">
                  <c:v>-764.82655962165859</c:v>
                </c:pt>
                <c:pt idx="172">
                  <c:v>-771.39752067356596</c:v>
                </c:pt>
                <c:pt idx="173">
                  <c:v>-778.34788765851317</c:v>
                </c:pt>
                <c:pt idx="174">
                  <c:v>-785.73613695576228</c:v>
                </c:pt>
                <c:pt idx="175">
                  <c:v>-793.63194881542188</c:v>
                </c:pt>
                <c:pt idx="176">
                  <c:v>-802.11921675916051</c:v>
                </c:pt>
                <c:pt idx="177">
                  <c:v>-811.30007622711548</c:v>
                </c:pt>
                <c:pt idx="178">
                  <c:v>-821.30037854246348</c:v>
                </c:pt>
                <c:pt idx="179">
                  <c:v>-832.27724902104706</c:v>
                </c:pt>
                <c:pt idx="180">
                  <c:v>-841.20801477641453</c:v>
                </c:pt>
                <c:pt idx="181">
                  <c:v>-832.27724902104706</c:v>
                </c:pt>
                <c:pt idx="182">
                  <c:v>-821.30037854246336</c:v>
                </c:pt>
                <c:pt idx="183">
                  <c:v>-811.30007622711537</c:v>
                </c:pt>
                <c:pt idx="184">
                  <c:v>-802.11921675916028</c:v>
                </c:pt>
                <c:pt idx="185">
                  <c:v>-793.63194881542188</c:v>
                </c:pt>
                <c:pt idx="186">
                  <c:v>-785.73613695576228</c:v>
                </c:pt>
                <c:pt idx="187">
                  <c:v>-778.34788765851351</c:v>
                </c:pt>
                <c:pt idx="188">
                  <c:v>-771.39752067356574</c:v>
                </c:pt>
                <c:pt idx="189">
                  <c:v>-764.82655962165904</c:v>
                </c:pt>
                <c:pt idx="190">
                  <c:v>-758.58545271263972</c:v>
                </c:pt>
                <c:pt idx="191">
                  <c:v>-752.631824134711</c:v>
                </c:pt>
                <c:pt idx="192">
                  <c:v>-746.92911638181261</c:v>
                </c:pt>
                <c:pt idx="193">
                  <c:v>-741.44552418694548</c:v>
                </c:pt>
                <c:pt idx="194">
                  <c:v>-736.15314847569891</c:v>
                </c:pt>
                <c:pt idx="195">
                  <c:v>-731.02731808282556</c:v>
                </c:pt>
                <c:pt idx="196">
                  <c:v>-726.0460406191371</c:v>
                </c:pt>
                <c:pt idx="197">
                  <c:v>-721.18955362821987</c:v>
                </c:pt>
                <c:pt idx="198">
                  <c:v>-716.4080634370215</c:v>
                </c:pt>
                <c:pt idx="199">
                  <c:v>-711.58921200766042</c:v>
                </c:pt>
                <c:pt idx="200">
                  <c:v>-706.36430980576506</c:v>
                </c:pt>
                <c:pt idx="201">
                  <c:v>-700.28263885071829</c:v>
                </c:pt>
                <c:pt idx="202">
                  <c:v>-694.25206429635841</c:v>
                </c:pt>
                <c:pt idx="203">
                  <c:v>-688.26189200737883</c:v>
                </c:pt>
                <c:pt idx="204">
                  <c:v>-682.30160328287604</c:v>
                </c:pt>
                <c:pt idx="205">
                  <c:v>-676.3607906748216</c:v>
                </c:pt>
                <c:pt idx="206">
                  <c:v>-670.42909459441444</c:v>
                </c:pt>
                <c:pt idx="207">
                  <c:v>-664.49613996757273</c:v>
                </c:pt>
                <c:pt idx="208">
                  <c:v>-658.39929230639848</c:v>
                </c:pt>
                <c:pt idx="209">
                  <c:v>-651.66063181154482</c:v>
                </c:pt>
                <c:pt idx="210">
                  <c:v>-644.8669700279944</c:v>
                </c:pt>
                <c:pt idx="211">
                  <c:v>-638.00829836133107</c:v>
                </c:pt>
                <c:pt idx="212">
                  <c:v>-631.07412196838175</c:v>
                </c:pt>
                <c:pt idx="213">
                  <c:v>-624.05338952731893</c:v>
                </c:pt>
                <c:pt idx="214">
                  <c:v>-616.93441566552735</c:v>
                </c:pt>
                <c:pt idx="215">
                  <c:v>-609.70479487047078</c:v>
                </c:pt>
                <c:pt idx="216">
                  <c:v>-602.3513055213582</c:v>
                </c:pt>
                <c:pt idx="217">
                  <c:v>-594.85980245616963</c:v>
                </c:pt>
                <c:pt idx="218">
                  <c:v>-587.21509622082033</c:v>
                </c:pt>
                <c:pt idx="219">
                  <c:v>-579.40081682690504</c:v>
                </c:pt>
                <c:pt idx="220">
                  <c:v>-571.39925945745256</c:v>
                </c:pt>
                <c:pt idx="221">
                  <c:v>-563.19120909510775</c:v>
                </c:pt>
                <c:pt idx="222">
                  <c:v>-554.75574048247961</c:v>
                </c:pt>
                <c:pt idx="223">
                  <c:v>-546.0699891388183</c:v>
                </c:pt>
                <c:pt idx="224">
                  <c:v>-540.37964449079755</c:v>
                </c:pt>
                <c:pt idx="225">
                  <c:v>-531.28125489430522</c:v>
                </c:pt>
                <c:pt idx="226">
                  <c:v>-522.2789996334235</c:v>
                </c:pt>
                <c:pt idx="227">
                  <c:v>-513.35552571423034</c:v>
                </c:pt>
                <c:pt idx="228">
                  <c:v>-504.49387135571141</c:v>
                </c:pt>
                <c:pt idx="229">
                  <c:v>-495.67731992117774</c:v>
                </c:pt>
                <c:pt idx="230">
                  <c:v>-486.88925512900408</c:v>
                </c:pt>
                <c:pt idx="231">
                  <c:v>-478.11301465610853</c:v>
                </c:pt>
                <c:pt idx="232">
                  <c:v>-469.33173910833506</c:v>
                </c:pt>
                <c:pt idx="233">
                  <c:v>-460.52821307752527</c:v>
                </c:pt>
                <c:pt idx="234">
                  <c:v>-451.6846946171795</c:v>
                </c:pt>
                <c:pt idx="235">
                  <c:v>-442.78272892109658</c:v>
                </c:pt>
                <c:pt idx="236">
                  <c:v>-433.83039442037511</c:v>
                </c:pt>
                <c:pt idx="237">
                  <c:v>-424.7531018321373</c:v>
                </c:pt>
                <c:pt idx="238">
                  <c:v>-415.45535126201617</c:v>
                </c:pt>
                <c:pt idx="239">
                  <c:v>-405.94245113450728</c:v>
                </c:pt>
                <c:pt idx="240">
                  <c:v>-396.20520026415699</c:v>
                </c:pt>
                <c:pt idx="241">
                  <c:v>-386.3242944289766</c:v>
                </c:pt>
                <c:pt idx="242">
                  <c:v>-376.19202895759139</c:v>
                </c:pt>
                <c:pt idx="243">
                  <c:v>-365.77057118750326</c:v>
                </c:pt>
                <c:pt idx="244">
                  <c:v>-355.01713140683978</c:v>
                </c:pt>
                <c:pt idx="245">
                  <c:v>-343.88289545804048</c:v>
                </c:pt>
                <c:pt idx="246">
                  <c:v>-332.31168737479936</c:v>
                </c:pt>
                <c:pt idx="247">
                  <c:v>-320.23827619511337</c:v>
                </c:pt>
                <c:pt idx="248">
                  <c:v>-307.89139380340129</c:v>
                </c:pt>
                <c:pt idx="249">
                  <c:v>-295.55133081716275</c:v>
                </c:pt>
                <c:pt idx="250">
                  <c:v>-283.19950104759522</c:v>
                </c:pt>
                <c:pt idx="251">
                  <c:v>-270.81653683536933</c:v>
                </c:pt>
                <c:pt idx="252">
                  <c:v>-258.38215459295571</c:v>
                </c:pt>
                <c:pt idx="253">
                  <c:v>-245.87495122753626</c:v>
                </c:pt>
                <c:pt idx="254">
                  <c:v>-233.27217294996169</c:v>
                </c:pt>
                <c:pt idx="255">
                  <c:v>-220.54945043801894</c:v>
                </c:pt>
                <c:pt idx="256">
                  <c:v>-207.68049303270394</c:v>
                </c:pt>
                <c:pt idx="257">
                  <c:v>-194.63673302722754</c:v>
                </c:pt>
                <c:pt idx="258">
                  <c:v>-181.38690906950595</c:v>
                </c:pt>
                <c:pt idx="259">
                  <c:v>-170.70786946015747</c:v>
                </c:pt>
                <c:pt idx="260">
                  <c:v>-157.0048094076009</c:v>
                </c:pt>
                <c:pt idx="261">
                  <c:v>-142.98717081090777</c:v>
                </c:pt>
                <c:pt idx="262">
                  <c:v>-128.60789033654848</c:v>
                </c:pt>
                <c:pt idx="263">
                  <c:v>-113.81375195452797</c:v>
                </c:pt>
                <c:pt idx="264">
                  <c:v>-98.705725342111805</c:v>
                </c:pt>
                <c:pt idx="265">
                  <c:v>-88.111472487603805</c:v>
                </c:pt>
                <c:pt idx="266">
                  <c:v>-77.311227840040843</c:v>
                </c:pt>
                <c:pt idx="267">
                  <c:v>-66.256427502979889</c:v>
                </c:pt>
                <c:pt idx="268">
                  <c:v>-54.885857468475137</c:v>
                </c:pt>
                <c:pt idx="269">
                  <c:v>-43.120453160441471</c:v>
                </c:pt>
                <c:pt idx="270">
                  <c:v>-30.855333492119726</c:v>
                </c:pt>
                <c:pt idx="271">
                  <c:v>-10.835347333208874</c:v>
                </c:pt>
                <c:pt idx="272">
                  <c:v>7.7422946638273125</c:v>
                </c:pt>
                <c:pt idx="273">
                  <c:v>25.130577852095342</c:v>
                </c:pt>
                <c:pt idx="274">
                  <c:v>41.531008770575859</c:v>
                </c:pt>
                <c:pt idx="275">
                  <c:v>57.105757783501645</c:v>
                </c:pt>
                <c:pt idx="276">
                  <c:v>71.986694497384363</c:v>
                </c:pt>
                <c:pt idx="277">
                  <c:v>86.282154862673025</c:v>
                </c:pt>
                <c:pt idx="278">
                  <c:v>103.16396023879885</c:v>
                </c:pt>
                <c:pt idx="279">
                  <c:v>119.81910305969235</c:v>
                </c:pt>
                <c:pt idx="280">
                  <c:v>136.05674351653713</c:v>
                </c:pt>
                <c:pt idx="281">
                  <c:v>148.14238164443981</c:v>
                </c:pt>
                <c:pt idx="282">
                  <c:v>163.7681529995329</c:v>
                </c:pt>
                <c:pt idx="283">
                  <c:v>179.08363673040625</c:v>
                </c:pt>
                <c:pt idx="284">
                  <c:v>194.12247630797265</c:v>
                </c:pt>
                <c:pt idx="285">
                  <c:v>208.91613283301598</c:v>
                </c:pt>
                <c:pt idx="286">
                  <c:v>223.49411633844238</c:v>
                </c:pt>
                <c:pt idx="287">
                  <c:v>237.88420070024276</c:v>
                </c:pt>
                <c:pt idx="288">
                  <c:v>252.11262304100197</c:v>
                </c:pt>
                <c:pt idx="289">
                  <c:v>266.2042687225595</c:v>
                </c:pt>
                <c:pt idx="290">
                  <c:v>280.18284314982054</c:v>
                </c:pt>
                <c:pt idx="291">
                  <c:v>290.34456868280643</c:v>
                </c:pt>
                <c:pt idx="292">
                  <c:v>303.95025467919481</c:v>
                </c:pt>
                <c:pt idx="293">
                  <c:v>316.79846060061914</c:v>
                </c:pt>
                <c:pt idx="294">
                  <c:v>328.95129890947663</c:v>
                </c:pt>
                <c:pt idx="295">
                  <c:v>340.4974254992004</c:v>
                </c:pt>
                <c:pt idx="296">
                  <c:v>351.51222101699983</c:v>
                </c:pt>
                <c:pt idx="297">
                  <c:v>362.0603275478361</c:v>
                </c:pt>
                <c:pt idx="298">
                  <c:v>372.197631998188</c:v>
                </c:pt>
                <c:pt idx="299">
                  <c:v>381.97283319156929</c:v>
                </c:pt>
                <c:pt idx="300">
                  <c:v>391.42869236064143</c:v>
                </c:pt>
                <c:pt idx="301">
                  <c:v>400.60304046561021</c:v>
                </c:pt>
                <c:pt idx="302">
                  <c:v>409.52959705843944</c:v>
                </c:pt>
                <c:pt idx="303">
                  <c:v>418.2386419170922</c:v>
                </c:pt>
                <c:pt idx="304">
                  <c:v>426.75757083154997</c:v>
                </c:pt>
                <c:pt idx="305">
                  <c:v>435.11135967110846</c:v>
                </c:pt>
                <c:pt idx="306">
                  <c:v>443.32295546952264</c:v>
                </c:pt>
                <c:pt idx="307">
                  <c:v>451.4136092193371</c:v>
                </c:pt>
                <c:pt idx="308">
                  <c:v>459.40316201231661</c:v>
                </c:pt>
                <c:pt idx="309">
                  <c:v>467.31029384091107</c:v>
                </c:pt>
                <c:pt idx="310">
                  <c:v>475.15274260396069</c:v>
                </c:pt>
                <c:pt idx="311">
                  <c:v>482.94749950466303</c:v>
                </c:pt>
                <c:pt idx="312">
                  <c:v>490.71098599447072</c:v>
                </c:pt>
                <c:pt idx="313">
                  <c:v>498.4592166295725</c:v>
                </c:pt>
                <c:pt idx="314">
                  <c:v>506.20795161973666</c:v>
                </c:pt>
                <c:pt idx="315">
                  <c:v>513.97284241950854</c:v>
                </c:pt>
                <c:pt idx="316">
                  <c:v>521.76957341851084</c:v>
                </c:pt>
                <c:pt idx="317">
                  <c:v>529.61400260613027</c:v>
                </c:pt>
                <c:pt idx="318">
                  <c:v>537.52230401140253</c:v>
                </c:pt>
                <c:pt idx="319">
                  <c:v>545.5111147390719</c:v>
                </c:pt>
                <c:pt idx="320">
                  <c:v>553.59768954485173</c:v>
                </c:pt>
                <c:pt idx="321">
                  <c:v>561.76072484605675</c:v>
                </c:pt>
                <c:pt idx="322">
                  <c:v>569.8157187308999</c:v>
                </c:pt>
                <c:pt idx="323">
                  <c:v>577.7534917621856</c:v>
                </c:pt>
                <c:pt idx="324">
                  <c:v>585.59296791152008</c:v>
                </c:pt>
                <c:pt idx="325">
                  <c:v>593.3520999925596</c:v>
                </c:pt>
                <c:pt idx="326">
                  <c:v>598.05882125665971</c:v>
                </c:pt>
                <c:pt idx="327">
                  <c:v>605.63547087133861</c:v>
                </c:pt>
                <c:pt idx="328">
                  <c:v>613.17891873356143</c:v>
                </c:pt>
                <c:pt idx="329">
                  <c:v>620.70450172944368</c:v>
                </c:pt>
                <c:pt idx="330">
                  <c:v>628.22722916641271</c:v>
                </c:pt>
                <c:pt idx="331">
                  <c:v>635.76188758957426</c:v>
                </c:pt>
                <c:pt idx="332">
                  <c:v>641.86551389601311</c:v>
                </c:pt>
                <c:pt idx="333">
                  <c:v>646.83492492557855</c:v>
                </c:pt>
                <c:pt idx="334">
                  <c:v>651.80884796310295</c:v>
                </c:pt>
                <c:pt idx="335">
                  <c:v>656.80065705257778</c:v>
                </c:pt>
                <c:pt idx="336">
                  <c:v>661.82415500597972</c:v>
                </c:pt>
                <c:pt idx="337">
                  <c:v>666.89372303923312</c:v>
                </c:pt>
                <c:pt idx="338">
                  <c:v>672.02448607934912</c:v>
                </c:pt>
                <c:pt idx="339">
                  <c:v>677.23249797393191</c:v>
                </c:pt>
                <c:pt idx="340">
                  <c:v>682.53495165546121</c:v>
                </c:pt>
                <c:pt idx="341">
                  <c:v>687.95042036110976</c:v>
                </c:pt>
                <c:pt idx="342">
                  <c:v>693.49913734728284</c:v>
                </c:pt>
                <c:pt idx="343">
                  <c:v>699.20332324394508</c:v>
                </c:pt>
                <c:pt idx="344">
                  <c:v>705.08757236679514</c:v>
                </c:pt>
                <c:pt idx="345">
                  <c:v>711.1793120761622</c:v>
                </c:pt>
                <c:pt idx="346">
                  <c:v>717.50935280328054</c:v>
                </c:pt>
                <c:pt idx="347">
                  <c:v>724.1125508706092</c:v>
                </c:pt>
                <c:pt idx="348">
                  <c:v>731.02861196590743</c:v>
                </c:pt>
                <c:pt idx="349">
                  <c:v>733.48053967571218</c:v>
                </c:pt>
                <c:pt idx="350">
                  <c:v>734.48498187951236</c:v>
                </c:pt>
                <c:pt idx="351">
                  <c:v>735.42369743697941</c:v>
                </c:pt>
                <c:pt idx="352">
                  <c:v>736.29880887831018</c:v>
                </c:pt>
                <c:pt idx="353">
                  <c:v>737.11228630465462</c:v>
                </c:pt>
                <c:pt idx="354">
                  <c:v>737.86595987846306</c:v>
                </c:pt>
                <c:pt idx="355">
                  <c:v>738.56153194093622</c:v>
                </c:pt>
                <c:pt idx="356">
                  <c:v>739.20058894699741</c:v>
                </c:pt>
                <c:pt idx="357">
                  <c:v>739.78461342857531</c:v>
                </c:pt>
                <c:pt idx="358">
                  <c:v>740.31499622532363</c:v>
                </c:pt>
                <c:pt idx="359">
                  <c:v>740.7930492605409</c:v>
                </c:pt>
                <c:pt idx="360">
                  <c:v>741.22001919593481</c:v>
                </c:pt>
                <c:pt idx="361">
                  <c:v>741.22001919593492</c:v>
                </c:pt>
              </c:numCache>
            </c:numRef>
          </c:xVal>
          <c:yVal>
            <c:numRef>
              <c:f>'Cross Section Analysis'!$C$129:$C$490</c:f>
              <c:numCache>
                <c:formatCode>General</c:formatCode>
                <c:ptCount val="362"/>
                <c:pt idx="0">
                  <c:v>0</c:v>
                </c:pt>
                <c:pt idx="1">
                  <c:v>4.999949738836194</c:v>
                </c:pt>
                <c:pt idx="2">
                  <c:v>9.9284312447734369</c:v>
                </c:pt>
                <c:pt idx="3">
                  <c:v>14.795068393379543</c:v>
                </c:pt>
                <c:pt idx="4">
                  <c:v>19.608530840964935</c:v>
                </c:pt>
                <c:pt idx="5" formatCode="0.00000">
                  <c:v>24.376697468673015</c:v>
                </c:pt>
                <c:pt idx="6" formatCode="0.00000">
                  <c:v>29.106789407333483</c:v>
                </c:pt>
                <c:pt idx="7">
                  <c:v>33.805479425935026</c:v>
                </c:pt>
                <c:pt idx="8">
                  <c:v>38.478982795696858</c:v>
                </c:pt>
                <c:pt idx="9">
                  <c:v>43.133133526207054</c:v>
                </c:pt>
                <c:pt idx="10">
                  <c:v>47.7734489756104</c:v>
                </c:pt>
                <c:pt idx="11">
                  <c:v>52.405185171594141</c:v>
                </c:pt>
                <c:pt idx="12">
                  <c:v>56.791380787788519</c:v>
                </c:pt>
                <c:pt idx="13">
                  <c:v>60.317312773160069</c:v>
                </c:pt>
                <c:pt idx="14">
                  <c:v>63.781005767348177</c:v>
                </c:pt>
                <c:pt idx="15">
                  <c:v>67.194242949756216</c:v>
                </c:pt>
                <c:pt idx="16">
                  <c:v>70.567282565963467</c:v>
                </c:pt>
                <c:pt idx="17">
                  <c:v>73.909160130975664</c:v>
                </c:pt>
                <c:pt idx="18">
                  <c:v>77.227927859815338</c:v>
                </c:pt>
                <c:pt idx="19">
                  <c:v>80.530846175883241</c:v>
                </c:pt>
                <c:pt idx="20">
                  <c:v>83.82453840466475</c:v>
                </c:pt>
                <c:pt idx="21">
                  <c:v>87.115117024089884</c:v>
                </c:pt>
                <c:pt idx="22">
                  <c:v>90.408287832793476</c:v>
                </c:pt>
                <c:pt idx="23">
                  <c:v>93.709436909817867</c:v>
                </c:pt>
                <c:pt idx="24">
                  <c:v>97.02370413236126</c:v>
                </c:pt>
                <c:pt idx="25">
                  <c:v>100.35604618933102</c:v>
                </c:pt>
                <c:pt idx="26">
                  <c:v>103.71129140515974</c:v>
                </c:pt>
                <c:pt idx="27">
                  <c:v>107.09418821808481</c:v>
                </c:pt>
                <c:pt idx="28">
                  <c:v>110.50944880016331</c:v>
                </c:pt>
                <c:pt idx="29">
                  <c:v>114.56331726608042</c:v>
                </c:pt>
                <c:pt idx="30">
                  <c:v>119.40452109537256</c:v>
                </c:pt>
                <c:pt idx="31">
                  <c:v>124.25756503063812</c:v>
                </c:pt>
                <c:pt idx="32">
                  <c:v>129.1291149645586</c:v>
                </c:pt>
                <c:pt idx="33">
                  <c:v>134.02590301912574</c:v>
                </c:pt>
                <c:pt idx="34">
                  <c:v>138.95476471040297</c:v>
                </c:pt>
                <c:pt idx="35">
                  <c:v>142.20816127072212</c:v>
                </c:pt>
                <c:pt idx="36">
                  <c:v>147.24841767447796</c:v>
                </c:pt>
                <c:pt idx="37">
                  <c:v>152.34135668871832</c:v>
                </c:pt>
                <c:pt idx="38">
                  <c:v>157.49467473111736</c:v>
                </c:pt>
                <c:pt idx="39">
                  <c:v>162.71638161346928</c:v>
                </c:pt>
                <c:pt idx="40">
                  <c:v>167.99334602983265</c:v>
                </c:pt>
                <c:pt idx="41">
                  <c:v>173.1856350535997</c:v>
                </c:pt>
                <c:pt idx="42">
                  <c:v>178.27733142817482</c:v>
                </c:pt>
                <c:pt idx="43">
                  <c:v>183.28088022137339</c:v>
                </c:pt>
                <c:pt idx="44">
                  <c:v>188.20794440167325</c:v>
                </c:pt>
                <c:pt idx="45">
                  <c:v>193.06953286439992</c:v>
                </c:pt>
                <c:pt idx="46">
                  <c:v>197.87611573944571</c:v>
                </c:pt>
                <c:pt idx="47">
                  <c:v>202.63772964493359</c:v>
                </c:pt>
                <c:pt idx="48">
                  <c:v>207.36407521734</c:v>
                </c:pt>
                <c:pt idx="49">
                  <c:v>212.06460900453354</c:v>
                </c:pt>
                <c:pt idx="50">
                  <c:v>216.74863164058181</c:v>
                </c:pt>
                <c:pt idx="51">
                  <c:v>221.42537412306697</c:v>
                </c:pt>
                <c:pt idx="52">
                  <c:v>226.10408398058371</c:v>
                </c:pt>
                <c:pt idx="53">
                  <c:v>230.79411314988894</c:v>
                </c:pt>
                <c:pt idx="54">
                  <c:v>235.50500948223788</c:v>
                </c:pt>
                <c:pt idx="55">
                  <c:v>240.24661397370224</c:v>
                </c:pt>
                <c:pt idx="56">
                  <c:v>245.02916607711811</c:v>
                </c:pt>
                <c:pt idx="57">
                  <c:v>249.86341982135099</c:v>
                </c:pt>
                <c:pt idx="58">
                  <c:v>254.76077396229741</c:v>
                </c:pt>
                <c:pt idx="59">
                  <c:v>259.73342005440912</c:v>
                </c:pt>
                <c:pt idx="60">
                  <c:v>264.79451321177601</c:v>
                </c:pt>
                <c:pt idx="61">
                  <c:v>269.95837149024385</c:v>
                </c:pt>
                <c:pt idx="62">
                  <c:v>275.24071136295515</c:v>
                </c:pt>
                <c:pt idx="63">
                  <c:v>280.65892881259333</c:v>
                </c:pt>
                <c:pt idx="64">
                  <c:v>286.23243831290631</c:v>
                </c:pt>
                <c:pt idx="65">
                  <c:v>291.98308568617961</c:v>
                </c:pt>
                <c:pt idx="66">
                  <c:v>297.93565589133641</c:v>
                </c:pt>
                <c:pt idx="67">
                  <c:v>304.11850378226279</c:v>
                </c:pt>
                <c:pt idx="68">
                  <c:v>310.56434562075339</c:v>
                </c:pt>
                <c:pt idx="69">
                  <c:v>317.28616896623856</c:v>
                </c:pt>
                <c:pt idx="70">
                  <c:v>323.44091101178088</c:v>
                </c:pt>
                <c:pt idx="71">
                  <c:v>330.04084237479117</c:v>
                </c:pt>
                <c:pt idx="72">
                  <c:v>336.52921383301026</c:v>
                </c:pt>
                <c:pt idx="73">
                  <c:v>342.9225079812021</c:v>
                </c:pt>
                <c:pt idx="74">
                  <c:v>349.23705610037962</c:v>
                </c:pt>
                <c:pt idx="75">
                  <c:v>355.48913686703645</c:v>
                </c:pt>
                <c:pt idx="76">
                  <c:v>361.69507300261529</c:v>
                </c:pt>
                <c:pt idx="77">
                  <c:v>367.87132613625698</c:v>
                </c:pt>
                <c:pt idx="78">
                  <c:v>374.03458992161984</c:v>
                </c:pt>
                <c:pt idx="79">
                  <c:v>380.2018811645911</c:v>
                </c:pt>
                <c:pt idx="80">
                  <c:v>384.42224895392894</c:v>
                </c:pt>
                <c:pt idx="81">
                  <c:v>390.56411606879823</c:v>
                </c:pt>
                <c:pt idx="82">
                  <c:v>396.75886168132877</c:v>
                </c:pt>
                <c:pt idx="83">
                  <c:v>402.89028113641479</c:v>
                </c:pt>
                <c:pt idx="84">
                  <c:v>407.34655215696921</c:v>
                </c:pt>
                <c:pt idx="85">
                  <c:v>411.94839351411395</c:v>
                </c:pt>
                <c:pt idx="86">
                  <c:v>416.74294332343607</c:v>
                </c:pt>
                <c:pt idx="87">
                  <c:v>421.78623863811117</c:v>
                </c:pt>
                <c:pt idx="88">
                  <c:v>427.14558558648378</c:v>
                </c:pt>
                <c:pt idx="89">
                  <c:v>432.902616465959</c:v>
                </c:pt>
                <c:pt idx="90">
                  <c:v>439.15724314096673</c:v>
                </c:pt>
                <c:pt idx="91">
                  <c:v>432.47207589239645</c:v>
                </c:pt>
                <c:pt idx="92">
                  <c:v>426.53680456766386</c:v>
                </c:pt>
                <c:pt idx="93">
                  <c:v>421.17300365604757</c:v>
                </c:pt>
                <c:pt idx="94">
                  <c:v>416.24574516546051</c:v>
                </c:pt>
                <c:pt idx="95">
                  <c:v>411.65110284013059</c:v>
                </c:pt>
                <c:pt idx="96">
                  <c:v>407.30759924020748</c:v>
                </c:pt>
                <c:pt idx="97">
                  <c:v>401.24729514223264</c:v>
                </c:pt>
                <c:pt idx="98">
                  <c:v>395.30014212863574</c:v>
                </c:pt>
                <c:pt idx="99">
                  <c:v>389.49326556550869</c:v>
                </c:pt>
                <c:pt idx="100">
                  <c:v>383.79381036218967</c:v>
                </c:pt>
                <c:pt idx="101">
                  <c:v>378.17216360307987</c:v>
                </c:pt>
                <c:pt idx="102">
                  <c:v>374.45085382157032</c:v>
                </c:pt>
                <c:pt idx="103">
                  <c:v>368.84450566733688</c:v>
                </c:pt>
                <c:pt idx="104">
                  <c:v>363.24514047727104</c:v>
                </c:pt>
                <c:pt idx="105">
                  <c:v>357.63096476082632</c:v>
                </c:pt>
                <c:pt idx="106">
                  <c:v>351.98139499131571</c:v>
                </c:pt>
                <c:pt idx="107">
                  <c:v>346.27679008997507</c:v>
                </c:pt>
                <c:pt idx="108">
                  <c:v>340.4982143161069</c:v>
                </c:pt>
                <c:pt idx="109">
                  <c:v>334.62722440930986</c:v>
                </c:pt>
                <c:pt idx="110">
                  <c:v>328.64567580434982</c:v>
                </c:pt>
                <c:pt idx="111">
                  <c:v>322.53554350616724</c:v>
                </c:pt>
                <c:pt idx="112">
                  <c:v>316.27875381177853</c:v>
                </c:pt>
                <c:pt idx="113">
                  <c:v>309.85705652848685</c:v>
                </c:pt>
                <c:pt idx="114">
                  <c:v>303.46847714866169</c:v>
                </c:pt>
                <c:pt idx="115">
                  <c:v>297.2919861175518</c:v>
                </c:pt>
                <c:pt idx="116">
                  <c:v>291.29930736673333</c:v>
                </c:pt>
                <c:pt idx="117">
                  <c:v>285.46562783708714</c:v>
                </c:pt>
                <c:pt idx="118">
                  <c:v>279.76897284987172</c:v>
                </c:pt>
                <c:pt idx="119">
                  <c:v>274.18970262763327</c:v>
                </c:pt>
                <c:pt idx="120">
                  <c:v>268.71010215137977</c:v>
                </c:pt>
                <c:pt idx="121">
                  <c:v>263.34384821861801</c:v>
                </c:pt>
                <c:pt idx="122">
                  <c:v>258.03161853854772</c:v>
                </c:pt>
                <c:pt idx="123">
                  <c:v>252.75195684874248</c:v>
                </c:pt>
                <c:pt idx="124">
                  <c:v>247.47691368814736</c:v>
                </c:pt>
                <c:pt idx="125">
                  <c:v>242.22093420000212</c:v>
                </c:pt>
                <c:pt idx="126">
                  <c:v>236.99774487902872</c:v>
                </c:pt>
                <c:pt idx="127">
                  <c:v>231.78477037630148</c:v>
                </c:pt>
                <c:pt idx="128">
                  <c:v>226.57106191474446</c:v>
                </c:pt>
                <c:pt idx="129">
                  <c:v>221.34585991341834</c:v>
                </c:pt>
                <c:pt idx="130">
                  <c:v>216.0984864036455</c:v>
                </c:pt>
                <c:pt idx="131">
                  <c:v>210.81824186490326</c:v>
                </c:pt>
                <c:pt idx="132">
                  <c:v>205.49430416586506</c:v>
                </c:pt>
                <c:pt idx="133">
                  <c:v>200.11562743933678</c:v>
                </c:pt>
                <c:pt idx="134">
                  <c:v>194.67083877910608</c:v>
                </c:pt>
                <c:pt idx="135">
                  <c:v>189.1481306281718</c:v>
                </c:pt>
                <c:pt idx="136">
                  <c:v>183.53514663265619</c:v>
                </c:pt>
                <c:pt idx="137">
                  <c:v>179.37364592705194</c:v>
                </c:pt>
                <c:pt idx="138">
                  <c:v>173.91290328005746</c:v>
                </c:pt>
                <c:pt idx="139">
                  <c:v>168.57330711179071</c:v>
                </c:pt>
                <c:pt idx="140">
                  <c:v>163.34580985959747</c:v>
                </c:pt>
                <c:pt idx="141">
                  <c:v>158.2219776402107</c:v>
                </c:pt>
                <c:pt idx="142">
                  <c:v>153.19392699770546</c:v>
                </c:pt>
                <c:pt idx="143">
                  <c:v>148.25426849401637</c:v>
                </c:pt>
                <c:pt idx="144">
                  <c:v>143.39605623348359</c:v>
                </c:pt>
                <c:pt idx="145">
                  <c:v>138.612742542669</c:v>
                </c:pt>
                <c:pt idx="146">
                  <c:v>133.89813713553519</c:v>
                </c:pt>
                <c:pt idx="147">
                  <c:v>129.24637018627388</c:v>
                </c:pt>
                <c:pt idx="148">
                  <c:v>124.65185880866123</c:v>
                </c:pt>
                <c:pt idx="149">
                  <c:v>120.10927650633229</c:v>
                </c:pt>
                <c:pt idx="150">
                  <c:v>115.61352521331511</c:v>
                </c:pt>
                <c:pt idx="151">
                  <c:v>111.15970959095534</c:v>
                </c:pt>
                <c:pt idx="152">
                  <c:v>106.74311328684912</c:v>
                </c:pt>
                <c:pt idx="153">
                  <c:v>102.39699972631504</c:v>
                </c:pt>
                <c:pt idx="154">
                  <c:v>98.080286485846514</c:v>
                </c:pt>
                <c:pt idx="155">
                  <c:v>93.777542048818589</c:v>
                </c:pt>
                <c:pt idx="156">
                  <c:v>89.483746678212356</c:v>
                </c:pt>
                <c:pt idx="157">
                  <c:v>85.193883017994025</c:v>
                </c:pt>
                <c:pt idx="158">
                  <c:v>80.902910983478776</c:v>
                </c:pt>
                <c:pt idx="159">
                  <c:v>76.605742232206936</c:v>
                </c:pt>
                <c:pt idx="160">
                  <c:v>72.297213943891194</c:v>
                </c:pt>
                <c:pt idx="161">
                  <c:v>68.741183095111651</c:v>
                </c:pt>
                <c:pt idx="162">
                  <c:v>65.604805271258684</c:v>
                </c:pt>
                <c:pt idx="163">
                  <c:v>62.39043082392898</c:v>
                </c:pt>
                <c:pt idx="164">
                  <c:v>59.151703628947388</c:v>
                </c:pt>
                <c:pt idx="165">
                  <c:v>55.902388714224607</c:v>
                </c:pt>
                <c:pt idx="166">
                  <c:v>52.637073522710388</c:v>
                </c:pt>
                <c:pt idx="167">
                  <c:v>49.349904137686579</c:v>
                </c:pt>
                <c:pt idx="168">
                  <c:v>46.034483248858095</c:v>
                </c:pt>
                <c:pt idx="169">
                  <c:v>42.68374490590196</c:v>
                </c:pt>
                <c:pt idx="170">
                  <c:v>39.289798949987436</c:v>
                </c:pt>
                <c:pt idx="171">
                  <c:v>35.843735464198559</c:v>
                </c:pt>
                <c:pt idx="172">
                  <c:v>32.335375948708581</c:v>
                </c:pt>
                <c:pt idx="173">
                  <c:v>28.752952669350915</c:v>
                </c:pt>
                <c:pt idx="174">
                  <c:v>25.082689907542946</c:v>
                </c:pt>
                <c:pt idx="175">
                  <c:v>21.308249312745982</c:v>
                </c:pt>
                <c:pt idx="176">
                  <c:v>17.409984039342504</c:v>
                </c:pt>
                <c:pt idx="177">
                  <c:v>13.363919206709715</c:v>
                </c:pt>
                <c:pt idx="178">
                  <c:v>9.1403332879356505</c:v>
                </c:pt>
                <c:pt idx="179">
                  <c:v>4.701745593627531</c:v>
                </c:pt>
                <c:pt idx="180">
                  <c:v>6.5862248805699888E-14</c:v>
                </c:pt>
                <c:pt idx="181">
                  <c:v>-4.7017455936275514</c:v>
                </c:pt>
                <c:pt idx="182">
                  <c:v>-9.1403332879356416</c:v>
                </c:pt>
                <c:pt idx="183">
                  <c:v>-13.363919206709642</c:v>
                </c:pt>
                <c:pt idx="184">
                  <c:v>-17.409984039342444</c:v>
                </c:pt>
                <c:pt idx="185">
                  <c:v>-21.308249312745897</c:v>
                </c:pt>
                <c:pt idx="186">
                  <c:v>-25.082689907542889</c:v>
                </c:pt>
                <c:pt idx="187">
                  <c:v>-28.752952669350812</c:v>
                </c:pt>
                <c:pt idx="188">
                  <c:v>-32.335375948708673</c:v>
                </c:pt>
                <c:pt idx="189">
                  <c:v>-35.843735464198431</c:v>
                </c:pt>
                <c:pt idx="190">
                  <c:v>-39.289798949987535</c:v>
                </c:pt>
                <c:pt idx="191">
                  <c:v>-42.683744905901889</c:v>
                </c:pt>
                <c:pt idx="192">
                  <c:v>-46.034483248858066</c:v>
                </c:pt>
                <c:pt idx="193">
                  <c:v>-49.349904137686437</c:v>
                </c:pt>
                <c:pt idx="194">
                  <c:v>-52.637073522710239</c:v>
                </c:pt>
                <c:pt idx="195">
                  <c:v>-55.902388714224557</c:v>
                </c:pt>
                <c:pt idx="196">
                  <c:v>-59.151703628947367</c:v>
                </c:pt>
                <c:pt idx="197">
                  <c:v>-62.390430823928916</c:v>
                </c:pt>
                <c:pt idx="198">
                  <c:v>-65.604805271258613</c:v>
                </c:pt>
                <c:pt idx="199">
                  <c:v>-68.74118309511168</c:v>
                </c:pt>
                <c:pt idx="200">
                  <c:v>-72.297213943891137</c:v>
                </c:pt>
                <c:pt idx="201">
                  <c:v>-76.605742232206936</c:v>
                </c:pt>
                <c:pt idx="202">
                  <c:v>-80.902910983478719</c:v>
                </c:pt>
                <c:pt idx="203">
                  <c:v>-85.193883017993898</c:v>
                </c:pt>
                <c:pt idx="204">
                  <c:v>-89.483746678212384</c:v>
                </c:pt>
                <c:pt idx="205">
                  <c:v>-93.777542048818489</c:v>
                </c:pt>
                <c:pt idx="206">
                  <c:v>-98.080286485846685</c:v>
                </c:pt>
                <c:pt idx="207">
                  <c:v>-102.39699972631495</c:v>
                </c:pt>
                <c:pt idx="208">
                  <c:v>-106.74311328684917</c:v>
                </c:pt>
                <c:pt idx="209">
                  <c:v>-111.15970959095519</c:v>
                </c:pt>
                <c:pt idx="210">
                  <c:v>-115.61352521331514</c:v>
                </c:pt>
                <c:pt idx="211">
                  <c:v>-120.10927650633218</c:v>
                </c:pt>
                <c:pt idx="212">
                  <c:v>-124.65185880866122</c:v>
                </c:pt>
                <c:pt idx="213">
                  <c:v>-129.24637018627371</c:v>
                </c:pt>
                <c:pt idx="214">
                  <c:v>-133.89813713553511</c:v>
                </c:pt>
                <c:pt idx="215">
                  <c:v>-138.61274254266905</c:v>
                </c:pt>
                <c:pt idx="216">
                  <c:v>-143.39605623348348</c:v>
                </c:pt>
                <c:pt idx="217">
                  <c:v>-148.25426849401643</c:v>
                </c:pt>
                <c:pt idx="218">
                  <c:v>-153.19392699770535</c:v>
                </c:pt>
                <c:pt idx="219">
                  <c:v>-158.22197764021078</c:v>
                </c:pt>
                <c:pt idx="220">
                  <c:v>-163.34580985959735</c:v>
                </c:pt>
                <c:pt idx="221">
                  <c:v>-168.57330711179046</c:v>
                </c:pt>
                <c:pt idx="222">
                  <c:v>-173.91290328005752</c:v>
                </c:pt>
                <c:pt idx="223">
                  <c:v>-179.37364592705191</c:v>
                </c:pt>
                <c:pt idx="224">
                  <c:v>-183.53514663265625</c:v>
                </c:pt>
                <c:pt idx="225">
                  <c:v>-189.14813062817169</c:v>
                </c:pt>
                <c:pt idx="226">
                  <c:v>-194.67083877910611</c:v>
                </c:pt>
                <c:pt idx="227">
                  <c:v>-200.11562743933678</c:v>
                </c:pt>
                <c:pt idx="228">
                  <c:v>-205.49430416586509</c:v>
                </c:pt>
                <c:pt idx="229">
                  <c:v>-210.8182418649032</c:v>
                </c:pt>
                <c:pt idx="230">
                  <c:v>-216.09848640364538</c:v>
                </c:pt>
                <c:pt idx="231">
                  <c:v>-221.34585991341822</c:v>
                </c:pt>
                <c:pt idx="232">
                  <c:v>-226.57106191474466</c:v>
                </c:pt>
                <c:pt idx="233">
                  <c:v>-231.78477037630145</c:v>
                </c:pt>
                <c:pt idx="234">
                  <c:v>-236.99774487902872</c:v>
                </c:pt>
                <c:pt idx="235">
                  <c:v>-242.22093420000192</c:v>
                </c:pt>
                <c:pt idx="236">
                  <c:v>-247.4769136881475</c:v>
                </c:pt>
                <c:pt idx="237">
                  <c:v>-252.75195684874248</c:v>
                </c:pt>
                <c:pt idx="238">
                  <c:v>-258.03161853854772</c:v>
                </c:pt>
                <c:pt idx="239">
                  <c:v>-263.34384821861795</c:v>
                </c:pt>
                <c:pt idx="240">
                  <c:v>-268.71010215137954</c:v>
                </c:pt>
                <c:pt idx="241">
                  <c:v>-274.18970262763332</c:v>
                </c:pt>
                <c:pt idx="242">
                  <c:v>-279.76897284987194</c:v>
                </c:pt>
                <c:pt idx="243">
                  <c:v>-285.46562783708708</c:v>
                </c:pt>
                <c:pt idx="244">
                  <c:v>-291.29930736673316</c:v>
                </c:pt>
                <c:pt idx="245">
                  <c:v>-297.29198611755174</c:v>
                </c:pt>
                <c:pt idx="246">
                  <c:v>-303.46847714866192</c:v>
                </c:pt>
                <c:pt idx="247">
                  <c:v>-309.85705652848685</c:v>
                </c:pt>
                <c:pt idx="248">
                  <c:v>-316.27875381177842</c:v>
                </c:pt>
                <c:pt idx="249">
                  <c:v>-322.53554350616713</c:v>
                </c:pt>
                <c:pt idx="250">
                  <c:v>-328.64567580434971</c:v>
                </c:pt>
                <c:pt idx="251">
                  <c:v>-334.62722440930992</c:v>
                </c:pt>
                <c:pt idx="252">
                  <c:v>-340.49821431610667</c:v>
                </c:pt>
                <c:pt idx="253">
                  <c:v>-346.27679008997495</c:v>
                </c:pt>
                <c:pt idx="254">
                  <c:v>-351.98139499131594</c:v>
                </c:pt>
                <c:pt idx="255">
                  <c:v>-357.63096476082637</c:v>
                </c:pt>
                <c:pt idx="256">
                  <c:v>-363.24514047727104</c:v>
                </c:pt>
                <c:pt idx="257">
                  <c:v>-368.84450566733682</c:v>
                </c:pt>
                <c:pt idx="258">
                  <c:v>-374.45085382157015</c:v>
                </c:pt>
                <c:pt idx="259">
                  <c:v>-378.17216360307992</c:v>
                </c:pt>
                <c:pt idx="260">
                  <c:v>-383.79381036218962</c:v>
                </c:pt>
                <c:pt idx="261">
                  <c:v>-389.49326556550847</c:v>
                </c:pt>
                <c:pt idx="262">
                  <c:v>-395.30014212863551</c:v>
                </c:pt>
                <c:pt idx="263">
                  <c:v>-401.24729514223253</c:v>
                </c:pt>
                <c:pt idx="264">
                  <c:v>-407.30759924020754</c:v>
                </c:pt>
                <c:pt idx="265">
                  <c:v>-411.65110284013053</c:v>
                </c:pt>
                <c:pt idx="266">
                  <c:v>-416.24574516546051</c:v>
                </c:pt>
                <c:pt idx="267">
                  <c:v>-421.17300365604763</c:v>
                </c:pt>
                <c:pt idx="268">
                  <c:v>-426.53680456766386</c:v>
                </c:pt>
                <c:pt idx="269">
                  <c:v>-432.47207589239645</c:v>
                </c:pt>
                <c:pt idx="270">
                  <c:v>-439.15724314096673</c:v>
                </c:pt>
                <c:pt idx="271">
                  <c:v>-432.90261646595906</c:v>
                </c:pt>
                <c:pt idx="272">
                  <c:v>-427.14558558648378</c:v>
                </c:pt>
                <c:pt idx="273">
                  <c:v>-421.78623863811129</c:v>
                </c:pt>
                <c:pt idx="274">
                  <c:v>-416.74294332343624</c:v>
                </c:pt>
                <c:pt idx="275">
                  <c:v>-411.94839351411395</c:v>
                </c:pt>
                <c:pt idx="276">
                  <c:v>-407.34655215696927</c:v>
                </c:pt>
                <c:pt idx="277">
                  <c:v>-402.89028113641479</c:v>
                </c:pt>
                <c:pt idx="278">
                  <c:v>-396.75886168132877</c:v>
                </c:pt>
                <c:pt idx="279">
                  <c:v>-390.56411606879823</c:v>
                </c:pt>
                <c:pt idx="280">
                  <c:v>-384.42224895392923</c:v>
                </c:pt>
                <c:pt idx="281">
                  <c:v>-380.20188116459093</c:v>
                </c:pt>
                <c:pt idx="282">
                  <c:v>-374.03458992161973</c:v>
                </c:pt>
                <c:pt idx="283">
                  <c:v>-367.87132613625687</c:v>
                </c:pt>
                <c:pt idx="284">
                  <c:v>-361.69507300261535</c:v>
                </c:pt>
                <c:pt idx="285">
                  <c:v>-355.48913686703668</c:v>
                </c:pt>
                <c:pt idx="286">
                  <c:v>-349.23705610037945</c:v>
                </c:pt>
                <c:pt idx="287">
                  <c:v>-342.92250798120222</c:v>
                </c:pt>
                <c:pt idx="288">
                  <c:v>-336.52921383301049</c:v>
                </c:pt>
                <c:pt idx="289">
                  <c:v>-330.04084237479151</c:v>
                </c:pt>
                <c:pt idx="290">
                  <c:v>-323.44091101178094</c:v>
                </c:pt>
                <c:pt idx="291">
                  <c:v>-317.28616896623856</c:v>
                </c:pt>
                <c:pt idx="292">
                  <c:v>-310.56434562075339</c:v>
                </c:pt>
                <c:pt idx="293">
                  <c:v>-304.11850378226302</c:v>
                </c:pt>
                <c:pt idx="294">
                  <c:v>-297.93565589133652</c:v>
                </c:pt>
                <c:pt idx="295">
                  <c:v>-291.98308568617972</c:v>
                </c:pt>
                <c:pt idx="296">
                  <c:v>-286.23243831290625</c:v>
                </c:pt>
                <c:pt idx="297">
                  <c:v>-280.65892881259344</c:v>
                </c:pt>
                <c:pt idx="298">
                  <c:v>-275.24071136295544</c:v>
                </c:pt>
                <c:pt idx="299">
                  <c:v>-269.95837149024385</c:v>
                </c:pt>
                <c:pt idx="300">
                  <c:v>-264.79451321177601</c:v>
                </c:pt>
                <c:pt idx="301">
                  <c:v>-259.73342005440918</c:v>
                </c:pt>
                <c:pt idx="302">
                  <c:v>-254.76077396229755</c:v>
                </c:pt>
                <c:pt idx="303">
                  <c:v>-249.86341982135093</c:v>
                </c:pt>
                <c:pt idx="304">
                  <c:v>-245.02916607711811</c:v>
                </c:pt>
                <c:pt idx="305">
                  <c:v>-240.24661397370218</c:v>
                </c:pt>
                <c:pt idx="306">
                  <c:v>-235.50500948223797</c:v>
                </c:pt>
                <c:pt idx="307">
                  <c:v>-230.79411314988906</c:v>
                </c:pt>
                <c:pt idx="308">
                  <c:v>-226.1040839805836</c:v>
                </c:pt>
                <c:pt idx="309">
                  <c:v>-221.42537412306683</c:v>
                </c:pt>
                <c:pt idx="310">
                  <c:v>-216.74863164058183</c:v>
                </c:pt>
                <c:pt idx="311">
                  <c:v>-212.06460900453385</c:v>
                </c:pt>
                <c:pt idx="312">
                  <c:v>-207.36407521734023</c:v>
                </c:pt>
                <c:pt idx="313">
                  <c:v>-202.63772964493347</c:v>
                </c:pt>
                <c:pt idx="314">
                  <c:v>-197.87611573944579</c:v>
                </c:pt>
                <c:pt idx="315">
                  <c:v>-193.0695328644</c:v>
                </c:pt>
                <c:pt idx="316">
                  <c:v>-188.20794440167344</c:v>
                </c:pt>
                <c:pt idx="317">
                  <c:v>-183.28088022137328</c:v>
                </c:pt>
                <c:pt idx="318">
                  <c:v>-178.27733142817473</c:v>
                </c:pt>
                <c:pt idx="319">
                  <c:v>-173.1856350535997</c:v>
                </c:pt>
                <c:pt idx="320">
                  <c:v>-167.99334602983288</c:v>
                </c:pt>
                <c:pt idx="321">
                  <c:v>-162.71638161346959</c:v>
                </c:pt>
                <c:pt idx="322">
                  <c:v>-157.49467473111736</c:v>
                </c:pt>
                <c:pt idx="323">
                  <c:v>-152.34135668871832</c:v>
                </c:pt>
                <c:pt idx="324">
                  <c:v>-147.24841767447805</c:v>
                </c:pt>
                <c:pt idx="325">
                  <c:v>-142.20816127072223</c:v>
                </c:pt>
                <c:pt idx="326">
                  <c:v>-138.95476471040288</c:v>
                </c:pt>
                <c:pt idx="327">
                  <c:v>-134.02590301912565</c:v>
                </c:pt>
                <c:pt idx="328">
                  <c:v>-129.12911496455865</c:v>
                </c:pt>
                <c:pt idx="329">
                  <c:v>-124.25756503063819</c:v>
                </c:pt>
                <c:pt idx="330">
                  <c:v>-119.40452109537274</c:v>
                </c:pt>
                <c:pt idx="331">
                  <c:v>-114.5633172660802</c:v>
                </c:pt>
                <c:pt idx="332">
                  <c:v>-110.50944880016323</c:v>
                </c:pt>
                <c:pt idx="333">
                  <c:v>-107.09418821808492</c:v>
                </c:pt>
                <c:pt idx="334">
                  <c:v>-103.71129140515983</c:v>
                </c:pt>
                <c:pt idx="335">
                  <c:v>-100.35604618933111</c:v>
                </c:pt>
                <c:pt idx="336">
                  <c:v>-97.023704132361274</c:v>
                </c:pt>
                <c:pt idx="337">
                  <c:v>-93.709436909817839</c:v>
                </c:pt>
                <c:pt idx="338">
                  <c:v>-90.408287832793476</c:v>
                </c:pt>
                <c:pt idx="339">
                  <c:v>-87.115117024089997</c:v>
                </c:pt>
                <c:pt idx="340">
                  <c:v>-83.824538404664608</c:v>
                </c:pt>
                <c:pt idx="341">
                  <c:v>-80.530846175883198</c:v>
                </c:pt>
                <c:pt idx="342">
                  <c:v>-77.227927859815352</c:v>
                </c:pt>
                <c:pt idx="343">
                  <c:v>-73.909160130975749</c:v>
                </c:pt>
                <c:pt idx="344">
                  <c:v>-70.56728256596341</c:v>
                </c:pt>
                <c:pt idx="345">
                  <c:v>-67.194242949756187</c:v>
                </c:pt>
                <c:pt idx="346">
                  <c:v>-63.781005767348262</c:v>
                </c:pt>
                <c:pt idx="347">
                  <c:v>-60.317312773160182</c:v>
                </c:pt>
                <c:pt idx="348">
                  <c:v>-56.791380787788697</c:v>
                </c:pt>
                <c:pt idx="349">
                  <c:v>-52.405185171594091</c:v>
                </c:pt>
                <c:pt idx="350">
                  <c:v>-47.773448975610386</c:v>
                </c:pt>
                <c:pt idx="351">
                  <c:v>-43.133133526207146</c:v>
                </c:pt>
                <c:pt idx="352">
                  <c:v>-38.478982795696986</c:v>
                </c:pt>
                <c:pt idx="353">
                  <c:v>-33.805479425935005</c:v>
                </c:pt>
                <c:pt idx="354">
                  <c:v>-29.106789407333395</c:v>
                </c:pt>
                <c:pt idx="355">
                  <c:v>-24.37669746867304</c:v>
                </c:pt>
                <c:pt idx="356">
                  <c:v>-19.608530840965027</c:v>
                </c:pt>
                <c:pt idx="357">
                  <c:v>-14.795068393379713</c:v>
                </c:pt>
                <c:pt idx="358">
                  <c:v>-9.9284312447735079</c:v>
                </c:pt>
                <c:pt idx="359">
                  <c:v>-4.9999497388362339</c:v>
                </c:pt>
                <c:pt idx="360">
                  <c:v>-1.4517268777508626E-13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7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bg2">
                  <a:lumMod val="90000"/>
                </a:schemeClr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308.36162732252996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-308.36162657658559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</a:t>
            </a:r>
            <a:endParaRPr lang="en-US" baseline="0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Analysis'!$R$129:$R$229</c:f>
              <c:numCache>
                <c:formatCode>General</c:formatCode>
                <c:ptCount val="101"/>
                <c:pt idx="0">
                  <c:v>62.865000000000038</c:v>
                </c:pt>
                <c:pt idx="1">
                  <c:v>56.628616557704611</c:v>
                </c:pt>
                <c:pt idx="2">
                  <c:v>47.638655036072343</c:v>
                </c:pt>
                <c:pt idx="3">
                  <c:v>89.808772355474602</c:v>
                </c:pt>
                <c:pt idx="4">
                  <c:v>128.88164216222242</c:v>
                </c:pt>
                <c:pt idx="5">
                  <c:v>163.14999784798999</c:v>
                </c:pt>
                <c:pt idx="6">
                  <c:v>194.72586046663761</c:v>
                </c:pt>
                <c:pt idx="7">
                  <c:v>226.19863106491979</c:v>
                </c:pt>
                <c:pt idx="8">
                  <c:v>255.96720276741357</c:v>
                </c:pt>
                <c:pt idx="9">
                  <c:v>283.75180866299797</c:v>
                </c:pt>
                <c:pt idx="10">
                  <c:v>311.31048510363632</c:v>
                </c:pt>
                <c:pt idx="11">
                  <c:v>338.17847719604106</c:v>
                </c:pt>
                <c:pt idx="12">
                  <c:v>364.56148713444031</c:v>
                </c:pt>
                <c:pt idx="13">
                  <c:v>390.0811150630422</c:v>
                </c:pt>
                <c:pt idx="14">
                  <c:v>414.60725905905173</c:v>
                </c:pt>
                <c:pt idx="15">
                  <c:v>424.59350101131497</c:v>
                </c:pt>
                <c:pt idx="16">
                  <c:v>430.56593258445105</c:v>
                </c:pt>
                <c:pt idx="17">
                  <c:v>435.52165549040802</c:v>
                </c:pt>
                <c:pt idx="18">
                  <c:v>437.86544894059318</c:v>
                </c:pt>
                <c:pt idx="19">
                  <c:v>439.29694277756198</c:v>
                </c:pt>
                <c:pt idx="20">
                  <c:v>440.67937487984887</c:v>
                </c:pt>
                <c:pt idx="21">
                  <c:v>441.89690608344932</c:v>
                </c:pt>
                <c:pt idx="22">
                  <c:v>442.8135731260337</c:v>
                </c:pt>
                <c:pt idx="23">
                  <c:v>443.2791943420122</c:v>
                </c:pt>
                <c:pt idx="24">
                  <c:v>443.10501790143365</c:v>
                </c:pt>
                <c:pt idx="25">
                  <c:v>446.03759737236481</c:v>
                </c:pt>
                <c:pt idx="26">
                  <c:v>449.57687712532919</c:v>
                </c:pt>
                <c:pt idx="27">
                  <c:v>452.07885444167226</c:v>
                </c:pt>
                <c:pt idx="28">
                  <c:v>453.99350988013782</c:v>
                </c:pt>
                <c:pt idx="29">
                  <c:v>455.30556294132361</c:v>
                </c:pt>
                <c:pt idx="30">
                  <c:v>455.96925143092471</c:v>
                </c:pt>
                <c:pt idx="31">
                  <c:v>455.94398110570199</c:v>
                </c:pt>
                <c:pt idx="32">
                  <c:v>455.19360444331636</c:v>
                </c:pt>
                <c:pt idx="33">
                  <c:v>453.29317606092468</c:v>
                </c:pt>
                <c:pt idx="34">
                  <c:v>450.92325477847896</c:v>
                </c:pt>
                <c:pt idx="35">
                  <c:v>447.73624708545475</c:v>
                </c:pt>
                <c:pt idx="36">
                  <c:v>443.49045933151831</c:v>
                </c:pt>
                <c:pt idx="37">
                  <c:v>438.51634737929942</c:v>
                </c:pt>
                <c:pt idx="38">
                  <c:v>432.65449171479457</c:v>
                </c:pt>
                <c:pt idx="39">
                  <c:v>425.88360349988011</c:v>
                </c:pt>
                <c:pt idx="40">
                  <c:v>418.18273425955493</c:v>
                </c:pt>
                <c:pt idx="41">
                  <c:v>409.53096425167001</c:v>
                </c:pt>
                <c:pt idx="42">
                  <c:v>399.90408611503273</c:v>
                </c:pt>
                <c:pt idx="43">
                  <c:v>389.27031083110921</c:v>
                </c:pt>
                <c:pt idx="44">
                  <c:v>377.5973990615754</c:v>
                </c:pt>
                <c:pt idx="45">
                  <c:v>364.85128235169498</c:v>
                </c:pt>
                <c:pt idx="46">
                  <c:v>350.99565950092307</c:v>
                </c:pt>
                <c:pt idx="47">
                  <c:v>335.91696933740667</c:v>
                </c:pt>
                <c:pt idx="48">
                  <c:v>319.60483354027605</c:v>
                </c:pt>
                <c:pt idx="49">
                  <c:v>302.05336452818943</c:v>
                </c:pt>
                <c:pt idx="50">
                  <c:v>283.21099334464225</c:v>
                </c:pt>
                <c:pt idx="51">
                  <c:v>263.01880709473824</c:v>
                </c:pt>
                <c:pt idx="52">
                  <c:v>0</c:v>
                </c:pt>
              </c:numCache>
            </c:numRef>
          </c:xVal>
          <c:yVal>
            <c:numRef>
              <c:f>'Cross Section Analysis'!$Q$129:$Q$229</c:f>
              <c:numCache>
                <c:formatCode>General</c:formatCode>
                <c:ptCount val="101"/>
                <c:pt idx="0">
                  <c:v>-342.9</c:v>
                </c:pt>
                <c:pt idx="1">
                  <c:v>-337.9</c:v>
                </c:pt>
                <c:pt idx="2">
                  <c:v>-300.94027</c:v>
                </c:pt>
                <c:pt idx="3">
                  <c:v>-263.98054000000002</c:v>
                </c:pt>
                <c:pt idx="4">
                  <c:v>-227.02081000000001</c:v>
                </c:pt>
                <c:pt idx="5">
                  <c:v>-190.06108</c:v>
                </c:pt>
                <c:pt idx="6">
                  <c:v>-153.10135</c:v>
                </c:pt>
                <c:pt idx="7">
                  <c:v>-116.14161999999999</c:v>
                </c:pt>
                <c:pt idx="8">
                  <c:v>-79.181889999999981</c:v>
                </c:pt>
                <c:pt idx="9">
                  <c:v>-42.222159999999981</c:v>
                </c:pt>
                <c:pt idx="10">
                  <c:v>-5.2624299999999806</c:v>
                </c:pt>
                <c:pt idx="11">
                  <c:v>31.69730000000002</c:v>
                </c:pt>
                <c:pt idx="12">
                  <c:v>68.65703000000002</c:v>
                </c:pt>
                <c:pt idx="13">
                  <c:v>105.61676000000003</c:v>
                </c:pt>
                <c:pt idx="14">
                  <c:v>142.57649000000004</c:v>
                </c:pt>
                <c:pt idx="15">
                  <c:v>179.53622000000004</c:v>
                </c:pt>
                <c:pt idx="16">
                  <c:v>216.49595000000005</c:v>
                </c:pt>
                <c:pt idx="17">
                  <c:v>253.45568000000006</c:v>
                </c:pt>
                <c:pt idx="18">
                  <c:v>290.41541000000007</c:v>
                </c:pt>
                <c:pt idx="19">
                  <c:v>327.37514000000004</c:v>
                </c:pt>
                <c:pt idx="20">
                  <c:v>364.33487000000002</c:v>
                </c:pt>
                <c:pt idx="21">
                  <c:v>401.2946</c:v>
                </c:pt>
                <c:pt idx="22">
                  <c:v>438.25432999999998</c:v>
                </c:pt>
                <c:pt idx="23">
                  <c:v>475.21405999999996</c:v>
                </c:pt>
                <c:pt idx="24">
                  <c:v>512.17378999999994</c:v>
                </c:pt>
                <c:pt idx="25">
                  <c:v>549.13351999999998</c:v>
                </c:pt>
                <c:pt idx="26">
                  <c:v>586.09325000000001</c:v>
                </c:pt>
                <c:pt idx="27">
                  <c:v>623.05298000000005</c:v>
                </c:pt>
                <c:pt idx="28">
                  <c:v>660.01271000000008</c:v>
                </c:pt>
                <c:pt idx="29">
                  <c:v>696.97244000000012</c:v>
                </c:pt>
                <c:pt idx="30">
                  <c:v>733.93217000000016</c:v>
                </c:pt>
                <c:pt idx="31">
                  <c:v>770.89190000000019</c:v>
                </c:pt>
                <c:pt idx="32">
                  <c:v>807.85163000000023</c:v>
                </c:pt>
                <c:pt idx="33">
                  <c:v>844.81136000000026</c:v>
                </c:pt>
                <c:pt idx="34">
                  <c:v>881.7710900000003</c:v>
                </c:pt>
                <c:pt idx="35">
                  <c:v>918.73082000000034</c:v>
                </c:pt>
                <c:pt idx="36">
                  <c:v>955.69055000000037</c:v>
                </c:pt>
                <c:pt idx="37">
                  <c:v>992.65028000000041</c:v>
                </c:pt>
                <c:pt idx="38">
                  <c:v>1029.6100100000003</c:v>
                </c:pt>
                <c:pt idx="39">
                  <c:v>1066.5697400000004</c:v>
                </c:pt>
                <c:pt idx="40">
                  <c:v>1103.5294700000004</c:v>
                </c:pt>
                <c:pt idx="41">
                  <c:v>1140.4892000000004</c:v>
                </c:pt>
                <c:pt idx="42">
                  <c:v>1177.4489300000005</c:v>
                </c:pt>
                <c:pt idx="43">
                  <c:v>1214.4086600000005</c:v>
                </c:pt>
                <c:pt idx="44">
                  <c:v>1251.3683900000005</c:v>
                </c:pt>
                <c:pt idx="45">
                  <c:v>1288.3281200000006</c:v>
                </c:pt>
                <c:pt idx="46">
                  <c:v>1325.2878500000006</c:v>
                </c:pt>
                <c:pt idx="47">
                  <c:v>1362.2475800000007</c:v>
                </c:pt>
                <c:pt idx="48">
                  <c:v>1399.2073100000007</c:v>
                </c:pt>
                <c:pt idx="49">
                  <c:v>1436.1670400000007</c:v>
                </c:pt>
                <c:pt idx="50">
                  <c:v>1473.1267700000008</c:v>
                </c:pt>
                <c:pt idx="51">
                  <c:v>1510.0865000000008</c:v>
                </c:pt>
                <c:pt idx="52">
                  <c:v>1510.0865000000008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9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14.142135623730951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accent3"/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Analysis'!$R$122:$R$124</c:f>
              <c:numCache>
                <c:formatCode>General</c:formatCode>
                <c:ptCount val="3"/>
                <c:pt idx="0">
                  <c:v>14.142135623730951</c:v>
                </c:pt>
                <c:pt idx="1">
                  <c:v>436.08919494749745</c:v>
                </c:pt>
              </c:numCache>
            </c:numRef>
          </c:xVal>
          <c:yVal>
            <c:numRef>
              <c:f>'Cross Section Analysis'!$Q$122:$Q$124</c:f>
              <c:numCache>
                <c:formatCode>General</c:formatCode>
                <c:ptCount val="3"/>
                <c:pt idx="0">
                  <c:v>500</c:v>
                </c:pt>
                <c:pt idx="1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504826</xdr:colOff>
      <xdr:row>0</xdr:row>
      <xdr:rowOff>123825</xdr:rowOff>
    </xdr:from>
    <xdr:to>
      <xdr:col>18</xdr:col>
      <xdr:colOff>133351</xdr:colOff>
      <xdr:row>33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704851</xdr:colOff>
      <xdr:row>45</xdr:row>
      <xdr:rowOff>150187</xdr:rowOff>
    </xdr:from>
    <xdr:to>
      <xdr:col>18</xdr:col>
      <xdr:colOff>381000</xdr:colOff>
      <xdr:row>84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120</xdr:row>
      <xdr:rowOff>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(Form Button)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473075</xdr:colOff>
      <xdr:row>127</xdr:row>
      <xdr:rowOff>41275</xdr:rowOff>
    </xdr:from>
    <xdr:to>
      <xdr:col>15</xdr:col>
      <xdr:colOff>241300</xdr:colOff>
      <xdr:row>170</xdr:row>
      <xdr:rowOff>111125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121</xdr:row>
          <xdr:rowOff>152400</xdr:rowOff>
        </xdr:from>
        <xdr:to>
          <xdr:col>13</xdr:col>
          <xdr:colOff>342900</xdr:colOff>
          <xdr:row>125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a P-M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171</xdr:row>
      <xdr:rowOff>142875</xdr:rowOff>
    </xdr:from>
    <xdr:to>
      <xdr:col>15</xdr:col>
      <xdr:colOff>82550</xdr:colOff>
      <xdr:row>215</xdr:row>
      <xdr:rowOff>22225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AA490"/>
  <sheetViews>
    <sheetView tabSelected="1" topLeftCell="A109" workbookViewId="0">
      <selection activeCell="B120" sqref="B120"/>
    </sheetView>
  </sheetViews>
  <sheetFormatPr defaultColWidth="8.85546875" defaultRowHeight="15" x14ac:dyDescent="0.25"/>
  <cols>
    <col min="1" max="1" width="16.42578125" customWidth="1"/>
    <col min="2" max="2" width="18.4257812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12.42578125" bestFit="1" customWidth="1"/>
    <col min="8" max="8" width="14.42578125" bestFit="1" customWidth="1"/>
    <col min="9" max="9" width="13.42578125" bestFit="1" customWidth="1"/>
    <col min="10" max="10" width="10.140625" customWidth="1"/>
    <col min="11" max="11" width="11.7109375" customWidth="1"/>
    <col min="13" max="13" width="9.28515625" bestFit="1" customWidth="1"/>
    <col min="14" max="14" width="12.42578125" customWidth="1"/>
    <col min="22" max="22" width="11.85546875" customWidth="1"/>
    <col min="23" max="23" width="11" bestFit="1" customWidth="1"/>
    <col min="25" max="25" width="12" bestFit="1" customWidth="1"/>
  </cols>
  <sheetData>
    <row r="1" spans="1:8" x14ac:dyDescent="0.25">
      <c r="D1" t="s">
        <v>7</v>
      </c>
      <c r="G1" t="s">
        <v>14</v>
      </c>
    </row>
    <row r="2" spans="1:8" x14ac:dyDescent="0.25">
      <c r="A2" s="2" t="s">
        <v>4</v>
      </c>
      <c r="B2" s="3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 x14ac:dyDescent="0.25">
      <c r="A3" s="2" t="s">
        <v>13</v>
      </c>
      <c r="B3" s="3">
        <f>(POWER(145,1.5)*33*SQRT(1000*B2))/1000</f>
        <v>4074.2806880478911</v>
      </c>
      <c r="C3" t="s">
        <v>5</v>
      </c>
      <c r="D3" s="5">
        <v>0</v>
      </c>
      <c r="E3" s="5">
        <v>0</v>
      </c>
      <c r="G3" s="6">
        <f>MAX(MAX(D3:D7),MAX(E3:E7))+1</f>
        <v>31</v>
      </c>
      <c r="H3" s="6">
        <f>G3</f>
        <v>31</v>
      </c>
    </row>
    <row r="4" spans="1:8" x14ac:dyDescent="0.25">
      <c r="A4" s="2" t="s">
        <v>35</v>
      </c>
      <c r="B4" s="1">
        <f>IF(B2&lt;=4,0.85,IF(B2&lt;=8,0.85 - ((0.05*(B2-4))/1),0.65))</f>
        <v>0.79999999999999993</v>
      </c>
      <c r="D4" s="5">
        <f>B5</f>
        <v>20</v>
      </c>
      <c r="E4" s="5">
        <v>0</v>
      </c>
      <c r="G4">
        <v>-1</v>
      </c>
      <c r="H4">
        <v>-1</v>
      </c>
    </row>
    <row r="5" spans="1:8" x14ac:dyDescent="0.25">
      <c r="A5" s="2" t="s">
        <v>2</v>
      </c>
      <c r="B5" s="36">
        <v>20</v>
      </c>
      <c r="C5" t="s">
        <v>6</v>
      </c>
      <c r="D5" s="5">
        <f>B5</f>
        <v>20</v>
      </c>
      <c r="E5" s="5">
        <f>B6</f>
        <v>30</v>
      </c>
      <c r="G5" t="s">
        <v>33</v>
      </c>
    </row>
    <row r="6" spans="1:8" x14ac:dyDescent="0.25">
      <c r="A6" s="2" t="s">
        <v>3</v>
      </c>
      <c r="B6" s="36">
        <v>30</v>
      </c>
      <c r="C6" t="s">
        <v>6</v>
      </c>
      <c r="D6" s="5">
        <v>0</v>
      </c>
      <c r="E6" s="5">
        <f>B6</f>
        <v>30</v>
      </c>
      <c r="G6" t="s">
        <v>0</v>
      </c>
      <c r="H6" t="s">
        <v>1</v>
      </c>
    </row>
    <row r="7" spans="1:8" x14ac:dyDescent="0.25">
      <c r="D7" s="5">
        <v>0</v>
      </c>
      <c r="E7" s="5">
        <v>0</v>
      </c>
      <c r="G7">
        <f>B5/2</f>
        <v>10</v>
      </c>
      <c r="H7">
        <f>B6/2</f>
        <v>15</v>
      </c>
    </row>
    <row r="9" spans="1:8" x14ac:dyDescent="0.25">
      <c r="A9" t="s">
        <v>8</v>
      </c>
    </row>
    <row r="10" spans="1:8" x14ac:dyDescent="0.25">
      <c r="A10" t="s">
        <v>9</v>
      </c>
      <c r="B10" s="36">
        <v>60</v>
      </c>
      <c r="C10" t="s">
        <v>5</v>
      </c>
      <c r="F10" s="27" t="s">
        <v>88</v>
      </c>
    </row>
    <row r="11" spans="1:8" x14ac:dyDescent="0.25">
      <c r="A11" t="s">
        <v>12</v>
      </c>
      <c r="B11" s="3">
        <v>30000</v>
      </c>
      <c r="C11" t="s">
        <v>5</v>
      </c>
      <c r="F11" s="27" t="s">
        <v>89</v>
      </c>
    </row>
    <row r="12" spans="1:8" x14ac:dyDescent="0.25">
      <c r="B12" s="1" t="s">
        <v>10</v>
      </c>
      <c r="C12" t="s">
        <v>11</v>
      </c>
      <c r="D12" s="1" t="s">
        <v>0</v>
      </c>
      <c r="E12" s="1" t="s">
        <v>1</v>
      </c>
      <c r="F12" s="27" t="s">
        <v>90</v>
      </c>
    </row>
    <row r="13" spans="1:8" x14ac:dyDescent="0.25">
      <c r="A13">
        <v>1</v>
      </c>
      <c r="B13" s="35">
        <v>10</v>
      </c>
      <c r="C13" s="4">
        <f ca="1">OFFSET(Reference!A$1,MATCH('Cross Section Analysis'!B13,Reference!A$1:A$12,0)-1,2)</f>
        <v>1.27</v>
      </c>
      <c r="D13" s="36">
        <v>4</v>
      </c>
      <c r="E13" s="36">
        <v>4</v>
      </c>
      <c r="F13" s="27" t="s">
        <v>91</v>
      </c>
    </row>
    <row r="14" spans="1:8" x14ac:dyDescent="0.25">
      <c r="A14">
        <v>2</v>
      </c>
      <c r="B14" s="35">
        <v>10</v>
      </c>
      <c r="C14" s="4">
        <f ca="1">OFFSET(Reference!A$1,MATCH('Cross Section Analysis'!B14,Reference!A$1:A$12,0)-1,2)</f>
        <v>1.27</v>
      </c>
      <c r="D14" s="36">
        <v>16</v>
      </c>
      <c r="E14" s="36">
        <v>4</v>
      </c>
      <c r="F14" s="27" t="s">
        <v>92</v>
      </c>
    </row>
    <row r="15" spans="1:8" x14ac:dyDescent="0.25">
      <c r="A15">
        <v>3</v>
      </c>
      <c r="B15" s="35">
        <v>10</v>
      </c>
      <c r="C15" s="4">
        <f ca="1">OFFSET(Reference!A$1,MATCH('Cross Section Analysis'!B15,Reference!A$1:A$12,0)-1,2)</f>
        <v>1.27</v>
      </c>
      <c r="D15" s="36">
        <v>4</v>
      </c>
      <c r="E15" s="36">
        <v>26</v>
      </c>
    </row>
    <row r="16" spans="1:8" x14ac:dyDescent="0.25">
      <c r="A16">
        <v>4</v>
      </c>
      <c r="B16" s="35">
        <v>10</v>
      </c>
      <c r="C16" s="4">
        <f ca="1">OFFSET(Reference!A$1,MATCH('Cross Section Analysis'!B16,Reference!A$1:A$12,0)-1,2)</f>
        <v>1.27</v>
      </c>
      <c r="D16" s="36">
        <v>10</v>
      </c>
      <c r="E16" s="36">
        <v>26</v>
      </c>
    </row>
    <row r="17" spans="1:5" x14ac:dyDescent="0.25">
      <c r="A17">
        <v>5</v>
      </c>
      <c r="B17" s="35">
        <v>10</v>
      </c>
      <c r="C17" s="4">
        <f ca="1">OFFSET(Reference!A$1,MATCH('Cross Section Analysis'!B17,Reference!A$1:A$12,0)-1,2)</f>
        <v>1.27</v>
      </c>
      <c r="D17" s="36">
        <v>16</v>
      </c>
      <c r="E17" s="36">
        <v>26</v>
      </c>
    </row>
    <row r="18" spans="1:5" x14ac:dyDescent="0.25">
      <c r="A18">
        <v>6</v>
      </c>
      <c r="B18" s="35">
        <v>0</v>
      </c>
      <c r="C18" s="4">
        <f ca="1">OFFSET(Reference!A$1,MATCH('Cross Section Analysis'!B18,Reference!A$1:A$12,0)-1,2)</f>
        <v>0</v>
      </c>
      <c r="D18" s="36">
        <v>0</v>
      </c>
      <c r="E18" s="36">
        <v>0</v>
      </c>
    </row>
    <row r="19" spans="1:5" x14ac:dyDescent="0.25">
      <c r="A19">
        <v>7</v>
      </c>
      <c r="B19" s="35">
        <v>0</v>
      </c>
      <c r="C19" s="4">
        <f ca="1">OFFSET(Reference!A$1,MATCH('Cross Section Analysis'!B19,Reference!A$1:A$12,0)-1,2)</f>
        <v>0</v>
      </c>
      <c r="D19" s="36">
        <v>0</v>
      </c>
      <c r="E19" s="36">
        <v>0</v>
      </c>
    </row>
    <row r="20" spans="1:5" x14ac:dyDescent="0.25">
      <c r="A20">
        <v>8</v>
      </c>
      <c r="B20" s="35">
        <v>0</v>
      </c>
      <c r="C20" s="4">
        <f ca="1">OFFSET(Reference!A$1,MATCH('Cross Section Analysis'!B20,Reference!A$1:A$12,0)-1,2)</f>
        <v>0</v>
      </c>
      <c r="D20" s="36">
        <v>0</v>
      </c>
      <c r="E20" s="36">
        <v>0</v>
      </c>
    </row>
    <row r="21" spans="1:5" x14ac:dyDescent="0.25">
      <c r="A21">
        <v>9</v>
      </c>
      <c r="B21" s="35">
        <v>0</v>
      </c>
      <c r="C21" s="4">
        <f ca="1">OFFSET(Reference!A$1,MATCH('Cross Section Analysis'!B21,Reference!A$1:A$12,0)-1,2)</f>
        <v>0</v>
      </c>
      <c r="D21" s="36">
        <v>0</v>
      </c>
      <c r="E21" s="36">
        <v>0</v>
      </c>
    </row>
    <row r="22" spans="1:5" x14ac:dyDescent="0.25">
      <c r="A22">
        <v>10</v>
      </c>
      <c r="B22" s="35">
        <v>0</v>
      </c>
      <c r="C22" s="4">
        <f ca="1">OFFSET(Reference!A$1,MATCH('Cross Section Analysis'!B22,Reference!A$1:A$12,0)-1,2)</f>
        <v>0</v>
      </c>
      <c r="D22" s="36">
        <v>0</v>
      </c>
      <c r="E22" s="36">
        <v>0</v>
      </c>
    </row>
    <row r="23" spans="1:5" x14ac:dyDescent="0.25">
      <c r="A23">
        <v>11</v>
      </c>
      <c r="B23" s="35">
        <v>0</v>
      </c>
      <c r="C23" s="4">
        <f ca="1">OFFSET(Reference!A$1,MATCH('Cross Section Analysis'!B23,Reference!A$1:A$12,0)-1,2)</f>
        <v>0</v>
      </c>
      <c r="D23" s="36">
        <v>0</v>
      </c>
      <c r="E23" s="36">
        <v>0</v>
      </c>
    </row>
    <row r="24" spans="1:5" x14ac:dyDescent="0.25">
      <c r="A24">
        <v>12</v>
      </c>
      <c r="B24" s="35">
        <v>0</v>
      </c>
      <c r="C24" s="4">
        <f ca="1">OFFSET(Reference!A$1,MATCH('Cross Section Analysis'!B24,Reference!A$1:A$12,0)-1,2)</f>
        <v>0</v>
      </c>
      <c r="D24" s="36">
        <v>0</v>
      </c>
      <c r="E24" s="36">
        <v>0</v>
      </c>
    </row>
    <row r="26" spans="1:5" x14ac:dyDescent="0.25">
      <c r="A26" s="26" t="s">
        <v>15</v>
      </c>
    </row>
    <row r="27" spans="1:5" x14ac:dyDescent="0.25">
      <c r="A27" s="2" t="s">
        <v>16</v>
      </c>
    </row>
    <row r="28" spans="1:5" x14ac:dyDescent="0.25">
      <c r="A28" s="2" t="s">
        <v>17</v>
      </c>
      <c r="B28">
        <f>B5*B6</f>
        <v>600</v>
      </c>
      <c r="C28" t="s">
        <v>18</v>
      </c>
    </row>
    <row r="29" spans="1:5" x14ac:dyDescent="0.25">
      <c r="A29" s="2" t="s">
        <v>19</v>
      </c>
      <c r="B29">
        <f>B28*B2</f>
        <v>3000</v>
      </c>
      <c r="C29" t="s">
        <v>20</v>
      </c>
    </row>
    <row r="30" spans="1:5" x14ac:dyDescent="0.25">
      <c r="A30" s="2" t="s">
        <v>21</v>
      </c>
      <c r="B30">
        <f>B29*(B6/2)</f>
        <v>45000</v>
      </c>
      <c r="C30" t="s">
        <v>23</v>
      </c>
    </row>
    <row r="31" spans="1:5" x14ac:dyDescent="0.25">
      <c r="A31" s="2" t="s">
        <v>22</v>
      </c>
      <c r="B31">
        <f>B29*(B5/2)</f>
        <v>30000</v>
      </c>
      <c r="C31" t="s">
        <v>23</v>
      </c>
    </row>
    <row r="33" spans="1:6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 x14ac:dyDescent="0.25">
      <c r="A34">
        <f>A13</f>
        <v>1</v>
      </c>
      <c r="B34" s="7">
        <f ca="1">C13</f>
        <v>1.27</v>
      </c>
      <c r="C34" s="6">
        <f>($B$10-($B$2))</f>
        <v>55</v>
      </c>
      <c r="D34" s="6">
        <f ca="1">B34*C34</f>
        <v>69.849999999999994</v>
      </c>
      <c r="E34" s="6">
        <f ca="1">D34*E13</f>
        <v>279.39999999999998</v>
      </c>
      <c r="F34" s="6">
        <f ca="1">D34*D13</f>
        <v>279.39999999999998</v>
      </c>
    </row>
    <row r="35" spans="1:6" x14ac:dyDescent="0.25">
      <c r="A35">
        <f t="shared" ref="A35:A45" si="0">A14</f>
        <v>2</v>
      </c>
      <c r="B35" s="7">
        <f t="shared" ref="B35:B45" ca="1" si="1">C14</f>
        <v>1.27</v>
      </c>
      <c r="C35" s="6">
        <f t="shared" ref="C35:C45" si="2">($B$10-($B$2))</f>
        <v>55</v>
      </c>
      <c r="D35" s="6">
        <f t="shared" ref="D35:D45" ca="1" si="3">B35*C35</f>
        <v>69.849999999999994</v>
      </c>
      <c r="E35" s="6">
        <f t="shared" ref="E35:E45" ca="1" si="4">D35*E14</f>
        <v>279.39999999999998</v>
      </c>
      <c r="F35" s="6">
        <f t="shared" ref="F35:F45" ca="1" si="5">D35*D14</f>
        <v>1117.5999999999999</v>
      </c>
    </row>
    <row r="36" spans="1:6" x14ac:dyDescent="0.25">
      <c r="A36">
        <f t="shared" si="0"/>
        <v>3</v>
      </c>
      <c r="B36" s="7">
        <f t="shared" ca="1" si="1"/>
        <v>1.27</v>
      </c>
      <c r="C36" s="6">
        <f t="shared" si="2"/>
        <v>55</v>
      </c>
      <c r="D36" s="6">
        <f t="shared" ca="1" si="3"/>
        <v>69.849999999999994</v>
      </c>
      <c r="E36" s="6">
        <f t="shared" ca="1" si="4"/>
        <v>1816.1</v>
      </c>
      <c r="F36" s="6">
        <f t="shared" ca="1" si="5"/>
        <v>279.39999999999998</v>
      </c>
    </row>
    <row r="37" spans="1:6" x14ac:dyDescent="0.25">
      <c r="A37">
        <f t="shared" si="0"/>
        <v>4</v>
      </c>
      <c r="B37" s="7">
        <f t="shared" ca="1" si="1"/>
        <v>1.27</v>
      </c>
      <c r="C37" s="6">
        <f t="shared" si="2"/>
        <v>55</v>
      </c>
      <c r="D37" s="6">
        <f t="shared" ca="1" si="3"/>
        <v>69.849999999999994</v>
      </c>
      <c r="E37" s="6">
        <f t="shared" ca="1" si="4"/>
        <v>1816.1</v>
      </c>
      <c r="F37" s="6">
        <f t="shared" ca="1" si="5"/>
        <v>698.5</v>
      </c>
    </row>
    <row r="38" spans="1:6" x14ac:dyDescent="0.25">
      <c r="A38">
        <f t="shared" si="0"/>
        <v>5</v>
      </c>
      <c r="B38" s="7">
        <f t="shared" ca="1" si="1"/>
        <v>1.27</v>
      </c>
      <c r="C38" s="6">
        <f t="shared" si="2"/>
        <v>55</v>
      </c>
      <c r="D38" s="6">
        <f t="shared" ca="1" si="3"/>
        <v>69.849999999999994</v>
      </c>
      <c r="E38" s="6">
        <f t="shared" ca="1" si="4"/>
        <v>1816.1</v>
      </c>
      <c r="F38" s="6">
        <f t="shared" ca="1" si="5"/>
        <v>1117.5999999999999</v>
      </c>
    </row>
    <row r="39" spans="1:6" x14ac:dyDescent="0.25">
      <c r="A39">
        <f t="shared" si="0"/>
        <v>6</v>
      </c>
      <c r="B39" s="7">
        <f t="shared" ca="1" si="1"/>
        <v>0</v>
      </c>
      <c r="C39" s="6">
        <f t="shared" si="2"/>
        <v>55</v>
      </c>
      <c r="D39" s="6">
        <f t="shared" ca="1" si="3"/>
        <v>0</v>
      </c>
      <c r="E39" s="6">
        <f t="shared" ca="1" si="4"/>
        <v>0</v>
      </c>
      <c r="F39" s="6">
        <f t="shared" ca="1" si="5"/>
        <v>0</v>
      </c>
    </row>
    <row r="40" spans="1:6" x14ac:dyDescent="0.25">
      <c r="A40">
        <f t="shared" si="0"/>
        <v>7</v>
      </c>
      <c r="B40" s="7">
        <f t="shared" ca="1" si="1"/>
        <v>0</v>
      </c>
      <c r="C40" s="6">
        <f t="shared" si="2"/>
        <v>55</v>
      </c>
      <c r="D40" s="6">
        <f t="shared" ca="1" si="3"/>
        <v>0</v>
      </c>
      <c r="E40" s="6">
        <f ca="1">D40*E19</f>
        <v>0</v>
      </c>
      <c r="F40" s="6">
        <f t="shared" ca="1" si="5"/>
        <v>0</v>
      </c>
    </row>
    <row r="41" spans="1:6" x14ac:dyDescent="0.25">
      <c r="A41">
        <f t="shared" si="0"/>
        <v>8</v>
      </c>
      <c r="B41" s="7">
        <f t="shared" ca="1" si="1"/>
        <v>0</v>
      </c>
      <c r="C41" s="6">
        <f t="shared" si="2"/>
        <v>55</v>
      </c>
      <c r="D41" s="6">
        <f t="shared" ca="1" si="3"/>
        <v>0</v>
      </c>
      <c r="E41" s="6">
        <f t="shared" ca="1" si="4"/>
        <v>0</v>
      </c>
      <c r="F41" s="6">
        <f t="shared" ca="1" si="5"/>
        <v>0</v>
      </c>
    </row>
    <row r="42" spans="1:6" x14ac:dyDescent="0.25">
      <c r="A42">
        <f t="shared" si="0"/>
        <v>9</v>
      </c>
      <c r="B42" s="7">
        <f t="shared" ca="1" si="1"/>
        <v>0</v>
      </c>
      <c r="C42" s="6">
        <f t="shared" si="2"/>
        <v>55</v>
      </c>
      <c r="D42" s="6">
        <f t="shared" ca="1" si="3"/>
        <v>0</v>
      </c>
      <c r="E42" s="6">
        <f t="shared" ca="1" si="4"/>
        <v>0</v>
      </c>
      <c r="F42" s="6">
        <f t="shared" ca="1" si="5"/>
        <v>0</v>
      </c>
    </row>
    <row r="43" spans="1:6" x14ac:dyDescent="0.25">
      <c r="A43">
        <f t="shared" si="0"/>
        <v>10</v>
      </c>
      <c r="B43" s="7">
        <f t="shared" ca="1" si="1"/>
        <v>0</v>
      </c>
      <c r="C43" s="6">
        <f t="shared" si="2"/>
        <v>55</v>
      </c>
      <c r="D43" s="6">
        <f t="shared" ca="1" si="3"/>
        <v>0</v>
      </c>
      <c r="E43" s="6">
        <f t="shared" ca="1" si="4"/>
        <v>0</v>
      </c>
      <c r="F43" s="6">
        <f t="shared" ca="1" si="5"/>
        <v>0</v>
      </c>
    </row>
    <row r="44" spans="1:6" x14ac:dyDescent="0.25">
      <c r="A44">
        <f t="shared" si="0"/>
        <v>11</v>
      </c>
      <c r="B44" s="7">
        <f t="shared" ca="1" si="1"/>
        <v>0</v>
      </c>
      <c r="C44" s="6">
        <f t="shared" si="2"/>
        <v>55</v>
      </c>
      <c r="D44" s="6">
        <f t="shared" ca="1" si="3"/>
        <v>0</v>
      </c>
      <c r="E44" s="6">
        <f t="shared" ca="1" si="4"/>
        <v>0</v>
      </c>
      <c r="F44" s="6">
        <f t="shared" ca="1" si="5"/>
        <v>0</v>
      </c>
    </row>
    <row r="45" spans="1:6" ht="15.75" thickBot="1" x14ac:dyDescent="0.3">
      <c r="A45">
        <f t="shared" si="0"/>
        <v>12</v>
      </c>
      <c r="B45" s="7">
        <f t="shared" ca="1" si="1"/>
        <v>0</v>
      </c>
      <c r="C45" s="6">
        <f t="shared" si="2"/>
        <v>55</v>
      </c>
      <c r="D45" s="25">
        <f t="shared" ca="1" si="3"/>
        <v>0</v>
      </c>
      <c r="E45" s="25">
        <f t="shared" ca="1" si="4"/>
        <v>0</v>
      </c>
      <c r="F45" s="25">
        <f t="shared" ca="1" si="5"/>
        <v>0</v>
      </c>
    </row>
    <row r="46" spans="1:6" ht="15.75" thickTop="1" x14ac:dyDescent="0.25">
      <c r="C46" s="6"/>
      <c r="D46" s="6">
        <f ca="1">SUM(D34:D45)</f>
        <v>349.25</v>
      </c>
      <c r="E46" s="6">
        <f t="shared" ref="E46:F46" ca="1" si="6">SUM(E34:E45)</f>
        <v>6007.1</v>
      </c>
      <c r="F46" s="6">
        <f t="shared" ca="1" si="6"/>
        <v>3492.5</v>
      </c>
    </row>
    <row r="48" spans="1:6" x14ac:dyDescent="0.25">
      <c r="A48" s="2" t="s">
        <v>28</v>
      </c>
      <c r="B48" s="6">
        <f ca="1">B29+D46</f>
        <v>3349.25</v>
      </c>
      <c r="D48" t="s">
        <v>31</v>
      </c>
      <c r="E48" t="s">
        <v>32</v>
      </c>
    </row>
    <row r="49" spans="1:21" x14ac:dyDescent="0.25">
      <c r="A49" s="2" t="s">
        <v>29</v>
      </c>
      <c r="B49" s="6">
        <f ca="1">E46+B30</f>
        <v>51007.1</v>
      </c>
      <c r="D49" s="1">
        <f ca="1">B50/B48</f>
        <v>10</v>
      </c>
      <c r="E49" s="4">
        <f ca="1">B49/B48</f>
        <v>15.229409569306561</v>
      </c>
    </row>
    <row r="50" spans="1:21" x14ac:dyDescent="0.25">
      <c r="A50" s="2" t="s">
        <v>30</v>
      </c>
      <c r="B50" s="6">
        <f ca="1">F46+B31</f>
        <v>33492.5</v>
      </c>
    </row>
    <row r="52" spans="1:21" x14ac:dyDescent="0.25">
      <c r="A52" s="27" t="s">
        <v>34</v>
      </c>
    </row>
    <row r="53" spans="1:21" x14ac:dyDescent="0.25">
      <c r="A53" s="2" t="s">
        <v>36</v>
      </c>
      <c r="B53" s="34">
        <v>67.66317635022898</v>
      </c>
      <c r="C53" t="s">
        <v>39</v>
      </c>
    </row>
    <row r="55" spans="1:21" x14ac:dyDescent="0.25">
      <c r="A55" s="2" t="s">
        <v>16</v>
      </c>
    </row>
    <row r="56" spans="1:21" x14ac:dyDescent="0.25">
      <c r="A56" s="1" t="s">
        <v>0</v>
      </c>
      <c r="B56" s="1" t="s">
        <v>1</v>
      </c>
      <c r="C56" s="1" t="s">
        <v>37</v>
      </c>
      <c r="D56" s="1" t="s">
        <v>38</v>
      </c>
    </row>
    <row r="57" spans="1:21" x14ac:dyDescent="0.25">
      <c r="A57" s="6">
        <f ca="1">D3-$D$49</f>
        <v>-10</v>
      </c>
      <c r="B57" s="7">
        <f ca="1">E3-$E$49</f>
        <v>-15.229409569306561</v>
      </c>
      <c r="C57" s="4">
        <f ca="1">A57*COS(RADIANS(-1*$B$53))+B57*SIN(RADIANS(-1*$B$53))</f>
        <v>10.286173691457794</v>
      </c>
      <c r="D57" s="4">
        <f ca="1">-1*A57*SIN(RADIANS(-1*$B$53))+B57*COS(RADIANS(-1*$B$53))</f>
        <v>-15.037604417554274</v>
      </c>
      <c r="F57" t="s">
        <v>40</v>
      </c>
      <c r="G57">
        <f ca="1">MAX(D57:D61)-MIN(D57:D61)</f>
        <v>29.90083429673064</v>
      </c>
      <c r="H57" t="s">
        <v>6</v>
      </c>
      <c r="T57" t="s">
        <v>82</v>
      </c>
    </row>
    <row r="58" spans="1:21" x14ac:dyDescent="0.25">
      <c r="A58" s="6">
        <f ca="1">D4-$D$49</f>
        <v>10</v>
      </c>
      <c r="B58" s="7">
        <f t="shared" ref="B58:B61" ca="1" si="7">E4-$E$49</f>
        <v>-15.229409569306561</v>
      </c>
      <c r="C58" s="4">
        <f t="shared" ref="C58:C61" ca="1" si="8">A58*COS(RADIANS(-1*$B$53))+B58*SIN(RADIANS(-1*$B$53))</f>
        <v>17.88718784727487</v>
      </c>
      <c r="D58" s="4">
        <f t="shared" ref="D58:D61" ca="1" si="9">-1*A58*SIN(RADIANS(-1*$B$53))+B58*COS(RADIANS(-1*$B$53))</f>
        <v>3.4617086454507531</v>
      </c>
      <c r="F58" t="s">
        <v>62</v>
      </c>
      <c r="G58" s="7">
        <f ca="1">MAX(D57:D61)</f>
        <v>14.863229879176366</v>
      </c>
      <c r="T58" t="s">
        <v>0</v>
      </c>
      <c r="U58" t="s">
        <v>1</v>
      </c>
    </row>
    <row r="59" spans="1:21" x14ac:dyDescent="0.25">
      <c r="A59" s="6">
        <f ca="1">D5-$D$49</f>
        <v>10</v>
      </c>
      <c r="B59" s="7">
        <f t="shared" ca="1" si="7"/>
        <v>14.770590430693439</v>
      </c>
      <c r="C59" s="4">
        <f t="shared" ca="1" si="8"/>
        <v>-9.861781747232671</v>
      </c>
      <c r="D59" s="4">
        <f t="shared" ca="1" si="9"/>
        <v>14.863229879176366</v>
      </c>
      <c r="T59">
        <f ca="1">MAX(MAX(C57:C61),MAX(D57:D61))</f>
        <v>17.88718784727487</v>
      </c>
      <c r="U59">
        <f ca="1">T59</f>
        <v>17.88718784727487</v>
      </c>
    </row>
    <row r="60" spans="1:21" x14ac:dyDescent="0.25">
      <c r="A60" s="6">
        <f ca="1">D6-$D$49</f>
        <v>-10</v>
      </c>
      <c r="B60" s="7">
        <f t="shared" ca="1" si="7"/>
        <v>14.770590430693439</v>
      </c>
      <c r="C60" s="4">
        <f t="shared" ca="1" si="8"/>
        <v>-17.462795903049745</v>
      </c>
      <c r="D60" s="4">
        <f t="shared" ca="1" si="9"/>
        <v>-3.63608318382866</v>
      </c>
      <c r="T60">
        <f ca="1">-1*T59</f>
        <v>-17.88718784727487</v>
      </c>
      <c r="U60">
        <f ca="1">-1*U59</f>
        <v>-17.88718784727487</v>
      </c>
    </row>
    <row r="61" spans="1:21" x14ac:dyDescent="0.25">
      <c r="A61" s="6">
        <f ca="1">D7-$D$49</f>
        <v>-10</v>
      </c>
      <c r="B61" s="7">
        <f t="shared" ca="1" si="7"/>
        <v>-15.229409569306561</v>
      </c>
      <c r="C61" s="4">
        <f t="shared" ca="1" si="8"/>
        <v>10.286173691457794</v>
      </c>
      <c r="D61" s="4">
        <f t="shared" ca="1" si="9"/>
        <v>-15.037604417554274</v>
      </c>
    </row>
    <row r="62" spans="1:21" x14ac:dyDescent="0.25">
      <c r="A62" s="6"/>
    </row>
    <row r="63" spans="1:21" x14ac:dyDescent="0.25">
      <c r="A63" s="28" t="s">
        <v>24</v>
      </c>
      <c r="F63" s="1" t="s">
        <v>37</v>
      </c>
      <c r="G63" s="1" t="s">
        <v>38</v>
      </c>
    </row>
    <row r="64" spans="1:21" x14ac:dyDescent="0.25">
      <c r="A64" s="8">
        <f t="shared" ref="A64:C75" si="10">A13</f>
        <v>1</v>
      </c>
      <c r="B64" s="6">
        <f t="shared" si="10"/>
        <v>10</v>
      </c>
      <c r="C64" s="6">
        <f t="shared" ca="1" si="10"/>
        <v>1.27</v>
      </c>
      <c r="D64" s="6">
        <f ca="1">D13-$D$49</f>
        <v>-6</v>
      </c>
      <c r="E64" s="6">
        <f ca="1">E13-$E$49</f>
        <v>-11.229409569306561</v>
      </c>
      <c r="F64" s="4">
        <f ca="1">IF(C64&gt;0,D64*COS(RADIANS(-1*$B$53))+E64*SIN(RADIANS(-1*$B$53)),0)</f>
        <v>8.1065139100202028</v>
      </c>
      <c r="G64" s="4">
        <f ca="1">IF(C64&gt;0,-1*D64*SIN(RADIANS(-1*$B$53))+E64*COS(RADIANS(-1*$B$53)),0)</f>
        <v>-9.8175389737898531</v>
      </c>
    </row>
    <row r="65" spans="1:7" x14ac:dyDescent="0.25">
      <c r="A65" s="8">
        <f t="shared" si="10"/>
        <v>2</v>
      </c>
      <c r="B65" s="6">
        <f t="shared" si="10"/>
        <v>10</v>
      </c>
      <c r="C65" s="6">
        <f t="shared" ca="1" si="10"/>
        <v>1.27</v>
      </c>
      <c r="D65" s="6">
        <f t="shared" ref="D65:D75" ca="1" si="11">D14-$D$49</f>
        <v>6</v>
      </c>
      <c r="E65" s="6">
        <f t="shared" ref="E65:E75" ca="1" si="12">E14-$E$49</f>
        <v>-11.229409569306561</v>
      </c>
      <c r="F65" s="4">
        <f t="shared" ref="F65:F75" ca="1" si="13">IF(C65&gt;0,D65*COS(RADIANS(-1*$B$53))+E65*SIN(RADIANS(-1*$B$53)),0)</f>
        <v>12.667122403510449</v>
      </c>
      <c r="G65" s="4">
        <f t="shared" ref="G65:G75" ca="1" si="14">IF(C65&gt;0,-1*D65*SIN(RADIANS(-1*$B$53))+E65*COS(RADIANS(-1*$B$53)),0)</f>
        <v>1.2820488640131629</v>
      </c>
    </row>
    <row r="66" spans="1:7" x14ac:dyDescent="0.25">
      <c r="A66" s="8">
        <f t="shared" si="10"/>
        <v>3</v>
      </c>
      <c r="B66" s="6">
        <f t="shared" si="10"/>
        <v>10</v>
      </c>
      <c r="C66" s="6">
        <f t="shared" ca="1" si="10"/>
        <v>1.27</v>
      </c>
      <c r="D66" s="6">
        <f t="shared" ca="1" si="11"/>
        <v>-6</v>
      </c>
      <c r="E66" s="6">
        <f t="shared" ca="1" si="12"/>
        <v>10.770590430693439</v>
      </c>
      <c r="F66" s="4">
        <f t="shared" ca="1" si="13"/>
        <v>-12.242730459285326</v>
      </c>
      <c r="G66" s="4">
        <f t="shared" ca="1" si="14"/>
        <v>-1.4564234023910698</v>
      </c>
    </row>
    <row r="67" spans="1:7" x14ac:dyDescent="0.25">
      <c r="A67" s="8">
        <f t="shared" si="10"/>
        <v>4</v>
      </c>
      <c r="B67" s="6">
        <f t="shared" si="10"/>
        <v>10</v>
      </c>
      <c r="C67" s="6">
        <f t="shared" ca="1" si="10"/>
        <v>1.27</v>
      </c>
      <c r="D67" s="6">
        <f t="shared" ca="1" si="11"/>
        <v>0</v>
      </c>
      <c r="E67" s="6">
        <f t="shared" ca="1" si="12"/>
        <v>10.770590430693439</v>
      </c>
      <c r="F67" s="4">
        <f t="shared" ca="1" si="13"/>
        <v>-9.962426212540203</v>
      </c>
      <c r="G67" s="4">
        <f t="shared" ca="1" si="14"/>
        <v>4.0933705165104382</v>
      </c>
    </row>
    <row r="68" spans="1:7" x14ac:dyDescent="0.25">
      <c r="A68" s="8">
        <f t="shared" si="10"/>
        <v>5</v>
      </c>
      <c r="B68" s="6">
        <f t="shared" si="10"/>
        <v>10</v>
      </c>
      <c r="C68" s="6">
        <f t="shared" ca="1" si="10"/>
        <v>1.27</v>
      </c>
      <c r="D68" s="6">
        <f t="shared" ca="1" si="11"/>
        <v>6</v>
      </c>
      <c r="E68" s="6">
        <f t="shared" ca="1" si="12"/>
        <v>10.770590430693439</v>
      </c>
      <c r="F68" s="4">
        <f t="shared" ca="1" si="13"/>
        <v>-7.6821219657950799</v>
      </c>
      <c r="G68" s="4">
        <f t="shared" ca="1" si="14"/>
        <v>9.643164435411947</v>
      </c>
    </row>
    <row r="69" spans="1:7" x14ac:dyDescent="0.25">
      <c r="A69" s="8">
        <f t="shared" si="10"/>
        <v>6</v>
      </c>
      <c r="B69" s="6">
        <f t="shared" si="10"/>
        <v>0</v>
      </c>
      <c r="C69" s="6">
        <f t="shared" ca="1" si="10"/>
        <v>0</v>
      </c>
      <c r="D69" s="6">
        <f t="shared" ca="1" si="11"/>
        <v>-10</v>
      </c>
      <c r="E69" s="6">
        <f t="shared" ca="1" si="12"/>
        <v>-15.229409569306561</v>
      </c>
      <c r="F69" s="4">
        <f t="shared" ca="1" si="13"/>
        <v>0</v>
      </c>
      <c r="G69" s="4">
        <f t="shared" ca="1" si="14"/>
        <v>0</v>
      </c>
    </row>
    <row r="70" spans="1:7" x14ac:dyDescent="0.25">
      <c r="A70" s="8">
        <f t="shared" si="10"/>
        <v>7</v>
      </c>
      <c r="B70" s="6">
        <f t="shared" si="10"/>
        <v>0</v>
      </c>
      <c r="C70" s="6">
        <f t="shared" ca="1" si="10"/>
        <v>0</v>
      </c>
      <c r="D70" s="6">
        <f t="shared" ca="1" si="11"/>
        <v>-10</v>
      </c>
      <c r="E70" s="6">
        <f t="shared" ca="1" si="12"/>
        <v>-15.229409569306561</v>
      </c>
      <c r="F70" s="4">
        <f t="shared" ca="1" si="13"/>
        <v>0</v>
      </c>
      <c r="G70" s="4">
        <f t="shared" ca="1" si="14"/>
        <v>0</v>
      </c>
    </row>
    <row r="71" spans="1:7" x14ac:dyDescent="0.25">
      <c r="A71" s="8">
        <f t="shared" si="10"/>
        <v>8</v>
      </c>
      <c r="B71" s="6">
        <f t="shared" si="10"/>
        <v>0</v>
      </c>
      <c r="C71" s="6">
        <f t="shared" ca="1" si="10"/>
        <v>0</v>
      </c>
      <c r="D71" s="6">
        <f t="shared" ca="1" si="11"/>
        <v>-10</v>
      </c>
      <c r="E71" s="6">
        <f t="shared" ca="1" si="12"/>
        <v>-15.229409569306561</v>
      </c>
      <c r="F71" s="4">
        <f t="shared" ca="1" si="13"/>
        <v>0</v>
      </c>
      <c r="G71" s="4">
        <f t="shared" ca="1" si="14"/>
        <v>0</v>
      </c>
    </row>
    <row r="72" spans="1:7" x14ac:dyDescent="0.25">
      <c r="A72" s="8">
        <f t="shared" si="10"/>
        <v>9</v>
      </c>
      <c r="B72" s="6">
        <f t="shared" si="10"/>
        <v>0</v>
      </c>
      <c r="C72" s="6">
        <f t="shared" ca="1" si="10"/>
        <v>0</v>
      </c>
      <c r="D72" s="6">
        <f t="shared" ca="1" si="11"/>
        <v>-10</v>
      </c>
      <c r="E72" s="6">
        <f t="shared" ca="1" si="12"/>
        <v>-15.229409569306561</v>
      </c>
      <c r="F72" s="4">
        <f t="shared" ca="1" si="13"/>
        <v>0</v>
      </c>
      <c r="G72" s="4">
        <f t="shared" ca="1" si="14"/>
        <v>0</v>
      </c>
    </row>
    <row r="73" spans="1:7" x14ac:dyDescent="0.25">
      <c r="A73" s="8">
        <f t="shared" si="10"/>
        <v>10</v>
      </c>
      <c r="B73" s="6">
        <f t="shared" si="10"/>
        <v>0</v>
      </c>
      <c r="C73" s="6">
        <f t="shared" ca="1" si="10"/>
        <v>0</v>
      </c>
      <c r="D73" s="6">
        <f t="shared" ca="1" si="11"/>
        <v>-10</v>
      </c>
      <c r="E73" s="6">
        <f t="shared" ca="1" si="12"/>
        <v>-15.229409569306561</v>
      </c>
      <c r="F73" s="4">
        <f t="shared" ca="1" si="13"/>
        <v>0</v>
      </c>
      <c r="G73" s="4">
        <f t="shared" ca="1" si="14"/>
        <v>0</v>
      </c>
    </row>
    <row r="74" spans="1:7" x14ac:dyDescent="0.25">
      <c r="A74" s="8">
        <f t="shared" si="10"/>
        <v>11</v>
      </c>
      <c r="B74" s="6">
        <f t="shared" si="10"/>
        <v>0</v>
      </c>
      <c r="C74" s="6">
        <f t="shared" ca="1" si="10"/>
        <v>0</v>
      </c>
      <c r="D74" s="6">
        <f t="shared" ca="1" si="11"/>
        <v>-10</v>
      </c>
      <c r="E74" s="6">
        <f t="shared" ca="1" si="12"/>
        <v>-15.229409569306561</v>
      </c>
      <c r="F74" s="4">
        <f t="shared" ca="1" si="13"/>
        <v>0</v>
      </c>
      <c r="G74" s="4">
        <f t="shared" ca="1" si="14"/>
        <v>0</v>
      </c>
    </row>
    <row r="75" spans="1:7" x14ac:dyDescent="0.25">
      <c r="A75" s="8">
        <f t="shared" si="10"/>
        <v>12</v>
      </c>
      <c r="B75" s="6">
        <f t="shared" si="10"/>
        <v>0</v>
      </c>
      <c r="C75" s="6">
        <f t="shared" ca="1" si="10"/>
        <v>0</v>
      </c>
      <c r="D75" s="6">
        <f t="shared" ca="1" si="11"/>
        <v>-10</v>
      </c>
      <c r="E75" s="6">
        <f t="shared" ca="1" si="12"/>
        <v>-15.229409569306561</v>
      </c>
      <c r="F75" s="4">
        <f t="shared" ca="1" si="13"/>
        <v>0</v>
      </c>
      <c r="G75" s="4">
        <f t="shared" ca="1" si="14"/>
        <v>0</v>
      </c>
    </row>
    <row r="76" spans="1:7" x14ac:dyDescent="0.25">
      <c r="G76" s="7">
        <f ca="1">MIN(G64:G75)</f>
        <v>-9.8175389737898531</v>
      </c>
    </row>
    <row r="77" spans="1:7" x14ac:dyDescent="0.25">
      <c r="D77" t="s">
        <v>0</v>
      </c>
      <c r="E77" t="s">
        <v>1</v>
      </c>
    </row>
    <row r="78" spans="1:7" x14ac:dyDescent="0.25">
      <c r="A78" s="2" t="s">
        <v>41</v>
      </c>
      <c r="B78" s="34">
        <v>13.879685283416746</v>
      </c>
      <c r="C78" t="s">
        <v>6</v>
      </c>
      <c r="D78" s="4">
        <f ca="1">MIN(C57:C61)</f>
        <v>-17.462795903049745</v>
      </c>
      <c r="E78" s="4">
        <f ca="1">MAX(D57:D61)-B78</f>
        <v>0.98354459575961961</v>
      </c>
    </row>
    <row r="79" spans="1:7" x14ac:dyDescent="0.25">
      <c r="A79" s="2"/>
      <c r="D79" s="4">
        <f ca="1">MAX(C57:C61)</f>
        <v>17.88718784727487</v>
      </c>
      <c r="E79" s="4">
        <f ca="1">E78</f>
        <v>0.98354459575961961</v>
      </c>
    </row>
    <row r="80" spans="1:7" x14ac:dyDescent="0.25">
      <c r="A80" s="2"/>
    </row>
    <row r="81" spans="1:12" x14ac:dyDescent="0.25">
      <c r="A81" s="2" t="s">
        <v>42</v>
      </c>
      <c r="B81" s="1">
        <f>B78*B4</f>
        <v>11.103748226733396</v>
      </c>
      <c r="C81" t="s">
        <v>6</v>
      </c>
      <c r="D81" t="s">
        <v>0</v>
      </c>
      <c r="E81" t="s">
        <v>1</v>
      </c>
    </row>
    <row r="82" spans="1:12" x14ac:dyDescent="0.25">
      <c r="D82" s="4">
        <f ca="1">MIN(C57:C61)</f>
        <v>-17.462795903049745</v>
      </c>
      <c r="E82" s="4">
        <f ca="1">MAX(D57:D61)-B81</f>
        <v>3.7594816524429699</v>
      </c>
    </row>
    <row r="83" spans="1:12" x14ac:dyDescent="0.25">
      <c r="D83" s="4">
        <f ca="1">MAX(C57:C61)</f>
        <v>17.88718784727487</v>
      </c>
      <c r="E83" s="4">
        <f ca="1">E82</f>
        <v>3.7594816524429699</v>
      </c>
    </row>
    <row r="84" spans="1:12" x14ac:dyDescent="0.25">
      <c r="A84" t="s">
        <v>47</v>
      </c>
    </row>
    <row r="85" spans="1:12" x14ac:dyDescent="0.25">
      <c r="A85" s="2" t="s">
        <v>55</v>
      </c>
      <c r="B85" s="1">
        <f>0.85*B2</f>
        <v>4.25</v>
      </c>
      <c r="C85" t="s">
        <v>5</v>
      </c>
    </row>
    <row r="87" spans="1:12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 x14ac:dyDescent="0.25">
      <c r="A88">
        <v>1</v>
      </c>
      <c r="B88" s="4">
        <f t="shared" ref="B88:C91" ca="1" si="15">C57</f>
        <v>10.286173691457794</v>
      </c>
      <c r="C88" s="4">
        <f t="shared" ca="1" si="15"/>
        <v>-15.037604417554274</v>
      </c>
      <c r="D88" s="4">
        <f t="shared" ref="D88:E91" ca="1" si="16">C58</f>
        <v>17.88718784727487</v>
      </c>
      <c r="E88" s="4">
        <f t="shared" ca="1" si="16"/>
        <v>3.4617086454507531</v>
      </c>
      <c r="F88" s="1">
        <f ca="1">IF(AND(E88&gt;=E$82,C88&lt;=E$82),1,IF(AND(C88&gt;=E$82,E88&gt;=E$82),3,IF(AND(E88&lt;=E$82,C88&gt;=E$82),2,0)))</f>
        <v>0</v>
      </c>
      <c r="G88" s="1">
        <f ca="1">IF(E88=C88,"H",IF(B88=D88,"V",(E88-C88)/(D88-B88)))</f>
        <v>2.4337953704305963</v>
      </c>
      <c r="H88" s="4" t="e">
        <f ca="1">IF(OR(F88=1,F88=2),IF(G88="V",B88,(E$82-C88+(G88*B88))/G88),NA())</f>
        <v>#N/A</v>
      </c>
      <c r="I88" s="4" t="e">
        <f ca="1">IF(OR(F88=1,F88=2),E$82,NA())</f>
        <v>#N/A</v>
      </c>
      <c r="J88" s="5">
        <f ca="1">IF(F88=0,0,IF(F88=1,-0.5*B$85*(H88+D88)*(I88-E88),IF(F88=2,-0.5*B$85*(B88+H88)*(C88-I88),IF(F88=3,-0.5*B$85*(B88+D88)*(C88-E88),0))))</f>
        <v>0</v>
      </c>
      <c r="K88" s="5">
        <f ca="1">IF(F88=1,(1/6)*B$85*(E88-I88)*((H88*(2*I88+E88))+(D88*(I88+2*E88))),IF(F88=2,(1/6)*B$85*(I88-C88)*((B88*(2*C88+I88))+(H88*(C88+2*I88))),IF(F88=3,(1/6)*B$85*(E88-C88)*((B88*(2*C88+E88))+(D88*(C88+2*E88))),0)))</f>
        <v>0</v>
      </c>
      <c r="L88" s="5">
        <f ca="1">IF(F88=1,(1/6)*B$85*(POWER(H88,2)+H88*D88+POWER(D88,2))*(E88-I88),IF(F88=2,(1/6)*B$85*(POWER(B88,2)+B88*H88+POWER(H88,2))*(I88-C88),IF(F88=3,(1/6)*B$85*(POWER(B88,2)+B88*D88+POWER(D88,2))*(E88-C88),0)))</f>
        <v>0</v>
      </c>
    </row>
    <row r="89" spans="1:12" x14ac:dyDescent="0.25">
      <c r="A89">
        <v>2</v>
      </c>
      <c r="B89" s="4">
        <f t="shared" ca="1" si="15"/>
        <v>17.88718784727487</v>
      </c>
      <c r="C89" s="4">
        <f t="shared" ca="1" si="15"/>
        <v>3.4617086454507531</v>
      </c>
      <c r="D89" s="4">
        <f t="shared" ca="1" si="16"/>
        <v>-9.861781747232671</v>
      </c>
      <c r="E89" s="4">
        <f t="shared" ca="1" si="16"/>
        <v>14.863229879176366</v>
      </c>
      <c r="F89" s="1">
        <f t="shared" ref="F89:F91" ca="1" si="17">IF(AND(E89&gt;=E$82,C89&lt;=E$82),1,IF(AND(C89&gt;=E$82,E89&gt;=E$82),3,IF(AND(E89&lt;=E$82,C89&gt;=E$82),2,0)))</f>
        <v>1</v>
      </c>
      <c r="G89" s="1">
        <f t="shared" ref="G89:G91" ca="1" si="18">IF(E89=C89,"H",IF(B89=D89,"V",(E89-C89)/(D89-B89)))</f>
        <v>-0.41088088676209295</v>
      </c>
      <c r="H89" s="4">
        <f t="shared" ref="H89:H91" ca="1" si="19">IF(OR(F89=1,F89=2),IF(G89="V",B89,(E$82-C89+(G89*B89))/G89),NA())</f>
        <v>17.162469281418016</v>
      </c>
      <c r="I89" s="4">
        <f t="shared" ref="I89:I91" ca="1" si="20">IF(OR(F89=1,F89=2),E$82,NA())</f>
        <v>3.7594816524429699</v>
      </c>
      <c r="J89" s="5">
        <f t="shared" ref="J89:J91" ca="1" si="21">IF(F89=0,0,IF(F89=1,-0.5*B$85*(H89+D89)*(I89-E89),IF(F89=2,-0.5*B$85*(B89+H89)*(C89-I89),IF(F89=3,-0.5*B$85*(B89+D89)*(C89-E89),0))))</f>
        <v>172.26311705599591</v>
      </c>
      <c r="K89" s="5">
        <f t="shared" ref="K89:K91" ca="1" si="22">IF(F89=1,(1/6)*B$85*(E89-I89)*((H89*(2*I89+E89))+(D89*(I89+2*E89))),IF(F89=2,(1/6)*B$85*(I89-C89)*((B89*(2*C89+I89))+(H89*(C89+2*I89))),IF(F89=3,(1/6)*B$85*(E89-C89)*((B89*(2*C89+E89))+(D89*(C89+2*E89))),0)))</f>
        <v>423.95275329269145</v>
      </c>
      <c r="L89" s="5">
        <f t="shared" ref="L89:L91" ca="1" si="23">IF(F89=1,(1/6)*B$85*(POWER(H89,2)+H89*D89+POWER(D89,2))*(E89-I89),IF(F89=2,(1/6)*B$85*(POWER(B89,2)+B89*H89+POWER(H89,2))*(I89-C89),IF(F89=3,(1/6)*B$85*(POWER(B89,2)+B89*D89+POWER(D89,2))*(E89-C89),0)))</f>
        <v>1750.4104162041467</v>
      </c>
    </row>
    <row r="90" spans="1:12" x14ac:dyDescent="0.25">
      <c r="A90">
        <v>3</v>
      </c>
      <c r="B90" s="4">
        <f t="shared" ca="1" si="15"/>
        <v>-9.861781747232671</v>
      </c>
      <c r="C90" s="4">
        <f t="shared" ca="1" si="15"/>
        <v>14.863229879176366</v>
      </c>
      <c r="D90" s="4">
        <f t="shared" ca="1" si="16"/>
        <v>-17.462795903049745</v>
      </c>
      <c r="E90" s="4">
        <f t="shared" ca="1" si="16"/>
        <v>-3.63608318382866</v>
      </c>
      <c r="F90" s="1">
        <f t="shared" ca="1" si="17"/>
        <v>2</v>
      </c>
      <c r="G90" s="1">
        <f t="shared" ca="1" si="18"/>
        <v>2.4337953704305968</v>
      </c>
      <c r="H90" s="4">
        <f t="shared" ca="1" si="19"/>
        <v>-14.424099665015904</v>
      </c>
      <c r="I90" s="4">
        <f t="shared" ca="1" si="20"/>
        <v>3.7594816524429699</v>
      </c>
      <c r="J90" s="5">
        <f t="shared" ca="1" si="21"/>
        <v>573.03666441506437</v>
      </c>
      <c r="K90" s="5">
        <f t="shared" ca="1" si="22"/>
        <v>5136.5284763488726</v>
      </c>
      <c r="L90" s="5">
        <f t="shared" ca="1" si="23"/>
        <v>-3520.1029176829179</v>
      </c>
    </row>
    <row r="91" spans="1:12" ht="15.75" thickBot="1" x14ac:dyDescent="0.3">
      <c r="A91">
        <v>4</v>
      </c>
      <c r="B91" s="4">
        <f t="shared" ca="1" si="15"/>
        <v>-17.462795903049745</v>
      </c>
      <c r="C91" s="4">
        <f t="shared" ca="1" si="15"/>
        <v>-3.63608318382866</v>
      </c>
      <c r="D91" s="4">
        <f t="shared" ca="1" si="16"/>
        <v>10.286173691457794</v>
      </c>
      <c r="E91" s="4">
        <f t="shared" ca="1" si="16"/>
        <v>-15.037604417554274</v>
      </c>
      <c r="F91" s="1">
        <f t="shared" ca="1" si="17"/>
        <v>0</v>
      </c>
      <c r="G91" s="1">
        <f t="shared" ca="1" si="18"/>
        <v>-0.410880886762093</v>
      </c>
      <c r="H91" s="4" t="e">
        <f t="shared" ca="1" si="19"/>
        <v>#N/A</v>
      </c>
      <c r="I91" s="4" t="e">
        <f t="shared" ca="1" si="20"/>
        <v>#N/A</v>
      </c>
      <c r="J91" s="24">
        <f t="shared" ca="1" si="21"/>
        <v>0</v>
      </c>
      <c r="K91" s="24">
        <f t="shared" ca="1" si="22"/>
        <v>0</v>
      </c>
      <c r="L91" s="24">
        <f t="shared" ca="1" si="23"/>
        <v>0</v>
      </c>
    </row>
    <row r="92" spans="1:12" ht="15.75" thickTop="1" x14ac:dyDescent="0.25">
      <c r="B92" s="1"/>
      <c r="C92" s="1"/>
      <c r="D92" s="1"/>
      <c r="E92" s="1"/>
      <c r="F92" s="1"/>
      <c r="G92" s="1"/>
      <c r="H92" s="1"/>
      <c r="I92" s="1"/>
      <c r="J92" s="5">
        <f ca="1">SUM(J88:J91)</f>
        <v>745.29978147106021</v>
      </c>
      <c r="K92" s="5">
        <f ca="1">SUM(K88:K91)</f>
        <v>5560.4812296415639</v>
      </c>
      <c r="L92" s="5">
        <f ca="1">SUM(L88:L91)*-1</f>
        <v>1769.6925014787712</v>
      </c>
    </row>
    <row r="95" spans="1:12" x14ac:dyDescent="0.25">
      <c r="A95" t="s">
        <v>56</v>
      </c>
    </row>
    <row r="96" spans="1:12" x14ac:dyDescent="0.25">
      <c r="A96" s="2" t="s">
        <v>58</v>
      </c>
      <c r="B96" s="1">
        <v>3.0000000000000001E-3</v>
      </c>
    </row>
    <row r="97" spans="1:10" x14ac:dyDescent="0.25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10" x14ac:dyDescent="0.25">
      <c r="A98" s="8">
        <f>A64</f>
        <v>1</v>
      </c>
      <c r="B98" s="7">
        <f ca="1">C13</f>
        <v>1.27</v>
      </c>
      <c r="C98">
        <f t="shared" ca="1" si="24"/>
        <v>8.1065139100202028</v>
      </c>
      <c r="D98">
        <f t="shared" ca="1" si="25"/>
        <v>-9.8175389737898531</v>
      </c>
      <c r="E98" s="7">
        <f ca="1">G$58-D98</f>
        <v>24.680768852966217</v>
      </c>
      <c r="F98" s="11">
        <f ca="1">IF(B98=0,0,((B$78-E98)/B$78)*B$96)</f>
        <v>-2.3345810835756747E-3</v>
      </c>
      <c r="G98" s="4">
        <f ca="1">IF(AND(F98&gt;0,E98&lt;=B$81),MIN((F98*B$11),B$10)-B$85,MAX(F98*B$11,-1*B$10))</f>
        <v>-60</v>
      </c>
      <c r="H98" s="4">
        <f ca="1">G98*B98</f>
        <v>-76.2</v>
      </c>
      <c r="I98" s="4">
        <f ca="1">H98*D98</f>
        <v>748.09646980278683</v>
      </c>
      <c r="J98" s="4">
        <f ca="1">H98*C98</f>
        <v>-617.71635994353949</v>
      </c>
    </row>
    <row r="99" spans="1:10" x14ac:dyDescent="0.25">
      <c r="A99" s="8">
        <f t="shared" ref="A99:A108" si="26">A65</f>
        <v>2</v>
      </c>
      <c r="B99" s="7">
        <f t="shared" ref="B99:B109" ca="1" si="27">C14</f>
        <v>1.27</v>
      </c>
      <c r="C99">
        <f t="shared" ca="1" si="24"/>
        <v>12.667122403510449</v>
      </c>
      <c r="D99">
        <f t="shared" ca="1" si="25"/>
        <v>1.2820488640131629</v>
      </c>
      <c r="E99" s="7">
        <f t="shared" ref="E99:E109" ca="1" si="28">G$58-D99</f>
        <v>13.581181015163203</v>
      </c>
      <c r="F99" s="11">
        <f t="shared" ref="F99:F109" ca="1" si="29">IF(B99=0,0,((B$78-E99)/B$78)*B$96)</f>
        <v>6.4519676525416319E-5</v>
      </c>
      <c r="G99" s="4">
        <f t="shared" ref="G99:G109" ca="1" si="30">IF(AND(F99&gt;0,E99&lt;=B$81),MIN((F99*B$11),B$10)-B$85,MAX(F99*B$11,-1*B$10))</f>
        <v>1.9355902957624895</v>
      </c>
      <c r="H99" s="4">
        <f t="shared" ref="H99:H109" ca="1" si="31">G99*B99</f>
        <v>2.4581996756183617</v>
      </c>
      <c r="I99" s="4">
        <f t="shared" ref="I99:I109" ca="1" si="32">H99*D99</f>
        <v>3.1515321016440461</v>
      </c>
      <c r="J99" s="4">
        <f t="shared" ref="J99:J109" ca="1" si="33">H99*C99</f>
        <v>31.138316183327468</v>
      </c>
    </row>
    <row r="100" spans="1:10" x14ac:dyDescent="0.25">
      <c r="A100" s="8">
        <f t="shared" si="26"/>
        <v>3</v>
      </c>
      <c r="B100" s="7">
        <f t="shared" ca="1" si="27"/>
        <v>1.27</v>
      </c>
      <c r="C100">
        <f t="shared" ca="1" si="24"/>
        <v>-12.242730459285326</v>
      </c>
      <c r="D100">
        <f t="shared" ca="1" si="25"/>
        <v>-1.4564234023910698</v>
      </c>
      <c r="E100" s="7">
        <f t="shared" ca="1" si="28"/>
        <v>16.319653281567437</v>
      </c>
      <c r="F100" s="11">
        <f t="shared" ca="1" si="29"/>
        <v>-5.2738256271543779E-4</v>
      </c>
      <c r="G100" s="4">
        <f t="shared" ca="1" si="30"/>
        <v>-15.821476881463134</v>
      </c>
      <c r="H100" s="4">
        <f t="shared" ca="1" si="31"/>
        <v>-20.093275639458181</v>
      </c>
      <c r="I100" s="4">
        <f t="shared" ca="1" si="32"/>
        <v>29.264316872001285</v>
      </c>
      <c r="J100" s="4">
        <f t="shared" ca="1" si="33"/>
        <v>245.99655769801052</v>
      </c>
    </row>
    <row r="101" spans="1:10" x14ac:dyDescent="0.25">
      <c r="A101" s="8">
        <f t="shared" si="26"/>
        <v>4</v>
      </c>
      <c r="B101" s="7">
        <f t="shared" ca="1" si="27"/>
        <v>1.27</v>
      </c>
      <c r="C101">
        <f t="shared" ca="1" si="24"/>
        <v>-9.962426212540203</v>
      </c>
      <c r="D101">
        <f t="shared" ca="1" si="25"/>
        <v>4.0933705165104382</v>
      </c>
      <c r="E101" s="7">
        <f t="shared" ca="1" si="28"/>
        <v>10.769859362665928</v>
      </c>
      <c r="F101" s="11">
        <f t="shared" ca="1" si="29"/>
        <v>6.7216781733510811E-4</v>
      </c>
      <c r="G101" s="4">
        <f t="shared" ca="1" si="30"/>
        <v>15.915034520053243</v>
      </c>
      <c r="H101" s="4">
        <f t="shared" ca="1" si="31"/>
        <v>20.21209384046762</v>
      </c>
      <c r="I101" s="4">
        <f t="shared" ca="1" si="32"/>
        <v>82.735589003512388</v>
      </c>
      <c r="J101" s="4">
        <f t="shared" ca="1" si="33"/>
        <v>-201.361493486597</v>
      </c>
    </row>
    <row r="102" spans="1:10" x14ac:dyDescent="0.25">
      <c r="A102" s="8">
        <f t="shared" si="26"/>
        <v>5</v>
      </c>
      <c r="B102" s="7">
        <f t="shared" ca="1" si="27"/>
        <v>1.27</v>
      </c>
      <c r="C102">
        <f t="shared" ca="1" si="24"/>
        <v>-7.6821219657950799</v>
      </c>
      <c r="D102">
        <f t="shared" ca="1" si="25"/>
        <v>9.643164435411947</v>
      </c>
      <c r="E102" s="7">
        <f t="shared" ca="1" si="28"/>
        <v>5.2200654437644189</v>
      </c>
      <c r="F102" s="11">
        <f t="shared" ca="1" si="29"/>
        <v>1.8717181973856541E-3</v>
      </c>
      <c r="G102" s="4">
        <f t="shared" ca="1" si="30"/>
        <v>51.901545921569621</v>
      </c>
      <c r="H102" s="4">
        <f t="shared" ca="1" si="31"/>
        <v>65.914963320393426</v>
      </c>
      <c r="I102" s="4">
        <f t="shared" ca="1" si="32"/>
        <v>635.62883005270089</v>
      </c>
      <c r="J102" s="4">
        <f t="shared" ca="1" si="33"/>
        <v>-506.36678759817136</v>
      </c>
    </row>
    <row r="103" spans="1:10" x14ac:dyDescent="0.25">
      <c r="A103" s="8">
        <f t="shared" si="26"/>
        <v>6</v>
      </c>
      <c r="B103" s="7">
        <f t="shared" ca="1" si="27"/>
        <v>0</v>
      </c>
      <c r="C103">
        <f t="shared" ca="1" si="24"/>
        <v>0</v>
      </c>
      <c r="D103">
        <f t="shared" ca="1" si="25"/>
        <v>0</v>
      </c>
      <c r="E103" s="7">
        <f t="shared" ca="1" si="28"/>
        <v>14.863229879176366</v>
      </c>
      <c r="F103" s="11">
        <f t="shared" ca="1" si="29"/>
        <v>0</v>
      </c>
      <c r="G103" s="4">
        <f t="shared" ca="1" si="30"/>
        <v>0</v>
      </c>
      <c r="H103" s="4">
        <f t="shared" ca="1" si="31"/>
        <v>0</v>
      </c>
      <c r="I103" s="4">
        <f t="shared" ca="1" si="32"/>
        <v>0</v>
      </c>
      <c r="J103" s="4">
        <f t="shared" ca="1" si="33"/>
        <v>0</v>
      </c>
    </row>
    <row r="104" spans="1:10" x14ac:dyDescent="0.25">
      <c r="A104" s="8">
        <f t="shared" si="26"/>
        <v>7</v>
      </c>
      <c r="B104" s="7">
        <f t="shared" ca="1" si="27"/>
        <v>0</v>
      </c>
      <c r="C104">
        <f t="shared" ca="1" si="24"/>
        <v>0</v>
      </c>
      <c r="D104">
        <f t="shared" ca="1" si="25"/>
        <v>0</v>
      </c>
      <c r="E104" s="7">
        <f t="shared" ca="1" si="28"/>
        <v>14.863229879176366</v>
      </c>
      <c r="F104" s="11">
        <f t="shared" ca="1" si="29"/>
        <v>0</v>
      </c>
      <c r="G104" s="4">
        <f t="shared" ca="1" si="30"/>
        <v>0</v>
      </c>
      <c r="H104" s="4">
        <f t="shared" ca="1" si="31"/>
        <v>0</v>
      </c>
      <c r="I104" s="4">
        <f t="shared" ca="1" si="32"/>
        <v>0</v>
      </c>
      <c r="J104" s="4">
        <f t="shared" ca="1" si="33"/>
        <v>0</v>
      </c>
    </row>
    <row r="105" spans="1:10" x14ac:dyDescent="0.25">
      <c r="A105" s="8">
        <f t="shared" si="26"/>
        <v>8</v>
      </c>
      <c r="B105" s="7">
        <f t="shared" ca="1" si="27"/>
        <v>0</v>
      </c>
      <c r="C105">
        <f t="shared" ca="1" si="24"/>
        <v>0</v>
      </c>
      <c r="D105">
        <f t="shared" ca="1" si="25"/>
        <v>0</v>
      </c>
      <c r="E105" s="7">
        <f t="shared" ca="1" si="28"/>
        <v>14.863229879176366</v>
      </c>
      <c r="F105" s="11">
        <f t="shared" ca="1" si="29"/>
        <v>0</v>
      </c>
      <c r="G105" s="4">
        <f t="shared" ca="1" si="30"/>
        <v>0</v>
      </c>
      <c r="H105" s="4">
        <f t="shared" ca="1" si="31"/>
        <v>0</v>
      </c>
      <c r="I105" s="4">
        <f t="shared" ca="1" si="32"/>
        <v>0</v>
      </c>
      <c r="J105" s="4">
        <f t="shared" ca="1" si="33"/>
        <v>0</v>
      </c>
    </row>
    <row r="106" spans="1:10" x14ac:dyDescent="0.25">
      <c r="A106" s="8">
        <f t="shared" si="26"/>
        <v>9</v>
      </c>
      <c r="B106" s="7">
        <f t="shared" ca="1" si="27"/>
        <v>0</v>
      </c>
      <c r="C106">
        <f t="shared" ca="1" si="24"/>
        <v>0</v>
      </c>
      <c r="D106">
        <f t="shared" ca="1" si="25"/>
        <v>0</v>
      </c>
      <c r="E106" s="7">
        <f t="shared" ca="1" si="28"/>
        <v>14.863229879176366</v>
      </c>
      <c r="F106" s="11">
        <f t="shared" ca="1" si="29"/>
        <v>0</v>
      </c>
      <c r="G106" s="4">
        <f t="shared" ca="1" si="30"/>
        <v>0</v>
      </c>
      <c r="H106" s="4">
        <f t="shared" ca="1" si="31"/>
        <v>0</v>
      </c>
      <c r="I106" s="4">
        <f t="shared" ca="1" si="32"/>
        <v>0</v>
      </c>
      <c r="J106" s="4">
        <f t="shared" ca="1" si="33"/>
        <v>0</v>
      </c>
    </row>
    <row r="107" spans="1:10" x14ac:dyDescent="0.25">
      <c r="A107" s="8">
        <f t="shared" si="26"/>
        <v>10</v>
      </c>
      <c r="B107" s="7">
        <f t="shared" ca="1" si="27"/>
        <v>0</v>
      </c>
      <c r="C107">
        <f t="shared" ca="1" si="24"/>
        <v>0</v>
      </c>
      <c r="D107">
        <f t="shared" ca="1" si="25"/>
        <v>0</v>
      </c>
      <c r="E107" s="7">
        <f t="shared" ca="1" si="28"/>
        <v>14.863229879176366</v>
      </c>
      <c r="F107" s="11">
        <f t="shared" ca="1" si="29"/>
        <v>0</v>
      </c>
      <c r="G107" s="4">
        <f t="shared" ca="1" si="30"/>
        <v>0</v>
      </c>
      <c r="H107" s="4">
        <f t="shared" ca="1" si="31"/>
        <v>0</v>
      </c>
      <c r="I107" s="4">
        <f t="shared" ca="1" si="32"/>
        <v>0</v>
      </c>
      <c r="J107" s="4">
        <f t="shared" ca="1" si="33"/>
        <v>0</v>
      </c>
    </row>
    <row r="108" spans="1:10" x14ac:dyDescent="0.25">
      <c r="A108" s="8">
        <f t="shared" si="26"/>
        <v>11</v>
      </c>
      <c r="B108" s="7">
        <f t="shared" ca="1" si="27"/>
        <v>0</v>
      </c>
      <c r="C108">
        <f t="shared" ca="1" si="24"/>
        <v>0</v>
      </c>
      <c r="D108">
        <f t="shared" ca="1" si="25"/>
        <v>0</v>
      </c>
      <c r="E108" s="7">
        <f t="shared" ca="1" si="28"/>
        <v>14.863229879176366</v>
      </c>
      <c r="F108" s="11">
        <f t="shared" ca="1" si="29"/>
        <v>0</v>
      </c>
      <c r="G108" s="4">
        <f t="shared" ca="1" si="30"/>
        <v>0</v>
      </c>
      <c r="H108" s="4">
        <f t="shared" ca="1" si="31"/>
        <v>0</v>
      </c>
      <c r="I108" s="4">
        <f t="shared" ca="1" si="32"/>
        <v>0</v>
      </c>
      <c r="J108" s="4">
        <f t="shared" ca="1" si="33"/>
        <v>0</v>
      </c>
    </row>
    <row r="109" spans="1:10" ht="15.75" thickBot="1" x14ac:dyDescent="0.3">
      <c r="A109" s="8">
        <f>A75</f>
        <v>12</v>
      </c>
      <c r="B109" s="7">
        <f t="shared" ca="1" si="27"/>
        <v>0</v>
      </c>
      <c r="C109">
        <f t="shared" ca="1" si="24"/>
        <v>0</v>
      </c>
      <c r="D109">
        <f t="shared" ca="1" si="25"/>
        <v>0</v>
      </c>
      <c r="E109" s="7">
        <f t="shared" ca="1" si="28"/>
        <v>14.863229879176366</v>
      </c>
      <c r="F109" s="23">
        <f t="shared" ca="1" si="29"/>
        <v>0</v>
      </c>
      <c r="G109" s="4">
        <f t="shared" ca="1" si="30"/>
        <v>0</v>
      </c>
      <c r="H109" s="22">
        <f t="shared" ca="1" si="31"/>
        <v>0</v>
      </c>
      <c r="I109" s="22">
        <f t="shared" ca="1" si="32"/>
        <v>0</v>
      </c>
      <c r="J109" s="22">
        <f t="shared" ca="1" si="33"/>
        <v>0</v>
      </c>
    </row>
    <row r="110" spans="1:10" ht="15.75" thickTop="1" x14ac:dyDescent="0.25">
      <c r="F110" s="11">
        <f ca="1">MIN(F98:F109)</f>
        <v>-2.3345810835756747E-3</v>
      </c>
      <c r="H110" s="4">
        <f ca="1">SUM(H98:H109)</f>
        <v>-7.7080188029787848</v>
      </c>
      <c r="I110" s="4">
        <f ca="1">SUM(I98:I109)</f>
        <v>1498.8767378326454</v>
      </c>
      <c r="J110" s="4">
        <f ca="1">SUM(J98:J109)*-1</f>
        <v>1048.30976714697</v>
      </c>
    </row>
    <row r="113" spans="1:27" x14ac:dyDescent="0.25">
      <c r="A113" s="2" t="s">
        <v>67</v>
      </c>
      <c r="B113" s="31">
        <f ca="1">J92+H110</f>
        <v>737.5917626680814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0.67788175696463959</v>
      </c>
    </row>
    <row r="114" spans="1:27" x14ac:dyDescent="0.25">
      <c r="A114" s="2" t="s">
        <v>69</v>
      </c>
      <c r="B114" s="4">
        <f ca="1">(((K92+I110)*COS(RADIANS(B53)))+((L92+J110)*SIN(RADIANS(B53))))</f>
        <v>5289.4693010658748</v>
      </c>
      <c r="C114" t="s">
        <v>23</v>
      </c>
      <c r="D114" s="4">
        <f ca="1">(B113*(E49-H7))</f>
        <v>169.21060859775201</v>
      </c>
      <c r="E114" t="s">
        <v>23</v>
      </c>
      <c r="F114" s="4">
        <f ca="1">B114+D114</f>
        <v>5458.6799096636269</v>
      </c>
      <c r="G114" s="10" t="str">
        <f>"= Mnx,gc"</f>
        <v>= Mnx,gc</v>
      </c>
      <c r="H114" s="4">
        <f ca="1">F114/12</f>
        <v>454.88999247196892</v>
      </c>
      <c r="I114" t="s">
        <v>72</v>
      </c>
      <c r="J114" s="29">
        <f ca="1">H114*J113</f>
        <v>308.36162732252996</v>
      </c>
      <c r="K114" t="s">
        <v>72</v>
      </c>
      <c r="P114" t="s">
        <v>87</v>
      </c>
    </row>
    <row r="115" spans="1:27" x14ac:dyDescent="0.25">
      <c r="A115" s="2" t="s">
        <v>70</v>
      </c>
      <c r="B115" s="4">
        <f ca="1">(-1*(K92+I110)*SIN(RADIANS(B53)))+((L92+J110)*COS(RADIANS(B53)))</f>
        <v>-5458.6798964587688</v>
      </c>
      <c r="C115" t="s">
        <v>23</v>
      </c>
      <c r="D115" s="1">
        <f ca="1">-1*B113*(D49-G7)</f>
        <v>0</v>
      </c>
      <c r="E115" t="s">
        <v>23</v>
      </c>
      <c r="F115" s="4">
        <f ca="1">B115+D115</f>
        <v>-5458.6798964587688</v>
      </c>
      <c r="G115" s="10" t="str">
        <f>"= Mny,gc"</f>
        <v>= Mny,gc</v>
      </c>
      <c r="H115" s="4">
        <f ca="1">F115/12</f>
        <v>-454.88999137156407</v>
      </c>
      <c r="I115" t="s">
        <v>72</v>
      </c>
      <c r="J115" s="29">
        <f ca="1">H115*J113</f>
        <v>-308.36162657658559</v>
      </c>
      <c r="K115" t="s">
        <v>72</v>
      </c>
      <c r="M115" t="s">
        <v>79</v>
      </c>
      <c r="N115" s="9">
        <f ca="1">IF(DEGREES(ATAN2(J114,J115))&lt;0,DEGREES(ATAN2(J114,J115))+360,DEGREES(ATAN2(J114,J115)))</f>
        <v>315.00000006930088</v>
      </c>
      <c r="P115">
        <f ca="1">(-1*0.003*MAX(E98:E109))/(0.002-0.003)</f>
        <v>74.042306558898645</v>
      </c>
    </row>
    <row r="116" spans="1:27" x14ac:dyDescent="0.25">
      <c r="J116" s="30">
        <f ca="1">B113*J113</f>
        <v>500.00000000008447</v>
      </c>
      <c r="K116" t="s">
        <v>20</v>
      </c>
    </row>
    <row r="117" spans="1:27" x14ac:dyDescent="0.25">
      <c r="A117" s="21" t="s">
        <v>74</v>
      </c>
      <c r="B117" t="s">
        <v>93</v>
      </c>
      <c r="I117" t="s">
        <v>83</v>
      </c>
      <c r="J117" s="1">
        <f ca="1">0.65*((0.85*B2*B5*B6)+((B10-0.85*B2)*SUM(C13:C24)))*0.8</f>
        <v>1510.0865000000001</v>
      </c>
      <c r="K117" t="s">
        <v>20</v>
      </c>
      <c r="M117">
        <f ca="1">SQRT((J114*J114)+(J115*J115))</f>
        <v>436.08919494749745</v>
      </c>
    </row>
    <row r="118" spans="1:27" x14ac:dyDescent="0.25">
      <c r="A118" s="2" t="s">
        <v>75</v>
      </c>
      <c r="B118" s="34">
        <v>500</v>
      </c>
      <c r="C118" t="s">
        <v>20</v>
      </c>
      <c r="I118" t="s">
        <v>84</v>
      </c>
      <c r="J118" s="1">
        <f ca="1">-1*0.9*B10*SUM(C13:C24)</f>
        <v>-342.9</v>
      </c>
      <c r="K118" t="s">
        <v>20</v>
      </c>
    </row>
    <row r="119" spans="1:27" x14ac:dyDescent="0.25">
      <c r="A119" s="2" t="s">
        <v>76</v>
      </c>
      <c r="B119" s="34">
        <v>10</v>
      </c>
      <c r="C119" t="s">
        <v>72</v>
      </c>
      <c r="G119" s="2" t="s">
        <v>80</v>
      </c>
      <c r="H119" s="33">
        <v>100</v>
      </c>
      <c r="L119">
        <f ca="1">B118-J116</f>
        <v>-8.446932042716071E-11</v>
      </c>
      <c r="M119" s="50">
        <f ca="1">N115-B121</f>
        <v>6.9300881477829535E-8</v>
      </c>
    </row>
    <row r="120" spans="1:27" x14ac:dyDescent="0.25">
      <c r="A120" s="2" t="s">
        <v>77</v>
      </c>
      <c r="B120" s="34">
        <v>-10</v>
      </c>
      <c r="C120" t="s">
        <v>72</v>
      </c>
      <c r="D120">
        <f>B118</f>
        <v>500</v>
      </c>
      <c r="E120">
        <f>SQRT((B119*B119)+(B120*B120))</f>
        <v>14.142135623730951</v>
      </c>
      <c r="G120" s="2" t="s">
        <v>81</v>
      </c>
      <c r="H120" s="1">
        <v>101</v>
      </c>
    </row>
    <row r="121" spans="1:27" x14ac:dyDescent="0.25">
      <c r="A121" s="2" t="s">
        <v>78</v>
      </c>
      <c r="B121" s="12">
        <f>IF(DEGREES(ATAN2(B119,B120))&lt;0,DEGREES(ATAN2(B119,B120))+360,DEGREES(ATAN2(B119,B120)))</f>
        <v>315</v>
      </c>
    </row>
    <row r="122" spans="1:27" x14ac:dyDescent="0.25">
      <c r="Q122">
        <f>D120</f>
        <v>500</v>
      </c>
      <c r="R122">
        <f>E120</f>
        <v>14.142135623730951</v>
      </c>
      <c r="U122">
        <v>4</v>
      </c>
    </row>
    <row r="123" spans="1:27" x14ac:dyDescent="0.25">
      <c r="A123" s="14"/>
      <c r="B123" s="15"/>
      <c r="C123" s="15"/>
      <c r="D123" s="15"/>
      <c r="E123" s="15"/>
      <c r="F123" s="15"/>
      <c r="G123" s="15"/>
      <c r="H123" s="15"/>
      <c r="I123" s="15"/>
      <c r="Q123">
        <f>B118</f>
        <v>500</v>
      </c>
      <c r="R123">
        <f ca="1">SQRT((J114*J114)+(J115*J115))</f>
        <v>436.08919494749745</v>
      </c>
    </row>
    <row r="124" spans="1:27" x14ac:dyDescent="0.25">
      <c r="A124" s="16"/>
      <c r="B124" s="15"/>
      <c r="C124" s="15"/>
      <c r="D124" s="15"/>
      <c r="E124" s="15"/>
      <c r="F124" s="15"/>
      <c r="G124" s="15"/>
      <c r="H124" s="17">
        <v>0</v>
      </c>
      <c r="I124" s="32">
        <v>0</v>
      </c>
      <c r="J124" s="15"/>
      <c r="K124" s="15"/>
      <c r="L124" s="13"/>
      <c r="M124" s="15"/>
      <c r="N124" s="15"/>
    </row>
    <row r="125" spans="1:27" ht="15.75" thickBot="1" x14ac:dyDescent="0.3">
      <c r="A125" s="16"/>
      <c r="B125" s="20"/>
      <c r="C125" s="15"/>
      <c r="D125" s="16"/>
      <c r="E125" s="17"/>
      <c r="F125" s="17"/>
      <c r="G125" s="16"/>
      <c r="H125" s="20">
        <f ca="1">J114</f>
        <v>308.36162732252996</v>
      </c>
      <c r="I125" s="3">
        <f ca="1">J115</f>
        <v>-308.36162657658559</v>
      </c>
      <c r="J125" s="16"/>
      <c r="K125" s="17"/>
      <c r="L125" s="13"/>
      <c r="M125" s="16"/>
      <c r="N125" s="17"/>
    </row>
    <row r="126" spans="1:27" x14ac:dyDescent="0.25">
      <c r="A126" s="16"/>
      <c r="B126" s="18"/>
      <c r="C126" s="17"/>
      <c r="D126" s="16"/>
      <c r="E126" s="20"/>
      <c r="F126" s="15"/>
      <c r="G126" s="16"/>
      <c r="H126" s="17"/>
      <c r="I126" s="13"/>
      <c r="J126" s="16"/>
      <c r="K126" s="17"/>
      <c r="L126" s="13"/>
      <c r="M126" s="16"/>
      <c r="N126" s="17"/>
      <c r="V126" s="42" t="s">
        <v>94</v>
      </c>
      <c r="W126" s="51"/>
      <c r="X126" s="51"/>
      <c r="Y126" s="51"/>
      <c r="Z126" s="51"/>
      <c r="AA126" s="43"/>
    </row>
    <row r="127" spans="1:27" x14ac:dyDescent="0.25">
      <c r="A127" s="16"/>
      <c r="B127" s="17"/>
      <c r="C127" s="18"/>
      <c r="D127" s="16"/>
      <c r="E127" s="17"/>
      <c r="F127" s="15"/>
      <c r="G127" s="16"/>
      <c r="H127" s="17"/>
      <c r="I127" s="13"/>
      <c r="J127" s="16"/>
      <c r="K127" s="17"/>
      <c r="L127" s="13"/>
      <c r="M127" s="16"/>
      <c r="N127" s="17"/>
      <c r="Q127" s="2" t="s">
        <v>86</v>
      </c>
      <c r="R127">
        <v>50</v>
      </c>
      <c r="V127" s="52" t="s">
        <v>103</v>
      </c>
      <c r="W127" s="53">
        <v>1.0000000000000001E-5</v>
      </c>
      <c r="X127" s="53"/>
      <c r="Y127" s="53"/>
      <c r="Z127" s="53"/>
      <c r="AA127" s="54"/>
    </row>
    <row r="128" spans="1:27" x14ac:dyDescent="0.25">
      <c r="A128" s="16" t="s">
        <v>85</v>
      </c>
      <c r="B128" s="17" t="s">
        <v>76</v>
      </c>
      <c r="C128" s="18" t="s">
        <v>77</v>
      </c>
      <c r="D128" s="16"/>
      <c r="E128" s="17"/>
      <c r="F128" s="15"/>
      <c r="G128" s="16"/>
      <c r="H128" s="17"/>
      <c r="I128" s="13"/>
      <c r="J128" s="16"/>
      <c r="K128" s="17"/>
      <c r="L128" s="13"/>
      <c r="M128" s="16"/>
      <c r="N128" s="17"/>
      <c r="Q128" t="s">
        <v>75</v>
      </c>
      <c r="R128" t="s">
        <v>49</v>
      </c>
      <c r="V128" s="52"/>
      <c r="W128" s="53"/>
      <c r="X128" s="53"/>
      <c r="Y128" s="53" t="s">
        <v>104</v>
      </c>
      <c r="Z128" s="53"/>
      <c r="AA128" s="54"/>
    </row>
    <row r="129" spans="1:27" ht="15.75" thickBot="1" x14ac:dyDescent="0.3">
      <c r="A129" s="37">
        <v>0</v>
      </c>
      <c r="B129" s="38">
        <v>741.22001919593492</v>
      </c>
      <c r="C129" s="37">
        <v>0</v>
      </c>
      <c r="D129" s="16">
        <f>DEGREES(ATAN2(B129,C129))</f>
        <v>0</v>
      </c>
      <c r="E129" s="17"/>
      <c r="F129" s="15"/>
      <c r="G129" s="16"/>
      <c r="H129" s="17"/>
      <c r="I129" s="13"/>
      <c r="J129" s="16"/>
      <c r="K129" s="17"/>
      <c r="L129" s="13"/>
      <c r="M129" s="16"/>
      <c r="N129" s="17"/>
      <c r="P129" s="41"/>
      <c r="Q129" s="41">
        <f ca="1">J118</f>
        <v>-342.9</v>
      </c>
      <c r="R129" s="41">
        <v>62.865000000000038</v>
      </c>
      <c r="S129" s="41">
        <v>180.00000000000006</v>
      </c>
      <c r="V129" s="55" t="s">
        <v>99</v>
      </c>
      <c r="W129" s="56"/>
      <c r="X129" s="56"/>
      <c r="Y129" s="56"/>
      <c r="Z129" s="56"/>
      <c r="AA129" s="54"/>
    </row>
    <row r="130" spans="1:27" x14ac:dyDescent="0.25">
      <c r="A130" s="39">
        <v>-1</v>
      </c>
      <c r="B130" s="38">
        <v>740.7930492605409</v>
      </c>
      <c r="C130" s="37">
        <v>4.999949738836194</v>
      </c>
      <c r="D130" s="16">
        <f t="shared" ref="D130:D193" si="34">DEGREES(ATAN2(B130,C130))</f>
        <v>0.38670944343371555</v>
      </c>
      <c r="E130" s="17"/>
      <c r="F130" s="15"/>
      <c r="G130" s="16"/>
      <c r="H130" s="17"/>
      <c r="I130" s="13"/>
      <c r="J130" s="16"/>
      <c r="K130" s="17"/>
      <c r="L130" s="13"/>
      <c r="M130" s="16"/>
      <c r="N130" s="17"/>
      <c r="P130" s="41">
        <v>1</v>
      </c>
      <c r="Q130">
        <v>-337.9</v>
      </c>
      <c r="R130">
        <v>56.628616557704611</v>
      </c>
      <c r="S130" s="41">
        <v>180.00000375251972</v>
      </c>
      <c r="V130" s="42" t="s">
        <v>95</v>
      </c>
      <c r="W130" s="43" t="s">
        <v>96</v>
      </c>
      <c r="X130" s="56" t="str">
        <f>"="</f>
        <v>=</v>
      </c>
      <c r="Y130" s="42">
        <v>-78.340337682902828</v>
      </c>
      <c r="Z130" s="43">
        <v>-16.657899021765843</v>
      </c>
      <c r="AA130" s="54"/>
    </row>
    <row r="131" spans="1:27" ht="15.75" thickBot="1" x14ac:dyDescent="0.3">
      <c r="A131" s="39">
        <v>-2</v>
      </c>
      <c r="B131" s="38">
        <v>740.31499622532363</v>
      </c>
      <c r="C131" s="37">
        <v>9.9284312447734369</v>
      </c>
      <c r="D131" s="16">
        <f t="shared" si="34"/>
        <v>0.7683528088849596</v>
      </c>
      <c r="E131" s="15"/>
      <c r="F131" s="15"/>
      <c r="G131" s="15"/>
      <c r="H131" s="15"/>
      <c r="I131" s="15"/>
      <c r="P131" s="41">
        <v>2</v>
      </c>
      <c r="Q131">
        <v>-300.94027</v>
      </c>
      <c r="R131">
        <v>47.638655036072343</v>
      </c>
      <c r="S131" s="41">
        <v>224.99999993392976</v>
      </c>
      <c r="V131" s="44" t="s">
        <v>97</v>
      </c>
      <c r="W131" s="45" t="s">
        <v>98</v>
      </c>
      <c r="X131" s="56"/>
      <c r="Y131" s="44">
        <v>54296098.372793414</v>
      </c>
      <c r="Z131" s="45">
        <v>54296053.525429167</v>
      </c>
      <c r="AA131" s="54"/>
    </row>
    <row r="132" spans="1:27" ht="15.75" thickBot="1" x14ac:dyDescent="0.3">
      <c r="A132" s="37">
        <v>-3</v>
      </c>
      <c r="B132" s="37">
        <v>739.78461342857531</v>
      </c>
      <c r="C132" s="37">
        <v>14.795068393379543</v>
      </c>
      <c r="D132" s="16">
        <f t="shared" si="34"/>
        <v>1.1457145388147938</v>
      </c>
      <c r="E132" s="15"/>
      <c r="F132" s="15"/>
      <c r="G132" s="15"/>
      <c r="H132" s="15"/>
      <c r="I132" s="15"/>
      <c r="P132" s="41">
        <v>3</v>
      </c>
      <c r="Q132">
        <v>-263.98054000000002</v>
      </c>
      <c r="R132">
        <v>89.808772355474602</v>
      </c>
      <c r="S132" s="41">
        <v>224.99999973281894</v>
      </c>
      <c r="V132" s="55"/>
      <c r="W132" s="56"/>
      <c r="X132" s="56"/>
      <c r="Y132" s="56"/>
      <c r="Z132" s="56"/>
      <c r="AA132" s="54"/>
    </row>
    <row r="133" spans="1:27" x14ac:dyDescent="0.25">
      <c r="A133" s="37">
        <v>-4</v>
      </c>
      <c r="B133" s="37">
        <v>739.20058894699741</v>
      </c>
      <c r="C133" s="37">
        <v>19.608530840964935</v>
      </c>
      <c r="D133" s="16">
        <f t="shared" si="34"/>
        <v>1.5195099525550151</v>
      </c>
      <c r="E133" s="15"/>
      <c r="F133" s="15"/>
      <c r="G133" s="15"/>
      <c r="H133" s="15"/>
      <c r="I133" s="15"/>
      <c r="P133" s="41">
        <v>4</v>
      </c>
      <c r="Q133">
        <v>-227.02081000000001</v>
      </c>
      <c r="R133">
        <v>128.88164216222242</v>
      </c>
      <c r="S133" s="41">
        <v>225.00000026400059</v>
      </c>
      <c r="V133" s="55" t="str">
        <f>"-1*R,vector = "</f>
        <v xml:space="preserve">-1*R,vector = </v>
      </c>
      <c r="W133" s="46" t="s">
        <v>75</v>
      </c>
      <c r="X133" s="56" t="str">
        <f>"="</f>
        <v>=</v>
      </c>
      <c r="Y133" s="48">
        <f ca="1">(B118-J116)*-1</f>
        <v>8.446932042716071E-11</v>
      </c>
      <c r="Z133" s="56"/>
      <c r="AA133" s="54"/>
    </row>
    <row r="134" spans="1:27" ht="15.75" thickBot="1" x14ac:dyDescent="0.3">
      <c r="A134" s="39">
        <v>-5</v>
      </c>
      <c r="B134" s="38">
        <v>738.56153194093633</v>
      </c>
      <c r="C134" s="40">
        <v>24.376697468673015</v>
      </c>
      <c r="D134" s="16">
        <f t="shared" si="34"/>
        <v>1.8903977331375885</v>
      </c>
      <c r="E134" s="15"/>
      <c r="F134" s="15"/>
      <c r="G134" s="15"/>
      <c r="H134" s="15"/>
      <c r="I134" s="15"/>
      <c r="P134" s="41">
        <v>5</v>
      </c>
      <c r="Q134">
        <v>-190.06108</v>
      </c>
      <c r="R134">
        <v>163.14999784798999</v>
      </c>
      <c r="S134" s="41">
        <v>224.99999933994849</v>
      </c>
      <c r="V134" s="55"/>
      <c r="W134" s="47" t="s">
        <v>49</v>
      </c>
      <c r="X134" s="56"/>
      <c r="Y134" s="49">
        <f ca="1">(SQRT(POWER(B119-J114,2)+POWER(B120-J115,2)))*-1</f>
        <v>-421.94705932376655</v>
      </c>
      <c r="Z134" s="56"/>
      <c r="AA134" s="54"/>
    </row>
    <row r="135" spans="1:27" ht="15.75" thickBot="1" x14ac:dyDescent="0.3">
      <c r="A135" s="39">
        <v>-6</v>
      </c>
      <c r="B135" s="38">
        <v>737.86595987846283</v>
      </c>
      <c r="C135" s="40">
        <v>29.106789407333483</v>
      </c>
      <c r="D135" s="16">
        <f t="shared" si="34"/>
        <v>2.2589901950152709</v>
      </c>
      <c r="E135" s="15"/>
      <c r="F135" s="15"/>
      <c r="G135" s="15"/>
      <c r="H135" s="15"/>
      <c r="I135" s="15"/>
      <c r="P135" s="41">
        <v>6</v>
      </c>
      <c r="Q135">
        <v>-153.10135</v>
      </c>
      <c r="R135">
        <v>194.72586046663761</v>
      </c>
      <c r="S135" s="41">
        <v>224.99999973496045</v>
      </c>
      <c r="V135" s="55"/>
      <c r="W135" s="56"/>
      <c r="X135" s="56"/>
      <c r="Y135" s="56"/>
      <c r="Z135" s="56"/>
      <c r="AA135" s="54"/>
    </row>
    <row r="136" spans="1:27" x14ac:dyDescent="0.25">
      <c r="A136" s="37">
        <v>-7</v>
      </c>
      <c r="B136" s="37">
        <v>737.11228630465428</v>
      </c>
      <c r="C136" s="37">
        <v>33.805479425935026</v>
      </c>
      <c r="D136" s="16">
        <f t="shared" si="34"/>
        <v>2.6258618346596689</v>
      </c>
      <c r="E136" s="15"/>
      <c r="F136" s="15"/>
      <c r="G136" s="15"/>
      <c r="H136" s="15"/>
      <c r="I136" s="15"/>
      <c r="P136" s="41">
        <v>7</v>
      </c>
      <c r="Q136">
        <v>-116.14161999999999</v>
      </c>
      <c r="R136">
        <v>226.19863106491979</v>
      </c>
      <c r="S136" s="41">
        <v>224.99999911348593</v>
      </c>
      <c r="V136" s="55"/>
      <c r="W136" s="56" t="str">
        <f>"J^-1*R"</f>
        <v>J^-1*R</v>
      </c>
      <c r="X136" s="56" t="s">
        <v>100</v>
      </c>
      <c r="Y136" s="48" cm="1">
        <f t="array" aca="1" ref="Y136:Y137" ca="1">MMULT(MINVERSE(Y130:Z131),Y133:Y134)</f>
        <v>2.0986895655286681E-6</v>
      </c>
      <c r="Z136" s="56"/>
      <c r="AA136" s="54"/>
    </row>
    <row r="137" spans="1:27" ht="15.75" thickBot="1" x14ac:dyDescent="0.3">
      <c r="A137" s="37">
        <v>-8</v>
      </c>
      <c r="B137" s="38">
        <v>736.29880887831041</v>
      </c>
      <c r="C137" s="37">
        <v>38.478982795696858</v>
      </c>
      <c r="D137" s="16">
        <f t="shared" si="34"/>
        <v>2.9915565441559329</v>
      </c>
      <c r="E137" s="15"/>
      <c r="F137" s="15"/>
      <c r="G137" s="15"/>
      <c r="H137" s="15"/>
      <c r="I137" s="15"/>
      <c r="P137" s="41">
        <v>8</v>
      </c>
      <c r="Q137">
        <v>-79.181889999999981</v>
      </c>
      <c r="R137">
        <v>255.96720276741357</v>
      </c>
      <c r="S137" s="41">
        <v>224.99999942952596</v>
      </c>
      <c r="V137" s="55"/>
      <c r="W137" s="56"/>
      <c r="X137" s="56"/>
      <c r="Y137" s="49">
        <f ca="1"/>
        <v>-9.8699201807859264E-6</v>
      </c>
      <c r="Z137" s="56"/>
      <c r="AA137" s="54"/>
    </row>
    <row r="138" spans="1:27" x14ac:dyDescent="0.25">
      <c r="A138" s="39">
        <v>-9</v>
      </c>
      <c r="B138" s="38">
        <v>735.42369743697975</v>
      </c>
      <c r="C138" s="37">
        <v>43.133133526207054</v>
      </c>
      <c r="D138" s="16">
        <f t="shared" si="34"/>
        <v>3.3565937793479281</v>
      </c>
      <c r="E138" s="15"/>
      <c r="F138" s="15"/>
      <c r="G138" s="15"/>
      <c r="H138" s="15"/>
      <c r="I138" s="15"/>
      <c r="P138" s="41">
        <v>9</v>
      </c>
      <c r="Q138">
        <v>-42.222159999999981</v>
      </c>
      <c r="R138">
        <v>283.75180866299797</v>
      </c>
      <c r="S138" s="41">
        <v>225.00000080398317</v>
      </c>
      <c r="V138" s="55"/>
      <c r="W138" s="56" t="s">
        <v>102</v>
      </c>
      <c r="X138" s="56" t="str">
        <f>"= "</f>
        <v xml:space="preserve">= </v>
      </c>
      <c r="Y138" s="48">
        <f ca="1">Y136+B78</f>
        <v>13.879687382106312</v>
      </c>
      <c r="Z138" s="56"/>
      <c r="AA138" s="54"/>
    </row>
    <row r="139" spans="1:27" ht="15.75" thickBot="1" x14ac:dyDescent="0.3">
      <c r="A139" s="39">
        <v>-10</v>
      </c>
      <c r="B139" s="37">
        <v>734.48498187951259</v>
      </c>
      <c r="C139" s="37">
        <v>47.7734489756104</v>
      </c>
      <c r="D139" s="16">
        <f t="shared" si="34"/>
        <v>3.7214739090524782</v>
      </c>
      <c r="E139" s="15"/>
      <c r="F139" s="15"/>
      <c r="G139" s="15"/>
      <c r="H139" s="15"/>
      <c r="I139" s="15"/>
      <c r="P139" s="41">
        <v>10</v>
      </c>
      <c r="Q139">
        <v>-5.2624299999999806</v>
      </c>
      <c r="R139">
        <v>311.31048510363632</v>
      </c>
      <c r="S139" s="41">
        <v>224.99999971321256</v>
      </c>
      <c r="V139" s="55"/>
      <c r="W139" s="56" t="s">
        <v>101</v>
      </c>
      <c r="X139" s="56"/>
      <c r="Y139" s="49">
        <f ca="1">Y137+B53</f>
        <v>67.663166480308803</v>
      </c>
      <c r="Z139" s="56"/>
      <c r="AA139" s="54"/>
    </row>
    <row r="140" spans="1:27" ht="15.75" thickBot="1" x14ac:dyDescent="0.3">
      <c r="A140" s="37">
        <v>-11</v>
      </c>
      <c r="B140" s="37">
        <v>733.48053967571184</v>
      </c>
      <c r="C140" s="37">
        <v>52.405185171594141</v>
      </c>
      <c r="D140" s="16">
        <f t="shared" si="34"/>
        <v>4.0866829236776816</v>
      </c>
      <c r="E140" s="15"/>
      <c r="F140" s="15"/>
      <c r="G140" s="15"/>
      <c r="H140" s="15"/>
      <c r="I140" s="15"/>
      <c r="P140" s="41">
        <v>11</v>
      </c>
      <c r="Q140">
        <v>31.69730000000002</v>
      </c>
      <c r="R140">
        <v>338.17847719604106</v>
      </c>
      <c r="S140" s="41">
        <v>225.00000051146438</v>
      </c>
      <c r="V140" s="44"/>
      <c r="W140" s="57"/>
      <c r="X140" s="57"/>
      <c r="Y140" s="57"/>
      <c r="Z140" s="57"/>
      <c r="AA140" s="45"/>
    </row>
    <row r="141" spans="1:27" x14ac:dyDescent="0.25">
      <c r="A141" s="37">
        <v>-12</v>
      </c>
      <c r="B141" s="37">
        <v>731.02861196590754</v>
      </c>
      <c r="C141" s="37">
        <v>56.791380787788519</v>
      </c>
      <c r="D141" s="16">
        <f t="shared" si="34"/>
        <v>4.4422118674537634</v>
      </c>
      <c r="E141" s="15"/>
      <c r="F141" s="15"/>
      <c r="G141" s="15"/>
      <c r="H141" s="15"/>
      <c r="I141" s="15"/>
      <c r="P141" s="41">
        <v>12</v>
      </c>
      <c r="Q141">
        <v>68.65703000000002</v>
      </c>
      <c r="R141">
        <v>364.56148713444031</v>
      </c>
      <c r="S141" s="41">
        <v>224.99999974090522</v>
      </c>
    </row>
    <row r="142" spans="1:27" x14ac:dyDescent="0.25">
      <c r="A142" s="39">
        <v>-13</v>
      </c>
      <c r="B142" s="37">
        <v>724.11255087060943</v>
      </c>
      <c r="C142" s="37">
        <v>60.317312773160069</v>
      </c>
      <c r="D142" s="16">
        <f t="shared" si="34"/>
        <v>4.7616457731881656</v>
      </c>
      <c r="E142" s="15"/>
      <c r="F142" s="15"/>
      <c r="G142" s="15"/>
      <c r="H142" s="15"/>
      <c r="I142" s="15"/>
      <c r="P142" s="41">
        <v>13</v>
      </c>
      <c r="Q142">
        <v>105.61676000000003</v>
      </c>
      <c r="R142">
        <v>390.0811150630422</v>
      </c>
      <c r="S142" s="41">
        <v>224.99999926189739</v>
      </c>
    </row>
    <row r="143" spans="1:27" x14ac:dyDescent="0.25">
      <c r="A143" s="39">
        <v>-14</v>
      </c>
      <c r="B143" s="37">
        <v>717.50935280328042</v>
      </c>
      <c r="C143" s="37">
        <v>63.781005767348177</v>
      </c>
      <c r="D143" s="16">
        <f t="shared" si="34"/>
        <v>5.0797977394017657</v>
      </c>
      <c r="E143" s="15"/>
      <c r="F143" s="15"/>
      <c r="G143" s="15"/>
      <c r="H143" s="15"/>
      <c r="I143" s="15"/>
      <c r="P143" s="41">
        <v>14</v>
      </c>
      <c r="Q143">
        <v>142.57649000000004</v>
      </c>
      <c r="R143">
        <v>414.60725905905173</v>
      </c>
      <c r="S143" s="41">
        <v>225.00000079425294</v>
      </c>
    </row>
    <row r="144" spans="1:27" x14ac:dyDescent="0.25">
      <c r="A144" s="37">
        <v>-15</v>
      </c>
      <c r="B144" s="37">
        <v>711.1793120761622</v>
      </c>
      <c r="C144" s="37">
        <v>67.194242949756216</v>
      </c>
      <c r="D144" s="16">
        <f t="shared" si="34"/>
        <v>5.3974451579255787</v>
      </c>
      <c r="E144" s="15"/>
      <c r="F144" s="15"/>
      <c r="G144" s="15"/>
      <c r="H144" s="16"/>
      <c r="I144" s="19"/>
      <c r="P144" s="41">
        <v>15</v>
      </c>
      <c r="Q144">
        <v>179.53622000000004</v>
      </c>
      <c r="R144">
        <v>424.59350101131497</v>
      </c>
      <c r="S144" s="41">
        <v>224.99999976131295</v>
      </c>
    </row>
    <row r="145" spans="1:19" x14ac:dyDescent="0.25">
      <c r="A145" s="37">
        <v>-16</v>
      </c>
      <c r="B145" s="37">
        <v>705.08757236679503</v>
      </c>
      <c r="C145" s="37">
        <v>70.567282565963467</v>
      </c>
      <c r="D145" s="16">
        <f t="shared" si="34"/>
        <v>5.715301810098862</v>
      </c>
      <c r="E145" s="15"/>
      <c r="F145" s="15"/>
      <c r="G145" s="15"/>
      <c r="H145" s="16"/>
      <c r="I145" s="19"/>
      <c r="P145" s="41">
        <v>16</v>
      </c>
      <c r="Q145">
        <v>216.49595000000005</v>
      </c>
      <c r="R145">
        <v>430.56593258445105</v>
      </c>
      <c r="S145" s="41">
        <v>224.9999998798697</v>
      </c>
    </row>
    <row r="146" spans="1:19" x14ac:dyDescent="0.25">
      <c r="A146" s="39">
        <v>-17</v>
      </c>
      <c r="B146" s="37">
        <v>699.20332324394519</v>
      </c>
      <c r="C146" s="37">
        <v>73.909160130975664</v>
      </c>
      <c r="D146" s="16">
        <f t="shared" si="34"/>
        <v>6.0340327555424365</v>
      </c>
      <c r="E146" s="15"/>
      <c r="F146" s="15"/>
      <c r="G146" s="15"/>
      <c r="H146" s="15"/>
      <c r="I146" s="15"/>
      <c r="P146" s="41">
        <v>17</v>
      </c>
      <c r="Q146">
        <v>253.45568000000006</v>
      </c>
      <c r="R146">
        <v>435.52165549040802</v>
      </c>
      <c r="S146" s="41">
        <v>225.00000062590416</v>
      </c>
    </row>
    <row r="147" spans="1:19" x14ac:dyDescent="0.25">
      <c r="A147" s="39">
        <v>-18</v>
      </c>
      <c r="B147" s="41">
        <v>693.49913734728284</v>
      </c>
      <c r="C147" s="41">
        <v>77.227927859815338</v>
      </c>
      <c r="D147" s="16">
        <f t="shared" si="34"/>
        <v>6.3542666332469224</v>
      </c>
      <c r="P147" s="41">
        <v>18</v>
      </c>
      <c r="Q147">
        <v>290.41541000000007</v>
      </c>
      <c r="R147">
        <v>437.86544894059318</v>
      </c>
      <c r="S147" s="41">
        <v>224.99999996298078</v>
      </c>
    </row>
    <row r="148" spans="1:19" x14ac:dyDescent="0.25">
      <c r="A148" s="37">
        <v>-19</v>
      </c>
      <c r="B148" s="41">
        <v>687.95042036110976</v>
      </c>
      <c r="C148" s="41">
        <v>80.530846175883241</v>
      </c>
      <c r="D148" s="16">
        <f t="shared" si="34"/>
        <v>6.676605990018726</v>
      </c>
      <c r="P148" s="41">
        <v>19</v>
      </c>
      <c r="Q148">
        <v>327.37514000000004</v>
      </c>
      <c r="R148">
        <v>439.29694277756198</v>
      </c>
      <c r="S148" s="41">
        <v>225.00000040764053</v>
      </c>
    </row>
    <row r="149" spans="1:19" x14ac:dyDescent="0.25">
      <c r="A149" s="37">
        <v>-20</v>
      </c>
      <c r="B149" s="41">
        <v>682.53495165546133</v>
      </c>
      <c r="C149" s="41">
        <v>83.82453840466475</v>
      </c>
      <c r="D149" s="16">
        <f t="shared" si="34"/>
        <v>7.0016361124837356</v>
      </c>
      <c r="P149" s="41">
        <v>20</v>
      </c>
      <c r="Q149">
        <v>364.33487000000002</v>
      </c>
      <c r="R149">
        <v>440.67937487984887</v>
      </c>
      <c r="S149" s="41">
        <v>224.99999902621451</v>
      </c>
    </row>
    <row r="150" spans="1:19" x14ac:dyDescent="0.25">
      <c r="A150" s="39">
        <v>-21</v>
      </c>
      <c r="B150" s="41">
        <v>677.23249797393214</v>
      </c>
      <c r="C150" s="41">
        <v>87.115117024089884</v>
      </c>
      <c r="D150" s="16">
        <f t="shared" si="34"/>
        <v>7.3299327353971098</v>
      </c>
      <c r="P150" s="41">
        <v>21</v>
      </c>
      <c r="Q150">
        <v>401.2946</v>
      </c>
      <c r="R150">
        <v>441.89690608344932</v>
      </c>
      <c r="S150" s="41">
        <v>224.99999986693786</v>
      </c>
    </row>
    <row r="151" spans="1:19" x14ac:dyDescent="0.25">
      <c r="A151" s="39">
        <v>-22</v>
      </c>
      <c r="B151" s="41">
        <v>672.02448607934923</v>
      </c>
      <c r="C151" s="41">
        <v>90.408287832793476</v>
      </c>
      <c r="D151" s="16">
        <f t="shared" si="34"/>
        <v>7.6620689223438241</v>
      </c>
      <c r="P151" s="41">
        <v>22</v>
      </c>
      <c r="Q151">
        <v>438.25432999999998</v>
      </c>
      <c r="R151">
        <v>442.8135731260337</v>
      </c>
      <c r="S151" s="41">
        <v>225.00000011275165</v>
      </c>
    </row>
    <row r="152" spans="1:19" x14ac:dyDescent="0.25">
      <c r="A152" s="37">
        <v>-23</v>
      </c>
      <c r="B152" s="41">
        <v>666.89372303923312</v>
      </c>
      <c r="C152" s="41">
        <v>93.709436909817867</v>
      </c>
      <c r="D152" s="16">
        <f t="shared" si="34"/>
        <v>7.9986213581758712</v>
      </c>
      <c r="P152" s="41">
        <v>23</v>
      </c>
      <c r="Q152">
        <v>475.21405999999996</v>
      </c>
      <c r="R152">
        <v>443.2791943420122</v>
      </c>
      <c r="S152" s="41">
        <v>224.99999956533779</v>
      </c>
    </row>
    <row r="153" spans="1:19" x14ac:dyDescent="0.25">
      <c r="A153" s="37">
        <v>-24</v>
      </c>
      <c r="B153" s="41">
        <v>661.82415500597961</v>
      </c>
      <c r="C153" s="41">
        <v>97.02370413236126</v>
      </c>
      <c r="D153" s="16">
        <f t="shared" si="34"/>
        <v>8.3401762510064721</v>
      </c>
      <c r="P153" s="41">
        <v>24</v>
      </c>
      <c r="Q153">
        <v>512.17378999999994</v>
      </c>
      <c r="R153">
        <v>443.10501790143365</v>
      </c>
      <c r="S153" s="41">
        <v>224.99999998508545</v>
      </c>
    </row>
    <row r="154" spans="1:19" x14ac:dyDescent="0.25">
      <c r="A154" s="39">
        <v>-25</v>
      </c>
      <c r="B154" s="41">
        <v>656.80065705257755</v>
      </c>
      <c r="C154" s="41">
        <v>100.35604618933102</v>
      </c>
      <c r="D154" s="16">
        <f t="shared" si="34"/>
        <v>8.6873350116852812</v>
      </c>
      <c r="P154" s="41">
        <v>25</v>
      </c>
      <c r="Q154">
        <v>549.13351999999998</v>
      </c>
      <c r="R154">
        <v>446.03759737236481</v>
      </c>
      <c r="S154" s="41">
        <v>225.00000065809857</v>
      </c>
    </row>
    <row r="155" spans="1:19" x14ac:dyDescent="0.25">
      <c r="A155" s="39">
        <v>-26</v>
      </c>
      <c r="B155" s="41">
        <v>651.80884796310318</v>
      </c>
      <c r="C155" s="41">
        <v>103.71129140515974</v>
      </c>
      <c r="D155" s="16">
        <f t="shared" si="34"/>
        <v>9.0407198579401822</v>
      </c>
      <c r="P155" s="41">
        <v>26</v>
      </c>
      <c r="Q155">
        <v>586.09325000000001</v>
      </c>
      <c r="R155">
        <v>449.57687712532919</v>
      </c>
      <c r="S155" s="41">
        <v>224.99999946626946</v>
      </c>
    </row>
    <row r="156" spans="1:19" x14ac:dyDescent="0.25">
      <c r="A156" s="37">
        <v>-27</v>
      </c>
      <c r="B156" s="41">
        <v>646.83492492557866</v>
      </c>
      <c r="C156" s="41">
        <v>107.09418821808481</v>
      </c>
      <c r="D156" s="16">
        <f t="shared" si="34"/>
        <v>9.4009794770302229</v>
      </c>
      <c r="P156" s="41">
        <v>27</v>
      </c>
      <c r="Q156">
        <v>623.05298000000005</v>
      </c>
      <c r="R156">
        <v>452.07885444167226</v>
      </c>
      <c r="S156" s="41">
        <v>224.99999980949303</v>
      </c>
    </row>
    <row r="157" spans="1:19" x14ac:dyDescent="0.25">
      <c r="A157" s="37">
        <v>-28</v>
      </c>
      <c r="B157" s="41">
        <v>641.86551389601323</v>
      </c>
      <c r="C157" s="41">
        <v>110.50944880016331</v>
      </c>
      <c r="D157" s="16">
        <f t="shared" si="34"/>
        <v>9.7687948734130323</v>
      </c>
      <c r="P157" s="41">
        <v>28</v>
      </c>
      <c r="Q157">
        <v>660.01271000000008</v>
      </c>
      <c r="R157">
        <v>453.99350988013782</v>
      </c>
      <c r="S157" s="41">
        <v>224.99999990680612</v>
      </c>
    </row>
    <row r="158" spans="1:19" x14ac:dyDescent="0.25">
      <c r="A158" s="39">
        <v>-29</v>
      </c>
      <c r="B158" s="41">
        <v>635.76188758957426</v>
      </c>
      <c r="C158" s="41">
        <v>114.56331726608042</v>
      </c>
      <c r="D158" s="16">
        <f t="shared" si="34"/>
        <v>10.214987771444017</v>
      </c>
      <c r="P158" s="41">
        <v>29</v>
      </c>
      <c r="Q158">
        <v>696.97244000000012</v>
      </c>
      <c r="R158">
        <v>455.30556294132361</v>
      </c>
      <c r="S158" s="41">
        <v>225.00000002713782</v>
      </c>
    </row>
    <row r="159" spans="1:19" x14ac:dyDescent="0.25">
      <c r="A159" s="39">
        <v>-30</v>
      </c>
      <c r="B159" s="41">
        <v>628.22722916641294</v>
      </c>
      <c r="C159" s="41">
        <v>119.40452109537256</v>
      </c>
      <c r="D159" s="16">
        <f t="shared" si="34"/>
        <v>10.761606647531762</v>
      </c>
      <c r="P159" s="41">
        <v>30</v>
      </c>
      <c r="Q159">
        <v>733.93217000000016</v>
      </c>
      <c r="R159">
        <v>455.96925143092471</v>
      </c>
      <c r="S159" s="41">
        <v>225.00000040341806</v>
      </c>
    </row>
    <row r="160" spans="1:19" x14ac:dyDescent="0.25">
      <c r="A160" s="37">
        <v>-31</v>
      </c>
      <c r="B160" s="41">
        <v>620.7045017294439</v>
      </c>
      <c r="C160" s="41">
        <v>124.25756503063812</v>
      </c>
      <c r="D160" s="16">
        <f t="shared" si="34"/>
        <v>11.320286949587031</v>
      </c>
      <c r="P160" s="41">
        <v>31</v>
      </c>
      <c r="Q160">
        <v>770.89190000000019</v>
      </c>
      <c r="R160">
        <v>455.94398110570199</v>
      </c>
      <c r="S160" s="41">
        <v>225.00000095525522</v>
      </c>
    </row>
    <row r="161" spans="1:19" x14ac:dyDescent="0.25">
      <c r="A161" s="37">
        <v>-32</v>
      </c>
      <c r="B161" s="41">
        <v>613.17891873356143</v>
      </c>
      <c r="C161" s="41">
        <v>129.1291149645586</v>
      </c>
      <c r="D161" s="16">
        <f t="shared" si="34"/>
        <v>11.892131078792099</v>
      </c>
      <c r="P161" s="41">
        <v>32</v>
      </c>
      <c r="Q161">
        <v>807.85163000000023</v>
      </c>
      <c r="R161">
        <v>455.19360444331636</v>
      </c>
      <c r="S161" s="41">
        <v>225.00000037454862</v>
      </c>
    </row>
    <row r="162" spans="1:19" x14ac:dyDescent="0.25">
      <c r="A162" s="39">
        <v>-33</v>
      </c>
      <c r="B162" s="41">
        <v>605.63547087133861</v>
      </c>
      <c r="C162" s="41">
        <v>134.02590301912574</v>
      </c>
      <c r="D162" s="16">
        <f t="shared" si="34"/>
        <v>12.478334375636129</v>
      </c>
      <c r="P162" s="41">
        <v>33</v>
      </c>
      <c r="Q162">
        <v>844.81136000000026</v>
      </c>
      <c r="R162">
        <v>453.29317606092468</v>
      </c>
      <c r="S162" s="41">
        <v>224.99999989545449</v>
      </c>
    </row>
    <row r="163" spans="1:19" x14ac:dyDescent="0.25">
      <c r="A163" s="39">
        <v>-34</v>
      </c>
      <c r="B163" s="41">
        <v>598.05882125665926</v>
      </c>
      <c r="C163" s="41">
        <v>138.95476471040297</v>
      </c>
      <c r="D163" s="16">
        <f t="shared" si="34"/>
        <v>13.080196925034336</v>
      </c>
      <c r="P163" s="41">
        <v>34</v>
      </c>
      <c r="Q163">
        <v>881.7710900000003</v>
      </c>
      <c r="R163">
        <v>450.92325477847896</v>
      </c>
      <c r="S163" s="41">
        <v>224.99999924673762</v>
      </c>
    </row>
    <row r="164" spans="1:19" x14ac:dyDescent="0.25">
      <c r="A164" s="37">
        <v>-35</v>
      </c>
      <c r="B164" s="41">
        <v>593.35209999255972</v>
      </c>
      <c r="C164" s="41">
        <v>142.20816127072212</v>
      </c>
      <c r="D164" s="16">
        <f t="shared" si="34"/>
        <v>13.477805104045082</v>
      </c>
      <c r="P164" s="41">
        <v>35</v>
      </c>
      <c r="Q164">
        <v>918.73082000000034</v>
      </c>
      <c r="R164">
        <v>447.73624708545475</v>
      </c>
      <c r="S164" s="41">
        <v>224.99999998392218</v>
      </c>
    </row>
    <row r="165" spans="1:19" x14ac:dyDescent="0.25">
      <c r="A165" s="37">
        <v>-36</v>
      </c>
      <c r="B165" s="41">
        <v>585.59296791152008</v>
      </c>
      <c r="C165" s="41">
        <v>147.24841767447796</v>
      </c>
      <c r="D165" s="16">
        <f t="shared" si="34"/>
        <v>14.114506726260176</v>
      </c>
      <c r="P165" s="41">
        <v>36</v>
      </c>
      <c r="Q165">
        <v>955.69055000000037</v>
      </c>
      <c r="R165">
        <v>443.49045933151831</v>
      </c>
      <c r="S165" s="41">
        <v>225.00000030909311</v>
      </c>
    </row>
    <row r="166" spans="1:19" x14ac:dyDescent="0.25">
      <c r="A166" s="39">
        <v>-37</v>
      </c>
      <c r="B166" s="41">
        <v>577.7534917621856</v>
      </c>
      <c r="C166" s="41">
        <v>152.34135668871832</v>
      </c>
      <c r="D166" s="16">
        <f t="shared" si="34"/>
        <v>14.77147278039001</v>
      </c>
      <c r="P166" s="41">
        <v>37</v>
      </c>
      <c r="Q166">
        <v>992.65028000000041</v>
      </c>
      <c r="R166">
        <v>438.51634737929942</v>
      </c>
      <c r="S166" s="41">
        <v>224.99999943572391</v>
      </c>
    </row>
    <row r="167" spans="1:19" x14ac:dyDescent="0.25">
      <c r="A167" s="39">
        <v>-38</v>
      </c>
      <c r="B167" s="41">
        <v>569.8157187308999</v>
      </c>
      <c r="C167" s="41">
        <v>157.49467473111736</v>
      </c>
      <c r="D167" s="16">
        <f t="shared" si="34"/>
        <v>15.450575671204621</v>
      </c>
      <c r="P167" s="41">
        <v>38</v>
      </c>
      <c r="Q167">
        <v>1029.6100100000003</v>
      </c>
      <c r="R167">
        <v>432.65449171479457</v>
      </c>
      <c r="S167" s="41">
        <v>224.99999929632119</v>
      </c>
    </row>
    <row r="168" spans="1:19" x14ac:dyDescent="0.25">
      <c r="A168" s="37">
        <v>-39</v>
      </c>
      <c r="B168" s="41">
        <v>561.76072484605709</v>
      </c>
      <c r="C168" s="41">
        <v>162.71638161346928</v>
      </c>
      <c r="D168" s="16">
        <f t="shared" si="34"/>
        <v>16.153884106416637</v>
      </c>
      <c r="P168" s="41">
        <v>39</v>
      </c>
      <c r="Q168">
        <v>1066.5697400000004</v>
      </c>
      <c r="R168">
        <v>425.88360349988011</v>
      </c>
      <c r="S168" s="41">
        <v>225.00000020782903</v>
      </c>
    </row>
    <row r="169" spans="1:19" x14ac:dyDescent="0.25">
      <c r="A169" s="37">
        <v>-40</v>
      </c>
      <c r="B169" s="41">
        <v>553.59768954485196</v>
      </c>
      <c r="C169" s="41">
        <v>167.99334602983265</v>
      </c>
      <c r="D169" s="16">
        <f t="shared" si="34"/>
        <v>16.880811752046469</v>
      </c>
      <c r="P169" s="41">
        <v>40</v>
      </c>
      <c r="Q169">
        <v>1103.5294700000004</v>
      </c>
      <c r="R169">
        <v>418.18273425955493</v>
      </c>
      <c r="S169" s="41">
        <v>225.00000001802977</v>
      </c>
    </row>
    <row r="170" spans="1:19" x14ac:dyDescent="0.25">
      <c r="A170" s="39">
        <v>-41</v>
      </c>
      <c r="B170" s="41">
        <v>545.51111473907201</v>
      </c>
      <c r="C170" s="41">
        <v>173.1856350535997</v>
      </c>
      <c r="D170" s="16">
        <f t="shared" si="34"/>
        <v>17.613293778433516</v>
      </c>
      <c r="P170" s="41">
        <v>41</v>
      </c>
      <c r="Q170">
        <v>1140.4892000000004</v>
      </c>
      <c r="R170">
        <v>409.53096425167001</v>
      </c>
      <c r="S170" s="41">
        <v>225.0000002497116</v>
      </c>
    </row>
    <row r="171" spans="1:19" x14ac:dyDescent="0.25">
      <c r="A171" s="39">
        <v>-42</v>
      </c>
      <c r="B171" s="41">
        <v>537.52230401140253</v>
      </c>
      <c r="C171" s="41">
        <v>178.27733142817482</v>
      </c>
      <c r="D171" s="16">
        <f t="shared" si="34"/>
        <v>18.34887585619688</v>
      </c>
      <c r="P171" s="41">
        <v>42</v>
      </c>
      <c r="Q171">
        <v>1177.4489300000005</v>
      </c>
      <c r="R171">
        <v>399.90408611503273</v>
      </c>
      <c r="S171" s="41">
        <v>225.0000004670631</v>
      </c>
    </row>
    <row r="172" spans="1:19" x14ac:dyDescent="0.25">
      <c r="A172" s="37">
        <v>-43</v>
      </c>
      <c r="B172" s="41">
        <v>529.61400260612993</v>
      </c>
      <c r="C172" s="41">
        <v>183.28088022137339</v>
      </c>
      <c r="D172" s="16">
        <f t="shared" si="34"/>
        <v>19.088947062958358</v>
      </c>
      <c r="P172" s="41">
        <v>43</v>
      </c>
      <c r="Q172">
        <v>1214.4086600000005</v>
      </c>
      <c r="R172">
        <v>389.27031083110921</v>
      </c>
      <c r="S172" s="41">
        <v>225.00000024526696</v>
      </c>
    </row>
    <row r="173" spans="1:19" x14ac:dyDescent="0.25">
      <c r="A173" s="37">
        <v>-44</v>
      </c>
      <c r="B173" s="41">
        <v>521.76957341851084</v>
      </c>
      <c r="C173" s="41">
        <v>188.20794440167325</v>
      </c>
      <c r="D173" s="16">
        <f t="shared" si="34"/>
        <v>19.834923860549807</v>
      </c>
      <c r="P173" s="41">
        <v>44</v>
      </c>
      <c r="Q173">
        <v>1251.3683900000005</v>
      </c>
      <c r="R173">
        <v>377.5973990615754</v>
      </c>
      <c r="S173" s="41">
        <v>225.00000090095148</v>
      </c>
    </row>
    <row r="174" spans="1:19" x14ac:dyDescent="0.25">
      <c r="A174" s="39">
        <v>-45</v>
      </c>
      <c r="B174" s="41">
        <v>513.97284241950854</v>
      </c>
      <c r="C174" s="41">
        <v>193.06953286439992</v>
      </c>
      <c r="D174" s="16">
        <f t="shared" si="34"/>
        <v>20.588262525858958</v>
      </c>
      <c r="P174" s="41">
        <v>45</v>
      </c>
      <c r="Q174">
        <v>1288.3281200000006</v>
      </c>
      <c r="R174">
        <v>364.85128235169498</v>
      </c>
      <c r="S174" s="41">
        <v>224.99999952675017</v>
      </c>
    </row>
    <row r="175" spans="1:19" x14ac:dyDescent="0.25">
      <c r="A175" s="39">
        <v>-46</v>
      </c>
      <c r="B175" s="41">
        <v>506.20795161973666</v>
      </c>
      <c r="C175" s="41">
        <v>197.87611573944571</v>
      </c>
      <c r="D175" s="16">
        <f t="shared" si="34"/>
        <v>21.350472204319516</v>
      </c>
      <c r="P175" s="41">
        <v>46</v>
      </c>
      <c r="Q175">
        <v>1325.2878500000006</v>
      </c>
      <c r="R175">
        <v>350.99565950092307</v>
      </c>
      <c r="S175" s="41">
        <v>224.99999966935567</v>
      </c>
    </row>
    <row r="176" spans="1:19" x14ac:dyDescent="0.25">
      <c r="A176" s="37">
        <v>-47</v>
      </c>
      <c r="B176" s="41">
        <v>498.45921662957238</v>
      </c>
      <c r="C176" s="41">
        <v>202.63772964493359</v>
      </c>
      <c r="D176" s="16">
        <f t="shared" si="34"/>
        <v>22.123128842847606</v>
      </c>
      <c r="P176" s="41">
        <v>47</v>
      </c>
      <c r="Q176">
        <v>1362.2475800000007</v>
      </c>
      <c r="R176">
        <v>335.91696933740667</v>
      </c>
      <c r="S176" s="41">
        <v>224.99999945923662</v>
      </c>
    </row>
    <row r="177" spans="1:19" x14ac:dyDescent="0.25">
      <c r="A177" s="37">
        <v>-48</v>
      </c>
      <c r="B177" s="41">
        <v>490.710985994471</v>
      </c>
      <c r="C177" s="41">
        <v>207.36407521734</v>
      </c>
      <c r="D177" s="16">
        <f t="shared" si="34"/>
        <v>22.907890284193272</v>
      </c>
      <c r="P177" s="41">
        <v>48</v>
      </c>
      <c r="Q177">
        <v>1399.2073100000007</v>
      </c>
      <c r="R177">
        <v>319.60483354027605</v>
      </c>
      <c r="S177" s="41">
        <v>224.99999911468447</v>
      </c>
    </row>
    <row r="178" spans="1:19" x14ac:dyDescent="0.25">
      <c r="A178" s="39">
        <v>-49</v>
      </c>
      <c r="B178" s="41">
        <v>482.94749950466303</v>
      </c>
      <c r="C178" s="41">
        <v>212.06460900453354</v>
      </c>
      <c r="D178" s="16">
        <f t="shared" si="34"/>
        <v>23.70651283966815</v>
      </c>
      <c r="P178" s="41">
        <v>49</v>
      </c>
      <c r="Q178">
        <v>1436.1670400000007</v>
      </c>
      <c r="R178">
        <v>302.05336452818943</v>
      </c>
      <c r="S178" s="41">
        <v>225.00000017548052</v>
      </c>
    </row>
    <row r="179" spans="1:19" x14ac:dyDescent="0.25">
      <c r="A179" s="39">
        <v>-50</v>
      </c>
      <c r="B179" s="41">
        <v>475.15274260396069</v>
      </c>
      <c r="C179" s="41">
        <v>216.74863164058181</v>
      </c>
      <c r="D179" s="16">
        <f t="shared" si="34"/>
        <v>24.520869703170614</v>
      </c>
      <c r="P179" s="41">
        <v>50</v>
      </c>
      <c r="Q179">
        <v>1473.1267700000008</v>
      </c>
      <c r="R179">
        <v>283.21099334464225</v>
      </c>
      <c r="S179" s="41">
        <v>224.9999990144579</v>
      </c>
    </row>
    <row r="180" spans="1:19" x14ac:dyDescent="0.25">
      <c r="A180" s="37">
        <v>-51</v>
      </c>
      <c r="B180" s="41">
        <v>467.31029384091141</v>
      </c>
      <c r="C180" s="41">
        <v>221.42537412306697</v>
      </c>
      <c r="D180" s="16">
        <f t="shared" si="34"/>
        <v>25.352971628799374</v>
      </c>
      <c r="P180" s="41">
        <v>51</v>
      </c>
      <c r="Q180">
        <v>1510.0865000000008</v>
      </c>
      <c r="R180">
        <v>263.01880709473824</v>
      </c>
      <c r="S180" s="41">
        <v>224.99999954343704</v>
      </c>
    </row>
    <row r="181" spans="1:19" x14ac:dyDescent="0.25">
      <c r="A181" s="37">
        <v>-52</v>
      </c>
      <c r="B181" s="41">
        <v>459.40316201231661</v>
      </c>
      <c r="C181" s="41">
        <v>226.10408398058371</v>
      </c>
      <c r="D181" s="16">
        <f t="shared" si="34"/>
        <v>26.204990369589972</v>
      </c>
      <c r="P181" s="41">
        <v>52</v>
      </c>
      <c r="Q181">
        <v>1510.0865000000008</v>
      </c>
      <c r="R181">
        <v>0</v>
      </c>
      <c r="S181" s="41">
        <v>90</v>
      </c>
    </row>
    <row r="182" spans="1:19" x14ac:dyDescent="0.25">
      <c r="A182" s="39">
        <v>-53</v>
      </c>
      <c r="B182" s="41">
        <v>451.41360921933745</v>
      </c>
      <c r="C182" s="41">
        <v>230.79411314988894</v>
      </c>
      <c r="D182" s="16">
        <f t="shared" si="34"/>
        <v>27.079285469950623</v>
      </c>
      <c r="P182" s="41">
        <v>53</v>
      </c>
      <c r="S182" s="41">
        <v>90</v>
      </c>
    </row>
    <row r="183" spans="1:19" x14ac:dyDescent="0.25">
      <c r="A183" s="39">
        <v>-54</v>
      </c>
      <c r="B183" s="41">
        <v>443.3229554695227</v>
      </c>
      <c r="C183" s="41">
        <v>235.50500948223788</v>
      </c>
      <c r="D183" s="16">
        <f t="shared" si="34"/>
        <v>27.978435123656705</v>
      </c>
      <c r="P183" s="41">
        <v>54</v>
      </c>
      <c r="S183" s="41">
        <v>90.000000000000014</v>
      </c>
    </row>
    <row r="184" spans="1:19" x14ac:dyDescent="0.25">
      <c r="A184" s="37">
        <v>-55</v>
      </c>
      <c r="B184" s="41">
        <v>435.11135967110869</v>
      </c>
      <c r="C184" s="41">
        <v>240.24661397370224</v>
      </c>
      <c r="D184" s="16">
        <f t="shared" si="34"/>
        <v>28.905271959047479</v>
      </c>
      <c r="P184" s="41">
        <v>55</v>
      </c>
      <c r="S184" s="41">
        <v>90</v>
      </c>
    </row>
    <row r="185" spans="1:19" x14ac:dyDescent="0.25">
      <c r="A185" s="37">
        <v>-56</v>
      </c>
      <c r="B185" s="41">
        <v>426.7575708315498</v>
      </c>
      <c r="C185" s="41">
        <v>245.02916607711811</v>
      </c>
      <c r="D185" s="16">
        <f t="shared" si="34"/>
        <v>29.862924800953358</v>
      </c>
      <c r="P185" s="41">
        <v>56</v>
      </c>
      <c r="S185" s="41">
        <v>90</v>
      </c>
    </row>
    <row r="186" spans="1:19" x14ac:dyDescent="0.25">
      <c r="A186" s="39">
        <v>-57</v>
      </c>
      <c r="B186" s="41">
        <v>418.23864191709265</v>
      </c>
      <c r="C186" s="41">
        <v>249.86341982135099</v>
      </c>
      <c r="D186" s="16">
        <f t="shared" si="34"/>
        <v>30.85486769488714</v>
      </c>
      <c r="P186" s="41">
        <v>57</v>
      </c>
      <c r="S186" s="41">
        <v>90</v>
      </c>
    </row>
    <row r="187" spans="1:19" x14ac:dyDescent="0.25">
      <c r="A187" s="39">
        <v>-58</v>
      </c>
      <c r="B187" s="41">
        <v>409.52959705843949</v>
      </c>
      <c r="C187" s="41">
        <v>254.76077396229741</v>
      </c>
      <c r="D187" s="16">
        <f t="shared" si="34"/>
        <v>31.884977775776012</v>
      </c>
      <c r="P187" s="41">
        <v>58</v>
      </c>
      <c r="S187" s="41">
        <v>90</v>
      </c>
    </row>
    <row r="188" spans="1:19" x14ac:dyDescent="0.25">
      <c r="A188" s="37">
        <v>-59</v>
      </c>
      <c r="B188" s="41">
        <v>400.60304046561021</v>
      </c>
      <c r="C188" s="41">
        <v>259.73342005440912</v>
      </c>
      <c r="D188" s="16">
        <f t="shared" si="34"/>
        <v>32.957603937012216</v>
      </c>
      <c r="P188" s="41">
        <v>59</v>
      </c>
      <c r="S188" s="41">
        <v>89.999999999999986</v>
      </c>
    </row>
    <row r="189" spans="1:19" x14ac:dyDescent="0.25">
      <c r="A189" s="37">
        <v>-60</v>
      </c>
      <c r="B189" s="41">
        <v>391.42869236064143</v>
      </c>
      <c r="C189" s="41">
        <v>264.79451321177601</v>
      </c>
      <c r="D189" s="16">
        <f t="shared" si="34"/>
        <v>34.077648726053567</v>
      </c>
      <c r="P189" s="41">
        <v>60</v>
      </c>
      <c r="S189" s="41">
        <v>90</v>
      </c>
    </row>
    <row r="190" spans="1:19" x14ac:dyDescent="0.25">
      <c r="A190" s="39">
        <v>-61</v>
      </c>
      <c r="B190" s="41">
        <v>381.97283319156924</v>
      </c>
      <c r="C190" s="41">
        <v>269.95837149024385</v>
      </c>
      <c r="D190" s="16">
        <f t="shared" si="34"/>
        <v>35.250666485193243</v>
      </c>
      <c r="P190" s="41">
        <v>61</v>
      </c>
      <c r="S190" s="41">
        <v>90</v>
      </c>
    </row>
    <row r="191" spans="1:19" x14ac:dyDescent="0.25">
      <c r="A191" s="39">
        <v>-62</v>
      </c>
      <c r="B191" s="41">
        <v>372.19763199818823</v>
      </c>
      <c r="C191" s="41">
        <v>275.24071136295515</v>
      </c>
      <c r="D191" s="16">
        <f t="shared" si="34"/>
        <v>36.482981500851814</v>
      </c>
      <c r="P191" s="41">
        <v>62</v>
      </c>
      <c r="S191" s="41">
        <v>90.000000000000014</v>
      </c>
    </row>
    <row r="192" spans="1:19" x14ac:dyDescent="0.25">
      <c r="A192" s="37">
        <v>-63</v>
      </c>
      <c r="B192" s="41">
        <v>362.06032754783615</v>
      </c>
      <c r="C192" s="41">
        <v>280.65892881259333</v>
      </c>
      <c r="D192" s="16">
        <f t="shared" si="34"/>
        <v>37.78183085741238</v>
      </c>
      <c r="P192" s="41">
        <v>63</v>
      </c>
      <c r="S192" s="41">
        <v>90</v>
      </c>
    </row>
    <row r="193" spans="1:19" x14ac:dyDescent="0.25">
      <c r="A193" s="37">
        <v>-64</v>
      </c>
      <c r="B193" s="41">
        <v>351.51222101699994</v>
      </c>
      <c r="C193" s="41">
        <v>286.23243831290631</v>
      </c>
      <c r="D193" s="16">
        <f t="shared" si="34"/>
        <v>39.155537851406137</v>
      </c>
      <c r="P193" s="41">
        <v>64</v>
      </c>
      <c r="S193" s="41">
        <v>90</v>
      </c>
    </row>
    <row r="194" spans="1:19" x14ac:dyDescent="0.25">
      <c r="A194" s="39">
        <v>-65</v>
      </c>
      <c r="B194" s="41">
        <v>340.49742549920023</v>
      </c>
      <c r="C194" s="41">
        <v>291.98308568617961</v>
      </c>
      <c r="D194" s="16">
        <f t="shared" ref="D194:D257" si="35">DEGREES(ATAN2(B194,C194))</f>
        <v>40.613723246293503</v>
      </c>
      <c r="P194" s="41">
        <v>65</v>
      </c>
      <c r="S194" s="41">
        <v>89.999999999999986</v>
      </c>
    </row>
    <row r="195" spans="1:19" x14ac:dyDescent="0.25">
      <c r="A195" s="39">
        <v>-66</v>
      </c>
      <c r="B195" s="41">
        <v>328.95129890947698</v>
      </c>
      <c r="C195" s="41">
        <v>297.93565589133641</v>
      </c>
      <c r="D195" s="16">
        <f t="shared" si="35"/>
        <v>42.167563361778534</v>
      </c>
      <c r="P195" s="41">
        <v>66</v>
      </c>
      <c r="S195" s="41">
        <v>89.999999999999986</v>
      </c>
    </row>
    <row r="196" spans="1:19" x14ac:dyDescent="0.25">
      <c r="A196" s="37">
        <v>-67</v>
      </c>
      <c r="B196" s="41">
        <v>316.79846060061925</v>
      </c>
      <c r="C196" s="41">
        <v>304.11850378226279</v>
      </c>
      <c r="D196" s="16">
        <f t="shared" si="35"/>
        <v>43.830105980552467</v>
      </c>
      <c r="P196" s="41">
        <v>67</v>
      </c>
      <c r="S196" s="41">
        <v>89.999999999999986</v>
      </c>
    </row>
    <row r="197" spans="1:19" x14ac:dyDescent="0.25">
      <c r="A197" s="37">
        <v>-68</v>
      </c>
      <c r="B197" s="41">
        <v>303.95025467919476</v>
      </c>
      <c r="C197" s="41">
        <v>310.56434562075339</v>
      </c>
      <c r="D197" s="16">
        <f t="shared" si="35"/>
        <v>45.616657217948429</v>
      </c>
      <c r="P197" s="41">
        <v>68</v>
      </c>
      <c r="S197" s="41">
        <v>90.000000000000014</v>
      </c>
    </row>
    <row r="198" spans="1:19" x14ac:dyDescent="0.25">
      <c r="A198" s="39">
        <v>-69</v>
      </c>
      <c r="B198" s="41">
        <v>290.34456868280643</v>
      </c>
      <c r="C198" s="41">
        <v>317.28616896623856</v>
      </c>
      <c r="D198" s="16">
        <f t="shared" si="35"/>
        <v>47.538761659863866</v>
      </c>
      <c r="P198" s="41">
        <v>69</v>
      </c>
      <c r="S198" s="41">
        <v>90</v>
      </c>
    </row>
    <row r="199" spans="1:19" x14ac:dyDescent="0.25">
      <c r="A199" s="39">
        <v>-70</v>
      </c>
      <c r="B199" s="41">
        <v>280.18284314982037</v>
      </c>
      <c r="C199" s="41">
        <v>323.44091101178088</v>
      </c>
      <c r="D199" s="16">
        <f t="shared" si="35"/>
        <v>49.099034799014774</v>
      </c>
      <c r="P199" s="41">
        <v>70</v>
      </c>
      <c r="S199" s="41">
        <v>90</v>
      </c>
    </row>
    <row r="200" spans="1:19" x14ac:dyDescent="0.25">
      <c r="A200" s="37">
        <v>-71</v>
      </c>
      <c r="B200" s="41">
        <v>266.2042687225599</v>
      </c>
      <c r="C200" s="41">
        <v>330.04084237479117</v>
      </c>
      <c r="D200" s="16">
        <f t="shared" si="35"/>
        <v>51.111054399114316</v>
      </c>
      <c r="P200" s="41">
        <v>71</v>
      </c>
      <c r="S200" s="41">
        <v>90</v>
      </c>
    </row>
    <row r="201" spans="1:19" x14ac:dyDescent="0.25">
      <c r="A201" s="37">
        <v>-72</v>
      </c>
      <c r="B201" s="41">
        <v>252.11262304100208</v>
      </c>
      <c r="C201" s="41">
        <v>336.52921383301026</v>
      </c>
      <c r="D201" s="16">
        <f t="shared" si="35"/>
        <v>53.161091773553096</v>
      </c>
      <c r="P201" s="41">
        <v>72</v>
      </c>
      <c r="S201" s="41">
        <v>90.000000000000014</v>
      </c>
    </row>
    <row r="202" spans="1:19" x14ac:dyDescent="0.25">
      <c r="A202" s="39">
        <v>-73</v>
      </c>
      <c r="B202" s="41">
        <v>237.88420070024276</v>
      </c>
      <c r="C202" s="41">
        <v>342.9225079812021</v>
      </c>
      <c r="D202" s="16">
        <f t="shared" si="35"/>
        <v>55.251083752557776</v>
      </c>
      <c r="P202" s="41">
        <v>73</v>
      </c>
      <c r="S202" s="41">
        <v>89.999999999999986</v>
      </c>
    </row>
    <row r="203" spans="1:19" x14ac:dyDescent="0.25">
      <c r="A203" s="39">
        <v>-74</v>
      </c>
      <c r="B203" s="41">
        <v>223.49411633844221</v>
      </c>
      <c r="C203" s="41">
        <v>349.23705610037962</v>
      </c>
      <c r="D203" s="16">
        <f t="shared" si="35"/>
        <v>57.382805345531303</v>
      </c>
      <c r="P203" s="41">
        <v>74</v>
      </c>
      <c r="S203" s="41">
        <v>90.000000000000028</v>
      </c>
    </row>
    <row r="204" spans="1:19" x14ac:dyDescent="0.25">
      <c r="A204" s="37">
        <v>-75</v>
      </c>
      <c r="B204" s="41">
        <v>208.91613283301638</v>
      </c>
      <c r="C204" s="41">
        <v>355.48913686703645</v>
      </c>
      <c r="D204" s="16">
        <f t="shared" si="35"/>
        <v>59.557825134936877</v>
      </c>
      <c r="P204" s="41">
        <v>75</v>
      </c>
      <c r="S204" s="41">
        <v>90</v>
      </c>
    </row>
    <row r="205" spans="1:19" x14ac:dyDescent="0.25">
      <c r="A205" s="37">
        <v>-76</v>
      </c>
      <c r="B205" s="41">
        <v>194.1224763079729</v>
      </c>
      <c r="C205" s="41">
        <v>361.69507300261529</v>
      </c>
      <c r="D205" s="16">
        <f t="shared" si="35"/>
        <v>61.777454812127424</v>
      </c>
      <c r="P205" s="41">
        <v>76</v>
      </c>
      <c r="S205" s="41">
        <v>90.000000000000014</v>
      </c>
    </row>
    <row r="206" spans="1:19" x14ac:dyDescent="0.25">
      <c r="A206" s="39">
        <v>-77</v>
      </c>
      <c r="B206" s="41">
        <v>179.08363673040625</v>
      </c>
      <c r="C206" s="41">
        <v>367.87132613625698</v>
      </c>
      <c r="D206" s="16">
        <f t="shared" si="35"/>
        <v>64.042693065568542</v>
      </c>
      <c r="P206" s="41"/>
      <c r="S206" s="41"/>
    </row>
    <row r="207" spans="1:19" x14ac:dyDescent="0.25">
      <c r="A207" s="39">
        <v>-78</v>
      </c>
      <c r="B207" s="41">
        <v>163.7681529995329</v>
      </c>
      <c r="C207" s="41">
        <v>374.03458992161984</v>
      </c>
      <c r="D207" s="16">
        <f t="shared" si="35"/>
        <v>66.354164388549037</v>
      </c>
    </row>
    <row r="208" spans="1:19" x14ac:dyDescent="0.25">
      <c r="A208" s="37">
        <v>-79</v>
      </c>
      <c r="B208" s="41">
        <v>148.14238164443969</v>
      </c>
      <c r="C208" s="41">
        <v>380.2018811645911</v>
      </c>
      <c r="D208" s="16">
        <f t="shared" si="35"/>
        <v>68.712053819116562</v>
      </c>
    </row>
    <row r="209" spans="1:4" x14ac:dyDescent="0.25">
      <c r="A209" s="37">
        <v>-80</v>
      </c>
      <c r="B209" s="41">
        <v>136.05674351653755</v>
      </c>
      <c r="C209" s="41">
        <v>384.42224895392894</v>
      </c>
      <c r="D209" s="16">
        <f t="shared" si="35"/>
        <v>70.509842544390509</v>
      </c>
    </row>
    <row r="210" spans="1:4" x14ac:dyDescent="0.25">
      <c r="A210" s="39">
        <v>-81</v>
      </c>
      <c r="B210" s="41">
        <v>119.81910305969254</v>
      </c>
      <c r="C210" s="41">
        <v>390.56411606879823</v>
      </c>
      <c r="D210" s="16">
        <f t="shared" si="35"/>
        <v>72.944786697603035</v>
      </c>
    </row>
    <row r="211" spans="1:4" x14ac:dyDescent="0.25">
      <c r="A211" s="39">
        <v>-82</v>
      </c>
      <c r="B211" s="41">
        <v>103.16396023879882</v>
      </c>
      <c r="C211" s="41">
        <v>396.75886168132877</v>
      </c>
      <c r="D211" s="16">
        <f t="shared" si="35"/>
        <v>75.42488345038764</v>
      </c>
    </row>
    <row r="212" spans="1:4" x14ac:dyDescent="0.25">
      <c r="A212" s="37">
        <v>-83</v>
      </c>
      <c r="B212" s="41">
        <v>86.282154862672982</v>
      </c>
      <c r="C212" s="41">
        <v>402.89028113641479</v>
      </c>
      <c r="D212" s="16">
        <f t="shared" si="35"/>
        <v>77.912242326630704</v>
      </c>
    </row>
    <row r="213" spans="1:4" x14ac:dyDescent="0.25">
      <c r="A213" s="37">
        <v>-84</v>
      </c>
      <c r="B213" s="41">
        <v>71.986694497384676</v>
      </c>
      <c r="C213" s="41">
        <v>407.34655215696921</v>
      </c>
      <c r="D213" s="16">
        <f t="shared" si="35"/>
        <v>79.978105965273741</v>
      </c>
    </row>
    <row r="214" spans="1:4" x14ac:dyDescent="0.25">
      <c r="A214" s="39">
        <v>-85</v>
      </c>
      <c r="B214" s="41">
        <v>57.105757783501907</v>
      </c>
      <c r="C214" s="41">
        <v>411.94839351411395</v>
      </c>
      <c r="D214" s="16">
        <f t="shared" si="35"/>
        <v>82.107751684584258</v>
      </c>
    </row>
    <row r="215" spans="1:4" x14ac:dyDescent="0.25">
      <c r="A215" s="39">
        <v>-86</v>
      </c>
      <c r="B215" s="41">
        <v>41.531008770575852</v>
      </c>
      <c r="C215" s="41">
        <v>416.74294332343607</v>
      </c>
      <c r="D215" s="16">
        <f t="shared" si="35"/>
        <v>84.308912053272351</v>
      </c>
    </row>
    <row r="216" spans="1:4" x14ac:dyDescent="0.25">
      <c r="A216" s="37">
        <v>-87</v>
      </c>
      <c r="B216" s="41">
        <v>25.130577852095392</v>
      </c>
      <c r="C216" s="41">
        <v>421.78623863811117</v>
      </c>
      <c r="D216" s="16">
        <f t="shared" si="35"/>
        <v>86.590273188864415</v>
      </c>
    </row>
    <row r="217" spans="1:4" x14ac:dyDescent="0.25">
      <c r="A217" s="37">
        <v>-88</v>
      </c>
      <c r="B217" s="41">
        <v>7.7422946638270824</v>
      </c>
      <c r="C217" s="41">
        <v>427.14558558648378</v>
      </c>
      <c r="D217" s="16">
        <f t="shared" si="35"/>
        <v>88.961590023633875</v>
      </c>
    </row>
    <row r="218" spans="1:4" x14ac:dyDescent="0.25">
      <c r="A218" s="39">
        <v>-89</v>
      </c>
      <c r="B218" s="41">
        <v>-10.835347333208412</v>
      </c>
      <c r="C218" s="41">
        <v>432.902616465959</v>
      </c>
      <c r="D218" s="16">
        <f t="shared" si="35"/>
        <v>91.433786846587338</v>
      </c>
    </row>
    <row r="219" spans="1:4" x14ac:dyDescent="0.25">
      <c r="A219" s="39">
        <v>-90</v>
      </c>
      <c r="B219" s="41">
        <v>-30.85533349211936</v>
      </c>
      <c r="C219" s="41">
        <v>439.15724314096673</v>
      </c>
      <c r="D219" s="16">
        <f t="shared" si="35"/>
        <v>94.019015837020021</v>
      </c>
    </row>
    <row r="220" spans="1:4" x14ac:dyDescent="0.25">
      <c r="A220" s="37">
        <v>-91</v>
      </c>
      <c r="B220" s="41">
        <v>-43.1204531604415</v>
      </c>
      <c r="C220" s="41">
        <v>432.47207589239645</v>
      </c>
      <c r="D220" s="16">
        <f t="shared" si="35"/>
        <v>95.693965945144839</v>
      </c>
    </row>
    <row r="221" spans="1:4" x14ac:dyDescent="0.25">
      <c r="A221" s="37">
        <v>-92</v>
      </c>
      <c r="B221" s="41">
        <v>-54.885857468475322</v>
      </c>
      <c r="C221" s="41">
        <v>426.53680456766386</v>
      </c>
      <c r="D221" s="16">
        <f t="shared" si="35"/>
        <v>97.332407367863766</v>
      </c>
    </row>
    <row r="222" spans="1:4" x14ac:dyDescent="0.25">
      <c r="A222" s="39">
        <v>-93</v>
      </c>
      <c r="B222" s="41">
        <v>-66.256427502979491</v>
      </c>
      <c r="C222" s="41">
        <v>421.17300365604757</v>
      </c>
      <c r="D222" s="16">
        <f t="shared" si="35"/>
        <v>98.940161642833203</v>
      </c>
    </row>
    <row r="223" spans="1:4" x14ac:dyDescent="0.25">
      <c r="A223" s="39">
        <v>-94</v>
      </c>
      <c r="B223" s="41">
        <v>-77.311227840040686</v>
      </c>
      <c r="C223" s="41">
        <v>416.24574516546051</v>
      </c>
      <c r="D223" s="16">
        <f t="shared" si="35"/>
        <v>100.52190821137187</v>
      </c>
    </row>
    <row r="224" spans="1:4" x14ac:dyDescent="0.25">
      <c r="A224" s="37">
        <v>-95</v>
      </c>
      <c r="B224" s="41">
        <v>-88.111472487603834</v>
      </c>
      <c r="C224" s="41">
        <v>411.65110284013059</v>
      </c>
      <c r="D224" s="16">
        <f t="shared" si="35"/>
        <v>102.0815183987506</v>
      </c>
    </row>
    <row r="225" spans="1:4" x14ac:dyDescent="0.25">
      <c r="A225" s="37">
        <v>-96</v>
      </c>
      <c r="B225" s="41">
        <v>-98.70572534211199</v>
      </c>
      <c r="C225" s="41">
        <v>407.30759924020748</v>
      </c>
      <c r="D225" s="16">
        <f t="shared" si="35"/>
        <v>103.62227674759308</v>
      </c>
    </row>
    <row r="226" spans="1:4" x14ac:dyDescent="0.25">
      <c r="A226" s="39">
        <v>-97</v>
      </c>
      <c r="B226" s="41">
        <v>-113.81375195452821</v>
      </c>
      <c r="C226" s="41">
        <v>401.24729514223264</v>
      </c>
      <c r="D226" s="16">
        <f t="shared" si="35"/>
        <v>105.83598219661388</v>
      </c>
    </row>
    <row r="227" spans="1:4" x14ac:dyDescent="0.25">
      <c r="A227" s="39">
        <v>-98</v>
      </c>
      <c r="B227" s="41">
        <v>-128.60789033654805</v>
      </c>
      <c r="C227" s="41">
        <v>395.30014212863574</v>
      </c>
      <c r="D227" s="16">
        <f t="shared" si="35"/>
        <v>108.02190282924298</v>
      </c>
    </row>
    <row r="228" spans="1:4" x14ac:dyDescent="0.25">
      <c r="A228" s="37">
        <v>-99</v>
      </c>
      <c r="B228" s="41">
        <v>-142.98717081090757</v>
      </c>
      <c r="C228" s="41">
        <v>389.49326556550869</v>
      </c>
      <c r="D228" s="16">
        <f t="shared" si="35"/>
        <v>110.15872967032989</v>
      </c>
    </row>
    <row r="229" spans="1:4" x14ac:dyDescent="0.25">
      <c r="A229" s="37">
        <v>-100</v>
      </c>
      <c r="B229" s="41">
        <v>-157.0048094076009</v>
      </c>
      <c r="C229" s="41">
        <v>383.79381036218967</v>
      </c>
      <c r="D229" s="16">
        <f t="shared" si="35"/>
        <v>112.24879993677028</v>
      </c>
    </row>
    <row r="230" spans="1:4" x14ac:dyDescent="0.25">
      <c r="A230" s="39">
        <v>-101</v>
      </c>
      <c r="B230" s="41">
        <v>-170.70786946015761</v>
      </c>
      <c r="C230" s="41">
        <v>378.17216360307987</v>
      </c>
      <c r="D230" s="16">
        <f t="shared" si="35"/>
        <v>114.2945366368595</v>
      </c>
    </row>
    <row r="231" spans="1:4" x14ac:dyDescent="0.25">
      <c r="A231" s="39">
        <v>-102</v>
      </c>
      <c r="B231" s="41">
        <v>-181.38690906950552</v>
      </c>
      <c r="C231" s="41">
        <v>374.45085382157032</v>
      </c>
      <c r="D231" s="16">
        <f t="shared" si="35"/>
        <v>115.84590905687035</v>
      </c>
    </row>
    <row r="232" spans="1:4" x14ac:dyDescent="0.25">
      <c r="A232" s="37">
        <v>-103</v>
      </c>
      <c r="B232" s="41">
        <v>-194.63673302722736</v>
      </c>
      <c r="C232" s="41">
        <v>368.84450566733688</v>
      </c>
      <c r="D232" s="16">
        <f t="shared" si="35"/>
        <v>117.82030551509044</v>
      </c>
    </row>
    <row r="233" spans="1:4" x14ac:dyDescent="0.25">
      <c r="A233" s="37">
        <v>-104</v>
      </c>
      <c r="B233" s="41">
        <v>-207.68049303270402</v>
      </c>
      <c r="C233" s="41">
        <v>363.24514047727104</v>
      </c>
      <c r="D233" s="16">
        <f t="shared" si="35"/>
        <v>119.75817819276176</v>
      </c>
    </row>
    <row r="234" spans="1:4" x14ac:dyDescent="0.25">
      <c r="A234" s="39">
        <v>-105</v>
      </c>
      <c r="B234" s="41">
        <v>-220.54945043801919</v>
      </c>
      <c r="C234" s="41">
        <v>357.63096476082632</v>
      </c>
      <c r="D234" s="16">
        <f t="shared" si="35"/>
        <v>121.66195304709689</v>
      </c>
    </row>
    <row r="235" spans="1:4" x14ac:dyDescent="0.25">
      <c r="A235" s="39">
        <v>-106</v>
      </c>
      <c r="B235" s="41">
        <v>-233.2721729499618</v>
      </c>
      <c r="C235" s="41">
        <v>351.98139499131571</v>
      </c>
      <c r="D235" s="16">
        <f t="shared" si="35"/>
        <v>123.53403137562476</v>
      </c>
    </row>
    <row r="236" spans="1:4" x14ac:dyDescent="0.25">
      <c r="A236" s="37">
        <v>-107</v>
      </c>
      <c r="B236" s="41">
        <v>-245.87495122753606</v>
      </c>
      <c r="C236" s="41">
        <v>346.27679008997507</v>
      </c>
      <c r="D236" s="16">
        <f t="shared" si="35"/>
        <v>125.37677926130142</v>
      </c>
    </row>
    <row r="237" spans="1:4" x14ac:dyDescent="0.25">
      <c r="A237" s="37">
        <v>-108</v>
      </c>
      <c r="B237" s="41">
        <v>-258.38215459295554</v>
      </c>
      <c r="C237" s="41">
        <v>340.4982143161069</v>
      </c>
      <c r="D237" s="16">
        <f t="shared" si="35"/>
        <v>127.19251990478637</v>
      </c>
    </row>
    <row r="238" spans="1:4" x14ac:dyDescent="0.25">
      <c r="A238" s="39">
        <v>-109</v>
      </c>
      <c r="B238" s="41">
        <v>-270.81653683536945</v>
      </c>
      <c r="C238" s="41">
        <v>334.62722440930986</v>
      </c>
      <c r="D238" s="16">
        <f t="shared" si="35"/>
        <v>128.98352832744959</v>
      </c>
    </row>
    <row r="239" spans="1:4" x14ac:dyDescent="0.25">
      <c r="A239" s="39">
        <v>-110</v>
      </c>
      <c r="B239" s="41">
        <v>-283.19950104759545</v>
      </c>
      <c r="C239" s="41">
        <v>328.64567580434982</v>
      </c>
      <c r="D239" s="16">
        <f t="shared" si="35"/>
        <v>130.7520280012769</v>
      </c>
    </row>
    <row r="240" spans="1:4" x14ac:dyDescent="0.25">
      <c r="A240" s="37">
        <v>-111</v>
      </c>
      <c r="B240" s="41">
        <v>-295.55133081716235</v>
      </c>
      <c r="C240" s="41">
        <v>322.53554350616724</v>
      </c>
      <c r="D240" s="16">
        <f t="shared" si="35"/>
        <v>132.50018902691772</v>
      </c>
    </row>
    <row r="241" spans="1:4" x14ac:dyDescent="0.25">
      <c r="A241" s="37">
        <v>-112</v>
      </c>
      <c r="B241" s="41">
        <v>-307.89139380340112</v>
      </c>
      <c r="C241" s="41">
        <v>316.27875381177853</v>
      </c>
      <c r="D241" s="16">
        <f t="shared" si="35"/>
        <v>134.2301275383841</v>
      </c>
    </row>
    <row r="242" spans="1:4" x14ac:dyDescent="0.25">
      <c r="A242" s="39">
        <v>-113</v>
      </c>
      <c r="B242" s="41">
        <v>-320.23827619511331</v>
      </c>
      <c r="C242" s="41">
        <v>309.85705652848685</v>
      </c>
      <c r="D242" s="16">
        <f t="shared" si="35"/>
        <v>135.94389885494098</v>
      </c>
    </row>
    <row r="243" spans="1:4" x14ac:dyDescent="0.25">
      <c r="A243" s="39">
        <v>-114</v>
      </c>
      <c r="B243" s="41">
        <v>-332.31168737479948</v>
      </c>
      <c r="C243" s="41">
        <v>303.46847714866169</v>
      </c>
      <c r="D243" s="16">
        <f t="shared" si="35"/>
        <v>137.59753599014527</v>
      </c>
    </row>
    <row r="244" spans="1:4" x14ac:dyDescent="0.25">
      <c r="A244" s="37">
        <v>-115</v>
      </c>
      <c r="B244" s="41">
        <v>-343.88289545804076</v>
      </c>
      <c r="C244" s="41">
        <v>297.2919861175518</v>
      </c>
      <c r="D244" s="16">
        <f t="shared" si="35"/>
        <v>139.15608744756034</v>
      </c>
    </row>
    <row r="245" spans="1:4" x14ac:dyDescent="0.25">
      <c r="A245" s="37">
        <v>-116</v>
      </c>
      <c r="B245" s="41">
        <v>-355.01713140683978</v>
      </c>
      <c r="C245" s="41">
        <v>291.29930736673333</v>
      </c>
      <c r="D245" s="16">
        <f t="shared" si="35"/>
        <v>140.6303741539183</v>
      </c>
    </row>
    <row r="246" spans="1:4" x14ac:dyDescent="0.25">
      <c r="A246" s="39">
        <v>-117</v>
      </c>
      <c r="B246" s="41">
        <v>-365.77057118750292</v>
      </c>
      <c r="C246" s="41">
        <v>285.46562783708714</v>
      </c>
      <c r="D246" s="16">
        <f t="shared" si="35"/>
        <v>142.02974375009461</v>
      </c>
    </row>
    <row r="247" spans="1:4" x14ac:dyDescent="0.25">
      <c r="A247" s="39">
        <v>-118</v>
      </c>
      <c r="B247" s="41">
        <v>-376.19202895759145</v>
      </c>
      <c r="C247" s="41">
        <v>279.76897284987172</v>
      </c>
      <c r="D247" s="16">
        <f t="shared" si="35"/>
        <v>143.36231255090399</v>
      </c>
    </row>
    <row r="248" spans="1:4" x14ac:dyDescent="0.25">
      <c r="A248" s="37">
        <v>-119</v>
      </c>
      <c r="B248" s="41">
        <v>-386.32429442897666</v>
      </c>
      <c r="C248" s="41">
        <v>274.18970262763327</v>
      </c>
      <c r="D248" s="16">
        <f t="shared" si="35"/>
        <v>144.63516363867032</v>
      </c>
    </row>
    <row r="249" spans="1:4" x14ac:dyDescent="0.25">
      <c r="A249" s="37">
        <v>-120</v>
      </c>
      <c r="B249" s="41">
        <v>-396.20520026415642</v>
      </c>
      <c r="C249" s="41">
        <v>268.71010215137977</v>
      </c>
      <c r="D249" s="16">
        <f t="shared" si="35"/>
        <v>145.85450962173482</v>
      </c>
    </row>
    <row r="250" spans="1:4" x14ac:dyDescent="0.25">
      <c r="A250" s="39">
        <v>-121</v>
      </c>
      <c r="B250" s="41">
        <v>-405.94245113450722</v>
      </c>
      <c r="C250" s="41">
        <v>263.34384821861801</v>
      </c>
      <c r="D250" s="16">
        <f t="shared" si="35"/>
        <v>147.02763317311101</v>
      </c>
    </row>
    <row r="251" spans="1:4" x14ac:dyDescent="0.25">
      <c r="A251" s="39">
        <v>-122</v>
      </c>
      <c r="B251" s="41">
        <v>-415.45535126201582</v>
      </c>
      <c r="C251" s="41">
        <v>258.03161853854772</v>
      </c>
      <c r="D251" s="16">
        <f t="shared" si="35"/>
        <v>148.15635052630279</v>
      </c>
    </row>
    <row r="252" spans="1:4" x14ac:dyDescent="0.25">
      <c r="A252" s="37">
        <v>-123</v>
      </c>
      <c r="B252" s="41">
        <v>-424.75310183213742</v>
      </c>
      <c r="C252" s="41">
        <v>252.75195684874248</v>
      </c>
      <c r="D252" s="16">
        <f t="shared" si="35"/>
        <v>149.24497737861572</v>
      </c>
    </row>
    <row r="253" spans="1:4" x14ac:dyDescent="0.25">
      <c r="A253" s="37">
        <v>-124</v>
      </c>
      <c r="B253" s="41">
        <v>-433.83039442037494</v>
      </c>
      <c r="C253" s="41">
        <v>247.47691368814736</v>
      </c>
      <c r="D253" s="16">
        <f t="shared" si="35"/>
        <v>150.29756607497291</v>
      </c>
    </row>
    <row r="254" spans="1:4" x14ac:dyDescent="0.25">
      <c r="A254" s="39">
        <v>-125</v>
      </c>
      <c r="B254" s="41">
        <v>-442.78272892109641</v>
      </c>
      <c r="C254" s="41">
        <v>242.22093420000212</v>
      </c>
      <c r="D254" s="16">
        <f t="shared" si="35"/>
        <v>151.31947008224333</v>
      </c>
    </row>
    <row r="255" spans="1:4" x14ac:dyDescent="0.25">
      <c r="A255" s="39">
        <v>-126</v>
      </c>
      <c r="B255" s="41">
        <v>-451.68469461717933</v>
      </c>
      <c r="C255" s="41">
        <v>236.99774487902872</v>
      </c>
      <c r="D255" s="16">
        <f t="shared" si="35"/>
        <v>152.31412439965257</v>
      </c>
    </row>
    <row r="256" spans="1:4" x14ac:dyDescent="0.25">
      <c r="A256" s="37">
        <v>-127</v>
      </c>
      <c r="B256" s="41">
        <v>-460.52821307752538</v>
      </c>
      <c r="C256" s="41">
        <v>231.78477037630148</v>
      </c>
      <c r="D256" s="16">
        <f t="shared" si="35"/>
        <v>153.28379631711951</v>
      </c>
    </row>
    <row r="257" spans="1:4" x14ac:dyDescent="0.25">
      <c r="A257" s="37">
        <v>-128</v>
      </c>
      <c r="B257" s="41">
        <v>-469.33173910833528</v>
      </c>
      <c r="C257" s="41">
        <v>226.57106191474446</v>
      </c>
      <c r="D257" s="16">
        <f t="shared" si="35"/>
        <v>154.23095762180796</v>
      </c>
    </row>
    <row r="258" spans="1:4" x14ac:dyDescent="0.25">
      <c r="A258" s="39">
        <v>-129</v>
      </c>
      <c r="B258" s="41">
        <v>-478.11301465610808</v>
      </c>
      <c r="C258" s="41">
        <v>221.34585991341834</v>
      </c>
      <c r="D258" s="16">
        <f t="shared" ref="D258:D321" si="36">DEGREES(ATAN2(B258,C258))</f>
        <v>155.15788306826423</v>
      </c>
    </row>
    <row r="259" spans="1:4" x14ac:dyDescent="0.25">
      <c r="A259" s="39">
        <v>-130</v>
      </c>
      <c r="B259" s="41">
        <v>-486.88925512900403</v>
      </c>
      <c r="C259" s="41">
        <v>216.0984864036455</v>
      </c>
      <c r="D259" s="16">
        <f t="shared" si="36"/>
        <v>156.06667705031967</v>
      </c>
    </row>
    <row r="260" spans="1:4" x14ac:dyDescent="0.25">
      <c r="A260" s="37">
        <v>-131</v>
      </c>
      <c r="B260" s="41">
        <v>-495.67731992117751</v>
      </c>
      <c r="C260" s="41">
        <v>210.81824186490326</v>
      </c>
      <c r="D260" s="16">
        <f t="shared" si="36"/>
        <v>156.95929690543511</v>
      </c>
    </row>
    <row r="261" spans="1:4" x14ac:dyDescent="0.25">
      <c r="A261" s="37">
        <v>-132</v>
      </c>
      <c r="B261" s="41">
        <v>-504.49387135571141</v>
      </c>
      <c r="C261" s="41">
        <v>205.49430416586506</v>
      </c>
      <c r="D261" s="16">
        <f t="shared" si="36"/>
        <v>157.83757342294115</v>
      </c>
    </row>
    <row r="262" spans="1:4" x14ac:dyDescent="0.25">
      <c r="A262" s="39">
        <v>-133</v>
      </c>
      <c r="B262" s="41">
        <v>-513.35552571423023</v>
      </c>
      <c r="C262" s="41">
        <v>200.11562743933678</v>
      </c>
      <c r="D262" s="16">
        <f t="shared" si="36"/>
        <v>158.70322903452941</v>
      </c>
    </row>
    <row r="263" spans="1:4" x14ac:dyDescent="0.25">
      <c r="A263" s="39">
        <v>-134</v>
      </c>
      <c r="B263" s="41">
        <v>-522.2789996334235</v>
      </c>
      <c r="C263" s="41">
        <v>194.67083877910608</v>
      </c>
      <c r="D263" s="16">
        <f t="shared" si="36"/>
        <v>159.55789409088706</v>
      </c>
    </row>
    <row r="264" spans="1:4" x14ac:dyDescent="0.25">
      <c r="A264" s="37">
        <v>-135</v>
      </c>
      <c r="B264" s="41">
        <v>-531.28125489430499</v>
      </c>
      <c r="C264" s="41">
        <v>189.1481306281718</v>
      </c>
      <c r="D264" s="16">
        <f t="shared" si="36"/>
        <v>160.40312156897335</v>
      </c>
    </row>
    <row r="265" spans="1:4" x14ac:dyDescent="0.25">
      <c r="A265" s="37">
        <v>-136</v>
      </c>
      <c r="B265" s="41">
        <v>-540.37964449079755</v>
      </c>
      <c r="C265" s="41">
        <v>183.53514663265619</v>
      </c>
      <c r="D265" s="16">
        <f t="shared" si="36"/>
        <v>161.24040050736605</v>
      </c>
    </row>
    <row r="266" spans="1:4" x14ac:dyDescent="0.25">
      <c r="A266" s="39">
        <v>-137</v>
      </c>
      <c r="B266" s="41">
        <v>-546.0699891388183</v>
      </c>
      <c r="C266" s="41">
        <v>179.37364592705194</v>
      </c>
      <c r="D266" s="16">
        <f t="shared" si="36"/>
        <v>161.81562792461878</v>
      </c>
    </row>
    <row r="267" spans="1:4" x14ac:dyDescent="0.25">
      <c r="A267" s="39">
        <v>-138</v>
      </c>
      <c r="B267" s="41">
        <v>-554.75574048247915</v>
      </c>
      <c r="C267" s="41">
        <v>173.91290328005746</v>
      </c>
      <c r="D267" s="16">
        <f t="shared" si="36"/>
        <v>162.59407606991061</v>
      </c>
    </row>
    <row r="268" spans="1:4" x14ac:dyDescent="0.25">
      <c r="A268" s="37">
        <v>-139</v>
      </c>
      <c r="B268" s="41">
        <v>-563.19120909510787</v>
      </c>
      <c r="C268" s="41">
        <v>168.57330711179071</v>
      </c>
      <c r="D268" s="16">
        <f t="shared" si="36"/>
        <v>163.33660796930167</v>
      </c>
    </row>
    <row r="269" spans="1:4" x14ac:dyDescent="0.25">
      <c r="A269" s="37">
        <v>-140</v>
      </c>
      <c r="B269" s="41">
        <v>-571.39925945745279</v>
      </c>
      <c r="C269" s="41">
        <v>163.34580985959747</v>
      </c>
      <c r="D269" s="16">
        <f t="shared" si="36"/>
        <v>164.0463649481249</v>
      </c>
    </row>
    <row r="270" spans="1:4" x14ac:dyDescent="0.25">
      <c r="A270" s="39">
        <v>-141</v>
      </c>
      <c r="B270" s="41">
        <v>-579.40081682690504</v>
      </c>
      <c r="C270" s="41">
        <v>158.2219776402107</v>
      </c>
      <c r="D270" s="16">
        <f t="shared" si="36"/>
        <v>164.72614571941256</v>
      </c>
    </row>
    <row r="271" spans="1:4" x14ac:dyDescent="0.25">
      <c r="A271" s="39">
        <v>-142</v>
      </c>
      <c r="B271" s="41">
        <v>-587.21509622082021</v>
      </c>
      <c r="C271" s="41">
        <v>153.19392699770546</v>
      </c>
      <c r="D271" s="16">
        <f t="shared" si="36"/>
        <v>165.37845179864939</v>
      </c>
    </row>
    <row r="272" spans="1:4" x14ac:dyDescent="0.25">
      <c r="A272" s="37">
        <v>-143</v>
      </c>
      <c r="B272" s="41">
        <v>-594.85980245616963</v>
      </c>
      <c r="C272" s="41">
        <v>148.25426849401637</v>
      </c>
      <c r="D272" s="16">
        <f t="shared" si="36"/>
        <v>166.0055260531409</v>
      </c>
    </row>
    <row r="273" spans="1:4" x14ac:dyDescent="0.25">
      <c r="A273" s="37">
        <v>-144</v>
      </c>
      <c r="B273" s="41">
        <v>-602.3513055213582</v>
      </c>
      <c r="C273" s="41">
        <v>143.39605623348359</v>
      </c>
      <c r="D273" s="16">
        <f t="shared" si="36"/>
        <v>166.60938553505673</v>
      </c>
    </row>
    <row r="274" spans="1:4" x14ac:dyDescent="0.25">
      <c r="A274" s="39">
        <v>-145</v>
      </c>
      <c r="B274" s="41">
        <v>-609.70479487047101</v>
      </c>
      <c r="C274" s="41">
        <v>138.612742542669</v>
      </c>
      <c r="D274" s="16">
        <f t="shared" si="36"/>
        <v>167.19184954002262</v>
      </c>
    </row>
    <row r="275" spans="1:4" x14ac:dyDescent="0.25">
      <c r="A275" s="39">
        <v>-146</v>
      </c>
      <c r="B275" s="41">
        <v>-616.93441566552713</v>
      </c>
      <c r="C275" s="41">
        <v>133.89813713553519</v>
      </c>
      <c r="D275" s="16">
        <f t="shared" si="36"/>
        <v>167.7545636652186</v>
      </c>
    </row>
    <row r="276" spans="1:4" x14ac:dyDescent="0.25">
      <c r="A276" s="37">
        <v>-147</v>
      </c>
      <c r="B276" s="41">
        <v>-624.05338952731893</v>
      </c>
      <c r="C276" s="41">
        <v>129.24637018627388</v>
      </c>
      <c r="D276" s="16">
        <f t="shared" si="36"/>
        <v>168.29902050466777</v>
      </c>
    </row>
    <row r="277" spans="1:4" x14ac:dyDescent="0.25">
      <c r="A277" s="37">
        <v>-148</v>
      </c>
      <c r="B277" s="41">
        <v>-631.07412196838152</v>
      </c>
      <c r="C277" s="41">
        <v>124.65185880866123</v>
      </c>
      <c r="D277" s="16">
        <f t="shared" si="36"/>
        <v>168.82657750869211</v>
      </c>
    </row>
    <row r="278" spans="1:4" x14ac:dyDescent="0.25">
      <c r="A278" s="39">
        <v>-149</v>
      </c>
      <c r="B278" s="41">
        <v>-638.00829836133107</v>
      </c>
      <c r="C278" s="41">
        <v>120.10927650633229</v>
      </c>
      <c r="D278" s="16">
        <f t="shared" si="36"/>
        <v>169.33847244428887</v>
      </c>
    </row>
    <row r="279" spans="1:4" x14ac:dyDescent="0.25">
      <c r="A279" s="39">
        <v>-150</v>
      </c>
      <c r="B279" s="41">
        <v>-644.86697002799463</v>
      </c>
      <c r="C279" s="41">
        <v>115.61352521331511</v>
      </c>
      <c r="D279" s="16">
        <f t="shared" si="36"/>
        <v>169.83583681953053</v>
      </c>
    </row>
    <row r="280" spans="1:4" x14ac:dyDescent="0.25">
      <c r="A280" s="37">
        <v>-151</v>
      </c>
      <c r="B280" s="41">
        <v>-651.66063181154482</v>
      </c>
      <c r="C280" s="41">
        <v>111.15970959095534</v>
      </c>
      <c r="D280" s="16">
        <f t="shared" si="36"/>
        <v>170.31970757478237</v>
      </c>
    </row>
    <row r="281" spans="1:4" x14ac:dyDescent="0.25">
      <c r="A281" s="37">
        <v>-152</v>
      </c>
      <c r="B281" s="41">
        <v>-658.39929230639848</v>
      </c>
      <c r="C281" s="41">
        <v>106.74311328684912</v>
      </c>
      <c r="D281" s="16">
        <f t="shared" si="36"/>
        <v>170.79103729402297</v>
      </c>
    </row>
    <row r="282" spans="1:4" x14ac:dyDescent="0.25">
      <c r="A282" s="39">
        <v>-153</v>
      </c>
      <c r="B282" s="41">
        <v>-664.4961399675725</v>
      </c>
      <c r="C282" s="41">
        <v>102.39699972631504</v>
      </c>
      <c r="D282" s="16">
        <f t="shared" si="36"/>
        <v>171.23978652469296</v>
      </c>
    </row>
    <row r="283" spans="1:4" x14ac:dyDescent="0.25">
      <c r="A283" s="39">
        <v>-154</v>
      </c>
      <c r="B283" s="41">
        <v>-670.42909459441455</v>
      </c>
      <c r="C283" s="41">
        <v>98.080286485846514</v>
      </c>
      <c r="D283" s="16">
        <f t="shared" si="36"/>
        <v>171.676967566385</v>
      </c>
    </row>
    <row r="284" spans="1:4" x14ac:dyDescent="0.25">
      <c r="A284" s="37">
        <v>-155</v>
      </c>
      <c r="B284" s="41">
        <v>-676.3607906748216</v>
      </c>
      <c r="C284" s="41">
        <v>93.777542048818589</v>
      </c>
      <c r="D284" s="16">
        <f t="shared" si="36"/>
        <v>172.10625618310081</v>
      </c>
    </row>
    <row r="285" spans="1:4" x14ac:dyDescent="0.25">
      <c r="A285" s="37">
        <v>-156</v>
      </c>
      <c r="B285" s="41">
        <v>-682.30160328287593</v>
      </c>
      <c r="C285" s="41">
        <v>89.483746678212356</v>
      </c>
      <c r="D285" s="16">
        <f t="shared" si="36"/>
        <v>172.52831127926535</v>
      </c>
    </row>
    <row r="286" spans="1:4" x14ac:dyDescent="0.25">
      <c r="A286" s="39">
        <v>-157</v>
      </c>
      <c r="B286" s="41">
        <v>-688.26189200737895</v>
      </c>
      <c r="C286" s="41">
        <v>85.193883017994025</v>
      </c>
      <c r="D286" s="16">
        <f t="shared" si="36"/>
        <v>172.9437516807368</v>
      </c>
    </row>
    <row r="287" spans="1:4" x14ac:dyDescent="0.25">
      <c r="A287" s="39">
        <v>-158</v>
      </c>
      <c r="B287" s="41">
        <v>-694.25206429635818</v>
      </c>
      <c r="C287" s="41">
        <v>80.902910983478776</v>
      </c>
      <c r="D287" s="16">
        <f t="shared" si="36"/>
        <v>173.35316046984593</v>
      </c>
    </row>
    <row r="288" spans="1:4" x14ac:dyDescent="0.25">
      <c r="A288" s="37">
        <v>-159</v>
      </c>
      <c r="B288" s="41">
        <v>-700.28263885071817</v>
      </c>
      <c r="C288" s="41">
        <v>76.605742232206936</v>
      </c>
      <c r="D288" s="16">
        <f t="shared" si="36"/>
        <v>173.75708887583306</v>
      </c>
    </row>
    <row r="289" spans="1:4" x14ac:dyDescent="0.25">
      <c r="A289" s="37">
        <v>-160</v>
      </c>
      <c r="B289" s="41">
        <v>-706.36430980576495</v>
      </c>
      <c r="C289" s="41">
        <v>72.297213943891194</v>
      </c>
      <c r="D289" s="16">
        <f t="shared" si="36"/>
        <v>174.15605977925756</v>
      </c>
    </row>
    <row r="290" spans="1:4" x14ac:dyDescent="0.25">
      <c r="A290" s="39">
        <v>-161</v>
      </c>
      <c r="B290" s="41">
        <v>-711.58921200766054</v>
      </c>
      <c r="C290" s="41">
        <v>68.741183095111651</v>
      </c>
      <c r="D290" s="16">
        <f t="shared" si="36"/>
        <v>174.48221512518901</v>
      </c>
    </row>
    <row r="291" spans="1:4" x14ac:dyDescent="0.25">
      <c r="A291" s="39">
        <v>-162</v>
      </c>
      <c r="B291" s="41">
        <v>-716.40806343702138</v>
      </c>
      <c r="C291" s="41">
        <v>65.604805271258684</v>
      </c>
      <c r="D291" s="16">
        <f t="shared" si="36"/>
        <v>174.76775319493106</v>
      </c>
    </row>
    <row r="292" spans="1:4" x14ac:dyDescent="0.25">
      <c r="A292" s="37">
        <v>-163</v>
      </c>
      <c r="B292" s="41">
        <v>-721.1895536282201</v>
      </c>
      <c r="C292" s="41">
        <v>62.39043082392898</v>
      </c>
      <c r="D292" s="16">
        <f t="shared" si="36"/>
        <v>175.05562662711301</v>
      </c>
    </row>
    <row r="293" spans="1:4" x14ac:dyDescent="0.25">
      <c r="A293" s="37">
        <v>-164</v>
      </c>
      <c r="B293" s="41">
        <v>-726.04604061913722</v>
      </c>
      <c r="C293" s="41">
        <v>59.151703628947388</v>
      </c>
      <c r="D293" s="16">
        <f t="shared" si="36"/>
        <v>175.34234195301383</v>
      </c>
    </row>
    <row r="294" spans="1:4" x14ac:dyDescent="0.25">
      <c r="A294" s="39">
        <v>-165</v>
      </c>
      <c r="B294" s="41">
        <v>-731.02731808282556</v>
      </c>
      <c r="C294" s="41">
        <v>55.902388714224607</v>
      </c>
      <c r="D294" s="16">
        <f t="shared" si="36"/>
        <v>175.62704537129301</v>
      </c>
    </row>
    <row r="295" spans="1:4" x14ac:dyDescent="0.25">
      <c r="A295" s="39">
        <v>-166</v>
      </c>
      <c r="B295" s="41">
        <v>-736.15314847569891</v>
      </c>
      <c r="C295" s="41">
        <v>52.637073522710388</v>
      </c>
      <c r="D295" s="16">
        <f t="shared" si="36"/>
        <v>175.9101470324712</v>
      </c>
    </row>
    <row r="296" spans="1:4" x14ac:dyDescent="0.25">
      <c r="A296" s="37">
        <v>-167</v>
      </c>
      <c r="B296" s="41">
        <v>-741.44552418694548</v>
      </c>
      <c r="C296" s="41">
        <v>49.349904137686579</v>
      </c>
      <c r="D296" s="16">
        <f t="shared" si="36"/>
        <v>176.1920643364538</v>
      </c>
    </row>
    <row r="297" spans="1:4" x14ac:dyDescent="0.25">
      <c r="A297" s="37">
        <v>-168</v>
      </c>
      <c r="B297" s="41">
        <v>-746.92911638181283</v>
      </c>
      <c r="C297" s="41">
        <v>46.034483248858095</v>
      </c>
      <c r="D297" s="16">
        <f t="shared" si="36"/>
        <v>176.47322677522462</v>
      </c>
    </row>
    <row r="298" spans="1:4" x14ac:dyDescent="0.25">
      <c r="A298" s="39">
        <v>-169</v>
      </c>
      <c r="B298" s="41">
        <v>-752.63182413471134</v>
      </c>
      <c r="C298" s="41">
        <v>42.68374490590196</v>
      </c>
      <c r="D298" s="16">
        <f t="shared" si="36"/>
        <v>176.75408153010795</v>
      </c>
    </row>
    <row r="299" spans="1:4" x14ac:dyDescent="0.25">
      <c r="A299" s="39">
        <v>-170</v>
      </c>
      <c r="B299" s="41">
        <v>-758.58545271263972</v>
      </c>
      <c r="C299" s="41">
        <v>39.289798949987436</v>
      </c>
      <c r="D299" s="16">
        <f t="shared" si="36"/>
        <v>177.0351000812903</v>
      </c>
    </row>
    <row r="300" spans="1:4" x14ac:dyDescent="0.25">
      <c r="A300" s="37">
        <v>-171</v>
      </c>
      <c r="B300" s="41">
        <v>-764.82655962165859</v>
      </c>
      <c r="C300" s="41">
        <v>35.843735464198559</v>
      </c>
      <c r="D300" s="16">
        <f t="shared" si="36"/>
        <v>177.31678617113894</v>
      </c>
    </row>
    <row r="301" spans="1:4" x14ac:dyDescent="0.25">
      <c r="A301" s="37">
        <v>-172</v>
      </c>
      <c r="B301" s="41">
        <v>-771.39752067356596</v>
      </c>
      <c r="C301" s="41">
        <v>32.335375948708581</v>
      </c>
      <c r="D301" s="16">
        <f t="shared" si="36"/>
        <v>177.59968558156834</v>
      </c>
    </row>
    <row r="302" spans="1:4" x14ac:dyDescent="0.25">
      <c r="A302" s="39">
        <v>-173</v>
      </c>
      <c r="B302" s="41">
        <v>-778.34788765851317</v>
      </c>
      <c r="C302" s="41">
        <v>28.752952669350915</v>
      </c>
      <c r="D302" s="16">
        <f t="shared" si="36"/>
        <v>177.8843983556809</v>
      </c>
    </row>
    <row r="303" spans="1:4" x14ac:dyDescent="0.25">
      <c r="A303" s="39">
        <v>-174</v>
      </c>
      <c r="B303" s="41">
        <v>-785.73613695576228</v>
      </c>
      <c r="C303" s="41">
        <v>25.082689907542946</v>
      </c>
      <c r="D303" s="16">
        <f t="shared" si="36"/>
        <v>178.17159434042631</v>
      </c>
    </row>
    <row r="304" spans="1:4" x14ac:dyDescent="0.25">
      <c r="A304" s="37">
        <v>-175</v>
      </c>
      <c r="B304" s="41">
        <v>-793.63194881542188</v>
      </c>
      <c r="C304" s="41">
        <v>21.308249312745982</v>
      </c>
      <c r="D304" s="16">
        <f t="shared" si="36"/>
        <v>178.46203328966544</v>
      </c>
    </row>
    <row r="305" spans="1:4" x14ac:dyDescent="0.25">
      <c r="A305" s="37">
        <v>-176</v>
      </c>
      <c r="B305" s="41">
        <v>-802.11921675916051</v>
      </c>
      <c r="C305" s="41">
        <v>17.409984039342504</v>
      </c>
      <c r="D305" s="16">
        <f t="shared" si="36"/>
        <v>178.75659130899072</v>
      </c>
    </row>
    <row r="306" spans="1:4" x14ac:dyDescent="0.25">
      <c r="A306" s="39">
        <v>-177</v>
      </c>
      <c r="B306" s="41">
        <v>-811.30007622711548</v>
      </c>
      <c r="C306" s="41">
        <v>13.363919206709715</v>
      </c>
      <c r="D306" s="16">
        <f t="shared" si="36"/>
        <v>179.05629624746561</v>
      </c>
    </row>
    <row r="307" spans="1:4" x14ac:dyDescent="0.25">
      <c r="A307" s="39">
        <v>-178</v>
      </c>
      <c r="B307" s="41">
        <v>-821.30037854246348</v>
      </c>
      <c r="C307" s="41">
        <v>9.1403332879356505</v>
      </c>
      <c r="D307" s="16">
        <f t="shared" si="36"/>
        <v>179.36237591671789</v>
      </c>
    </row>
    <row r="308" spans="1:4" x14ac:dyDescent="0.25">
      <c r="A308" s="37">
        <v>-179</v>
      </c>
      <c r="B308" s="41">
        <v>-832.27724902104706</v>
      </c>
      <c r="C308" s="41">
        <v>4.701745593627531</v>
      </c>
      <c r="D308" s="16">
        <f t="shared" si="36"/>
        <v>179.67632503056916</v>
      </c>
    </row>
    <row r="309" spans="1:4" x14ac:dyDescent="0.25">
      <c r="A309" s="37">
        <v>-180</v>
      </c>
      <c r="B309" s="41">
        <v>-841.20801477641453</v>
      </c>
      <c r="C309" s="41">
        <v>6.5862248805699888E-14</v>
      </c>
      <c r="D309" s="16">
        <f t="shared" si="36"/>
        <v>180</v>
      </c>
    </row>
    <row r="310" spans="1:4" x14ac:dyDescent="0.25">
      <c r="A310" s="39">
        <v>-181</v>
      </c>
      <c r="B310" s="41">
        <v>-832.27724902104706</v>
      </c>
      <c r="C310" s="41">
        <v>-4.7017455936275514</v>
      </c>
      <c r="D310" s="16">
        <f t="shared" si="36"/>
        <v>-179.67632503056916</v>
      </c>
    </row>
    <row r="311" spans="1:4" x14ac:dyDescent="0.25">
      <c r="A311" s="39">
        <v>-182</v>
      </c>
      <c r="B311" s="41">
        <v>-821.30037854246336</v>
      </c>
      <c r="C311" s="41">
        <v>-9.1403332879356416</v>
      </c>
      <c r="D311" s="16">
        <f t="shared" si="36"/>
        <v>-179.36237591671789</v>
      </c>
    </row>
    <row r="312" spans="1:4" x14ac:dyDescent="0.25">
      <c r="A312" s="37">
        <v>-183</v>
      </c>
      <c r="B312" s="41">
        <v>-811.30007622711537</v>
      </c>
      <c r="C312" s="41">
        <v>-13.363919206709642</v>
      </c>
      <c r="D312" s="16">
        <f t="shared" si="36"/>
        <v>-179.05629624746561</v>
      </c>
    </row>
    <row r="313" spans="1:4" x14ac:dyDescent="0.25">
      <c r="A313" s="37">
        <v>-184</v>
      </c>
      <c r="B313" s="41">
        <v>-802.11921675916028</v>
      </c>
      <c r="C313" s="41">
        <v>-17.409984039342444</v>
      </c>
      <c r="D313" s="16">
        <f t="shared" si="36"/>
        <v>-178.75659130899072</v>
      </c>
    </row>
    <row r="314" spans="1:4" x14ac:dyDescent="0.25">
      <c r="A314" s="39">
        <v>-185</v>
      </c>
      <c r="B314" s="41">
        <v>-793.63194881542188</v>
      </c>
      <c r="C314" s="41">
        <v>-21.308249312745897</v>
      </c>
      <c r="D314" s="16">
        <f t="shared" si="36"/>
        <v>-178.46203328966544</v>
      </c>
    </row>
    <row r="315" spans="1:4" x14ac:dyDescent="0.25">
      <c r="A315" s="39">
        <v>-186</v>
      </c>
      <c r="B315" s="41">
        <v>-785.73613695576228</v>
      </c>
      <c r="C315" s="41">
        <v>-25.082689907542889</v>
      </c>
      <c r="D315" s="16">
        <f t="shared" si="36"/>
        <v>-178.17159434042634</v>
      </c>
    </row>
    <row r="316" spans="1:4" x14ac:dyDescent="0.25">
      <c r="A316" s="37">
        <v>-187</v>
      </c>
      <c r="B316" s="41">
        <v>-778.34788765851351</v>
      </c>
      <c r="C316" s="41">
        <v>-28.752952669350812</v>
      </c>
      <c r="D316" s="16">
        <f t="shared" si="36"/>
        <v>-177.88439835568093</v>
      </c>
    </row>
    <row r="317" spans="1:4" x14ac:dyDescent="0.25">
      <c r="A317" s="37">
        <v>-188</v>
      </c>
      <c r="B317" s="41">
        <v>-771.39752067356574</v>
      </c>
      <c r="C317" s="41">
        <v>-32.335375948708673</v>
      </c>
      <c r="D317" s="16">
        <f t="shared" si="36"/>
        <v>-177.59968558156834</v>
      </c>
    </row>
    <row r="318" spans="1:4" x14ac:dyDescent="0.25">
      <c r="A318" s="39">
        <v>-189</v>
      </c>
      <c r="B318" s="41">
        <v>-764.82655962165904</v>
      </c>
      <c r="C318" s="41">
        <v>-35.843735464198431</v>
      </c>
      <c r="D318" s="16">
        <f t="shared" si="36"/>
        <v>-177.31678617113894</v>
      </c>
    </row>
    <row r="319" spans="1:4" x14ac:dyDescent="0.25">
      <c r="A319" s="39">
        <v>-190</v>
      </c>
      <c r="B319" s="41">
        <v>-758.58545271263972</v>
      </c>
      <c r="C319" s="41">
        <v>-39.289798949987535</v>
      </c>
      <c r="D319" s="16">
        <f t="shared" si="36"/>
        <v>-177.03510008129027</v>
      </c>
    </row>
    <row r="320" spans="1:4" x14ac:dyDescent="0.25">
      <c r="A320" s="37">
        <v>-191</v>
      </c>
      <c r="B320" s="41">
        <v>-752.631824134711</v>
      </c>
      <c r="C320" s="41">
        <v>-42.683744905901889</v>
      </c>
      <c r="D320" s="16">
        <f t="shared" si="36"/>
        <v>-176.75408153010795</v>
      </c>
    </row>
    <row r="321" spans="1:4" x14ac:dyDescent="0.25">
      <c r="A321" s="37">
        <v>-192</v>
      </c>
      <c r="B321" s="41">
        <v>-746.92911638181261</v>
      </c>
      <c r="C321" s="41">
        <v>-46.034483248858066</v>
      </c>
      <c r="D321" s="16">
        <f t="shared" si="36"/>
        <v>-176.47322677522465</v>
      </c>
    </row>
    <row r="322" spans="1:4" x14ac:dyDescent="0.25">
      <c r="A322" s="39">
        <v>-193</v>
      </c>
      <c r="B322" s="41">
        <v>-741.44552418694548</v>
      </c>
      <c r="C322" s="41">
        <v>-49.349904137686437</v>
      </c>
      <c r="D322" s="16">
        <f t="shared" ref="D322:D385" si="37">DEGREES(ATAN2(B322,C322))</f>
        <v>-176.19206433645383</v>
      </c>
    </row>
    <row r="323" spans="1:4" x14ac:dyDescent="0.25">
      <c r="A323" s="39">
        <v>-194</v>
      </c>
      <c r="B323" s="41">
        <v>-736.15314847569891</v>
      </c>
      <c r="C323" s="41">
        <v>-52.637073522710239</v>
      </c>
      <c r="D323" s="16">
        <f t="shared" si="37"/>
        <v>-175.91014703247123</v>
      </c>
    </row>
    <row r="324" spans="1:4" x14ac:dyDescent="0.25">
      <c r="A324" s="37">
        <v>-195</v>
      </c>
      <c r="B324" s="41">
        <v>-731.02731808282556</v>
      </c>
      <c r="C324" s="41">
        <v>-55.902388714224557</v>
      </c>
      <c r="D324" s="16">
        <f t="shared" si="37"/>
        <v>-175.62704537129301</v>
      </c>
    </row>
    <row r="325" spans="1:4" x14ac:dyDescent="0.25">
      <c r="A325" s="37">
        <v>-196</v>
      </c>
      <c r="B325" s="41">
        <v>-726.0460406191371</v>
      </c>
      <c r="C325" s="41">
        <v>-59.151703628947367</v>
      </c>
      <c r="D325" s="16">
        <f t="shared" si="37"/>
        <v>-175.34234195301383</v>
      </c>
    </row>
    <row r="326" spans="1:4" x14ac:dyDescent="0.25">
      <c r="A326" s="39">
        <v>-197</v>
      </c>
      <c r="B326" s="41">
        <v>-721.18955362821987</v>
      </c>
      <c r="C326" s="41">
        <v>-62.390430823928916</v>
      </c>
      <c r="D326" s="16">
        <f t="shared" si="37"/>
        <v>-175.05562662711301</v>
      </c>
    </row>
    <row r="327" spans="1:4" x14ac:dyDescent="0.25">
      <c r="A327" s="39">
        <v>-198</v>
      </c>
      <c r="B327" s="41">
        <v>-716.4080634370215</v>
      </c>
      <c r="C327" s="41">
        <v>-65.604805271258613</v>
      </c>
      <c r="D327" s="16">
        <f t="shared" si="37"/>
        <v>-174.76775319493106</v>
      </c>
    </row>
    <row r="328" spans="1:4" x14ac:dyDescent="0.25">
      <c r="A328" s="37">
        <v>-199</v>
      </c>
      <c r="B328" s="41">
        <v>-711.58921200766042</v>
      </c>
      <c r="C328" s="41">
        <v>-68.74118309511168</v>
      </c>
      <c r="D328" s="16">
        <f t="shared" si="37"/>
        <v>-174.48221512518899</v>
      </c>
    </row>
    <row r="329" spans="1:4" x14ac:dyDescent="0.25">
      <c r="A329" s="37">
        <v>-200</v>
      </c>
      <c r="B329" s="41">
        <v>-706.36430980576506</v>
      </c>
      <c r="C329" s="41">
        <v>-72.297213943891137</v>
      </c>
      <c r="D329" s="16">
        <f t="shared" si="37"/>
        <v>-174.15605977925756</v>
      </c>
    </row>
    <row r="330" spans="1:4" x14ac:dyDescent="0.25">
      <c r="A330" s="39">
        <v>-201</v>
      </c>
      <c r="B330" s="41">
        <v>-700.28263885071829</v>
      </c>
      <c r="C330" s="41">
        <v>-76.605742232206936</v>
      </c>
      <c r="D330" s="16">
        <f t="shared" si="37"/>
        <v>-173.75708887583306</v>
      </c>
    </row>
    <row r="331" spans="1:4" x14ac:dyDescent="0.25">
      <c r="A331" s="39">
        <v>-202</v>
      </c>
      <c r="B331" s="41">
        <v>-694.25206429635841</v>
      </c>
      <c r="C331" s="41">
        <v>-80.902910983478719</v>
      </c>
      <c r="D331" s="16">
        <f t="shared" si="37"/>
        <v>-173.35316046984593</v>
      </c>
    </row>
    <row r="332" spans="1:4" x14ac:dyDescent="0.25">
      <c r="A332" s="37">
        <v>-203</v>
      </c>
      <c r="B332" s="41">
        <v>-688.26189200737883</v>
      </c>
      <c r="C332" s="41">
        <v>-85.193883017993898</v>
      </c>
      <c r="D332" s="16">
        <f t="shared" si="37"/>
        <v>-172.9437516807368</v>
      </c>
    </row>
    <row r="333" spans="1:4" x14ac:dyDescent="0.25">
      <c r="A333" s="37">
        <v>-204</v>
      </c>
      <c r="B333" s="41">
        <v>-682.30160328287604</v>
      </c>
      <c r="C333" s="41">
        <v>-89.483746678212384</v>
      </c>
      <c r="D333" s="16">
        <f t="shared" si="37"/>
        <v>-172.52831127926535</v>
      </c>
    </row>
    <row r="334" spans="1:4" x14ac:dyDescent="0.25">
      <c r="A334" s="39">
        <v>-205</v>
      </c>
      <c r="B334" s="41">
        <v>-676.3607906748216</v>
      </c>
      <c r="C334" s="41">
        <v>-93.777542048818489</v>
      </c>
      <c r="D334" s="16">
        <f t="shared" si="37"/>
        <v>-172.10625618310081</v>
      </c>
    </row>
    <row r="335" spans="1:4" x14ac:dyDescent="0.25">
      <c r="A335" s="39">
        <v>-206</v>
      </c>
      <c r="B335" s="41">
        <v>-670.42909459441444</v>
      </c>
      <c r="C335" s="41">
        <v>-98.080286485846685</v>
      </c>
      <c r="D335" s="16">
        <f t="shared" si="37"/>
        <v>-171.67696756638497</v>
      </c>
    </row>
    <row r="336" spans="1:4" x14ac:dyDescent="0.25">
      <c r="A336" s="37">
        <v>-207</v>
      </c>
      <c r="B336" s="41">
        <v>-664.49613996757273</v>
      </c>
      <c r="C336" s="41">
        <v>-102.39699972631495</v>
      </c>
      <c r="D336" s="16">
        <f t="shared" si="37"/>
        <v>-171.23978652469296</v>
      </c>
    </row>
    <row r="337" spans="1:4" x14ac:dyDescent="0.25">
      <c r="A337" s="37">
        <v>-208</v>
      </c>
      <c r="B337" s="41">
        <v>-658.39929230639848</v>
      </c>
      <c r="C337" s="41">
        <v>-106.74311328684917</v>
      </c>
      <c r="D337" s="16">
        <f t="shared" si="37"/>
        <v>-170.79103729402297</v>
      </c>
    </row>
    <row r="338" spans="1:4" x14ac:dyDescent="0.25">
      <c r="A338" s="39">
        <v>-209</v>
      </c>
      <c r="B338" s="41">
        <v>-651.66063181154482</v>
      </c>
      <c r="C338" s="41">
        <v>-111.15970959095519</v>
      </c>
      <c r="D338" s="16">
        <f t="shared" si="37"/>
        <v>-170.3197075747824</v>
      </c>
    </row>
    <row r="339" spans="1:4" x14ac:dyDescent="0.25">
      <c r="A339" s="39">
        <v>-210</v>
      </c>
      <c r="B339" s="41">
        <v>-644.8669700279944</v>
      </c>
      <c r="C339" s="41">
        <v>-115.61352521331514</v>
      </c>
      <c r="D339" s="16">
        <f t="shared" si="37"/>
        <v>-169.83583681953053</v>
      </c>
    </row>
    <row r="340" spans="1:4" x14ac:dyDescent="0.25">
      <c r="A340" s="37">
        <v>-211</v>
      </c>
      <c r="B340" s="41">
        <v>-638.00829836133107</v>
      </c>
      <c r="C340" s="41">
        <v>-120.10927650633218</v>
      </c>
      <c r="D340" s="16">
        <f t="shared" si="37"/>
        <v>-169.3384724442889</v>
      </c>
    </row>
    <row r="341" spans="1:4" x14ac:dyDescent="0.25">
      <c r="A341" s="37">
        <v>-212</v>
      </c>
      <c r="B341" s="41">
        <v>-631.07412196838175</v>
      </c>
      <c r="C341" s="41">
        <v>-124.65185880866122</v>
      </c>
      <c r="D341" s="16">
        <f t="shared" si="37"/>
        <v>-168.82657750869211</v>
      </c>
    </row>
    <row r="342" spans="1:4" x14ac:dyDescent="0.25">
      <c r="A342" s="39">
        <v>-213</v>
      </c>
      <c r="B342" s="41">
        <v>-624.05338952731893</v>
      </c>
      <c r="C342" s="41">
        <v>-129.24637018627371</v>
      </c>
      <c r="D342" s="16">
        <f t="shared" si="37"/>
        <v>-168.29902050466777</v>
      </c>
    </row>
    <row r="343" spans="1:4" x14ac:dyDescent="0.25">
      <c r="A343" s="39">
        <v>-214</v>
      </c>
      <c r="B343" s="41">
        <v>-616.93441566552735</v>
      </c>
      <c r="C343" s="41">
        <v>-133.89813713553511</v>
      </c>
      <c r="D343" s="16">
        <f t="shared" si="37"/>
        <v>-167.7545636652186</v>
      </c>
    </row>
    <row r="344" spans="1:4" x14ac:dyDescent="0.25">
      <c r="A344" s="37">
        <v>-215</v>
      </c>
      <c r="B344" s="41">
        <v>-609.70479487047078</v>
      </c>
      <c r="C344" s="41">
        <v>-138.61274254266905</v>
      </c>
      <c r="D344" s="16">
        <f t="shared" si="37"/>
        <v>-167.19184954002262</v>
      </c>
    </row>
    <row r="345" spans="1:4" x14ac:dyDescent="0.25">
      <c r="A345" s="37">
        <v>-216</v>
      </c>
      <c r="B345" s="41">
        <v>-602.3513055213582</v>
      </c>
      <c r="C345" s="41">
        <v>-143.39605623348348</v>
      </c>
      <c r="D345" s="16">
        <f t="shared" si="37"/>
        <v>-166.60938553505673</v>
      </c>
    </row>
    <row r="346" spans="1:4" x14ac:dyDescent="0.25">
      <c r="A346" s="39">
        <v>-217</v>
      </c>
      <c r="B346" s="41">
        <v>-594.85980245616963</v>
      </c>
      <c r="C346" s="41">
        <v>-148.25426849401643</v>
      </c>
      <c r="D346" s="16">
        <f t="shared" si="37"/>
        <v>-166.00552605314087</v>
      </c>
    </row>
    <row r="347" spans="1:4" x14ac:dyDescent="0.25">
      <c r="A347" s="39">
        <v>-218</v>
      </c>
      <c r="B347" s="41">
        <v>-587.21509622082033</v>
      </c>
      <c r="C347" s="41">
        <v>-153.19392699770535</v>
      </c>
      <c r="D347" s="16">
        <f t="shared" si="37"/>
        <v>-165.37845179864939</v>
      </c>
    </row>
    <row r="348" spans="1:4" x14ac:dyDescent="0.25">
      <c r="A348" s="37">
        <v>-219</v>
      </c>
      <c r="B348" s="41">
        <v>-579.40081682690504</v>
      </c>
      <c r="C348" s="41">
        <v>-158.22197764021078</v>
      </c>
      <c r="D348" s="16">
        <f t="shared" si="37"/>
        <v>-164.72614571941256</v>
      </c>
    </row>
    <row r="349" spans="1:4" x14ac:dyDescent="0.25">
      <c r="A349" s="37">
        <v>-220</v>
      </c>
      <c r="B349" s="41">
        <v>-571.39925945745256</v>
      </c>
      <c r="C349" s="41">
        <v>-163.34580985959735</v>
      </c>
      <c r="D349" s="16">
        <f t="shared" si="37"/>
        <v>-164.0463649481249</v>
      </c>
    </row>
    <row r="350" spans="1:4" x14ac:dyDescent="0.25">
      <c r="A350" s="39">
        <v>-221</v>
      </c>
      <c r="B350" s="41">
        <v>-563.19120909510775</v>
      </c>
      <c r="C350" s="41">
        <v>-168.57330711179046</v>
      </c>
      <c r="D350" s="16">
        <f t="shared" si="37"/>
        <v>-163.3366079693017</v>
      </c>
    </row>
    <row r="351" spans="1:4" x14ac:dyDescent="0.25">
      <c r="A351" s="39">
        <v>-222</v>
      </c>
      <c r="B351" s="41">
        <v>-554.75574048247961</v>
      </c>
      <c r="C351" s="41">
        <v>-173.91290328005752</v>
      </c>
      <c r="D351" s="16">
        <f t="shared" si="37"/>
        <v>-162.59407606991061</v>
      </c>
    </row>
    <row r="352" spans="1:4" x14ac:dyDescent="0.25">
      <c r="A352" s="37">
        <v>-223</v>
      </c>
      <c r="B352" s="41">
        <v>-546.0699891388183</v>
      </c>
      <c r="C352" s="41">
        <v>-179.37364592705191</v>
      </c>
      <c r="D352" s="16">
        <f t="shared" si="37"/>
        <v>-161.81562792461878</v>
      </c>
    </row>
    <row r="353" spans="1:4" x14ac:dyDescent="0.25">
      <c r="A353" s="37">
        <v>-224</v>
      </c>
      <c r="B353" s="41">
        <v>-540.37964449079755</v>
      </c>
      <c r="C353" s="41">
        <v>-183.53514663265625</v>
      </c>
      <c r="D353" s="16">
        <f t="shared" si="37"/>
        <v>-161.24040050736605</v>
      </c>
    </row>
    <row r="354" spans="1:4" x14ac:dyDescent="0.25">
      <c r="A354" s="39">
        <v>-225</v>
      </c>
      <c r="B354" s="41">
        <v>-531.28125489430522</v>
      </c>
      <c r="C354" s="41">
        <v>-189.14813062817169</v>
      </c>
      <c r="D354" s="16">
        <f t="shared" si="37"/>
        <v>-160.40312156897335</v>
      </c>
    </row>
    <row r="355" spans="1:4" x14ac:dyDescent="0.25">
      <c r="A355" s="39">
        <v>-226</v>
      </c>
      <c r="B355" s="41">
        <v>-522.2789996334235</v>
      </c>
      <c r="C355" s="41">
        <v>-194.67083877910611</v>
      </c>
      <c r="D355" s="16">
        <f t="shared" si="37"/>
        <v>-159.55789409088706</v>
      </c>
    </row>
    <row r="356" spans="1:4" x14ac:dyDescent="0.25">
      <c r="A356" s="37">
        <v>-227</v>
      </c>
      <c r="B356" s="41">
        <v>-513.35552571423034</v>
      </c>
      <c r="C356" s="41">
        <v>-200.11562743933678</v>
      </c>
      <c r="D356" s="16">
        <f t="shared" si="37"/>
        <v>-158.70322903452941</v>
      </c>
    </row>
    <row r="357" spans="1:4" x14ac:dyDescent="0.25">
      <c r="A357" s="37">
        <v>-228</v>
      </c>
      <c r="B357" s="41">
        <v>-504.49387135571141</v>
      </c>
      <c r="C357" s="41">
        <v>-205.49430416586509</v>
      </c>
      <c r="D357" s="16">
        <f t="shared" si="37"/>
        <v>-157.83757342294115</v>
      </c>
    </row>
    <row r="358" spans="1:4" x14ac:dyDescent="0.25">
      <c r="A358" s="39">
        <v>-229</v>
      </c>
      <c r="B358" s="41">
        <v>-495.67731992117774</v>
      </c>
      <c r="C358" s="41">
        <v>-210.8182418649032</v>
      </c>
      <c r="D358" s="16">
        <f t="shared" si="37"/>
        <v>-156.95929690543511</v>
      </c>
    </row>
    <row r="359" spans="1:4" x14ac:dyDescent="0.25">
      <c r="A359" s="39">
        <v>-230</v>
      </c>
      <c r="B359" s="41">
        <v>-486.88925512900408</v>
      </c>
      <c r="C359" s="41">
        <v>-216.09848640364538</v>
      </c>
      <c r="D359" s="16">
        <f t="shared" si="37"/>
        <v>-156.06667705031967</v>
      </c>
    </row>
    <row r="360" spans="1:4" x14ac:dyDescent="0.25">
      <c r="A360" s="37">
        <v>-231</v>
      </c>
      <c r="B360" s="41">
        <v>-478.11301465610853</v>
      </c>
      <c r="C360" s="41">
        <v>-221.34585991341822</v>
      </c>
      <c r="D360" s="16">
        <f t="shared" si="37"/>
        <v>-155.15788306826425</v>
      </c>
    </row>
    <row r="361" spans="1:4" x14ac:dyDescent="0.25">
      <c r="A361" s="37">
        <v>-232</v>
      </c>
      <c r="B361" s="41">
        <v>-469.33173910833506</v>
      </c>
      <c r="C361" s="41">
        <v>-226.57106191474466</v>
      </c>
      <c r="D361" s="16">
        <f t="shared" si="37"/>
        <v>-154.23095762180793</v>
      </c>
    </row>
    <row r="362" spans="1:4" x14ac:dyDescent="0.25">
      <c r="A362" s="39">
        <v>-233</v>
      </c>
      <c r="B362" s="41">
        <v>-460.52821307752527</v>
      </c>
      <c r="C362" s="41">
        <v>-231.78477037630145</v>
      </c>
      <c r="D362" s="16">
        <f t="shared" si="37"/>
        <v>-153.28379631711948</v>
      </c>
    </row>
    <row r="363" spans="1:4" x14ac:dyDescent="0.25">
      <c r="A363" s="39">
        <v>-234</v>
      </c>
      <c r="B363" s="41">
        <v>-451.6846946171795</v>
      </c>
      <c r="C363" s="41">
        <v>-236.99774487902872</v>
      </c>
      <c r="D363" s="16">
        <f t="shared" si="37"/>
        <v>-152.31412439965257</v>
      </c>
    </row>
    <row r="364" spans="1:4" x14ac:dyDescent="0.25">
      <c r="A364" s="37">
        <v>-235</v>
      </c>
      <c r="B364" s="41">
        <v>-442.78272892109658</v>
      </c>
      <c r="C364" s="41">
        <v>-242.22093420000192</v>
      </c>
      <c r="D364" s="16">
        <f t="shared" si="37"/>
        <v>-151.31947008224336</v>
      </c>
    </row>
    <row r="365" spans="1:4" x14ac:dyDescent="0.25">
      <c r="A365" s="37">
        <v>-236</v>
      </c>
      <c r="B365" s="41">
        <v>-433.83039442037511</v>
      </c>
      <c r="C365" s="41">
        <v>-247.4769136881475</v>
      </c>
      <c r="D365" s="16">
        <f t="shared" si="37"/>
        <v>-150.29756607497291</v>
      </c>
    </row>
    <row r="366" spans="1:4" x14ac:dyDescent="0.25">
      <c r="A366" s="39">
        <v>-237</v>
      </c>
      <c r="B366" s="41">
        <v>-424.7531018321373</v>
      </c>
      <c r="C366" s="41">
        <v>-252.75195684874248</v>
      </c>
      <c r="D366" s="16">
        <f t="shared" si="37"/>
        <v>-149.24497737861572</v>
      </c>
    </row>
    <row r="367" spans="1:4" x14ac:dyDescent="0.25">
      <c r="A367" s="39">
        <v>-238</v>
      </c>
      <c r="B367" s="41">
        <v>-415.45535126201617</v>
      </c>
      <c r="C367" s="41">
        <v>-258.03161853854772</v>
      </c>
      <c r="D367" s="16">
        <f t="shared" si="37"/>
        <v>-148.15635052630282</v>
      </c>
    </row>
    <row r="368" spans="1:4" x14ac:dyDescent="0.25">
      <c r="A368" s="37">
        <v>-239</v>
      </c>
      <c r="B368" s="41">
        <v>-405.94245113450728</v>
      </c>
      <c r="C368" s="41">
        <v>-263.34384821861795</v>
      </c>
      <c r="D368" s="16">
        <f t="shared" si="37"/>
        <v>-147.02763317311104</v>
      </c>
    </row>
    <row r="369" spans="1:4" x14ac:dyDescent="0.25">
      <c r="A369" s="37">
        <v>-240</v>
      </c>
      <c r="B369" s="41">
        <v>-396.20520026415699</v>
      </c>
      <c r="C369" s="41">
        <v>-268.71010215137954</v>
      </c>
      <c r="D369" s="16">
        <f t="shared" si="37"/>
        <v>-145.85450962173488</v>
      </c>
    </row>
    <row r="370" spans="1:4" x14ac:dyDescent="0.25">
      <c r="A370" s="39">
        <v>-241</v>
      </c>
      <c r="B370" s="41">
        <v>-386.3242944289766</v>
      </c>
      <c r="C370" s="41">
        <v>-274.18970262763332</v>
      </c>
      <c r="D370" s="16">
        <f t="shared" si="37"/>
        <v>-144.63516363867029</v>
      </c>
    </row>
    <row r="371" spans="1:4" x14ac:dyDescent="0.25">
      <c r="A371" s="39">
        <v>-242</v>
      </c>
      <c r="B371" s="41">
        <v>-376.19202895759139</v>
      </c>
      <c r="C371" s="41">
        <v>-279.76897284987194</v>
      </c>
      <c r="D371" s="16">
        <f t="shared" si="37"/>
        <v>-143.36231255090397</v>
      </c>
    </row>
    <row r="372" spans="1:4" x14ac:dyDescent="0.25">
      <c r="A372" s="37">
        <v>-243</v>
      </c>
      <c r="B372" s="41">
        <v>-365.77057118750326</v>
      </c>
      <c r="C372" s="41">
        <v>-285.46562783708708</v>
      </c>
      <c r="D372" s="16">
        <f t="shared" si="37"/>
        <v>-142.02974375009464</v>
      </c>
    </row>
    <row r="373" spans="1:4" x14ac:dyDescent="0.25">
      <c r="A373" s="37">
        <v>-244</v>
      </c>
      <c r="B373" s="41">
        <v>-355.01713140683978</v>
      </c>
      <c r="C373" s="41">
        <v>-291.29930736673316</v>
      </c>
      <c r="D373" s="16">
        <f t="shared" si="37"/>
        <v>-140.6303741539183</v>
      </c>
    </row>
    <row r="374" spans="1:4" x14ac:dyDescent="0.25">
      <c r="A374" s="39">
        <v>-245</v>
      </c>
      <c r="B374" s="41">
        <v>-343.88289545804048</v>
      </c>
      <c r="C374" s="41">
        <v>-297.29198611755174</v>
      </c>
      <c r="D374" s="16">
        <f t="shared" si="37"/>
        <v>-139.15608744756031</v>
      </c>
    </row>
    <row r="375" spans="1:4" x14ac:dyDescent="0.25">
      <c r="A375" s="39">
        <v>-246</v>
      </c>
      <c r="B375" s="41">
        <v>-332.31168737479936</v>
      </c>
      <c r="C375" s="41">
        <v>-303.46847714866192</v>
      </c>
      <c r="D375" s="16">
        <f t="shared" si="37"/>
        <v>-137.59753599014525</v>
      </c>
    </row>
    <row r="376" spans="1:4" x14ac:dyDescent="0.25">
      <c r="A376" s="37">
        <v>-247</v>
      </c>
      <c r="B376" s="41">
        <v>-320.23827619511337</v>
      </c>
      <c r="C376" s="41">
        <v>-309.85705652848685</v>
      </c>
      <c r="D376" s="16">
        <f t="shared" si="37"/>
        <v>-135.94389885494098</v>
      </c>
    </row>
    <row r="377" spans="1:4" x14ac:dyDescent="0.25">
      <c r="A377" s="37">
        <v>-248</v>
      </c>
      <c r="B377" s="41">
        <v>-307.89139380340129</v>
      </c>
      <c r="C377" s="41">
        <v>-316.27875381177842</v>
      </c>
      <c r="D377" s="16">
        <f t="shared" si="37"/>
        <v>-134.23012753838412</v>
      </c>
    </row>
    <row r="378" spans="1:4" x14ac:dyDescent="0.25">
      <c r="A378" s="39">
        <v>-249</v>
      </c>
      <c r="B378" s="41">
        <v>-295.55133081716275</v>
      </c>
      <c r="C378" s="41">
        <v>-322.53554350616713</v>
      </c>
      <c r="D378" s="16">
        <f t="shared" si="37"/>
        <v>-132.50018902691778</v>
      </c>
    </row>
    <row r="379" spans="1:4" x14ac:dyDescent="0.25">
      <c r="A379" s="39">
        <v>-250</v>
      </c>
      <c r="B379" s="41">
        <v>-283.19950104759522</v>
      </c>
      <c r="C379" s="41">
        <v>-328.64567580434971</v>
      </c>
      <c r="D379" s="16">
        <f t="shared" si="37"/>
        <v>-130.7520280012769</v>
      </c>
    </row>
    <row r="380" spans="1:4" x14ac:dyDescent="0.25">
      <c r="A380" s="37">
        <v>-251</v>
      </c>
      <c r="B380" s="41">
        <v>-270.81653683536933</v>
      </c>
      <c r="C380" s="41">
        <v>-334.62722440930992</v>
      </c>
      <c r="D380" s="16">
        <f t="shared" si="37"/>
        <v>-128.98352832744956</v>
      </c>
    </row>
    <row r="381" spans="1:4" x14ac:dyDescent="0.25">
      <c r="A381" s="37">
        <v>-252</v>
      </c>
      <c r="B381" s="41">
        <v>-258.38215459295571</v>
      </c>
      <c r="C381" s="41">
        <v>-340.49821431610667</v>
      </c>
      <c r="D381" s="16">
        <f t="shared" si="37"/>
        <v>-127.19251990478639</v>
      </c>
    </row>
    <row r="382" spans="1:4" x14ac:dyDescent="0.25">
      <c r="A382" s="39">
        <v>-253</v>
      </c>
      <c r="B382" s="41">
        <v>-245.87495122753626</v>
      </c>
      <c r="C382" s="41">
        <v>-346.27679008997495</v>
      </c>
      <c r="D382" s="16">
        <f t="shared" si="37"/>
        <v>-125.37677926130145</v>
      </c>
    </row>
    <row r="383" spans="1:4" x14ac:dyDescent="0.25">
      <c r="A383" s="39">
        <v>-254</v>
      </c>
      <c r="B383" s="41">
        <v>-233.27217294996169</v>
      </c>
      <c r="C383" s="41">
        <v>-351.98139499131594</v>
      </c>
      <c r="D383" s="16">
        <f t="shared" si="37"/>
        <v>-123.53403137562474</v>
      </c>
    </row>
    <row r="384" spans="1:4" x14ac:dyDescent="0.25">
      <c r="A384" s="37">
        <v>-255</v>
      </c>
      <c r="B384" s="41">
        <v>-220.54945043801894</v>
      </c>
      <c r="C384" s="41">
        <v>-357.63096476082637</v>
      </c>
      <c r="D384" s="16">
        <f t="shared" si="37"/>
        <v>-121.66195304709687</v>
      </c>
    </row>
    <row r="385" spans="1:4" x14ac:dyDescent="0.25">
      <c r="A385" s="37">
        <v>-256</v>
      </c>
      <c r="B385" s="41">
        <v>-207.68049303270394</v>
      </c>
      <c r="C385" s="41">
        <v>-363.24514047727104</v>
      </c>
      <c r="D385" s="16">
        <f t="shared" si="37"/>
        <v>-119.75817819276176</v>
      </c>
    </row>
    <row r="386" spans="1:4" x14ac:dyDescent="0.25">
      <c r="A386" s="39">
        <v>-257</v>
      </c>
      <c r="B386" s="41">
        <v>-194.63673302722754</v>
      </c>
      <c r="C386" s="41">
        <v>-368.84450566733682</v>
      </c>
      <c r="D386" s="16">
        <f t="shared" ref="D386:D449" si="38">DEGREES(ATAN2(B386,C386))</f>
        <v>-117.82030551509045</v>
      </c>
    </row>
    <row r="387" spans="1:4" x14ac:dyDescent="0.25">
      <c r="A387" s="39">
        <v>-258</v>
      </c>
      <c r="B387" s="41">
        <v>-181.38690906950595</v>
      </c>
      <c r="C387" s="41">
        <v>-374.45085382157015</v>
      </c>
      <c r="D387" s="16">
        <f t="shared" si="38"/>
        <v>-115.84590905687043</v>
      </c>
    </row>
    <row r="388" spans="1:4" x14ac:dyDescent="0.25">
      <c r="A388" s="37">
        <v>-259</v>
      </c>
      <c r="B388" s="41">
        <v>-170.70786946015747</v>
      </c>
      <c r="C388" s="41">
        <v>-378.17216360307992</v>
      </c>
      <c r="D388" s="16">
        <f t="shared" si="38"/>
        <v>-114.29453663685949</v>
      </c>
    </row>
    <row r="389" spans="1:4" x14ac:dyDescent="0.25">
      <c r="A389" s="37">
        <v>-260</v>
      </c>
      <c r="B389" s="41">
        <v>-157.0048094076009</v>
      </c>
      <c r="C389" s="41">
        <v>-383.79381036218962</v>
      </c>
      <c r="D389" s="16">
        <f t="shared" si="38"/>
        <v>-112.24879993677028</v>
      </c>
    </row>
    <row r="390" spans="1:4" x14ac:dyDescent="0.25">
      <c r="A390" s="39">
        <v>-261</v>
      </c>
      <c r="B390" s="41">
        <v>-142.98717081090777</v>
      </c>
      <c r="C390" s="41">
        <v>-389.49326556550847</v>
      </c>
      <c r="D390" s="16">
        <f t="shared" si="38"/>
        <v>-110.15872967032993</v>
      </c>
    </row>
    <row r="391" spans="1:4" x14ac:dyDescent="0.25">
      <c r="A391" s="39">
        <v>-262</v>
      </c>
      <c r="B391" s="41">
        <v>-128.60789033654848</v>
      </c>
      <c r="C391" s="41">
        <v>-395.30014212863551</v>
      </c>
      <c r="D391" s="16">
        <f t="shared" si="38"/>
        <v>-108.02190282924303</v>
      </c>
    </row>
    <row r="392" spans="1:4" x14ac:dyDescent="0.25">
      <c r="A392" s="37">
        <v>-263</v>
      </c>
      <c r="B392" s="41">
        <v>-113.81375195452797</v>
      </c>
      <c r="C392" s="41">
        <v>-401.24729514223253</v>
      </c>
      <c r="D392" s="16">
        <f t="shared" si="38"/>
        <v>-105.83598219661386</v>
      </c>
    </row>
    <row r="393" spans="1:4" x14ac:dyDescent="0.25">
      <c r="A393" s="37">
        <v>-264</v>
      </c>
      <c r="B393" s="41">
        <v>-98.705725342111805</v>
      </c>
      <c r="C393" s="41">
        <v>-407.30759924020754</v>
      </c>
      <c r="D393" s="16">
        <f t="shared" si="38"/>
        <v>-103.62227674759305</v>
      </c>
    </row>
    <row r="394" spans="1:4" x14ac:dyDescent="0.25">
      <c r="A394" s="39">
        <v>-265</v>
      </c>
      <c r="B394" s="41">
        <v>-88.111472487603805</v>
      </c>
      <c r="C394" s="41">
        <v>-411.65110284013053</v>
      </c>
      <c r="D394" s="16">
        <f t="shared" si="38"/>
        <v>-102.0815183987506</v>
      </c>
    </row>
    <row r="395" spans="1:4" x14ac:dyDescent="0.25">
      <c r="A395" s="39">
        <v>-266</v>
      </c>
      <c r="B395" s="41">
        <v>-77.311227840040843</v>
      </c>
      <c r="C395" s="41">
        <v>-416.24574516546051</v>
      </c>
      <c r="D395" s="16">
        <f t="shared" si="38"/>
        <v>-100.52190821137188</v>
      </c>
    </row>
    <row r="396" spans="1:4" x14ac:dyDescent="0.25">
      <c r="A396" s="37">
        <v>-267</v>
      </c>
      <c r="B396" s="41">
        <v>-66.256427502979889</v>
      </c>
      <c r="C396" s="41">
        <v>-421.17300365604763</v>
      </c>
      <c r="D396" s="16">
        <f t="shared" si="38"/>
        <v>-98.94016164283326</v>
      </c>
    </row>
    <row r="397" spans="1:4" x14ac:dyDescent="0.25">
      <c r="A397" s="37">
        <v>-268</v>
      </c>
      <c r="B397" s="41">
        <v>-54.885857468475137</v>
      </c>
      <c r="C397" s="41">
        <v>-426.53680456766386</v>
      </c>
      <c r="D397" s="16">
        <f t="shared" si="38"/>
        <v>-97.332407367863752</v>
      </c>
    </row>
    <row r="398" spans="1:4" x14ac:dyDescent="0.25">
      <c r="A398" s="39">
        <v>-269</v>
      </c>
      <c r="B398" s="41">
        <v>-43.120453160441471</v>
      </c>
      <c r="C398" s="41">
        <v>-432.47207589239645</v>
      </c>
      <c r="D398" s="16">
        <f t="shared" si="38"/>
        <v>-95.693965945144839</v>
      </c>
    </row>
    <row r="399" spans="1:4" x14ac:dyDescent="0.25">
      <c r="A399" s="39">
        <v>-270</v>
      </c>
      <c r="B399" s="41">
        <v>-30.855333492119726</v>
      </c>
      <c r="C399" s="41">
        <v>-439.15724314096673</v>
      </c>
      <c r="D399" s="16">
        <f t="shared" si="38"/>
        <v>-94.019015837020078</v>
      </c>
    </row>
    <row r="400" spans="1:4" x14ac:dyDescent="0.25">
      <c r="A400" s="37">
        <v>-271</v>
      </c>
      <c r="B400" s="41">
        <v>-10.835347333208874</v>
      </c>
      <c r="C400" s="41">
        <v>-432.90261646595906</v>
      </c>
      <c r="D400" s="16">
        <f t="shared" si="38"/>
        <v>-91.433786846587395</v>
      </c>
    </row>
    <row r="401" spans="1:4" x14ac:dyDescent="0.25">
      <c r="A401" s="37">
        <v>-272</v>
      </c>
      <c r="B401" s="41">
        <v>7.7422946638273125</v>
      </c>
      <c r="C401" s="41">
        <v>-427.14558558648378</v>
      </c>
      <c r="D401" s="16">
        <f t="shared" si="38"/>
        <v>-88.961590023633846</v>
      </c>
    </row>
    <row r="402" spans="1:4" x14ac:dyDescent="0.25">
      <c r="A402" s="39">
        <v>-273</v>
      </c>
      <c r="B402" s="41">
        <v>25.130577852095342</v>
      </c>
      <c r="C402" s="41">
        <v>-421.78623863811129</v>
      </c>
      <c r="D402" s="16">
        <f t="shared" si="38"/>
        <v>-86.590273188864415</v>
      </c>
    </row>
    <row r="403" spans="1:4" x14ac:dyDescent="0.25">
      <c r="A403" s="39">
        <v>-274</v>
      </c>
      <c r="B403" s="41">
        <v>41.531008770575859</v>
      </c>
      <c r="C403" s="41">
        <v>-416.74294332343624</v>
      </c>
      <c r="D403" s="16">
        <f t="shared" si="38"/>
        <v>-84.308912053272351</v>
      </c>
    </row>
    <row r="404" spans="1:4" x14ac:dyDescent="0.25">
      <c r="A404" s="37">
        <v>-275</v>
      </c>
      <c r="B404" s="41">
        <v>57.105757783501645</v>
      </c>
      <c r="C404" s="41">
        <v>-411.94839351411395</v>
      </c>
      <c r="D404" s="16">
        <f t="shared" si="38"/>
        <v>-82.107751684584301</v>
      </c>
    </row>
    <row r="405" spans="1:4" x14ac:dyDescent="0.25">
      <c r="A405" s="37">
        <v>-276</v>
      </c>
      <c r="B405" s="41">
        <v>71.986694497384363</v>
      </c>
      <c r="C405" s="41">
        <v>-407.34655215696927</v>
      </c>
      <c r="D405" s="16">
        <f t="shared" si="38"/>
        <v>-79.978105965273784</v>
      </c>
    </row>
    <row r="406" spans="1:4" x14ac:dyDescent="0.25">
      <c r="A406" s="39">
        <v>-277</v>
      </c>
      <c r="B406" s="41">
        <v>86.282154862673025</v>
      </c>
      <c r="C406" s="41">
        <v>-402.89028113641479</v>
      </c>
      <c r="D406" s="16">
        <f t="shared" si="38"/>
        <v>-77.91224232663069</v>
      </c>
    </row>
    <row r="407" spans="1:4" x14ac:dyDescent="0.25">
      <c r="A407" s="39">
        <v>-278</v>
      </c>
      <c r="B407" s="41">
        <v>103.16396023879885</v>
      </c>
      <c r="C407" s="41">
        <v>-396.75886168132877</v>
      </c>
      <c r="D407" s="16">
        <f t="shared" si="38"/>
        <v>-75.424883450387625</v>
      </c>
    </row>
    <row r="408" spans="1:4" x14ac:dyDescent="0.25">
      <c r="A408" s="37">
        <v>-279</v>
      </c>
      <c r="B408" s="41">
        <v>119.81910305969235</v>
      </c>
      <c r="C408" s="41">
        <v>-390.56411606879823</v>
      </c>
      <c r="D408" s="16">
        <f t="shared" si="38"/>
        <v>-72.944786697603078</v>
      </c>
    </row>
    <row r="409" spans="1:4" x14ac:dyDescent="0.25">
      <c r="A409" s="37">
        <v>-280</v>
      </c>
      <c r="B409" s="41">
        <v>136.05674351653713</v>
      </c>
      <c r="C409" s="41">
        <v>-384.42224895392923</v>
      </c>
      <c r="D409" s="16">
        <f t="shared" si="38"/>
        <v>-70.50984254439058</v>
      </c>
    </row>
    <row r="410" spans="1:4" x14ac:dyDescent="0.25">
      <c r="A410" s="39">
        <v>-281</v>
      </c>
      <c r="B410" s="41">
        <v>148.14238164443981</v>
      </c>
      <c r="C410" s="41">
        <v>-380.20188116459093</v>
      </c>
      <c r="D410" s="16">
        <f t="shared" si="38"/>
        <v>-68.712053819116534</v>
      </c>
    </row>
    <row r="411" spans="1:4" x14ac:dyDescent="0.25">
      <c r="A411" s="39">
        <v>-282</v>
      </c>
      <c r="B411" s="41">
        <v>163.7681529995329</v>
      </c>
      <c r="C411" s="41">
        <v>-374.03458992161973</v>
      </c>
      <c r="D411" s="16">
        <f t="shared" si="38"/>
        <v>-66.354164388549037</v>
      </c>
    </row>
    <row r="412" spans="1:4" x14ac:dyDescent="0.25">
      <c r="A412" s="37">
        <v>-283</v>
      </c>
      <c r="B412" s="41">
        <v>179.08363673040625</v>
      </c>
      <c r="C412" s="41">
        <v>-367.87132613625687</v>
      </c>
      <c r="D412" s="16">
        <f t="shared" si="38"/>
        <v>-64.042693065568542</v>
      </c>
    </row>
    <row r="413" spans="1:4" x14ac:dyDescent="0.25">
      <c r="A413" s="37">
        <v>-284</v>
      </c>
      <c r="B413" s="41">
        <v>194.12247630797265</v>
      </c>
      <c r="C413" s="41">
        <v>-361.69507300261535</v>
      </c>
      <c r="D413" s="16">
        <f t="shared" si="38"/>
        <v>-61.777454812127459</v>
      </c>
    </row>
    <row r="414" spans="1:4" x14ac:dyDescent="0.25">
      <c r="A414" s="39">
        <v>-285</v>
      </c>
      <c r="B414" s="41">
        <v>208.91613283301598</v>
      </c>
      <c r="C414" s="41">
        <v>-355.48913686703668</v>
      </c>
      <c r="D414" s="16">
        <f t="shared" si="38"/>
        <v>-59.557825134936927</v>
      </c>
    </row>
    <row r="415" spans="1:4" x14ac:dyDescent="0.25">
      <c r="A415" s="39">
        <v>-286</v>
      </c>
      <c r="B415" s="41">
        <v>223.49411633844238</v>
      </c>
      <c r="C415" s="41">
        <v>-349.23705610037945</v>
      </c>
      <c r="D415" s="16">
        <f t="shared" si="38"/>
        <v>-57.382805345531267</v>
      </c>
    </row>
    <row r="416" spans="1:4" x14ac:dyDescent="0.25">
      <c r="A416" s="37">
        <v>-287</v>
      </c>
      <c r="B416" s="41">
        <v>237.88420070024276</v>
      </c>
      <c r="C416" s="41">
        <v>-342.92250798120222</v>
      </c>
      <c r="D416" s="16">
        <f t="shared" si="38"/>
        <v>-55.251083752557783</v>
      </c>
    </row>
    <row r="417" spans="1:4" x14ac:dyDescent="0.25">
      <c r="A417" s="37">
        <v>-288</v>
      </c>
      <c r="B417" s="41">
        <v>252.11262304100197</v>
      </c>
      <c r="C417" s="41">
        <v>-336.52921383301049</v>
      </c>
      <c r="D417" s="16">
        <f t="shared" si="38"/>
        <v>-53.161091773553125</v>
      </c>
    </row>
    <row r="418" spans="1:4" x14ac:dyDescent="0.25">
      <c r="A418" s="39">
        <v>-289</v>
      </c>
      <c r="B418" s="41">
        <v>266.2042687225595</v>
      </c>
      <c r="C418" s="41">
        <v>-330.04084237479151</v>
      </c>
      <c r="D418" s="16">
        <f t="shared" si="38"/>
        <v>-51.111054399114387</v>
      </c>
    </row>
    <row r="419" spans="1:4" x14ac:dyDescent="0.25">
      <c r="A419" s="39">
        <v>-290</v>
      </c>
      <c r="B419" s="41">
        <v>280.18284314982054</v>
      </c>
      <c r="C419" s="41">
        <v>-323.44091101178094</v>
      </c>
      <c r="D419" s="16">
        <f t="shared" si="38"/>
        <v>-49.099034799014774</v>
      </c>
    </row>
    <row r="420" spans="1:4" x14ac:dyDescent="0.25">
      <c r="A420" s="37">
        <v>-291</v>
      </c>
      <c r="B420" s="41">
        <v>290.34456868280643</v>
      </c>
      <c r="C420" s="41">
        <v>-317.28616896623856</v>
      </c>
      <c r="D420" s="16">
        <f t="shared" si="38"/>
        <v>-47.538761659863866</v>
      </c>
    </row>
    <row r="421" spans="1:4" x14ac:dyDescent="0.25">
      <c r="A421" s="37">
        <v>-292</v>
      </c>
      <c r="B421" s="41">
        <v>303.95025467919481</v>
      </c>
      <c r="C421" s="41">
        <v>-310.56434562075339</v>
      </c>
      <c r="D421" s="16">
        <f t="shared" si="38"/>
        <v>-45.616657217948429</v>
      </c>
    </row>
    <row r="422" spans="1:4" x14ac:dyDescent="0.25">
      <c r="A422" s="39">
        <v>-293</v>
      </c>
      <c r="B422" s="41">
        <v>316.79846060061914</v>
      </c>
      <c r="C422" s="41">
        <v>-304.11850378226302</v>
      </c>
      <c r="D422" s="16">
        <f t="shared" si="38"/>
        <v>-43.83010598055251</v>
      </c>
    </row>
    <row r="423" spans="1:4" x14ac:dyDescent="0.25">
      <c r="A423" s="39">
        <v>-294</v>
      </c>
      <c r="B423" s="41">
        <v>328.95129890947663</v>
      </c>
      <c r="C423" s="41">
        <v>-297.93565589133652</v>
      </c>
      <c r="D423" s="16">
        <f t="shared" si="38"/>
        <v>-42.167563361778569</v>
      </c>
    </row>
    <row r="424" spans="1:4" x14ac:dyDescent="0.25">
      <c r="A424" s="37">
        <v>-295</v>
      </c>
      <c r="B424" s="41">
        <v>340.4974254992004</v>
      </c>
      <c r="C424" s="41">
        <v>-291.98308568617972</v>
      </c>
      <c r="D424" s="16">
        <f t="shared" si="38"/>
        <v>-40.613723246293503</v>
      </c>
    </row>
    <row r="425" spans="1:4" x14ac:dyDescent="0.25">
      <c r="A425" s="37">
        <v>-296</v>
      </c>
      <c r="B425" s="41">
        <v>351.51222101699983</v>
      </c>
      <c r="C425" s="41">
        <v>-286.23243831290625</v>
      </c>
      <c r="D425" s="16">
        <f t="shared" si="38"/>
        <v>-39.155537851406145</v>
      </c>
    </row>
    <row r="426" spans="1:4" x14ac:dyDescent="0.25">
      <c r="A426" s="39">
        <v>-297</v>
      </c>
      <c r="B426" s="41">
        <v>362.0603275478361</v>
      </c>
      <c r="C426" s="41">
        <v>-280.65892881259344</v>
      </c>
      <c r="D426" s="16">
        <f t="shared" si="38"/>
        <v>-37.781830857412402</v>
      </c>
    </row>
    <row r="427" spans="1:4" x14ac:dyDescent="0.25">
      <c r="A427" s="39">
        <v>-298</v>
      </c>
      <c r="B427" s="41">
        <v>372.197631998188</v>
      </c>
      <c r="C427" s="41">
        <v>-275.24071136295544</v>
      </c>
      <c r="D427" s="16">
        <f t="shared" si="38"/>
        <v>-36.482981500851864</v>
      </c>
    </row>
    <row r="428" spans="1:4" x14ac:dyDescent="0.25">
      <c r="A428" s="37">
        <v>-299</v>
      </c>
      <c r="B428" s="41">
        <v>381.97283319156929</v>
      </c>
      <c r="C428" s="41">
        <v>-269.95837149024385</v>
      </c>
      <c r="D428" s="16">
        <f t="shared" si="38"/>
        <v>-35.250666485193236</v>
      </c>
    </row>
    <row r="429" spans="1:4" x14ac:dyDescent="0.25">
      <c r="A429" s="37">
        <v>-300</v>
      </c>
      <c r="B429" s="41">
        <v>391.42869236064143</v>
      </c>
      <c r="C429" s="41">
        <v>-264.79451321177601</v>
      </c>
      <c r="D429" s="16">
        <f t="shared" si="38"/>
        <v>-34.077648726053567</v>
      </c>
    </row>
    <row r="430" spans="1:4" x14ac:dyDescent="0.25">
      <c r="A430" s="39">
        <v>-301</v>
      </c>
      <c r="B430" s="41">
        <v>400.60304046561021</v>
      </c>
      <c r="C430" s="41">
        <v>-259.73342005440918</v>
      </c>
      <c r="D430" s="16">
        <f t="shared" si="38"/>
        <v>-32.957603937012223</v>
      </c>
    </row>
    <row r="431" spans="1:4" x14ac:dyDescent="0.25">
      <c r="A431" s="39">
        <v>-302</v>
      </c>
      <c r="B431" s="41">
        <v>409.52959705843944</v>
      </c>
      <c r="C431" s="41">
        <v>-254.76077396229755</v>
      </c>
      <c r="D431" s="16">
        <f t="shared" si="38"/>
        <v>-31.884977775776033</v>
      </c>
    </row>
    <row r="432" spans="1:4" x14ac:dyDescent="0.25">
      <c r="A432" s="37">
        <v>-303</v>
      </c>
      <c r="B432" s="41">
        <v>418.2386419170922</v>
      </c>
      <c r="C432" s="41">
        <v>-249.86341982135093</v>
      </c>
      <c r="D432" s="16">
        <f t="shared" si="38"/>
        <v>-30.854867694887165</v>
      </c>
    </row>
    <row r="433" spans="1:4" x14ac:dyDescent="0.25">
      <c r="A433" s="37">
        <v>-304</v>
      </c>
      <c r="B433" s="41">
        <v>426.75757083154997</v>
      </c>
      <c r="C433" s="41">
        <v>-245.02916607711811</v>
      </c>
      <c r="D433" s="16">
        <f t="shared" si="38"/>
        <v>-29.862924800953344</v>
      </c>
    </row>
    <row r="434" spans="1:4" x14ac:dyDescent="0.25">
      <c r="A434" s="39">
        <v>-305</v>
      </c>
      <c r="B434" s="41">
        <v>435.11135967110846</v>
      </c>
      <c r="C434" s="41">
        <v>-240.24661397370218</v>
      </c>
      <c r="D434" s="16">
        <f t="shared" si="38"/>
        <v>-28.905271959047486</v>
      </c>
    </row>
    <row r="435" spans="1:4" x14ac:dyDescent="0.25">
      <c r="A435" s="39">
        <v>-306</v>
      </c>
      <c r="B435" s="41">
        <v>443.32295546952264</v>
      </c>
      <c r="C435" s="41">
        <v>-235.50500948223797</v>
      </c>
      <c r="D435" s="16">
        <f t="shared" si="38"/>
        <v>-27.978435123656716</v>
      </c>
    </row>
    <row r="436" spans="1:4" x14ac:dyDescent="0.25">
      <c r="A436" s="37">
        <v>-307</v>
      </c>
      <c r="B436" s="41">
        <v>451.4136092193371</v>
      </c>
      <c r="C436" s="41">
        <v>-230.79411314988906</v>
      </c>
      <c r="D436" s="16">
        <f t="shared" si="38"/>
        <v>-27.079285469950655</v>
      </c>
    </row>
    <row r="437" spans="1:4" x14ac:dyDescent="0.25">
      <c r="A437" s="37">
        <v>-308</v>
      </c>
      <c r="B437" s="41">
        <v>459.40316201231661</v>
      </c>
      <c r="C437" s="41">
        <v>-226.1040839805836</v>
      </c>
      <c r="D437" s="16">
        <f t="shared" si="38"/>
        <v>-26.204990369589957</v>
      </c>
    </row>
    <row r="438" spans="1:4" x14ac:dyDescent="0.25">
      <c r="A438" s="39">
        <v>-309</v>
      </c>
      <c r="B438" s="41">
        <v>467.31029384091107</v>
      </c>
      <c r="C438" s="41">
        <v>-221.42537412306683</v>
      </c>
      <c r="D438" s="16">
        <f t="shared" si="38"/>
        <v>-25.352971628799377</v>
      </c>
    </row>
    <row r="439" spans="1:4" x14ac:dyDescent="0.25">
      <c r="A439" s="39">
        <v>-310</v>
      </c>
      <c r="B439" s="41">
        <v>475.15274260396069</v>
      </c>
      <c r="C439" s="41">
        <v>-216.74863164058183</v>
      </c>
      <c r="D439" s="16">
        <f t="shared" si="38"/>
        <v>-24.520869703170618</v>
      </c>
    </row>
    <row r="440" spans="1:4" x14ac:dyDescent="0.25">
      <c r="A440" s="37">
        <v>-311</v>
      </c>
      <c r="B440" s="41">
        <v>482.94749950466303</v>
      </c>
      <c r="C440" s="41">
        <v>-212.06460900453385</v>
      </c>
      <c r="D440" s="16">
        <f t="shared" si="38"/>
        <v>-23.706512839668179</v>
      </c>
    </row>
    <row r="441" spans="1:4" x14ac:dyDescent="0.25">
      <c r="A441" s="37">
        <v>-312</v>
      </c>
      <c r="B441" s="41">
        <v>490.71098599447072</v>
      </c>
      <c r="C441" s="41">
        <v>-207.36407521734023</v>
      </c>
      <c r="D441" s="16">
        <f t="shared" si="38"/>
        <v>-22.907890284193304</v>
      </c>
    </row>
    <row r="442" spans="1:4" x14ac:dyDescent="0.25">
      <c r="A442" s="39">
        <v>-313</v>
      </c>
      <c r="B442" s="41">
        <v>498.4592166295725</v>
      </c>
      <c r="C442" s="41">
        <v>-202.63772964493347</v>
      </c>
      <c r="D442" s="16">
        <f t="shared" si="38"/>
        <v>-22.123128842847589</v>
      </c>
    </row>
    <row r="443" spans="1:4" x14ac:dyDescent="0.25">
      <c r="A443" s="39">
        <v>-314</v>
      </c>
      <c r="B443" s="41">
        <v>506.20795161973666</v>
      </c>
      <c r="C443" s="41">
        <v>-197.87611573944579</v>
      </c>
      <c r="D443" s="16">
        <f t="shared" si="38"/>
        <v>-21.350472204319523</v>
      </c>
    </row>
    <row r="444" spans="1:4" x14ac:dyDescent="0.25">
      <c r="A444" s="37">
        <v>-315</v>
      </c>
      <c r="B444" s="41">
        <v>513.97284241950854</v>
      </c>
      <c r="C444" s="41">
        <v>-193.0695328644</v>
      </c>
      <c r="D444" s="16">
        <f t="shared" si="38"/>
        <v>-20.588262525858969</v>
      </c>
    </row>
    <row r="445" spans="1:4" x14ac:dyDescent="0.25">
      <c r="A445" s="37">
        <v>-316</v>
      </c>
      <c r="B445" s="41">
        <v>521.76957341851084</v>
      </c>
      <c r="C445" s="41">
        <v>-188.20794440167344</v>
      </c>
      <c r="D445" s="16">
        <f t="shared" si="38"/>
        <v>-19.834923860549825</v>
      </c>
    </row>
    <row r="446" spans="1:4" x14ac:dyDescent="0.25">
      <c r="A446" s="39">
        <v>-317</v>
      </c>
      <c r="B446" s="41">
        <v>529.61400260613027</v>
      </c>
      <c r="C446" s="41">
        <v>-183.28088022137328</v>
      </c>
      <c r="D446" s="16">
        <f t="shared" si="38"/>
        <v>-19.088947062958333</v>
      </c>
    </row>
    <row r="447" spans="1:4" x14ac:dyDescent="0.25">
      <c r="A447" s="39">
        <v>-318</v>
      </c>
      <c r="B447" s="41">
        <v>537.52230401140253</v>
      </c>
      <c r="C447" s="41">
        <v>-178.27733142817473</v>
      </c>
      <c r="D447" s="16">
        <f t="shared" si="38"/>
        <v>-18.348875856196873</v>
      </c>
    </row>
    <row r="448" spans="1:4" x14ac:dyDescent="0.25">
      <c r="A448" s="37">
        <v>-319</v>
      </c>
      <c r="B448" s="41">
        <v>545.5111147390719</v>
      </c>
      <c r="C448" s="41">
        <v>-173.1856350535997</v>
      </c>
      <c r="D448" s="16">
        <f t="shared" si="38"/>
        <v>-17.613293778433519</v>
      </c>
    </row>
    <row r="449" spans="1:4" x14ac:dyDescent="0.25">
      <c r="A449" s="37">
        <v>-320</v>
      </c>
      <c r="B449" s="41">
        <v>553.59768954485173</v>
      </c>
      <c r="C449" s="41">
        <v>-167.99334602983288</v>
      </c>
      <c r="D449" s="16">
        <f t="shared" si="38"/>
        <v>-16.880811752046501</v>
      </c>
    </row>
    <row r="450" spans="1:4" x14ac:dyDescent="0.25">
      <c r="A450" s="39">
        <v>-321</v>
      </c>
      <c r="B450" s="41">
        <v>561.76072484605675</v>
      </c>
      <c r="C450" s="41">
        <v>-162.71638161346959</v>
      </c>
      <c r="D450" s="16">
        <f t="shared" ref="D450:D490" si="39">DEGREES(ATAN2(B450,C450))</f>
        <v>-16.153884106416676</v>
      </c>
    </row>
    <row r="451" spans="1:4" x14ac:dyDescent="0.25">
      <c r="A451" s="39">
        <v>-322</v>
      </c>
      <c r="B451" s="41">
        <v>569.8157187308999</v>
      </c>
      <c r="C451" s="41">
        <v>-157.49467473111736</v>
      </c>
      <c r="D451" s="16">
        <f t="shared" si="39"/>
        <v>-15.450575671204621</v>
      </c>
    </row>
    <row r="452" spans="1:4" x14ac:dyDescent="0.25">
      <c r="A452" s="37">
        <v>-323</v>
      </c>
      <c r="B452" s="41">
        <v>577.7534917621856</v>
      </c>
      <c r="C452" s="41">
        <v>-152.34135668871832</v>
      </c>
      <c r="D452" s="16">
        <f t="shared" si="39"/>
        <v>-14.77147278039001</v>
      </c>
    </row>
    <row r="453" spans="1:4" x14ac:dyDescent="0.25">
      <c r="A453" s="37">
        <v>-324</v>
      </c>
      <c r="B453" s="41">
        <v>585.59296791152008</v>
      </c>
      <c r="C453" s="41">
        <v>-147.24841767447805</v>
      </c>
      <c r="D453" s="16">
        <f t="shared" si="39"/>
        <v>-14.114506726260185</v>
      </c>
    </row>
    <row r="454" spans="1:4" x14ac:dyDescent="0.25">
      <c r="A454" s="39">
        <v>-325</v>
      </c>
      <c r="B454" s="41">
        <v>593.3520999925596</v>
      </c>
      <c r="C454" s="41">
        <v>-142.20816127072223</v>
      </c>
      <c r="D454" s="16">
        <f t="shared" si="39"/>
        <v>-13.477805104045094</v>
      </c>
    </row>
    <row r="455" spans="1:4" x14ac:dyDescent="0.25">
      <c r="A455" s="39">
        <v>-326</v>
      </c>
      <c r="B455" s="41">
        <v>598.05882125665971</v>
      </c>
      <c r="C455" s="41">
        <v>-138.95476471040288</v>
      </c>
      <c r="D455" s="16">
        <f t="shared" si="39"/>
        <v>-13.080196925034318</v>
      </c>
    </row>
    <row r="456" spans="1:4" x14ac:dyDescent="0.25">
      <c r="A456" s="37">
        <v>-327</v>
      </c>
      <c r="B456" s="41">
        <v>605.63547087133861</v>
      </c>
      <c r="C456" s="41">
        <v>-134.02590301912565</v>
      </c>
      <c r="D456" s="16">
        <f t="shared" si="39"/>
        <v>-12.478334375636123</v>
      </c>
    </row>
    <row r="457" spans="1:4" x14ac:dyDescent="0.25">
      <c r="A457" s="37">
        <v>-328</v>
      </c>
      <c r="B457" s="41">
        <v>613.17891873356143</v>
      </c>
      <c r="C457" s="41">
        <v>-129.12911496455865</v>
      </c>
      <c r="D457" s="16">
        <f t="shared" si="39"/>
        <v>-11.892131078792106</v>
      </c>
    </row>
    <row r="458" spans="1:4" x14ac:dyDescent="0.25">
      <c r="A458" s="39">
        <v>-329</v>
      </c>
      <c r="B458" s="41">
        <v>620.70450172944368</v>
      </c>
      <c r="C458" s="41">
        <v>-124.25756503063819</v>
      </c>
      <c r="D458" s="16">
        <f t="shared" si="39"/>
        <v>-11.320286949587041</v>
      </c>
    </row>
    <row r="459" spans="1:4" x14ac:dyDescent="0.25">
      <c r="A459" s="39">
        <v>-330</v>
      </c>
      <c r="B459" s="41">
        <v>628.22722916641271</v>
      </c>
      <c r="C459" s="41">
        <v>-119.40452109537274</v>
      </c>
      <c r="D459" s="16">
        <f t="shared" si="39"/>
        <v>-10.761606647531782</v>
      </c>
    </row>
    <row r="460" spans="1:4" x14ac:dyDescent="0.25">
      <c r="A460" s="37">
        <v>-331</v>
      </c>
      <c r="B460" s="41">
        <v>635.76188758957426</v>
      </c>
      <c r="C460" s="41">
        <v>-114.5633172660802</v>
      </c>
      <c r="D460" s="16">
        <f t="shared" si="39"/>
        <v>-10.214987771443996</v>
      </c>
    </row>
    <row r="461" spans="1:4" x14ac:dyDescent="0.25">
      <c r="A461" s="37">
        <v>-332</v>
      </c>
      <c r="B461" s="41">
        <v>641.86551389601311</v>
      </c>
      <c r="C461" s="41">
        <v>-110.50944880016323</v>
      </c>
      <c r="D461" s="16">
        <f t="shared" si="39"/>
        <v>-9.768794873413027</v>
      </c>
    </row>
    <row r="462" spans="1:4" x14ac:dyDescent="0.25">
      <c r="A462" s="39">
        <v>-333</v>
      </c>
      <c r="B462" s="41">
        <v>646.83492492557855</v>
      </c>
      <c r="C462" s="41">
        <v>-107.09418821808492</v>
      </c>
      <c r="D462" s="16">
        <f t="shared" si="39"/>
        <v>-9.4009794770302317</v>
      </c>
    </row>
    <row r="463" spans="1:4" x14ac:dyDescent="0.25">
      <c r="A463" s="39">
        <v>-334</v>
      </c>
      <c r="B463" s="41">
        <v>651.80884796310295</v>
      </c>
      <c r="C463" s="41">
        <v>-103.71129140515983</v>
      </c>
      <c r="D463" s="16">
        <f t="shared" si="39"/>
        <v>-9.0407198579401928</v>
      </c>
    </row>
    <row r="464" spans="1:4" x14ac:dyDescent="0.25">
      <c r="A464" s="37">
        <v>-335</v>
      </c>
      <c r="B464" s="41">
        <v>656.80065705257778</v>
      </c>
      <c r="C464" s="41">
        <v>-100.35604618933111</v>
      </c>
      <c r="D464" s="16">
        <f t="shared" si="39"/>
        <v>-8.6873350116852865</v>
      </c>
    </row>
    <row r="465" spans="1:4" x14ac:dyDescent="0.25">
      <c r="A465" s="37">
        <v>-336</v>
      </c>
      <c r="B465" s="41">
        <v>661.82415500597972</v>
      </c>
      <c r="C465" s="41">
        <v>-97.023704132361274</v>
      </c>
      <c r="D465" s="16">
        <f t="shared" si="39"/>
        <v>-8.3401762510064721</v>
      </c>
    </row>
    <row r="466" spans="1:4" x14ac:dyDescent="0.25">
      <c r="A466" s="39">
        <v>-337</v>
      </c>
      <c r="B466" s="41">
        <v>666.89372303923312</v>
      </c>
      <c r="C466" s="41">
        <v>-93.709436909817839</v>
      </c>
      <c r="D466" s="16">
        <f t="shared" si="39"/>
        <v>-7.9986213581758685</v>
      </c>
    </row>
    <row r="467" spans="1:4" x14ac:dyDescent="0.25">
      <c r="A467" s="39">
        <v>-338</v>
      </c>
      <c r="B467" s="41">
        <v>672.02448607934912</v>
      </c>
      <c r="C467" s="41">
        <v>-90.408287832793476</v>
      </c>
      <c r="D467" s="16">
        <f t="shared" si="39"/>
        <v>-7.6620689223438259</v>
      </c>
    </row>
    <row r="468" spans="1:4" x14ac:dyDescent="0.25">
      <c r="A468" s="37">
        <v>-339</v>
      </c>
      <c r="B468" s="41">
        <v>677.23249797393191</v>
      </c>
      <c r="C468" s="41">
        <v>-87.115117024089997</v>
      </c>
      <c r="D468" s="16">
        <f t="shared" si="39"/>
        <v>-7.3299327353971222</v>
      </c>
    </row>
    <row r="469" spans="1:4" x14ac:dyDescent="0.25">
      <c r="A469" s="37">
        <v>-340</v>
      </c>
      <c r="B469" s="41">
        <v>682.53495165546121</v>
      </c>
      <c r="C469" s="41">
        <v>-83.824538404664608</v>
      </c>
      <c r="D469" s="16">
        <f t="shared" si="39"/>
        <v>-7.001636112483725</v>
      </c>
    </row>
    <row r="470" spans="1:4" x14ac:dyDescent="0.25">
      <c r="A470" s="39">
        <v>-341</v>
      </c>
      <c r="B470" s="41">
        <v>687.95042036110976</v>
      </c>
      <c r="C470" s="41">
        <v>-80.530846175883198</v>
      </c>
      <c r="D470" s="16">
        <f t="shared" si="39"/>
        <v>-6.6766059900187225</v>
      </c>
    </row>
    <row r="471" spans="1:4" x14ac:dyDescent="0.25">
      <c r="A471" s="39">
        <v>-342</v>
      </c>
      <c r="B471" s="41">
        <v>693.49913734728284</v>
      </c>
      <c r="C471" s="41">
        <v>-77.227927859815352</v>
      </c>
      <c r="D471" s="16">
        <f t="shared" si="39"/>
        <v>-6.3542666332469242</v>
      </c>
    </row>
    <row r="472" spans="1:4" x14ac:dyDescent="0.25">
      <c r="A472" s="37">
        <v>-343</v>
      </c>
      <c r="B472" s="41">
        <v>699.20332324394508</v>
      </c>
      <c r="C472" s="41">
        <v>-73.909160130975749</v>
      </c>
      <c r="D472" s="16">
        <f t="shared" si="39"/>
        <v>-6.0340327555424444</v>
      </c>
    </row>
    <row r="473" spans="1:4" x14ac:dyDescent="0.25">
      <c r="A473" s="37">
        <v>-344</v>
      </c>
      <c r="B473" s="41">
        <v>705.08757236679514</v>
      </c>
      <c r="C473" s="41">
        <v>-70.56728256596341</v>
      </c>
      <c r="D473" s="16">
        <f t="shared" si="39"/>
        <v>-5.7153018100988557</v>
      </c>
    </row>
    <row r="474" spans="1:4" x14ac:dyDescent="0.25">
      <c r="A474" s="39">
        <v>-345</v>
      </c>
      <c r="B474" s="41">
        <v>711.1793120761622</v>
      </c>
      <c r="C474" s="41">
        <v>-67.194242949756187</v>
      </c>
      <c r="D474" s="16">
        <f t="shared" si="39"/>
        <v>-5.3974451579255769</v>
      </c>
    </row>
    <row r="475" spans="1:4" x14ac:dyDescent="0.25">
      <c r="A475" s="39">
        <v>-346</v>
      </c>
      <c r="B475" s="41">
        <v>717.50935280328054</v>
      </c>
      <c r="C475" s="41">
        <v>-63.781005767348262</v>
      </c>
      <c r="D475" s="16">
        <f t="shared" si="39"/>
        <v>-5.0797977394017719</v>
      </c>
    </row>
    <row r="476" spans="1:4" x14ac:dyDescent="0.25">
      <c r="A476" s="37">
        <v>-347</v>
      </c>
      <c r="B476" s="41">
        <v>724.1125508706092</v>
      </c>
      <c r="C476" s="41">
        <v>-60.317312773160182</v>
      </c>
      <c r="D476" s="16">
        <f t="shared" si="39"/>
        <v>-4.7616457731881763</v>
      </c>
    </row>
    <row r="477" spans="1:4" x14ac:dyDescent="0.25">
      <c r="A477" s="37">
        <v>-348</v>
      </c>
      <c r="B477" s="41">
        <v>731.02861196590743</v>
      </c>
      <c r="C477" s="41">
        <v>-56.791380787788697</v>
      </c>
      <c r="D477" s="16">
        <f t="shared" si="39"/>
        <v>-4.4422118674537767</v>
      </c>
    </row>
    <row r="478" spans="1:4" x14ac:dyDescent="0.25">
      <c r="A478" s="39">
        <v>-349</v>
      </c>
      <c r="B478" s="41">
        <v>733.48053967571218</v>
      </c>
      <c r="C478" s="41">
        <v>-52.405185171594091</v>
      </c>
      <c r="D478" s="16">
        <f t="shared" si="39"/>
        <v>-4.0866829236776763</v>
      </c>
    </row>
    <row r="479" spans="1:4" x14ac:dyDescent="0.25">
      <c r="A479" s="39">
        <v>-350</v>
      </c>
      <c r="B479" s="41">
        <v>734.48498187951236</v>
      </c>
      <c r="C479" s="41">
        <v>-47.773448975610386</v>
      </c>
      <c r="D479" s="16">
        <f t="shared" si="39"/>
        <v>-3.7214739090524782</v>
      </c>
    </row>
    <row r="480" spans="1:4" x14ac:dyDescent="0.25">
      <c r="A480" s="37">
        <v>-351</v>
      </c>
      <c r="B480" s="41">
        <v>735.42369743697941</v>
      </c>
      <c r="C480" s="41">
        <v>-43.133133526207146</v>
      </c>
      <c r="D480" s="16">
        <f t="shared" si="39"/>
        <v>-3.356593779347937</v>
      </c>
    </row>
    <row r="481" spans="1:4" x14ac:dyDescent="0.25">
      <c r="A481" s="37">
        <v>-352</v>
      </c>
      <c r="B481" s="41">
        <v>736.29880887831018</v>
      </c>
      <c r="C481" s="41">
        <v>-38.478982795696986</v>
      </c>
      <c r="D481" s="16">
        <f t="shared" si="39"/>
        <v>-2.9915565441559435</v>
      </c>
    </row>
    <row r="482" spans="1:4" x14ac:dyDescent="0.25">
      <c r="A482" s="39">
        <v>-353</v>
      </c>
      <c r="B482" s="41">
        <v>737.11228630465462</v>
      </c>
      <c r="C482" s="41">
        <v>-33.805479425935005</v>
      </c>
      <c r="D482" s="16">
        <f t="shared" si="39"/>
        <v>-2.6258618346596658</v>
      </c>
    </row>
    <row r="483" spans="1:4" x14ac:dyDescent="0.25">
      <c r="A483" s="39">
        <v>-354</v>
      </c>
      <c r="B483" s="41">
        <v>737.86595987846306</v>
      </c>
      <c r="C483" s="41">
        <v>-29.106789407333395</v>
      </c>
      <c r="D483" s="16">
        <f t="shared" si="39"/>
        <v>-2.2589901950152633</v>
      </c>
    </row>
    <row r="484" spans="1:4" x14ac:dyDescent="0.25">
      <c r="A484" s="37">
        <v>-355</v>
      </c>
      <c r="B484" s="41">
        <v>738.56153194093622</v>
      </c>
      <c r="C484" s="41">
        <v>-24.37669746867304</v>
      </c>
      <c r="D484" s="16">
        <f t="shared" si="39"/>
        <v>-1.8903977331375905</v>
      </c>
    </row>
    <row r="485" spans="1:4" x14ac:dyDescent="0.25">
      <c r="A485" s="37">
        <v>-356</v>
      </c>
      <c r="B485" s="41">
        <v>739.20058894699741</v>
      </c>
      <c r="C485" s="41">
        <v>-19.608530840965027</v>
      </c>
      <c r="D485" s="16">
        <f t="shared" si="39"/>
        <v>-1.5195099525550224</v>
      </c>
    </row>
    <row r="486" spans="1:4" x14ac:dyDescent="0.25">
      <c r="A486" s="39">
        <v>-357</v>
      </c>
      <c r="B486" s="41">
        <v>739.78461342857531</v>
      </c>
      <c r="C486" s="41">
        <v>-14.795068393379713</v>
      </c>
      <c r="D486" s="16">
        <f t="shared" si="39"/>
        <v>-1.1457145388148069</v>
      </c>
    </row>
    <row r="487" spans="1:4" x14ac:dyDescent="0.25">
      <c r="A487" s="39">
        <v>-358</v>
      </c>
      <c r="B487" s="41">
        <v>740.31499622532363</v>
      </c>
      <c r="C487" s="41">
        <v>-9.9284312447735079</v>
      </c>
      <c r="D487" s="16">
        <f t="shared" si="39"/>
        <v>-0.76835280888496504</v>
      </c>
    </row>
    <row r="488" spans="1:4" x14ac:dyDescent="0.25">
      <c r="A488" s="37">
        <v>-359</v>
      </c>
      <c r="B488" s="41">
        <v>740.7930492605409</v>
      </c>
      <c r="C488" s="41">
        <v>-4.9999497388362339</v>
      </c>
      <c r="D488" s="16">
        <f t="shared" si="39"/>
        <v>-0.38670944343371866</v>
      </c>
    </row>
    <row r="489" spans="1:4" x14ac:dyDescent="0.25">
      <c r="A489" s="37">
        <v>-360</v>
      </c>
      <c r="B489" s="41">
        <v>741.22001919593481</v>
      </c>
      <c r="C489" s="41">
        <v>-1.4517268777508626E-13</v>
      </c>
      <c r="D489" s="16">
        <f t="shared" si="39"/>
        <v>-1.1221745358558852E-14</v>
      </c>
    </row>
    <row r="490" spans="1:4" x14ac:dyDescent="0.25">
      <c r="A490" s="41"/>
      <c r="B490" s="41">
        <f>B129</f>
        <v>741.22001919593492</v>
      </c>
      <c r="C490" s="41">
        <f>C129</f>
        <v>0</v>
      </c>
      <c r="D490" s="16">
        <f t="shared" si="39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542925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B9" sqref="B9"/>
    </sheetView>
  </sheetViews>
  <sheetFormatPr defaultColWidth="8.85546875"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Analysis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2020-01-18T00:19:38Z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