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AF20F45E-9B48-4EF4-9D06-8324B87AA529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11" i="1" l="1"/>
  <c r="U111" i="1" s="1"/>
  <c r="V111" i="1" l="1"/>
  <c r="T111" i="1"/>
  <c r="B121" i="1"/>
  <c r="W111" i="1" l="1"/>
  <c r="E25" i="1"/>
  <c r="S6" i="1"/>
  <c r="S13" i="1" s="1"/>
  <c r="S4" i="1"/>
  <c r="S14" i="1" s="1"/>
  <c r="S11" i="1"/>
  <c r="S15" i="1" l="1"/>
  <c r="S16" i="1" s="1"/>
  <c r="S19" i="1" l="1"/>
  <c r="S20" i="1"/>
  <c r="S17" i="1"/>
  <c r="S18" i="1"/>
  <c r="F53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D120" i="1" l="1"/>
  <c r="V131" i="1" s="1"/>
  <c r="E120" i="1" l="1"/>
  <c r="W131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F25" i="1" s="1"/>
  <c r="J117" i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75" i="1" l="1"/>
  <c r="C109" i="1" s="1"/>
  <c r="G75" i="1"/>
  <c r="D109" i="1" s="1"/>
  <c r="F74" i="1"/>
  <c r="C108" i="1" s="1"/>
  <c r="G74" i="1"/>
  <c r="D108" i="1" s="1"/>
  <c r="G67" i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F103" i="1" s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F10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F109" i="1" s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U117" i="1" l="1"/>
  <c r="V132" i="1"/>
  <c r="L119" i="1"/>
  <c r="F114" i="1"/>
  <c r="H114" i="1" s="1"/>
  <c r="J114" i="1" s="1"/>
  <c r="F115" i="1"/>
  <c r="H115" i="1" s="1"/>
  <c r="J115" i="1" s="1"/>
  <c r="M111" i="1" l="1"/>
  <c r="N115" i="1"/>
  <c r="W132" i="1"/>
  <c r="M117" i="1"/>
  <c r="I125" i="1"/>
  <c r="H125" i="1"/>
  <c r="M119" i="1" l="1"/>
  <c r="U118" i="1"/>
  <c r="O117" i="1"/>
  <c r="O121" i="1" s="1"/>
  <c r="O111" i="1"/>
  <c r="Z111" i="1" s="1"/>
  <c r="P111" i="1"/>
  <c r="AA111" i="1" s="1"/>
  <c r="N111" i="1"/>
  <c r="Y111" i="1" s="1"/>
  <c r="P117" i="1"/>
  <c r="AB111" i="1" l="1"/>
  <c r="Q111" i="1"/>
  <c r="P118" i="1"/>
  <c r="P121" i="1"/>
  <c r="O118" i="1"/>
  <c r="Q118" i="1" l="1"/>
</calcChain>
</file>

<file path=xl/sharedStrings.xml><?xml version="1.0" encoding="utf-8"?>
<sst xmlns="http://schemas.openxmlformats.org/spreadsheetml/2006/main" count="176" uniqueCount="128">
  <si>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</si>
  <si>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</si>
  <si>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</si>
  <si>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</si>
  <si>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</si>
  <si>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</si>
  <si>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</si>
  <si>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</si>
  <si>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</si>
  <si>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</si>
  <si>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</si>
  <si>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</si>
  <si>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</si>
  <si>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</si>
  <si>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</si>
  <si>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</si>
  <si>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</si>
  <si>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</si>
  <si>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</si>
  <si>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</si>
  <si>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</si>
  <si>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</si>
  <si>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</si>
  <si>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</si>
  <si>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</si>
  <si>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</si>
  <si>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</si>
  <si>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</si>
  <si>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</si>
  <si>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</si>
  <si>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</si>
  <si>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</si>
  <si>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</si>
  <si>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</si>
  <si>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</si>
  <si>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</si>
  <si>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</si>
  <si>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</si>
  <si>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</si>
  <si>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</si>
  <si>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</si>
  <si>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</si>
  <si>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</si>
  <si>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</si>
  <si>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</si>
  <si>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</si>
  <si>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</si>
  <si>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</si>
  <si>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</si>
  <si>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</si>
  <si>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</si>
  <si>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</si>
  <si>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</si>
  <si>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</si>
  <si>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</si>
  <si>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</si>
  <si>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</si>
  <si>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</si>
  <si>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</si>
  <si>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</si>
  <si>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</si>
  <si>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</si>
  <si>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</si>
  <si>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</si>
  <si>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</si>
  <si>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</si>
  <si>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</si>
  <si>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</si>
  <si>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</si>
  <si>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</si>
  <si>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</si>
  <si>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</si>
  <si>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</si>
  <si>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</si>
  <si>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</si>
  <si>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</si>
  <si>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</si>
  <si>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</si>
  <si>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</si>
  <si>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</si>
  <si>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</si>
  <si>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</si>
  <si>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</si>
  <si>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</si>
  <si>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</si>
  <si>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</si>
  <si>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</si>
  <si>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</si>
  <si>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</si>
  <si>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</si>
  <si>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</si>
  <si>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</si>
  <si>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</si>
  <si>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</si>
  <si>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</si>
  <si>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</si>
  <si>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</si>
  <si>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</si>
  <si>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</si>
  <si>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</si>
  <si>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</si>
  <si>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</si>
  <si>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</si>
  <si>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</si>
  <si>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</si>
  <si>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</si>
  <si>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</si>
  <si>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</si>
  <si>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</si>
  <si>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</si>
  <si>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</si>
  <si>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</si>
  <si>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</si>
  <si>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</si>
  <si>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</si>
  <si>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</si>
  <si>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</si>
  <si>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</si>
  <si>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</si>
  <si>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</si>
  <si>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</si>
  <si>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</si>
  <si>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</si>
  <si>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</si>
  <si>
    <t>3D Unit Vector of Result:</t>
  </si>
  <si>
    <t>3D Unit Vector of applied Load:</t>
  </si>
  <si>
    <t>3D Difference Vector</t>
  </si>
  <si>
    <t>3D Unit Vector of max Pn and Max 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</si>
</sst>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0" fontId="0" fillId="0" borderId="11" xfId="0" applyBorder="1"/>
    <xf numFmtId="0" fontId="0" fillId="0" borderId="2" xfId="0" applyBorder="1" applyAlignment="1">
      <alignment horizontal="center"/>
    </xf>
    <xf numFmtId="11" fontId="0" fillId="0" borderId="9" xfId="0" applyNumberFormat="1" applyBorder="1"/>
    <xf numFmtId="167" fontId="0" fillId="0" borderId="7" xfId="0" applyNumberFormat="1" applyBorder="1"/>
    <xf numFmtId="164" fontId="0" fillId="5" borderId="2" xfId="0" applyNumberFormat="1" applyFill="1" applyBorder="1" applyAlignment="1">
      <alignment horizontal="center"/>
    </xf>
    <xf numFmtId="0" fontId="0" fillId="5" borderId="2" xfId="0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8</c:v>
                </c:pt>
                <c:pt idx="2">
                  <c:v>12.875</c:v>
                </c:pt>
                <c:pt idx="3">
                  <c:v>3.125</c:v>
                </c:pt>
                <c:pt idx="4">
                  <c:v>8</c:v>
                </c:pt>
                <c:pt idx="5">
                  <c:v>12.875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20.875</c:v>
                </c:pt>
                <c:pt idx="4">
                  <c:v>20.875</c:v>
                </c:pt>
                <c:pt idx="5">
                  <c:v>20.875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-14.022560412674048</c:v>
                </c:pt>
                <c:pt idx="1">
                  <c:v>-8.505554076873258</c:v>
                </c:pt>
                <c:pt idx="2">
                  <c:v>14.022560412674048</c:v>
                </c:pt>
                <c:pt idx="3">
                  <c:v>8.505554076873258</c:v>
                </c:pt>
                <c:pt idx="4">
                  <c:v>-14.022560412674048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3.3716167446651752</c:v>
                </c:pt>
                <c:pt idx="1">
                  <c:v>-11.647126248366362</c:v>
                </c:pt>
                <c:pt idx="2">
                  <c:v>-3.3716167446651752</c:v>
                </c:pt>
                <c:pt idx="3">
                  <c:v>11.647126248366362</c:v>
                </c:pt>
                <c:pt idx="4">
                  <c:v>3.3716167446651752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-10.011671871886485</c:v>
                </c:pt>
                <c:pt idx="1">
                  <c:v>-8.3307090039471809</c:v>
                </c:pt>
                <c:pt idx="2">
                  <c:v>-6.6497461360078773</c:v>
                </c:pt>
                <c:pt idx="3">
                  <c:v>6.6497461360078773</c:v>
                </c:pt>
                <c:pt idx="4">
                  <c:v>8.3307090039471809</c:v>
                </c:pt>
                <c:pt idx="5">
                  <c:v>10.011671871886485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1.5158088037997954</c:v>
                </c:pt>
                <c:pt idx="1">
                  <c:v>-3.0602144518895011</c:v>
                </c:pt>
                <c:pt idx="2">
                  <c:v>-7.6362377075787977</c:v>
                </c:pt>
                <c:pt idx="3">
                  <c:v>7.6362377075787977</c:v>
                </c:pt>
                <c:pt idx="4">
                  <c:v>3.0602144518895011</c:v>
                </c:pt>
                <c:pt idx="5">
                  <c:v>-1.5158088037997954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-14.022560412674048</c:v>
                </c:pt>
                <c:pt idx="1">
                  <c:v>14.022560412674048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0.68549621060897792</c:v>
                </c:pt>
                <c:pt idx="1">
                  <c:v>0.68549621060897792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-14.022560412674048</c:v>
                </c:pt>
                <c:pt idx="1">
                  <c:v>14.022560412674048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2.3297407162725854</c:v>
                </c:pt>
                <c:pt idx="1">
                  <c:v>2.3297407162725854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-13.639836195845259</c:v>
                </c:pt>
                <c:pt idx="1">
                  <c:v>#N/A</c:v>
                </c:pt>
                <c:pt idx="2">
                  <c:v>11.928215682941799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2.3297407162725854</c:v>
                </c:pt>
                <c:pt idx="1">
                  <c:v>#N/A</c:v>
                </c:pt>
                <c:pt idx="2">
                  <c:v>2.3297407162725854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14.022560412674048</c:v>
                </c:pt>
                <c:pt idx="1">
                  <c:v>-14.022560412674048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14.022560412674048</c:v>
                </c:pt>
                <c:pt idx="1">
                  <c:v>-14.022560412674048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461.42606613619745</c:v>
                </c:pt>
                <c:pt idx="1">
                  <c:v>461.07678133553281</c:v>
                </c:pt>
                <c:pt idx="2">
                  <c:v>460.70937493491601</c:v>
                </c:pt>
                <c:pt idx="3">
                  <c:v>460.32466667366583</c:v>
                </c:pt>
                <c:pt idx="4">
                  <c:v>459.91515533598999</c:v>
                </c:pt>
                <c:pt idx="5">
                  <c:v>459.48858189986885</c:v>
                </c:pt>
                <c:pt idx="6">
                  <c:v>459.0440798895404</c:v>
                </c:pt>
                <c:pt idx="7">
                  <c:v>458.57205433499985</c:v>
                </c:pt>
                <c:pt idx="8">
                  <c:v>458.08256854431158</c:v>
                </c:pt>
                <c:pt idx="9">
                  <c:v>457.56251870772206</c:v>
                </c:pt>
                <c:pt idx="10">
                  <c:v>457.02307965705683</c:v>
                </c:pt>
                <c:pt idx="11">
                  <c:v>456.46162218252692</c:v>
                </c:pt>
                <c:pt idx="12">
                  <c:v>455.8663508598566</c:v>
                </c:pt>
                <c:pt idx="13">
                  <c:v>453.20319703354926</c:v>
                </c:pt>
                <c:pt idx="14">
                  <c:v>448.41319788484947</c:v>
                </c:pt>
                <c:pt idx="15">
                  <c:v>443.82780703229338</c:v>
                </c:pt>
                <c:pt idx="16">
                  <c:v>439.42579747290245</c:v>
                </c:pt>
                <c:pt idx="17">
                  <c:v>435.18871600921625</c:v>
                </c:pt>
                <c:pt idx="18">
                  <c:v>431.0993904699813</c:v>
                </c:pt>
                <c:pt idx="19">
                  <c:v>427.14246975114276</c:v>
                </c:pt>
                <c:pt idx="20">
                  <c:v>423.30405571162106</c:v>
                </c:pt>
                <c:pt idx="21">
                  <c:v>419.57132768784732</c:v>
                </c:pt>
                <c:pt idx="22">
                  <c:v>415.9324771187438</c:v>
                </c:pt>
                <c:pt idx="23">
                  <c:v>412.37684170736316</c:v>
                </c:pt>
                <c:pt idx="24">
                  <c:v>408.89408212252863</c:v>
                </c:pt>
                <c:pt idx="25">
                  <c:v>405.47469292405384</c:v>
                </c:pt>
                <c:pt idx="26">
                  <c:v>402.11014628393957</c:v>
                </c:pt>
                <c:pt idx="27">
                  <c:v>398.79168443487174</c:v>
                </c:pt>
                <c:pt idx="28">
                  <c:v>395.51079323355094</c:v>
                </c:pt>
                <c:pt idx="29">
                  <c:v>392.2602010206582</c:v>
                </c:pt>
                <c:pt idx="30">
                  <c:v>389.03251512451982</c:v>
                </c:pt>
                <c:pt idx="31">
                  <c:v>384.98217540163853</c:v>
                </c:pt>
                <c:pt idx="32">
                  <c:v>380.18948363693977</c:v>
                </c:pt>
                <c:pt idx="33">
                  <c:v>375.39796818549496</c:v>
                </c:pt>
                <c:pt idx="34">
                  <c:v>370.60073165940065</c:v>
                </c:pt>
                <c:pt idx="35">
                  <c:v>365.79056624736938</c:v>
                </c:pt>
                <c:pt idx="36">
                  <c:v>360.9599056859077</c:v>
                </c:pt>
                <c:pt idx="37">
                  <c:v>358.47872168389023</c:v>
                </c:pt>
                <c:pt idx="38">
                  <c:v>353.53130856547256</c:v>
                </c:pt>
                <c:pt idx="39">
                  <c:v>348.53941787824044</c:v>
                </c:pt>
                <c:pt idx="40">
                  <c:v>343.49730411719884</c:v>
                </c:pt>
                <c:pt idx="41">
                  <c:v>338.49920846079686</c:v>
                </c:pt>
                <c:pt idx="42">
                  <c:v>333.58678732948681</c:v>
                </c:pt>
                <c:pt idx="43">
                  <c:v>328.74938863274753</c:v>
                </c:pt>
                <c:pt idx="44">
                  <c:v>323.97681876572256</c:v>
                </c:pt>
                <c:pt idx="45">
                  <c:v>318.64747058703921</c:v>
                </c:pt>
                <c:pt idx="46">
                  <c:v>313.27937741358909</c:v>
                </c:pt>
                <c:pt idx="47">
                  <c:v>307.9707561258914</c:v>
                </c:pt>
                <c:pt idx="48">
                  <c:v>302.71228954688752</c:v>
                </c:pt>
                <c:pt idx="49">
                  <c:v>297.49386237076698</c:v>
                </c:pt>
                <c:pt idx="50">
                  <c:v>292.30533843631252</c:v>
                </c:pt>
                <c:pt idx="51">
                  <c:v>287.13730384442499</c:v>
                </c:pt>
                <c:pt idx="52">
                  <c:v>281.97844057408167</c:v>
                </c:pt>
                <c:pt idx="53">
                  <c:v>276.8187812777648</c:v>
                </c:pt>
                <c:pt idx="54">
                  <c:v>271.64875683680884</c:v>
                </c:pt>
                <c:pt idx="55">
                  <c:v>266.4548342504238</c:v>
                </c:pt>
                <c:pt idx="56">
                  <c:v>261.2269853843128</c:v>
                </c:pt>
                <c:pt idx="57">
                  <c:v>255.9517366197008</c:v>
                </c:pt>
                <c:pt idx="58">
                  <c:v>250.61536201658637</c:v>
                </c:pt>
                <c:pt idx="59">
                  <c:v>245.20279610295884</c:v>
                </c:pt>
                <c:pt idx="60">
                  <c:v>239.69826270545491</c:v>
                </c:pt>
                <c:pt idx="61">
                  <c:v>234.08220857923328</c:v>
                </c:pt>
                <c:pt idx="62">
                  <c:v>228.33451279222328</c:v>
                </c:pt>
                <c:pt idx="63">
                  <c:v>222.43320803033561</c:v>
                </c:pt>
                <c:pt idx="64">
                  <c:v>216.35092553839627</c:v>
                </c:pt>
                <c:pt idx="65">
                  <c:v>210.05695419867249</c:v>
                </c:pt>
                <c:pt idx="66">
                  <c:v>203.51749952712515</c:v>
                </c:pt>
                <c:pt idx="67">
                  <c:v>196.69019491942299</c:v>
                </c:pt>
                <c:pt idx="68">
                  <c:v>189.52558967565355</c:v>
                </c:pt>
                <c:pt idx="69">
                  <c:v>184.717090237316</c:v>
                </c:pt>
                <c:pt idx="70">
                  <c:v>176.8181871489347</c:v>
                </c:pt>
                <c:pt idx="71">
                  <c:v>168.79456197524974</c:v>
                </c:pt>
                <c:pt idx="72">
                  <c:v>160.65153461904092</c:v>
                </c:pt>
                <c:pt idx="73">
                  <c:v>152.37414121281907</c:v>
                </c:pt>
                <c:pt idx="74">
                  <c:v>143.94880986296386</c:v>
                </c:pt>
                <c:pt idx="75">
                  <c:v>135.3592028933212</c:v>
                </c:pt>
                <c:pt idx="76">
                  <c:v>126.58910561188935</c:v>
                </c:pt>
                <c:pt idx="77">
                  <c:v>117.62173117317892</c:v>
                </c:pt>
                <c:pt idx="78">
                  <c:v>108.43782400613284</c:v>
                </c:pt>
                <c:pt idx="79">
                  <c:v>99.017730673365264</c:v>
                </c:pt>
                <c:pt idx="80">
                  <c:v>91.656345039327277</c:v>
                </c:pt>
                <c:pt idx="81">
                  <c:v>81.758912506671209</c:v>
                </c:pt>
                <c:pt idx="82">
                  <c:v>73.010633484610437</c:v>
                </c:pt>
                <c:pt idx="83">
                  <c:v>65.37568661986019</c:v>
                </c:pt>
                <c:pt idx="84">
                  <c:v>57.426325839508181</c:v>
                </c:pt>
                <c:pt idx="85">
                  <c:v>49.116390757186217</c:v>
                </c:pt>
                <c:pt idx="86">
                  <c:v>40.395556115253278</c:v>
                </c:pt>
                <c:pt idx="87">
                  <c:v>31.202057095326079</c:v>
                </c:pt>
                <c:pt idx="88">
                  <c:v>21.464504184021035</c:v>
                </c:pt>
                <c:pt idx="89">
                  <c:v>11.097963144088332</c:v>
                </c:pt>
                <c:pt idx="90">
                  <c:v>3.1552445228416275E-14</c:v>
                </c:pt>
                <c:pt idx="91">
                  <c:v>-11.097963144088261</c:v>
                </c:pt>
                <c:pt idx="92">
                  <c:v>-21.464504184021013</c:v>
                </c:pt>
                <c:pt idx="93">
                  <c:v>-31.202057095326001</c:v>
                </c:pt>
                <c:pt idx="94">
                  <c:v>-40.395556115253349</c:v>
                </c:pt>
                <c:pt idx="95">
                  <c:v>-49.116390757186281</c:v>
                </c:pt>
                <c:pt idx="96">
                  <c:v>-57.426325839508237</c:v>
                </c:pt>
                <c:pt idx="97">
                  <c:v>-65.37568661986019</c:v>
                </c:pt>
                <c:pt idx="98">
                  <c:v>-73.010633484610352</c:v>
                </c:pt>
                <c:pt idx="99">
                  <c:v>-81.75891250667118</c:v>
                </c:pt>
                <c:pt idx="100">
                  <c:v>-91.656345039327149</c:v>
                </c:pt>
                <c:pt idx="101">
                  <c:v>-99.017730673365179</c:v>
                </c:pt>
                <c:pt idx="102">
                  <c:v>-108.43782400613276</c:v>
                </c:pt>
                <c:pt idx="103">
                  <c:v>-117.62173117317896</c:v>
                </c:pt>
                <c:pt idx="104">
                  <c:v>-126.58910561188938</c:v>
                </c:pt>
                <c:pt idx="105">
                  <c:v>-135.35920289332125</c:v>
                </c:pt>
                <c:pt idx="106">
                  <c:v>-143.94880986296377</c:v>
                </c:pt>
                <c:pt idx="107">
                  <c:v>-152.37414121281907</c:v>
                </c:pt>
                <c:pt idx="108">
                  <c:v>-160.65153461904086</c:v>
                </c:pt>
                <c:pt idx="109">
                  <c:v>-168.79456197524968</c:v>
                </c:pt>
                <c:pt idx="110">
                  <c:v>-176.81818714893461</c:v>
                </c:pt>
                <c:pt idx="111">
                  <c:v>-184.71709023731589</c:v>
                </c:pt>
                <c:pt idx="112">
                  <c:v>-189.52558967565355</c:v>
                </c:pt>
                <c:pt idx="113">
                  <c:v>-196.69019491942294</c:v>
                </c:pt>
                <c:pt idx="114">
                  <c:v>-203.51749952712515</c:v>
                </c:pt>
                <c:pt idx="115">
                  <c:v>-210.05695419867249</c:v>
                </c:pt>
                <c:pt idx="116">
                  <c:v>-216.35092553839627</c:v>
                </c:pt>
                <c:pt idx="117">
                  <c:v>-222.43320803033558</c:v>
                </c:pt>
                <c:pt idx="118">
                  <c:v>-228.33451279222328</c:v>
                </c:pt>
                <c:pt idx="119">
                  <c:v>-234.08220857923325</c:v>
                </c:pt>
                <c:pt idx="120">
                  <c:v>-239.69826270545468</c:v>
                </c:pt>
                <c:pt idx="121">
                  <c:v>-245.20279610295901</c:v>
                </c:pt>
                <c:pt idx="122">
                  <c:v>-250.61536201658623</c:v>
                </c:pt>
                <c:pt idx="123">
                  <c:v>-255.95173661970071</c:v>
                </c:pt>
                <c:pt idx="124">
                  <c:v>-261.22698538431263</c:v>
                </c:pt>
                <c:pt idx="125">
                  <c:v>-266.45483425042363</c:v>
                </c:pt>
                <c:pt idx="126">
                  <c:v>-271.64875683680879</c:v>
                </c:pt>
                <c:pt idx="127">
                  <c:v>-276.81878127776474</c:v>
                </c:pt>
                <c:pt idx="128">
                  <c:v>-281.97844057408167</c:v>
                </c:pt>
                <c:pt idx="129">
                  <c:v>-287.13730384442488</c:v>
                </c:pt>
                <c:pt idx="130">
                  <c:v>-292.30533843631252</c:v>
                </c:pt>
                <c:pt idx="131">
                  <c:v>-297.49386237076698</c:v>
                </c:pt>
                <c:pt idx="132">
                  <c:v>-302.71228954688752</c:v>
                </c:pt>
                <c:pt idx="133">
                  <c:v>-307.9707561258914</c:v>
                </c:pt>
                <c:pt idx="134">
                  <c:v>-313.2793774135892</c:v>
                </c:pt>
                <c:pt idx="135">
                  <c:v>-318.64747058703921</c:v>
                </c:pt>
                <c:pt idx="136">
                  <c:v>-323.97681876572256</c:v>
                </c:pt>
                <c:pt idx="137">
                  <c:v>-328.74938863274758</c:v>
                </c:pt>
                <c:pt idx="138">
                  <c:v>-333.58678732948658</c:v>
                </c:pt>
                <c:pt idx="139">
                  <c:v>-338.49920846079698</c:v>
                </c:pt>
                <c:pt idx="140">
                  <c:v>-343.49730411719872</c:v>
                </c:pt>
                <c:pt idx="141">
                  <c:v>-348.53941787824044</c:v>
                </c:pt>
                <c:pt idx="142">
                  <c:v>-353.53130856547261</c:v>
                </c:pt>
                <c:pt idx="143">
                  <c:v>-358.47872168389017</c:v>
                </c:pt>
                <c:pt idx="144">
                  <c:v>-360.95990568590764</c:v>
                </c:pt>
                <c:pt idx="145">
                  <c:v>-365.79056624736944</c:v>
                </c:pt>
                <c:pt idx="146">
                  <c:v>-370.60073165940065</c:v>
                </c:pt>
                <c:pt idx="147">
                  <c:v>-375.3979681854949</c:v>
                </c:pt>
                <c:pt idx="148">
                  <c:v>-380.18948363693977</c:v>
                </c:pt>
                <c:pt idx="149">
                  <c:v>-384.98217540163841</c:v>
                </c:pt>
                <c:pt idx="150">
                  <c:v>-389.03251512451988</c:v>
                </c:pt>
                <c:pt idx="151">
                  <c:v>-392.2602010206582</c:v>
                </c:pt>
                <c:pt idx="152">
                  <c:v>-395.51079323355083</c:v>
                </c:pt>
                <c:pt idx="153">
                  <c:v>-398.79168443487168</c:v>
                </c:pt>
                <c:pt idx="154">
                  <c:v>-402.11014628393957</c:v>
                </c:pt>
                <c:pt idx="155">
                  <c:v>-405.4746929240539</c:v>
                </c:pt>
                <c:pt idx="156">
                  <c:v>-408.89408212252835</c:v>
                </c:pt>
                <c:pt idx="157">
                  <c:v>-412.37684170736316</c:v>
                </c:pt>
                <c:pt idx="158">
                  <c:v>-415.9324771187438</c:v>
                </c:pt>
                <c:pt idx="159">
                  <c:v>-419.57132768784732</c:v>
                </c:pt>
                <c:pt idx="160">
                  <c:v>-423.30405571162089</c:v>
                </c:pt>
                <c:pt idx="161">
                  <c:v>-427.14246975114276</c:v>
                </c:pt>
                <c:pt idx="162">
                  <c:v>-431.09939046998142</c:v>
                </c:pt>
                <c:pt idx="163">
                  <c:v>-435.18871600921636</c:v>
                </c:pt>
                <c:pt idx="164">
                  <c:v>-439.42579747290239</c:v>
                </c:pt>
                <c:pt idx="165">
                  <c:v>-443.82780703229321</c:v>
                </c:pt>
                <c:pt idx="166">
                  <c:v>-448.41319788484947</c:v>
                </c:pt>
                <c:pt idx="167">
                  <c:v>-453.20319703354909</c:v>
                </c:pt>
                <c:pt idx="168">
                  <c:v>-455.8663508598566</c:v>
                </c:pt>
                <c:pt idx="169">
                  <c:v>-456.46162218252692</c:v>
                </c:pt>
                <c:pt idx="170">
                  <c:v>-457.02307965705683</c:v>
                </c:pt>
                <c:pt idx="171">
                  <c:v>-457.56251870772178</c:v>
                </c:pt>
                <c:pt idx="172">
                  <c:v>-458.08256854431153</c:v>
                </c:pt>
                <c:pt idx="173">
                  <c:v>-458.57205433499973</c:v>
                </c:pt>
                <c:pt idx="174">
                  <c:v>-459.0440798895404</c:v>
                </c:pt>
                <c:pt idx="175">
                  <c:v>-459.48858189986885</c:v>
                </c:pt>
                <c:pt idx="176">
                  <c:v>-459.91515533598982</c:v>
                </c:pt>
                <c:pt idx="177">
                  <c:v>-460.32466667366583</c:v>
                </c:pt>
                <c:pt idx="178">
                  <c:v>-460.70937493491596</c:v>
                </c:pt>
                <c:pt idx="179">
                  <c:v>-461.07678133553281</c:v>
                </c:pt>
                <c:pt idx="180">
                  <c:v>-461.42606613619745</c:v>
                </c:pt>
                <c:pt idx="181">
                  <c:v>-461.07678133553259</c:v>
                </c:pt>
                <c:pt idx="182">
                  <c:v>-460.70937493491596</c:v>
                </c:pt>
                <c:pt idx="183">
                  <c:v>-460.324666673666</c:v>
                </c:pt>
                <c:pt idx="184">
                  <c:v>-459.91515533598999</c:v>
                </c:pt>
                <c:pt idx="185">
                  <c:v>-459.4885818998689</c:v>
                </c:pt>
                <c:pt idx="186">
                  <c:v>-459.0440798895404</c:v>
                </c:pt>
                <c:pt idx="187">
                  <c:v>-458.57205433500019</c:v>
                </c:pt>
                <c:pt idx="188">
                  <c:v>-458.08256854431141</c:v>
                </c:pt>
                <c:pt idx="189">
                  <c:v>-457.56251870772195</c:v>
                </c:pt>
                <c:pt idx="190">
                  <c:v>-457.02307965705683</c:v>
                </c:pt>
                <c:pt idx="191">
                  <c:v>-456.46162218252692</c:v>
                </c:pt>
                <c:pt idx="192">
                  <c:v>-455.86635085985648</c:v>
                </c:pt>
                <c:pt idx="193">
                  <c:v>-453.20319703354926</c:v>
                </c:pt>
                <c:pt idx="194">
                  <c:v>-448.41319788484935</c:v>
                </c:pt>
                <c:pt idx="195">
                  <c:v>-443.82780703229344</c:v>
                </c:pt>
                <c:pt idx="196">
                  <c:v>-439.42579747290239</c:v>
                </c:pt>
                <c:pt idx="197">
                  <c:v>-435.18871600921625</c:v>
                </c:pt>
                <c:pt idx="198">
                  <c:v>-431.09939046998159</c:v>
                </c:pt>
                <c:pt idx="199">
                  <c:v>-427.1424697511427</c:v>
                </c:pt>
                <c:pt idx="200">
                  <c:v>-423.30405571162106</c:v>
                </c:pt>
                <c:pt idx="201">
                  <c:v>-419.57132768784737</c:v>
                </c:pt>
                <c:pt idx="202">
                  <c:v>-415.93247711874386</c:v>
                </c:pt>
                <c:pt idx="203">
                  <c:v>-412.37684170736304</c:v>
                </c:pt>
                <c:pt idx="204">
                  <c:v>-408.89408212252852</c:v>
                </c:pt>
                <c:pt idx="205">
                  <c:v>-405.47469292405395</c:v>
                </c:pt>
                <c:pt idx="206">
                  <c:v>-402.1101462839394</c:v>
                </c:pt>
                <c:pt idx="207">
                  <c:v>-398.79168443487168</c:v>
                </c:pt>
                <c:pt idx="208">
                  <c:v>-395.51079323355077</c:v>
                </c:pt>
                <c:pt idx="209">
                  <c:v>-392.26020102065843</c:v>
                </c:pt>
                <c:pt idx="210">
                  <c:v>-389.03251512451988</c:v>
                </c:pt>
                <c:pt idx="211">
                  <c:v>-384.98217540163853</c:v>
                </c:pt>
                <c:pt idx="212">
                  <c:v>-380.18948363693977</c:v>
                </c:pt>
                <c:pt idx="213">
                  <c:v>-375.39796818549496</c:v>
                </c:pt>
                <c:pt idx="214">
                  <c:v>-370.60073165940082</c:v>
                </c:pt>
                <c:pt idx="215">
                  <c:v>-365.79056624736944</c:v>
                </c:pt>
                <c:pt idx="216">
                  <c:v>-360.95990568590781</c:v>
                </c:pt>
                <c:pt idx="217">
                  <c:v>-358.47872168389023</c:v>
                </c:pt>
                <c:pt idx="218">
                  <c:v>-353.53130856547267</c:v>
                </c:pt>
                <c:pt idx="219">
                  <c:v>-348.53941787824044</c:v>
                </c:pt>
                <c:pt idx="220">
                  <c:v>-343.49730411719884</c:v>
                </c:pt>
                <c:pt idx="221">
                  <c:v>-338.49920846079698</c:v>
                </c:pt>
                <c:pt idx="222">
                  <c:v>-333.58678732948675</c:v>
                </c:pt>
                <c:pt idx="223">
                  <c:v>-328.74938863274764</c:v>
                </c:pt>
                <c:pt idx="224">
                  <c:v>-323.97681876572244</c:v>
                </c:pt>
                <c:pt idx="225">
                  <c:v>-318.64747058703927</c:v>
                </c:pt>
                <c:pt idx="226">
                  <c:v>-313.27937741358915</c:v>
                </c:pt>
                <c:pt idx="227">
                  <c:v>-307.9707561258914</c:v>
                </c:pt>
                <c:pt idx="228">
                  <c:v>-302.71228954688752</c:v>
                </c:pt>
                <c:pt idx="229">
                  <c:v>-297.49386237076686</c:v>
                </c:pt>
                <c:pt idx="230">
                  <c:v>-292.30533843631252</c:v>
                </c:pt>
                <c:pt idx="231">
                  <c:v>-287.13730384442511</c:v>
                </c:pt>
                <c:pt idx="232">
                  <c:v>-281.97844057408145</c:v>
                </c:pt>
                <c:pt idx="233">
                  <c:v>-276.81878127776469</c:v>
                </c:pt>
                <c:pt idx="234">
                  <c:v>-271.6487568368089</c:v>
                </c:pt>
                <c:pt idx="235">
                  <c:v>-266.4548342504238</c:v>
                </c:pt>
                <c:pt idx="236">
                  <c:v>-261.22698538431263</c:v>
                </c:pt>
                <c:pt idx="237">
                  <c:v>-255.95173661970071</c:v>
                </c:pt>
                <c:pt idx="238">
                  <c:v>-250.61536201658637</c:v>
                </c:pt>
                <c:pt idx="239">
                  <c:v>-245.20279610295896</c:v>
                </c:pt>
                <c:pt idx="240">
                  <c:v>-239.69826270545497</c:v>
                </c:pt>
                <c:pt idx="241">
                  <c:v>-234.08220857923325</c:v>
                </c:pt>
                <c:pt idx="242">
                  <c:v>-228.33451279222328</c:v>
                </c:pt>
                <c:pt idx="243">
                  <c:v>-222.43320803033566</c:v>
                </c:pt>
                <c:pt idx="244">
                  <c:v>-216.35092553839633</c:v>
                </c:pt>
                <c:pt idx="245">
                  <c:v>-210.05695419867237</c:v>
                </c:pt>
                <c:pt idx="246">
                  <c:v>-203.51749952712507</c:v>
                </c:pt>
                <c:pt idx="247">
                  <c:v>-196.69019491942291</c:v>
                </c:pt>
                <c:pt idx="248">
                  <c:v>-189.52558967565369</c:v>
                </c:pt>
                <c:pt idx="249">
                  <c:v>-184.71709023731614</c:v>
                </c:pt>
                <c:pt idx="250">
                  <c:v>-176.8181871489345</c:v>
                </c:pt>
                <c:pt idx="251">
                  <c:v>-168.79456197524974</c:v>
                </c:pt>
                <c:pt idx="252">
                  <c:v>-160.65153461904092</c:v>
                </c:pt>
                <c:pt idx="253">
                  <c:v>-152.3741412128193</c:v>
                </c:pt>
                <c:pt idx="254">
                  <c:v>-143.94880986296369</c:v>
                </c:pt>
                <c:pt idx="255">
                  <c:v>-135.35920289332117</c:v>
                </c:pt>
                <c:pt idx="256">
                  <c:v>-126.58910561188938</c:v>
                </c:pt>
                <c:pt idx="257">
                  <c:v>-117.62173117317907</c:v>
                </c:pt>
                <c:pt idx="258">
                  <c:v>-108.43782400613301</c:v>
                </c:pt>
                <c:pt idx="259">
                  <c:v>-99.017730673365079</c:v>
                </c:pt>
                <c:pt idx="260">
                  <c:v>-91.656345039327164</c:v>
                </c:pt>
                <c:pt idx="261">
                  <c:v>-81.75891250667128</c:v>
                </c:pt>
                <c:pt idx="262">
                  <c:v>-73.01063348461058</c:v>
                </c:pt>
                <c:pt idx="263">
                  <c:v>-65.375686619860105</c:v>
                </c:pt>
                <c:pt idx="264">
                  <c:v>-57.426325839508117</c:v>
                </c:pt>
                <c:pt idx="265">
                  <c:v>-49.116390757186302</c:v>
                </c:pt>
                <c:pt idx="266">
                  <c:v>-40.395556115253441</c:v>
                </c:pt>
                <c:pt idx="267">
                  <c:v>-31.202057095326239</c:v>
                </c:pt>
                <c:pt idx="268">
                  <c:v>-21.464504184020868</c:v>
                </c:pt>
                <c:pt idx="269">
                  <c:v>-11.097963144088299</c:v>
                </c:pt>
                <c:pt idx="270">
                  <c:v>-9.0242808296344158E-14</c:v>
                </c:pt>
                <c:pt idx="271">
                  <c:v>11.09796314408803</c:v>
                </c:pt>
                <c:pt idx="272">
                  <c:v>21.464504184021159</c:v>
                </c:pt>
                <c:pt idx="273">
                  <c:v>31.202057095326079</c:v>
                </c:pt>
                <c:pt idx="274">
                  <c:v>40.395556115253314</c:v>
                </c:pt>
                <c:pt idx="275">
                  <c:v>49.116390757186061</c:v>
                </c:pt>
                <c:pt idx="276">
                  <c:v>57.426325839507925</c:v>
                </c:pt>
                <c:pt idx="277">
                  <c:v>65.375686619860332</c:v>
                </c:pt>
                <c:pt idx="278">
                  <c:v>73.010633484610437</c:v>
                </c:pt>
                <c:pt idx="279">
                  <c:v>81.758912506671081</c:v>
                </c:pt>
                <c:pt idx="280">
                  <c:v>91.656345039326951</c:v>
                </c:pt>
                <c:pt idx="281">
                  <c:v>99.017730673365378</c:v>
                </c:pt>
                <c:pt idx="282">
                  <c:v>108.43782400613277</c:v>
                </c:pt>
                <c:pt idx="283">
                  <c:v>117.62173117317892</c:v>
                </c:pt>
                <c:pt idx="284">
                  <c:v>126.5891056118892</c:v>
                </c:pt>
                <c:pt idx="285">
                  <c:v>135.35920289332094</c:v>
                </c:pt>
                <c:pt idx="286">
                  <c:v>143.948809862964</c:v>
                </c:pt>
                <c:pt idx="287">
                  <c:v>152.37414121281907</c:v>
                </c:pt>
                <c:pt idx="288">
                  <c:v>160.65153461904077</c:v>
                </c:pt>
                <c:pt idx="289">
                  <c:v>168.79456197524954</c:v>
                </c:pt>
                <c:pt idx="290">
                  <c:v>176.8181871489347</c:v>
                </c:pt>
                <c:pt idx="291">
                  <c:v>184.717090237316</c:v>
                </c:pt>
                <c:pt idx="292">
                  <c:v>189.52558967565349</c:v>
                </c:pt>
                <c:pt idx="293">
                  <c:v>196.69019491942285</c:v>
                </c:pt>
                <c:pt idx="294">
                  <c:v>203.51749952712493</c:v>
                </c:pt>
                <c:pt idx="295">
                  <c:v>210.0569541986726</c:v>
                </c:pt>
                <c:pt idx="296">
                  <c:v>216.35092553839621</c:v>
                </c:pt>
                <c:pt idx="297">
                  <c:v>222.43320803033549</c:v>
                </c:pt>
                <c:pt idx="298">
                  <c:v>228.33451279222314</c:v>
                </c:pt>
                <c:pt idx="299">
                  <c:v>234.08220857923337</c:v>
                </c:pt>
                <c:pt idx="300">
                  <c:v>239.69826270545482</c:v>
                </c:pt>
                <c:pt idx="301">
                  <c:v>245.20279610295896</c:v>
                </c:pt>
                <c:pt idx="302">
                  <c:v>250.61536201658623</c:v>
                </c:pt>
                <c:pt idx="303">
                  <c:v>255.95173661970063</c:v>
                </c:pt>
                <c:pt idx="304">
                  <c:v>261.22698538431285</c:v>
                </c:pt>
                <c:pt idx="305">
                  <c:v>266.45483425042363</c:v>
                </c:pt>
                <c:pt idx="306">
                  <c:v>271.64875683680873</c:v>
                </c:pt>
                <c:pt idx="307">
                  <c:v>276.81878127776463</c:v>
                </c:pt>
                <c:pt idx="308">
                  <c:v>281.97844057408162</c:v>
                </c:pt>
                <c:pt idx="309">
                  <c:v>287.13730384442505</c:v>
                </c:pt>
                <c:pt idx="310">
                  <c:v>292.30533843631252</c:v>
                </c:pt>
                <c:pt idx="311">
                  <c:v>297.49386237076686</c:v>
                </c:pt>
                <c:pt idx="312">
                  <c:v>302.71228954688735</c:v>
                </c:pt>
                <c:pt idx="313">
                  <c:v>307.9707561258914</c:v>
                </c:pt>
                <c:pt idx="314">
                  <c:v>313.2793774135892</c:v>
                </c:pt>
                <c:pt idx="315">
                  <c:v>318.64747058703909</c:v>
                </c:pt>
                <c:pt idx="316">
                  <c:v>323.97681876572244</c:v>
                </c:pt>
                <c:pt idx="317">
                  <c:v>328.74938863274764</c:v>
                </c:pt>
                <c:pt idx="318">
                  <c:v>333.58678732948675</c:v>
                </c:pt>
                <c:pt idx="319">
                  <c:v>338.49920846079698</c:v>
                </c:pt>
                <c:pt idx="320">
                  <c:v>343.49730411719867</c:v>
                </c:pt>
                <c:pt idx="321">
                  <c:v>348.53941787824033</c:v>
                </c:pt>
                <c:pt idx="322">
                  <c:v>353.53130856547267</c:v>
                </c:pt>
                <c:pt idx="323">
                  <c:v>358.47872168389017</c:v>
                </c:pt>
                <c:pt idx="324">
                  <c:v>360.9599056859077</c:v>
                </c:pt>
                <c:pt idx="325">
                  <c:v>365.79056624736944</c:v>
                </c:pt>
                <c:pt idx="326">
                  <c:v>370.60073165940071</c:v>
                </c:pt>
                <c:pt idx="327">
                  <c:v>375.3979681854949</c:v>
                </c:pt>
                <c:pt idx="328">
                  <c:v>380.18948363693983</c:v>
                </c:pt>
                <c:pt idx="329">
                  <c:v>384.98217540163841</c:v>
                </c:pt>
                <c:pt idx="330">
                  <c:v>389.03251512451965</c:v>
                </c:pt>
                <c:pt idx="331">
                  <c:v>392.26020102065843</c:v>
                </c:pt>
                <c:pt idx="332">
                  <c:v>395.51079323355077</c:v>
                </c:pt>
                <c:pt idx="333">
                  <c:v>398.79168443487174</c:v>
                </c:pt>
                <c:pt idx="334">
                  <c:v>402.1101462839394</c:v>
                </c:pt>
                <c:pt idx="335">
                  <c:v>405.47469292405395</c:v>
                </c:pt>
                <c:pt idx="336">
                  <c:v>408.89408212252863</c:v>
                </c:pt>
                <c:pt idx="337">
                  <c:v>412.37684170736298</c:v>
                </c:pt>
                <c:pt idx="338">
                  <c:v>415.93247711874369</c:v>
                </c:pt>
                <c:pt idx="339">
                  <c:v>419.57132768784732</c:v>
                </c:pt>
                <c:pt idx="340">
                  <c:v>423.304055711621</c:v>
                </c:pt>
                <c:pt idx="341">
                  <c:v>427.14246975114276</c:v>
                </c:pt>
                <c:pt idx="342">
                  <c:v>431.09939046998142</c:v>
                </c:pt>
                <c:pt idx="343">
                  <c:v>435.18871600921619</c:v>
                </c:pt>
                <c:pt idx="344">
                  <c:v>439.42579747290239</c:v>
                </c:pt>
                <c:pt idx="345">
                  <c:v>443.82780703229332</c:v>
                </c:pt>
                <c:pt idx="346">
                  <c:v>448.41319788484947</c:v>
                </c:pt>
                <c:pt idx="347">
                  <c:v>453.20319703354915</c:v>
                </c:pt>
                <c:pt idx="348">
                  <c:v>455.86635085985631</c:v>
                </c:pt>
                <c:pt idx="349">
                  <c:v>456.46162218252692</c:v>
                </c:pt>
                <c:pt idx="350">
                  <c:v>457.02307965705683</c:v>
                </c:pt>
                <c:pt idx="351">
                  <c:v>457.56251870772184</c:v>
                </c:pt>
                <c:pt idx="352">
                  <c:v>458.08256854431141</c:v>
                </c:pt>
                <c:pt idx="353">
                  <c:v>458.57205433500002</c:v>
                </c:pt>
                <c:pt idx="354">
                  <c:v>459.0440798895404</c:v>
                </c:pt>
                <c:pt idx="355">
                  <c:v>459.48858189986873</c:v>
                </c:pt>
                <c:pt idx="356">
                  <c:v>459.91515533598977</c:v>
                </c:pt>
                <c:pt idx="357">
                  <c:v>460.32466667366572</c:v>
                </c:pt>
                <c:pt idx="358">
                  <c:v>460.70937493491596</c:v>
                </c:pt>
                <c:pt idx="359">
                  <c:v>461.07678133553259</c:v>
                </c:pt>
                <c:pt idx="360">
                  <c:v>461.42606613619745</c:v>
                </c:pt>
                <c:pt idx="361">
                  <c:v>461.42606613619745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2.5639318565983098</c:v>
                </c:pt>
                <c:pt idx="2">
                  <c:v>5.0663758435440363</c:v>
                </c:pt>
                <c:pt idx="3">
                  <c:v>7.5148790570000408</c:v>
                </c:pt>
                <c:pt idx="4">
                  <c:v>9.9161624248366991</c:v>
                </c:pt>
                <c:pt idx="5">
                  <c:v>12.276008224291713</c:v>
                </c:pt>
                <c:pt idx="6">
                  <c:v>14.599641895385618</c:v>
                </c:pt>
                <c:pt idx="7">
                  <c:v>16.891957676325241</c:v>
                </c:pt>
                <c:pt idx="8">
                  <c:v>19.157023971106511</c:v>
                </c:pt>
                <c:pt idx="9">
                  <c:v>21.399043009293038</c:v>
                </c:pt>
                <c:pt idx="10">
                  <c:v>23.62133449949053</c:v>
                </c:pt>
                <c:pt idx="11">
                  <c:v>25.827271615412343</c:v>
                </c:pt>
                <c:pt idx="12">
                  <c:v>28.020302089807643</c:v>
                </c:pt>
                <c:pt idx="13">
                  <c:v>29.997628881911158</c:v>
                </c:pt>
                <c:pt idx="14">
                  <c:v>31.715585289888029</c:v>
                </c:pt>
                <c:pt idx="15">
                  <c:v>33.399636295653416</c:v>
                </c:pt>
                <c:pt idx="16">
                  <c:v>35.054212576818699</c:v>
                </c:pt>
                <c:pt idx="17">
                  <c:v>36.685243288289676</c:v>
                </c:pt>
                <c:pt idx="18">
                  <c:v>38.296063292195441</c:v>
                </c:pt>
                <c:pt idx="19">
                  <c:v>39.891199307526662</c:v>
                </c:pt>
                <c:pt idx="20">
                  <c:v>41.473153826076228</c:v>
                </c:pt>
                <c:pt idx="21">
                  <c:v>43.045805381122051</c:v>
                </c:pt>
                <c:pt idx="22">
                  <c:v>44.612230617705777</c:v>
                </c:pt>
                <c:pt idx="23">
                  <c:v>46.17469291463258</c:v>
                </c:pt>
                <c:pt idx="24">
                  <c:v>47.736464541829626</c:v>
                </c:pt>
                <c:pt idx="25">
                  <c:v>49.300085810820114</c:v>
                </c:pt>
                <c:pt idx="26">
                  <c:v>50.867346880589842</c:v>
                </c:pt>
                <c:pt idx="27">
                  <c:v>52.441179149661778</c:v>
                </c:pt>
                <c:pt idx="28">
                  <c:v>54.024470578508293</c:v>
                </c:pt>
                <c:pt idx="29">
                  <c:v>55.618779318862565</c:v>
                </c:pt>
                <c:pt idx="30">
                  <c:v>57.226253391578673</c:v>
                </c:pt>
                <c:pt idx="31">
                  <c:v>59.366287285671646</c:v>
                </c:pt>
                <c:pt idx="32">
                  <c:v>61.97538363153398</c:v>
                </c:pt>
                <c:pt idx="33">
                  <c:v>64.590567375974217</c:v>
                </c:pt>
                <c:pt idx="34">
                  <c:v>67.214898132699062</c:v>
                </c:pt>
                <c:pt idx="35">
                  <c:v>69.851536474397392</c:v>
                </c:pt>
                <c:pt idx="36">
                  <c:v>72.503759058418879</c:v>
                </c:pt>
                <c:pt idx="37">
                  <c:v>73.946552912345709</c:v>
                </c:pt>
                <c:pt idx="38">
                  <c:v>76.657827288361119</c:v>
                </c:pt>
                <c:pt idx="39">
                  <c:v>79.394762111916407</c:v>
                </c:pt>
                <c:pt idx="40">
                  <c:v>82.158471339267976</c:v>
                </c:pt>
                <c:pt idx="41">
                  <c:v>84.885963552934953</c:v>
                </c:pt>
                <c:pt idx="42">
                  <c:v>87.550560001795802</c:v>
                </c:pt>
                <c:pt idx="43">
                  <c:v>90.160067725628679</c:v>
                </c:pt>
                <c:pt idx="44">
                  <c:v>92.721754310268906</c:v>
                </c:pt>
                <c:pt idx="45">
                  <c:v>95.251313513603861</c:v>
                </c:pt>
                <c:pt idx="46">
                  <c:v>97.740103538286291</c:v>
                </c:pt>
                <c:pt idx="47">
                  <c:v>100.19278607930714</c:v>
                </c:pt>
                <c:pt idx="48">
                  <c:v>102.61605795185383</c:v>
                </c:pt>
                <c:pt idx="49">
                  <c:v>105.01632655366757</c:v>
                </c:pt>
                <c:pt idx="50">
                  <c:v>107.39986382028918</c:v>
                </c:pt>
                <c:pt idx="51">
                  <c:v>109.7727680627343</c:v>
                </c:pt>
                <c:pt idx="52">
                  <c:v>112.14130409522814</c:v>
                </c:pt>
                <c:pt idx="53">
                  <c:v>114.51159729151689</c:v>
                </c:pt>
                <c:pt idx="54">
                  <c:v>116.88962773462802</c:v>
                </c:pt>
                <c:pt idx="55">
                  <c:v>119.28225393534935</c:v>
                </c:pt>
                <c:pt idx="56">
                  <c:v>121.69565586708023</c:v>
                </c:pt>
                <c:pt idx="57">
                  <c:v>124.13690628875806</c:v>
                </c:pt>
                <c:pt idx="58">
                  <c:v>126.61329549500249</c:v>
                </c:pt>
                <c:pt idx="59">
                  <c:v>129.13263446263937</c:v>
                </c:pt>
                <c:pt idx="60">
                  <c:v>131.70305467838864</c:v>
                </c:pt>
                <c:pt idx="61">
                  <c:v>134.33410590351471</c:v>
                </c:pt>
                <c:pt idx="62">
                  <c:v>137.03565516581304</c:v>
                </c:pt>
                <c:pt idx="63">
                  <c:v>139.81826798487245</c:v>
                </c:pt>
                <c:pt idx="64">
                  <c:v>142.69460893589115</c:v>
                </c:pt>
                <c:pt idx="65">
                  <c:v>145.67863784183245</c:v>
                </c:pt>
                <c:pt idx="66">
                  <c:v>148.78539654101641</c:v>
                </c:pt>
                <c:pt idx="67">
                  <c:v>152.03319268826391</c:v>
                </c:pt>
                <c:pt idx="68">
                  <c:v>155.4428542544006</c:v>
                </c:pt>
                <c:pt idx="69">
                  <c:v>158.84829017415947</c:v>
                </c:pt>
                <c:pt idx="70">
                  <c:v>162.58258114096131</c:v>
                </c:pt>
                <c:pt idx="71">
                  <c:v>166.2827976034034</c:v>
                </c:pt>
                <c:pt idx="72">
                  <c:v>169.94335879427626</c:v>
                </c:pt>
                <c:pt idx="73">
                  <c:v>173.57201632010114</c:v>
                </c:pt>
                <c:pt idx="74">
                  <c:v>177.1758305943782</c:v>
                </c:pt>
                <c:pt idx="75">
                  <c:v>180.76228330778522</c:v>
                </c:pt>
                <c:pt idx="76">
                  <c:v>184.33857758329316</c:v>
                </c:pt>
                <c:pt idx="77">
                  <c:v>187.91214989105919</c:v>
                </c:pt>
                <c:pt idx="78">
                  <c:v>191.49047547169374</c:v>
                </c:pt>
                <c:pt idx="79">
                  <c:v>195.08153424088923</c:v>
                </c:pt>
                <c:pt idx="80">
                  <c:v>197.23402600384063</c:v>
                </c:pt>
                <c:pt idx="81">
                  <c:v>200.83172410774878</c:v>
                </c:pt>
                <c:pt idx="82">
                  <c:v>203.79607013580232</c:v>
                </c:pt>
                <c:pt idx="83">
                  <c:v>206.15676354588791</c:v>
                </c:pt>
                <c:pt idx="84">
                  <c:v>208.57397536145959</c:v>
                </c:pt>
                <c:pt idx="85">
                  <c:v>211.06279042218225</c:v>
                </c:pt>
                <c:pt idx="86">
                  <c:v>213.64061248164904</c:v>
                </c:pt>
                <c:pt idx="87">
                  <c:v>216.32700612711363</c:v>
                </c:pt>
                <c:pt idx="88">
                  <c:v>219.14478568217254</c:v>
                </c:pt>
                <c:pt idx="89">
                  <c:v>222.12087808949104</c:v>
                </c:pt>
                <c:pt idx="90">
                  <c:v>225.28550728441064</c:v>
                </c:pt>
                <c:pt idx="91">
                  <c:v>222.12087808949107</c:v>
                </c:pt>
                <c:pt idx="92">
                  <c:v>219.14478568217254</c:v>
                </c:pt>
                <c:pt idx="93">
                  <c:v>216.32700612711369</c:v>
                </c:pt>
                <c:pt idx="94">
                  <c:v>213.64061248164901</c:v>
                </c:pt>
                <c:pt idx="95">
                  <c:v>211.06279042218227</c:v>
                </c:pt>
                <c:pt idx="96">
                  <c:v>208.57397536145956</c:v>
                </c:pt>
                <c:pt idx="97">
                  <c:v>206.156763545888</c:v>
                </c:pt>
                <c:pt idx="98">
                  <c:v>203.79607013580232</c:v>
                </c:pt>
                <c:pt idx="99">
                  <c:v>200.83172410774873</c:v>
                </c:pt>
                <c:pt idx="100">
                  <c:v>197.23402600384063</c:v>
                </c:pt>
                <c:pt idx="101">
                  <c:v>195.0815342408892</c:v>
                </c:pt>
                <c:pt idx="102">
                  <c:v>191.49047547169388</c:v>
                </c:pt>
                <c:pt idx="103">
                  <c:v>187.91214989105919</c:v>
                </c:pt>
                <c:pt idx="104">
                  <c:v>184.33857758329316</c:v>
                </c:pt>
                <c:pt idx="105">
                  <c:v>180.76228330778525</c:v>
                </c:pt>
                <c:pt idx="106">
                  <c:v>177.17583059437823</c:v>
                </c:pt>
                <c:pt idx="107">
                  <c:v>173.57201632010126</c:v>
                </c:pt>
                <c:pt idx="108">
                  <c:v>169.94335879427635</c:v>
                </c:pt>
                <c:pt idx="109">
                  <c:v>166.28279760340348</c:v>
                </c:pt>
                <c:pt idx="110">
                  <c:v>162.58258114096134</c:v>
                </c:pt>
                <c:pt idx="111">
                  <c:v>158.84829017415942</c:v>
                </c:pt>
                <c:pt idx="112">
                  <c:v>155.4428542544006</c:v>
                </c:pt>
                <c:pt idx="113">
                  <c:v>152.03319268826382</c:v>
                </c:pt>
                <c:pt idx="114">
                  <c:v>148.78539654101641</c:v>
                </c:pt>
                <c:pt idx="115">
                  <c:v>145.67863784183248</c:v>
                </c:pt>
                <c:pt idx="116">
                  <c:v>142.69460893589107</c:v>
                </c:pt>
                <c:pt idx="117">
                  <c:v>139.81826798487245</c:v>
                </c:pt>
                <c:pt idx="118">
                  <c:v>137.03565516581307</c:v>
                </c:pt>
                <c:pt idx="119">
                  <c:v>134.33410590351477</c:v>
                </c:pt>
                <c:pt idx="120">
                  <c:v>131.7030546783887</c:v>
                </c:pt>
                <c:pt idx="121">
                  <c:v>129.13263446263934</c:v>
                </c:pt>
                <c:pt idx="122">
                  <c:v>126.61329549500249</c:v>
                </c:pt>
                <c:pt idx="123">
                  <c:v>124.13690628875796</c:v>
                </c:pt>
                <c:pt idx="124">
                  <c:v>121.69565586708029</c:v>
                </c:pt>
                <c:pt idx="125">
                  <c:v>119.28225393534926</c:v>
                </c:pt>
                <c:pt idx="126">
                  <c:v>116.88962773462804</c:v>
                </c:pt>
                <c:pt idx="127">
                  <c:v>114.51159729151679</c:v>
                </c:pt>
                <c:pt idx="128">
                  <c:v>112.14130409522814</c:v>
                </c:pt>
                <c:pt idx="129">
                  <c:v>109.77276806273426</c:v>
                </c:pt>
                <c:pt idx="130">
                  <c:v>107.39986382028918</c:v>
                </c:pt>
                <c:pt idx="131">
                  <c:v>105.0163265536676</c:v>
                </c:pt>
                <c:pt idx="132">
                  <c:v>102.61605795185378</c:v>
                </c:pt>
                <c:pt idx="133">
                  <c:v>100.19278607930725</c:v>
                </c:pt>
                <c:pt idx="134">
                  <c:v>97.740103538286235</c:v>
                </c:pt>
                <c:pt idx="135">
                  <c:v>95.251313513603947</c:v>
                </c:pt>
                <c:pt idx="136">
                  <c:v>92.721754310268878</c:v>
                </c:pt>
                <c:pt idx="137">
                  <c:v>90.160067725628679</c:v>
                </c:pt>
                <c:pt idx="138">
                  <c:v>87.550560001795844</c:v>
                </c:pt>
                <c:pt idx="139">
                  <c:v>84.885963552934925</c:v>
                </c:pt>
                <c:pt idx="140">
                  <c:v>82.158471339268047</c:v>
                </c:pt>
                <c:pt idx="141">
                  <c:v>79.394762111916407</c:v>
                </c:pt>
                <c:pt idx="142">
                  <c:v>76.657827288361119</c:v>
                </c:pt>
                <c:pt idx="143">
                  <c:v>73.946552912345709</c:v>
                </c:pt>
                <c:pt idx="144">
                  <c:v>72.503759058418879</c:v>
                </c:pt>
                <c:pt idx="145">
                  <c:v>69.851536474397363</c:v>
                </c:pt>
                <c:pt idx="146">
                  <c:v>67.214898132699062</c:v>
                </c:pt>
                <c:pt idx="147">
                  <c:v>64.590567375974317</c:v>
                </c:pt>
                <c:pt idx="148">
                  <c:v>61.97538363153398</c:v>
                </c:pt>
                <c:pt idx="149">
                  <c:v>59.366287285671646</c:v>
                </c:pt>
                <c:pt idx="150">
                  <c:v>57.226253391578688</c:v>
                </c:pt>
                <c:pt idx="151">
                  <c:v>55.618779318862615</c:v>
                </c:pt>
                <c:pt idx="152">
                  <c:v>54.0244705785083</c:v>
                </c:pt>
                <c:pt idx="153">
                  <c:v>52.441179149661764</c:v>
                </c:pt>
                <c:pt idx="154">
                  <c:v>50.867346880589857</c:v>
                </c:pt>
                <c:pt idx="155">
                  <c:v>49.300085810820114</c:v>
                </c:pt>
                <c:pt idx="156">
                  <c:v>47.736464541829619</c:v>
                </c:pt>
                <c:pt idx="157">
                  <c:v>46.17469291463258</c:v>
                </c:pt>
                <c:pt idx="158">
                  <c:v>44.612230617705805</c:v>
                </c:pt>
                <c:pt idx="159">
                  <c:v>43.045805381122108</c:v>
                </c:pt>
                <c:pt idx="160">
                  <c:v>41.473153826076242</c:v>
                </c:pt>
                <c:pt idx="161">
                  <c:v>39.891199307526612</c:v>
                </c:pt>
                <c:pt idx="162">
                  <c:v>38.296063292195427</c:v>
                </c:pt>
                <c:pt idx="163">
                  <c:v>36.685243288289662</c:v>
                </c:pt>
                <c:pt idx="164">
                  <c:v>35.054212576818664</c:v>
                </c:pt>
                <c:pt idx="165">
                  <c:v>33.399636295653465</c:v>
                </c:pt>
                <c:pt idx="166">
                  <c:v>31.715585289888029</c:v>
                </c:pt>
                <c:pt idx="167">
                  <c:v>29.997628881911183</c:v>
                </c:pt>
                <c:pt idx="168">
                  <c:v>28.020302089807611</c:v>
                </c:pt>
                <c:pt idx="169">
                  <c:v>25.827271615412329</c:v>
                </c:pt>
                <c:pt idx="170">
                  <c:v>23.621334499490519</c:v>
                </c:pt>
                <c:pt idx="171">
                  <c:v>21.399043009293063</c:v>
                </c:pt>
                <c:pt idx="172">
                  <c:v>19.157023971106526</c:v>
                </c:pt>
                <c:pt idx="173">
                  <c:v>16.891957676325241</c:v>
                </c:pt>
                <c:pt idx="174">
                  <c:v>14.599641895385638</c:v>
                </c:pt>
                <c:pt idx="175">
                  <c:v>12.276008224291687</c:v>
                </c:pt>
                <c:pt idx="176">
                  <c:v>9.9161624248367701</c:v>
                </c:pt>
                <c:pt idx="177">
                  <c:v>7.5148790570000461</c:v>
                </c:pt>
                <c:pt idx="178">
                  <c:v>5.0663758435441073</c:v>
                </c:pt>
                <c:pt idx="179">
                  <c:v>2.5639318565983054</c:v>
                </c:pt>
                <c:pt idx="180">
                  <c:v>3.095200471076889E-14</c:v>
                </c:pt>
                <c:pt idx="181">
                  <c:v>-2.5639318565982969</c:v>
                </c:pt>
                <c:pt idx="182">
                  <c:v>-5.0663758435440212</c:v>
                </c:pt>
                <c:pt idx="183">
                  <c:v>-7.5148790569999946</c:v>
                </c:pt>
                <c:pt idx="184">
                  <c:v>-9.9161624248366813</c:v>
                </c:pt>
                <c:pt idx="185">
                  <c:v>-12.276008224291653</c:v>
                </c:pt>
                <c:pt idx="186">
                  <c:v>-14.599641895385618</c:v>
                </c:pt>
                <c:pt idx="187">
                  <c:v>-16.891957676325216</c:v>
                </c:pt>
                <c:pt idx="188">
                  <c:v>-19.157023971106501</c:v>
                </c:pt>
                <c:pt idx="189">
                  <c:v>-21.399043009293017</c:v>
                </c:pt>
                <c:pt idx="190">
                  <c:v>-23.621334499490587</c:v>
                </c:pt>
                <c:pt idx="191">
                  <c:v>-25.827271615412329</c:v>
                </c:pt>
                <c:pt idx="192">
                  <c:v>-28.020302089807601</c:v>
                </c:pt>
                <c:pt idx="193">
                  <c:v>-29.997628881911165</c:v>
                </c:pt>
                <c:pt idx="194">
                  <c:v>-31.715585289887951</c:v>
                </c:pt>
                <c:pt idx="195">
                  <c:v>-33.399636295653437</c:v>
                </c:pt>
                <c:pt idx="196">
                  <c:v>-35.054212576818713</c:v>
                </c:pt>
                <c:pt idx="197">
                  <c:v>-36.685243288289676</c:v>
                </c:pt>
                <c:pt idx="198">
                  <c:v>-38.296063292195463</c:v>
                </c:pt>
                <c:pt idx="199">
                  <c:v>-39.891199307526641</c:v>
                </c:pt>
                <c:pt idx="200">
                  <c:v>-41.473153826076242</c:v>
                </c:pt>
                <c:pt idx="201">
                  <c:v>-43.04580538112215</c:v>
                </c:pt>
                <c:pt idx="202">
                  <c:v>-44.612230617705805</c:v>
                </c:pt>
                <c:pt idx="203">
                  <c:v>-46.174692914632558</c:v>
                </c:pt>
                <c:pt idx="204">
                  <c:v>-47.736464541829626</c:v>
                </c:pt>
                <c:pt idx="205">
                  <c:v>-49.300085810820093</c:v>
                </c:pt>
                <c:pt idx="206">
                  <c:v>-50.867346880589842</c:v>
                </c:pt>
                <c:pt idx="207">
                  <c:v>-52.441179149661814</c:v>
                </c:pt>
                <c:pt idx="208">
                  <c:v>-54.024470578508272</c:v>
                </c:pt>
                <c:pt idx="209">
                  <c:v>-55.618779318862607</c:v>
                </c:pt>
                <c:pt idx="210">
                  <c:v>-57.22625339157873</c:v>
                </c:pt>
                <c:pt idx="211">
                  <c:v>-59.366287285671604</c:v>
                </c:pt>
                <c:pt idx="212">
                  <c:v>-61.975383631533937</c:v>
                </c:pt>
                <c:pt idx="213">
                  <c:v>-64.59056737597426</c:v>
                </c:pt>
                <c:pt idx="214">
                  <c:v>-67.214898132698949</c:v>
                </c:pt>
                <c:pt idx="215">
                  <c:v>-69.851536474397435</c:v>
                </c:pt>
                <c:pt idx="216">
                  <c:v>-72.503759058418865</c:v>
                </c:pt>
                <c:pt idx="217">
                  <c:v>-73.946552912345794</c:v>
                </c:pt>
                <c:pt idx="218">
                  <c:v>-76.657827288361105</c:v>
                </c:pt>
                <c:pt idx="219">
                  <c:v>-79.394762111916492</c:v>
                </c:pt>
                <c:pt idx="220">
                  <c:v>-82.158471339267976</c:v>
                </c:pt>
                <c:pt idx="221">
                  <c:v>-84.885963552934911</c:v>
                </c:pt>
                <c:pt idx="222">
                  <c:v>-87.55056000179583</c:v>
                </c:pt>
                <c:pt idx="223">
                  <c:v>-90.16006772562865</c:v>
                </c:pt>
                <c:pt idx="224">
                  <c:v>-92.721754310268921</c:v>
                </c:pt>
                <c:pt idx="225">
                  <c:v>-95.251313513603947</c:v>
                </c:pt>
                <c:pt idx="226">
                  <c:v>-97.740103538286249</c:v>
                </c:pt>
                <c:pt idx="227">
                  <c:v>-100.19278607930717</c:v>
                </c:pt>
                <c:pt idx="228">
                  <c:v>-102.61605795185379</c:v>
                </c:pt>
                <c:pt idx="229">
                  <c:v>-105.01632655366753</c:v>
                </c:pt>
                <c:pt idx="230">
                  <c:v>-107.39986382028916</c:v>
                </c:pt>
                <c:pt idx="231">
                  <c:v>-109.77276806273416</c:v>
                </c:pt>
                <c:pt idx="232">
                  <c:v>-112.14130409522811</c:v>
                </c:pt>
                <c:pt idx="233">
                  <c:v>-114.51159729151688</c:v>
                </c:pt>
                <c:pt idx="234">
                  <c:v>-116.88962773462798</c:v>
                </c:pt>
                <c:pt idx="235">
                  <c:v>-119.28225393534923</c:v>
                </c:pt>
                <c:pt idx="236">
                  <c:v>-121.69565586708032</c:v>
                </c:pt>
                <c:pt idx="237">
                  <c:v>-124.13690628875794</c:v>
                </c:pt>
                <c:pt idx="238">
                  <c:v>-126.61329549500246</c:v>
                </c:pt>
                <c:pt idx="239">
                  <c:v>-129.13263446263932</c:v>
                </c:pt>
                <c:pt idx="240">
                  <c:v>-131.70305467838855</c:v>
                </c:pt>
                <c:pt idx="241">
                  <c:v>-134.33410590351485</c:v>
                </c:pt>
                <c:pt idx="242">
                  <c:v>-137.03565516581318</c:v>
                </c:pt>
                <c:pt idx="243">
                  <c:v>-139.81826798487245</c:v>
                </c:pt>
                <c:pt idx="244">
                  <c:v>-142.6946089358911</c:v>
                </c:pt>
                <c:pt idx="245">
                  <c:v>-145.67863784183254</c:v>
                </c:pt>
                <c:pt idx="246">
                  <c:v>-148.78539654101647</c:v>
                </c:pt>
                <c:pt idx="247">
                  <c:v>-152.03319268826382</c:v>
                </c:pt>
                <c:pt idx="248">
                  <c:v>-155.4428542544006</c:v>
                </c:pt>
                <c:pt idx="249">
                  <c:v>-158.8482901741593</c:v>
                </c:pt>
                <c:pt idx="250">
                  <c:v>-162.58258114096139</c:v>
                </c:pt>
                <c:pt idx="251">
                  <c:v>-166.28279760340348</c:v>
                </c:pt>
                <c:pt idx="252">
                  <c:v>-169.94335879427626</c:v>
                </c:pt>
                <c:pt idx="253">
                  <c:v>-173.57201632010114</c:v>
                </c:pt>
                <c:pt idx="254">
                  <c:v>-177.17583059437831</c:v>
                </c:pt>
                <c:pt idx="255">
                  <c:v>-180.76228330778528</c:v>
                </c:pt>
                <c:pt idx="256">
                  <c:v>-184.33857758329313</c:v>
                </c:pt>
                <c:pt idx="257">
                  <c:v>-187.91214989105913</c:v>
                </c:pt>
                <c:pt idx="258">
                  <c:v>-191.49047547169374</c:v>
                </c:pt>
                <c:pt idx="259">
                  <c:v>-195.08153424088923</c:v>
                </c:pt>
                <c:pt idx="260">
                  <c:v>-197.23402600384063</c:v>
                </c:pt>
                <c:pt idx="261">
                  <c:v>-200.83172410774861</c:v>
                </c:pt>
                <c:pt idx="262">
                  <c:v>-203.79607013580227</c:v>
                </c:pt>
                <c:pt idx="263">
                  <c:v>-206.15676354588803</c:v>
                </c:pt>
                <c:pt idx="264">
                  <c:v>-208.57397536145959</c:v>
                </c:pt>
                <c:pt idx="265">
                  <c:v>-211.06279042218225</c:v>
                </c:pt>
                <c:pt idx="266">
                  <c:v>-213.64061248164899</c:v>
                </c:pt>
                <c:pt idx="267">
                  <c:v>-216.32700612711361</c:v>
                </c:pt>
                <c:pt idx="268">
                  <c:v>-219.14478568217254</c:v>
                </c:pt>
                <c:pt idx="269">
                  <c:v>-222.12087808949107</c:v>
                </c:pt>
                <c:pt idx="270">
                  <c:v>-225.28550728441064</c:v>
                </c:pt>
                <c:pt idx="271">
                  <c:v>-222.12087808949107</c:v>
                </c:pt>
                <c:pt idx="272">
                  <c:v>-219.14478568217245</c:v>
                </c:pt>
                <c:pt idx="273">
                  <c:v>-216.32700612711363</c:v>
                </c:pt>
                <c:pt idx="274">
                  <c:v>-213.64061248164916</c:v>
                </c:pt>
                <c:pt idx="275">
                  <c:v>-211.06279042218227</c:v>
                </c:pt>
                <c:pt idx="276">
                  <c:v>-208.57397536145967</c:v>
                </c:pt>
                <c:pt idx="277">
                  <c:v>-206.15676354588791</c:v>
                </c:pt>
                <c:pt idx="278">
                  <c:v>-203.79607013580227</c:v>
                </c:pt>
                <c:pt idx="279">
                  <c:v>-200.83172410774876</c:v>
                </c:pt>
                <c:pt idx="280">
                  <c:v>-197.23402600384065</c:v>
                </c:pt>
                <c:pt idx="281">
                  <c:v>-195.08153424088911</c:v>
                </c:pt>
                <c:pt idx="282">
                  <c:v>-191.49047547169374</c:v>
                </c:pt>
                <c:pt idx="283">
                  <c:v>-187.91214989105919</c:v>
                </c:pt>
                <c:pt idx="284">
                  <c:v>-184.33857758329316</c:v>
                </c:pt>
                <c:pt idx="285">
                  <c:v>-180.76228330778531</c:v>
                </c:pt>
                <c:pt idx="286">
                  <c:v>-177.17583059437806</c:v>
                </c:pt>
                <c:pt idx="287">
                  <c:v>-173.57201632010117</c:v>
                </c:pt>
                <c:pt idx="288">
                  <c:v>-169.94335879427632</c:v>
                </c:pt>
                <c:pt idx="289">
                  <c:v>-166.28279760340348</c:v>
                </c:pt>
                <c:pt idx="290">
                  <c:v>-162.58258114096125</c:v>
                </c:pt>
                <c:pt idx="291">
                  <c:v>-158.84829017415942</c:v>
                </c:pt>
                <c:pt idx="292">
                  <c:v>-155.44285425440063</c:v>
                </c:pt>
                <c:pt idx="293">
                  <c:v>-152.03319268826394</c:v>
                </c:pt>
                <c:pt idx="294">
                  <c:v>-148.7853965410165</c:v>
                </c:pt>
                <c:pt idx="295">
                  <c:v>-145.67863784183254</c:v>
                </c:pt>
                <c:pt idx="296">
                  <c:v>-142.69460893589115</c:v>
                </c:pt>
                <c:pt idx="297">
                  <c:v>-139.81826798487245</c:v>
                </c:pt>
                <c:pt idx="298">
                  <c:v>-137.03565516581318</c:v>
                </c:pt>
                <c:pt idx="299">
                  <c:v>-134.33410590351471</c:v>
                </c:pt>
                <c:pt idx="300">
                  <c:v>-131.70305467838864</c:v>
                </c:pt>
                <c:pt idx="301">
                  <c:v>-129.13263446263937</c:v>
                </c:pt>
                <c:pt idx="302">
                  <c:v>-126.61329549500255</c:v>
                </c:pt>
                <c:pt idx="303">
                  <c:v>-124.13690628875804</c:v>
                </c:pt>
                <c:pt idx="304">
                  <c:v>-121.69565586708025</c:v>
                </c:pt>
                <c:pt idx="305">
                  <c:v>-119.2822539353493</c:v>
                </c:pt>
                <c:pt idx="306">
                  <c:v>-116.88962773462802</c:v>
                </c:pt>
                <c:pt idx="307">
                  <c:v>-114.51159729151692</c:v>
                </c:pt>
                <c:pt idx="308">
                  <c:v>-112.14130409522808</c:v>
                </c:pt>
                <c:pt idx="309">
                  <c:v>-109.77276806273423</c:v>
                </c:pt>
                <c:pt idx="310">
                  <c:v>-107.39986382028918</c:v>
                </c:pt>
                <c:pt idx="311">
                  <c:v>-105.01632655366757</c:v>
                </c:pt>
                <c:pt idx="312">
                  <c:v>-102.6160579518539</c:v>
                </c:pt>
                <c:pt idx="313">
                  <c:v>-100.19278607930714</c:v>
                </c:pt>
                <c:pt idx="314">
                  <c:v>-97.740103538286291</c:v>
                </c:pt>
                <c:pt idx="315">
                  <c:v>-95.251313513603904</c:v>
                </c:pt>
                <c:pt idx="316">
                  <c:v>-92.721754310269006</c:v>
                </c:pt>
                <c:pt idx="317">
                  <c:v>-90.160067725628707</c:v>
                </c:pt>
                <c:pt idx="318">
                  <c:v>-87.550560001795844</c:v>
                </c:pt>
                <c:pt idx="319">
                  <c:v>-84.88596355293501</c:v>
                </c:pt>
                <c:pt idx="320">
                  <c:v>-82.158471339268075</c:v>
                </c:pt>
                <c:pt idx="321">
                  <c:v>-79.394762111916521</c:v>
                </c:pt>
                <c:pt idx="322">
                  <c:v>-76.657827288361148</c:v>
                </c:pt>
                <c:pt idx="323">
                  <c:v>-73.946552912345709</c:v>
                </c:pt>
                <c:pt idx="324">
                  <c:v>-72.50375905841895</c:v>
                </c:pt>
                <c:pt idx="325">
                  <c:v>-69.851536474397449</c:v>
                </c:pt>
                <c:pt idx="326">
                  <c:v>-67.214898132698963</c:v>
                </c:pt>
                <c:pt idx="327">
                  <c:v>-64.590567375974231</c:v>
                </c:pt>
                <c:pt idx="328">
                  <c:v>-61.975383631534022</c:v>
                </c:pt>
                <c:pt idx="329">
                  <c:v>-59.36628728567176</c:v>
                </c:pt>
                <c:pt idx="330">
                  <c:v>-57.226253391578766</c:v>
                </c:pt>
                <c:pt idx="331">
                  <c:v>-55.618779318862543</c:v>
                </c:pt>
                <c:pt idx="332">
                  <c:v>-54.0244705785083</c:v>
                </c:pt>
                <c:pt idx="333">
                  <c:v>-52.441179149661785</c:v>
                </c:pt>
                <c:pt idx="334">
                  <c:v>-50.86734688058992</c:v>
                </c:pt>
                <c:pt idx="335">
                  <c:v>-49.300085810820065</c:v>
                </c:pt>
                <c:pt idx="336">
                  <c:v>-47.736464541829662</c:v>
                </c:pt>
                <c:pt idx="337">
                  <c:v>-46.17469291463258</c:v>
                </c:pt>
                <c:pt idx="338">
                  <c:v>-44.612230617705841</c:v>
                </c:pt>
                <c:pt idx="339">
                  <c:v>-43.045805381122157</c:v>
                </c:pt>
                <c:pt idx="340">
                  <c:v>-41.473153826076214</c:v>
                </c:pt>
                <c:pt idx="341">
                  <c:v>-39.891199307526669</c:v>
                </c:pt>
                <c:pt idx="342">
                  <c:v>-38.296063292195491</c:v>
                </c:pt>
                <c:pt idx="343">
                  <c:v>-36.685243288289755</c:v>
                </c:pt>
                <c:pt idx="344">
                  <c:v>-35.054212576818657</c:v>
                </c:pt>
                <c:pt idx="345">
                  <c:v>-33.399636295653437</c:v>
                </c:pt>
                <c:pt idx="346">
                  <c:v>-31.715585289888029</c:v>
                </c:pt>
                <c:pt idx="347">
                  <c:v>-29.997628881911204</c:v>
                </c:pt>
                <c:pt idx="348">
                  <c:v>-28.020302089807668</c:v>
                </c:pt>
                <c:pt idx="349">
                  <c:v>-25.827271615412268</c:v>
                </c:pt>
                <c:pt idx="350">
                  <c:v>-23.621334499490519</c:v>
                </c:pt>
                <c:pt idx="351">
                  <c:v>-21.399043009293063</c:v>
                </c:pt>
                <c:pt idx="352">
                  <c:v>-19.157023971106586</c:v>
                </c:pt>
                <c:pt idx="353">
                  <c:v>-16.891957676325216</c:v>
                </c:pt>
                <c:pt idx="354">
                  <c:v>-14.599641895385581</c:v>
                </c:pt>
                <c:pt idx="355">
                  <c:v>-12.276008224291729</c:v>
                </c:pt>
                <c:pt idx="356">
                  <c:v>-9.916162424836763</c:v>
                </c:pt>
                <c:pt idx="357">
                  <c:v>-7.5148790570001109</c:v>
                </c:pt>
                <c:pt idx="358">
                  <c:v>-5.0663758435440531</c:v>
                </c:pt>
                <c:pt idx="359">
                  <c:v>-2.563931856598336</c:v>
                </c:pt>
                <c:pt idx="360">
                  <c:v>-8.1088663287060494E-14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120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164.72201504866661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164.72200916044974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23.455022239054056</c:v>
                </c:pt>
                <c:pt idx="3">
                  <c:v>43.476187437171696</c:v>
                </c:pt>
                <c:pt idx="4">
                  <c:v>61.827928496083594</c:v>
                </c:pt>
                <c:pt idx="5">
                  <c:v>79.908468121693843</c:v>
                </c:pt>
                <c:pt idx="6">
                  <c:v>97.79821725525197</c:v>
                </c:pt>
                <c:pt idx="7">
                  <c:v>115.48619577567088</c:v>
                </c:pt>
                <c:pt idx="8">
                  <c:v>131.58606421776165</c:v>
                </c:pt>
                <c:pt idx="9">
                  <c:v>146.57577461318846</c:v>
                </c:pt>
                <c:pt idx="10">
                  <c:v>161.46429935730129</c:v>
                </c:pt>
                <c:pt idx="11">
                  <c:v>172.56343388187162</c:v>
                </c:pt>
                <c:pt idx="12">
                  <c:v>183.64429620191015</c:v>
                </c:pt>
                <c:pt idx="13">
                  <c:v>194.71342573592236</c:v>
                </c:pt>
                <c:pt idx="14">
                  <c:v>205.73905050851909</c:v>
                </c:pt>
                <c:pt idx="15">
                  <c:v>216.68338480906857</c:v>
                </c:pt>
                <c:pt idx="16">
                  <c:v>225.3205167855885</c:v>
                </c:pt>
                <c:pt idx="17">
                  <c:v>228.83433533651726</c:v>
                </c:pt>
                <c:pt idx="18">
                  <c:v>232.14609201226278</c:v>
                </c:pt>
                <c:pt idx="19">
                  <c:v>234.77538069306675</c:v>
                </c:pt>
                <c:pt idx="20">
                  <c:v>236.5095215237526</c:v>
                </c:pt>
                <c:pt idx="21">
                  <c:v>236.64581769612823</c:v>
                </c:pt>
                <c:pt idx="22">
                  <c:v>236.69460454308276</c:v>
                </c:pt>
                <c:pt idx="23">
                  <c:v>236.61266919589008</c:v>
                </c:pt>
                <c:pt idx="24">
                  <c:v>236.36425096524084</c:v>
                </c:pt>
                <c:pt idx="25">
                  <c:v>235.90433334613357</c:v>
                </c:pt>
                <c:pt idx="26">
                  <c:v>234.13318605274335</c:v>
                </c:pt>
                <c:pt idx="27">
                  <c:v>233.06905410339641</c:v>
                </c:pt>
                <c:pt idx="28">
                  <c:v>231.57338686990525</c:v>
                </c:pt>
                <c:pt idx="29">
                  <c:v>229.62094592699307</c:v>
                </c:pt>
                <c:pt idx="30">
                  <c:v>229.74171923615768</c:v>
                </c:pt>
                <c:pt idx="31">
                  <c:v>229.21596458674637</c:v>
                </c:pt>
                <c:pt idx="32">
                  <c:v>228.76122596292149</c:v>
                </c:pt>
                <c:pt idx="33">
                  <c:v>227.70061023905029</c:v>
                </c:pt>
                <c:pt idx="34">
                  <c:v>226.12194734371099</c:v>
                </c:pt>
                <c:pt idx="35">
                  <c:v>224.15695059083075</c:v>
                </c:pt>
                <c:pt idx="36">
                  <c:v>221.77316192353851</c:v>
                </c:pt>
                <c:pt idx="37">
                  <c:v>218.94009310468292</c:v>
                </c:pt>
                <c:pt idx="38">
                  <c:v>215.62939813315251</c:v>
                </c:pt>
                <c:pt idx="39">
                  <c:v>211.7424739624519</c:v>
                </c:pt>
                <c:pt idx="40">
                  <c:v>207.34283976797082</c:v>
                </c:pt>
                <c:pt idx="41">
                  <c:v>202.38857352520159</c:v>
                </c:pt>
                <c:pt idx="42">
                  <c:v>196.85793109209203</c:v>
                </c:pt>
                <c:pt idx="43">
                  <c:v>190.73026341930387</c:v>
                </c:pt>
                <c:pt idx="44">
                  <c:v>183.98587749496497</c:v>
                </c:pt>
                <c:pt idx="45">
                  <c:v>176.56897778606483</c:v>
                </c:pt>
                <c:pt idx="46">
                  <c:v>168.46022230600778</c:v>
                </c:pt>
                <c:pt idx="47">
                  <c:v>159.67351513005062</c:v>
                </c:pt>
                <c:pt idx="48">
                  <c:v>150.18195178088067</c:v>
                </c:pt>
                <c:pt idx="49">
                  <c:v>139.95723434925353</c:v>
                </c:pt>
                <c:pt idx="50">
                  <c:v>128.96901350974957</c:v>
                </c:pt>
                <c:pt idx="51">
                  <c:v>117.18398506603614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-411.47999999999996</c:v>
                </c:pt>
                <c:pt idx="1">
                  <c:v>-411.47899999999998</c:v>
                </c:pt>
                <c:pt idx="2">
                  <c:v>-385.18574319999999</c:v>
                </c:pt>
                <c:pt idx="3">
                  <c:v>-358.8924864</c:v>
                </c:pt>
                <c:pt idx="4">
                  <c:v>-332.5992296</c:v>
                </c:pt>
                <c:pt idx="5">
                  <c:v>-306.30597280000001</c:v>
                </c:pt>
                <c:pt idx="6">
                  <c:v>-280.01271600000001</c:v>
                </c:pt>
                <c:pt idx="7">
                  <c:v>-253.71945920000002</c:v>
                </c:pt>
                <c:pt idx="8">
                  <c:v>-227.42620240000002</c:v>
                </c:pt>
                <c:pt idx="9">
                  <c:v>-201.13294560000003</c:v>
                </c:pt>
                <c:pt idx="10">
                  <c:v>-174.83968880000003</c:v>
                </c:pt>
                <c:pt idx="11">
                  <c:v>-148.54643200000004</c:v>
                </c:pt>
                <c:pt idx="12">
                  <c:v>-122.25317520000004</c:v>
                </c:pt>
                <c:pt idx="13">
                  <c:v>-95.959918400000049</c:v>
                </c:pt>
                <c:pt idx="14">
                  <c:v>-69.666661600000054</c:v>
                </c:pt>
                <c:pt idx="15">
                  <c:v>-43.37340480000006</c:v>
                </c:pt>
                <c:pt idx="16">
                  <c:v>-17.080148000000062</c:v>
                </c:pt>
                <c:pt idx="17">
                  <c:v>9.2131087999999366</c:v>
                </c:pt>
                <c:pt idx="18">
                  <c:v>35.506365599999938</c:v>
                </c:pt>
                <c:pt idx="19">
                  <c:v>61.799622399999933</c:v>
                </c:pt>
                <c:pt idx="20">
                  <c:v>88.092879199999928</c:v>
                </c:pt>
                <c:pt idx="21">
                  <c:v>114.38613599999992</c:v>
                </c:pt>
                <c:pt idx="22">
                  <c:v>140.67939279999993</c:v>
                </c:pt>
                <c:pt idx="23">
                  <c:v>166.97264959999993</c:v>
                </c:pt>
                <c:pt idx="24">
                  <c:v>193.26590639999992</c:v>
                </c:pt>
                <c:pt idx="25">
                  <c:v>219.55916319999992</c:v>
                </c:pt>
                <c:pt idx="26">
                  <c:v>245.85241999999991</c:v>
                </c:pt>
                <c:pt idx="27">
                  <c:v>272.14567679999993</c:v>
                </c:pt>
                <c:pt idx="28">
                  <c:v>298.43893359999993</c:v>
                </c:pt>
                <c:pt idx="29">
                  <c:v>324.73219039999992</c:v>
                </c:pt>
                <c:pt idx="30">
                  <c:v>351.02544719999992</c:v>
                </c:pt>
                <c:pt idx="31">
                  <c:v>377.31870399999991</c:v>
                </c:pt>
                <c:pt idx="32">
                  <c:v>403.61196079999991</c:v>
                </c:pt>
                <c:pt idx="33">
                  <c:v>429.9052175999999</c:v>
                </c:pt>
                <c:pt idx="34">
                  <c:v>456.1984743999999</c:v>
                </c:pt>
                <c:pt idx="35">
                  <c:v>482.49173119999989</c:v>
                </c:pt>
                <c:pt idx="36">
                  <c:v>508.78498799999988</c:v>
                </c:pt>
                <c:pt idx="37">
                  <c:v>535.07824479999988</c:v>
                </c:pt>
                <c:pt idx="38">
                  <c:v>561.37150159999987</c:v>
                </c:pt>
                <c:pt idx="39">
                  <c:v>587.66475839999987</c:v>
                </c:pt>
                <c:pt idx="40">
                  <c:v>613.95801519999986</c:v>
                </c:pt>
                <c:pt idx="41">
                  <c:v>640.25127199999986</c:v>
                </c:pt>
                <c:pt idx="42">
                  <c:v>666.54452879999985</c:v>
                </c:pt>
                <c:pt idx="43">
                  <c:v>692.83778559999985</c:v>
                </c:pt>
                <c:pt idx="44">
                  <c:v>719.13104239999984</c:v>
                </c:pt>
                <c:pt idx="45">
                  <c:v>745.42429919999984</c:v>
                </c:pt>
                <c:pt idx="46">
                  <c:v>771.71755599999983</c:v>
                </c:pt>
                <c:pt idx="47">
                  <c:v>798.01081279999983</c:v>
                </c:pt>
                <c:pt idx="48">
                  <c:v>824.30406959999982</c:v>
                </c:pt>
                <c:pt idx="49">
                  <c:v>850.59732639999982</c:v>
                </c:pt>
                <c:pt idx="50">
                  <c:v>876.89058319999981</c:v>
                </c:pt>
                <c:pt idx="51">
                  <c:v>903.1838399999998</c:v>
                </c:pt>
                <c:pt idx="52">
                  <c:v>903.1838399999998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169.70562748477141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Analysis'!$W$130:$W$132</c:f>
              <c:numCache>
                <c:formatCode>General</c:formatCode>
                <c:ptCount val="3"/>
                <c:pt idx="0">
                  <c:v>0</c:v>
                </c:pt>
                <c:pt idx="1">
                  <c:v>169.70562748477141</c:v>
                </c:pt>
                <c:pt idx="2">
                  <c:v>232.95210353965135</c:v>
                </c:pt>
              </c:numCache>
            </c:numRef>
          </c:xVal>
          <c:yVal>
            <c:numRef>
              <c:f>'Cross Section Analysis'!$V$130:$V$132</c:f>
              <c:numCache>
                <c:formatCode>General</c:formatCode>
                <c:ptCount val="3"/>
                <c:pt idx="0">
                  <c:v>0</c:v>
                </c:pt>
                <c:pt idx="1">
                  <c:v>200</c:v>
                </c:pt>
                <c:pt idx="2">
                  <c:v>274.54067571048165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0.31860411573092096</c:v>
                </c:pt>
                <c:pt idx="2">
                  <c:v>0.63005067502090206</c:v>
                </c:pt>
                <c:pt idx="3">
                  <c:v>0.93528033613619055</c:v>
                </c:pt>
                <c:pt idx="4">
                  <c:v>1.2351544290632113</c:v>
                </c:pt>
                <c:pt idx="5">
                  <c:v>1.5303888077535077</c:v>
                </c:pt>
                <c:pt idx="6">
                  <c:v>1.8216463846840198</c:v>
                </c:pt>
                <c:pt idx="7">
                  <c:v>2.1095932023276394</c:v>
                </c:pt>
                <c:pt idx="8">
                  <c:v>2.3947154691090096</c:v>
                </c:pt>
                <c:pt idx="9">
                  <c:v>2.6776278263347453</c:v>
                </c:pt>
                <c:pt idx="10">
                  <c:v>2.958711756413682</c:v>
                </c:pt>
                <c:pt idx="11">
                  <c:v>3.2384267289827311</c:v>
                </c:pt>
                <c:pt idx="12">
                  <c:v>3.5173199069109042</c:v>
                </c:pt>
                <c:pt idx="13">
                  <c:v>3.786897587060662</c:v>
                </c:pt>
                <c:pt idx="14">
                  <c:v>4.0457063092125889</c:v>
                </c:pt>
                <c:pt idx="15">
                  <c:v>4.3036014808626009</c:v>
                </c:pt>
                <c:pt idx="16">
                  <c:v>4.5609844358356755</c:v>
                </c:pt>
                <c:pt idx="17">
                  <c:v>4.8184888620881496</c:v>
                </c:pt>
                <c:pt idx="18">
                  <c:v>5.0764585917862268</c:v>
                </c:pt>
                <c:pt idx="19">
                  <c:v>5.3354259984597316</c:v>
                </c:pt>
                <c:pt idx="20">
                  <c:v>5.5956868710897822</c:v>
                </c:pt>
                <c:pt idx="21">
                  <c:v>5.8577499057710494</c:v>
                </c:pt>
                <c:pt idx="22">
                  <c:v>6.1220455579890194</c:v>
                </c:pt>
                <c:pt idx="23">
                  <c:v>6.3889154577273191</c:v>
                </c:pt>
                <c:pt idx="24">
                  <c:v>6.6588701763305655</c:v>
                </c:pt>
                <c:pt idx="25">
                  <c:v>6.9323432152965792</c:v>
                </c:pt>
                <c:pt idx="26">
                  <c:v>7.209680100110047</c:v>
                </c:pt>
                <c:pt idx="27">
                  <c:v>7.4914214833802522</c:v>
                </c:pt>
                <c:pt idx="28">
                  <c:v>7.7781333833359199</c:v>
                </c:pt>
                <c:pt idx="29">
                  <c:v>8.0702029093520533</c:v>
                </c:pt>
                <c:pt idx="30">
                  <c:v>8.3681334788114068</c:v>
                </c:pt>
                <c:pt idx="31">
                  <c:v>8.7662622900418388</c:v>
                </c:pt>
                <c:pt idx="32">
                  <c:v>9.2584551889456321</c:v>
                </c:pt>
                <c:pt idx="33">
                  <c:v>9.7626598635549051</c:v>
                </c:pt>
                <c:pt idx="34">
                  <c:v>10.279844130427373</c:v>
                </c:pt>
                <c:pt idx="35">
                  <c:v>10.811070901709012</c:v>
                </c:pt>
                <c:pt idx="36">
                  <c:v>11.357510175091267</c:v>
                </c:pt>
                <c:pt idx="37">
                  <c:v>11.655422196415227</c:v>
                </c:pt>
                <c:pt idx="38">
                  <c:v>12.234313934493278</c:v>
                </c:pt>
                <c:pt idx="39">
                  <c:v>12.832596077930214</c:v>
                </c:pt>
                <c:pt idx="40">
                  <c:v>13.451425323051996</c:v>
                </c:pt>
                <c:pt idx="41">
                  <c:v>14.077840867108296</c:v>
                </c:pt>
                <c:pt idx="42">
                  <c:v>14.705737468228413</c:v>
                </c:pt>
                <c:pt idx="43">
                  <c:v>15.336381830140729</c:v>
                </c:pt>
                <c:pt idx="44">
                  <c:v>15.971054427656892</c:v>
                </c:pt>
                <c:pt idx="45">
                  <c:v>16.64265723079642</c:v>
                </c:pt>
                <c:pt idx="46">
                  <c:v>17.327411407540584</c:v>
                </c:pt>
                <c:pt idx="47">
                  <c:v>18.021372265128914</c:v>
                </c:pt>
                <c:pt idx="48">
                  <c:v>18.726080270289067</c:v>
                </c:pt>
                <c:pt idx="49">
                  <c:v>19.443201862237132</c:v>
                </c:pt>
                <c:pt idx="50">
                  <c:v>20.174520681698048</c:v>
                </c:pt>
                <c:pt idx="51">
                  <c:v>20.921886062601533</c:v>
                </c:pt>
                <c:pt idx="52">
                  <c:v>21.68744878792538</c:v>
                </c:pt>
                <c:pt idx="53">
                  <c:v>22.473407029201432</c:v>
                </c:pt>
                <c:pt idx="54">
                  <c:v>23.282061587863897</c:v>
                </c:pt>
                <c:pt idx="55">
                  <c:v>24.116347220706178</c:v>
                </c:pt>
                <c:pt idx="56">
                  <c:v>24.979010063477727</c:v>
                </c:pt>
                <c:pt idx="57">
                  <c:v>25.873442136068352</c:v>
                </c:pt>
                <c:pt idx="58">
                  <c:v>26.803345295088917</c:v>
                </c:pt>
                <c:pt idx="59">
                  <c:v>27.772908348074811</c:v>
                </c:pt>
                <c:pt idx="60">
                  <c:v>28.786749133476377</c:v>
                </c:pt>
                <c:pt idx="61">
                  <c:v>29.850469436524314</c:v>
                </c:pt>
                <c:pt idx="62">
                  <c:v>30.970204143156053</c:v>
                </c:pt>
                <c:pt idx="63">
                  <c:v>32.152869107508998</c:v>
                </c:pt>
                <c:pt idx="64">
                  <c:v>33.40691335717657</c:v>
                </c:pt>
                <c:pt idx="65">
                  <c:v>34.742070691495165</c:v>
                </c:pt>
                <c:pt idx="66">
                  <c:v>36.169391537190371</c:v>
                </c:pt>
                <c:pt idx="67">
                  <c:v>37.702504601789009</c:v>
                </c:pt>
                <c:pt idx="68">
                  <c:v>39.357513265640904</c:v>
                </c:pt>
                <c:pt idx="69">
                  <c:v>40.694031909877786</c:v>
                </c:pt>
                <c:pt idx="70">
                  <c:v>42.598230705687726</c:v>
                </c:pt>
                <c:pt idx="71">
                  <c:v>44.570514694407194</c:v>
                </c:pt>
                <c:pt idx="72">
                  <c:v>46.609952839087363</c:v>
                </c:pt>
                <c:pt idx="73">
                  <c:v>48.720985064155045</c:v>
                </c:pt>
                <c:pt idx="74">
                  <c:v>50.907417504811157</c:v>
                </c:pt>
                <c:pt idx="75">
                  <c:v>53.173236219358728</c:v>
                </c:pt>
                <c:pt idx="76">
                  <c:v>55.521810228379543</c:v>
                </c:pt>
                <c:pt idx="77">
                  <c:v>57.955903765694117</c:v>
                </c:pt>
                <c:pt idx="78">
                  <c:v>60.477854637002295</c:v>
                </c:pt>
                <c:pt idx="79">
                  <c:v>63.088971426915137</c:v>
                </c:pt>
                <c:pt idx="80">
                  <c:v>65.075302319246475</c:v>
                </c:pt>
                <c:pt idx="81">
                  <c:v>67.848683931460897</c:v>
                </c:pt>
                <c:pt idx="82">
                  <c:v>70.289764668409745</c:v>
                </c:pt>
                <c:pt idx="83">
                  <c:v>72.405325903402115</c:v>
                </c:pt>
                <c:pt idx="84">
                  <c:v>74.606260535782923</c:v>
                </c:pt>
                <c:pt idx="85">
                  <c:v>76.899860715799463</c:v>
                </c:pt>
                <c:pt idx="86">
                  <c:v>79.292816242337182</c:v>
                </c:pt>
                <c:pt idx="87">
                  <c:v>81.792512038569299</c:v>
                </c:pt>
                <c:pt idx="88">
                  <c:v>84.405912143163391</c:v>
                </c:pt>
                <c:pt idx="89">
                  <c:v>87.139674000793804</c:v>
                </c:pt>
                <c:pt idx="90">
                  <c:v>90</c:v>
                </c:pt>
                <c:pt idx="91">
                  <c:v>92.860325999206182</c:v>
                </c:pt>
                <c:pt idx="92">
                  <c:v>95.594087856836609</c:v>
                </c:pt>
                <c:pt idx="93">
                  <c:v>98.207487961430672</c:v>
                </c:pt>
                <c:pt idx="94">
                  <c:v>100.70718375766283</c:v>
                </c:pt>
                <c:pt idx="95">
                  <c:v>103.10013928420055</c:v>
                </c:pt>
                <c:pt idx="96">
                  <c:v>105.39373946421709</c:v>
                </c:pt>
                <c:pt idx="97">
                  <c:v>107.59467409659788</c:v>
                </c:pt>
                <c:pt idx="98">
                  <c:v>109.71023533159023</c:v>
                </c:pt>
                <c:pt idx="99">
                  <c:v>112.1513160685391</c:v>
                </c:pt>
                <c:pt idx="100">
                  <c:v>114.92469768075351</c:v>
                </c:pt>
                <c:pt idx="101">
                  <c:v>116.91102857308486</c:v>
                </c:pt>
                <c:pt idx="102">
                  <c:v>119.52214536299768</c:v>
                </c:pt>
                <c:pt idx="103">
                  <c:v>122.0440962343059</c:v>
                </c:pt>
                <c:pt idx="104">
                  <c:v>124.47818977162046</c:v>
                </c:pt>
                <c:pt idx="105">
                  <c:v>126.82676378064129</c:v>
                </c:pt>
                <c:pt idx="106">
                  <c:v>129.09258249518882</c:v>
                </c:pt>
                <c:pt idx="107">
                  <c:v>131.27901493584494</c:v>
                </c:pt>
                <c:pt idx="108">
                  <c:v>133.39004716091262</c:v>
                </c:pt>
                <c:pt idx="109">
                  <c:v>135.42948530559278</c:v>
                </c:pt>
                <c:pt idx="110">
                  <c:v>137.40176929431226</c:v>
                </c:pt>
                <c:pt idx="111">
                  <c:v>139.30596809012221</c:v>
                </c:pt>
                <c:pt idx="112">
                  <c:v>140.6424867343591</c:v>
                </c:pt>
                <c:pt idx="113">
                  <c:v>142.297495398211</c:v>
                </c:pt>
                <c:pt idx="114">
                  <c:v>143.83060846280964</c:v>
                </c:pt>
                <c:pt idx="115">
                  <c:v>145.25792930850483</c:v>
                </c:pt>
                <c:pt idx="116">
                  <c:v>146.59308664282344</c:v>
                </c:pt>
                <c:pt idx="117">
                  <c:v>147.84713089249098</c:v>
                </c:pt>
                <c:pt idx="118">
                  <c:v>149.02979585684395</c:v>
                </c:pt>
                <c:pt idx="119">
                  <c:v>150.14953056347568</c:v>
                </c:pt>
                <c:pt idx="120">
                  <c:v>151.21325086652359</c:v>
                </c:pt>
                <c:pt idx="121">
                  <c:v>152.22709165192521</c:v>
                </c:pt>
                <c:pt idx="122">
                  <c:v>153.19665470491105</c:v>
                </c:pt>
                <c:pt idx="123">
                  <c:v>154.12655786393165</c:v>
                </c:pt>
                <c:pt idx="124">
                  <c:v>155.02098993652226</c:v>
                </c:pt>
                <c:pt idx="125">
                  <c:v>155.88365277929381</c:v>
                </c:pt>
                <c:pt idx="126">
                  <c:v>156.71793841213608</c:v>
                </c:pt>
                <c:pt idx="127">
                  <c:v>157.52659297079859</c:v>
                </c:pt>
                <c:pt idx="128">
                  <c:v>158.31255121207462</c:v>
                </c:pt>
                <c:pt idx="129">
                  <c:v>159.07811393739846</c:v>
                </c:pt>
                <c:pt idx="130">
                  <c:v>159.82547931830194</c:v>
                </c:pt>
                <c:pt idx="131">
                  <c:v>160.55679813776285</c:v>
                </c:pt>
                <c:pt idx="132">
                  <c:v>161.27391972971094</c:v>
                </c:pt>
                <c:pt idx="133">
                  <c:v>161.97862773487108</c:v>
                </c:pt>
                <c:pt idx="134">
                  <c:v>162.67258859245945</c:v>
                </c:pt>
                <c:pt idx="135">
                  <c:v>163.35734276920357</c:v>
                </c:pt>
                <c:pt idx="136">
                  <c:v>164.0289455723431</c:v>
                </c:pt>
                <c:pt idx="137">
                  <c:v>164.66361816985926</c:v>
                </c:pt>
                <c:pt idx="138">
                  <c:v>165.29426253177158</c:v>
                </c:pt>
                <c:pt idx="139">
                  <c:v>165.92215913289172</c:v>
                </c:pt>
                <c:pt idx="140">
                  <c:v>166.54857467694799</c:v>
                </c:pt>
                <c:pt idx="141">
                  <c:v>167.16740392206978</c:v>
                </c:pt>
                <c:pt idx="142">
                  <c:v>167.76568606550671</c:v>
                </c:pt>
                <c:pt idx="143">
                  <c:v>168.34457780358477</c:v>
                </c:pt>
                <c:pt idx="144">
                  <c:v>168.64248982490872</c:v>
                </c:pt>
                <c:pt idx="145">
                  <c:v>169.188929098291</c:v>
                </c:pt>
                <c:pt idx="146">
                  <c:v>169.72015586957264</c:v>
                </c:pt>
                <c:pt idx="147">
                  <c:v>170.23734013644506</c:v>
                </c:pt>
                <c:pt idx="148">
                  <c:v>170.74154481105435</c:v>
                </c:pt>
                <c:pt idx="149">
                  <c:v>171.23373770995815</c:v>
                </c:pt>
                <c:pt idx="150">
                  <c:v>171.63186652118861</c:v>
                </c:pt>
                <c:pt idx="151">
                  <c:v>171.92979709064795</c:v>
                </c:pt>
                <c:pt idx="152">
                  <c:v>172.22186661666407</c:v>
                </c:pt>
                <c:pt idx="153">
                  <c:v>172.50857851661974</c:v>
                </c:pt>
                <c:pt idx="154">
                  <c:v>172.79031989988994</c:v>
                </c:pt>
                <c:pt idx="155">
                  <c:v>173.06765678470342</c:v>
                </c:pt>
                <c:pt idx="156">
                  <c:v>173.34112982366943</c:v>
                </c:pt>
                <c:pt idx="157">
                  <c:v>173.61108454227269</c:v>
                </c:pt>
                <c:pt idx="158">
                  <c:v>173.87795444201097</c:v>
                </c:pt>
                <c:pt idx="159">
                  <c:v>174.14225009422896</c:v>
                </c:pt>
                <c:pt idx="160">
                  <c:v>174.40431312891022</c:v>
                </c:pt>
                <c:pt idx="161">
                  <c:v>174.66457400154027</c:v>
                </c:pt>
                <c:pt idx="162">
                  <c:v>174.92354140821377</c:v>
                </c:pt>
                <c:pt idx="163">
                  <c:v>175.18151113791185</c:v>
                </c:pt>
                <c:pt idx="164">
                  <c:v>175.43901556416432</c:v>
                </c:pt>
                <c:pt idx="165">
                  <c:v>175.69639851913738</c:v>
                </c:pt>
                <c:pt idx="166">
                  <c:v>175.95429369078741</c:v>
                </c:pt>
                <c:pt idx="167">
                  <c:v>176.21310241293932</c:v>
                </c:pt>
                <c:pt idx="168">
                  <c:v>176.4826800930891</c:v>
                </c:pt>
                <c:pt idx="169">
                  <c:v>176.76157327101726</c:v>
                </c:pt>
                <c:pt idx="170">
                  <c:v>177.04128824358634</c:v>
                </c:pt>
                <c:pt idx="171">
                  <c:v>177.32237217366526</c:v>
                </c:pt>
                <c:pt idx="172">
                  <c:v>177.605284530891</c:v>
                </c:pt>
                <c:pt idx="173">
                  <c:v>177.89040679767237</c:v>
                </c:pt>
                <c:pt idx="174">
                  <c:v>178.17835361531598</c:v>
                </c:pt>
                <c:pt idx="175">
                  <c:v>178.4696111922465</c:v>
                </c:pt>
                <c:pt idx="176">
                  <c:v>178.76484557093679</c:v>
                </c:pt>
                <c:pt idx="177">
                  <c:v>179.0647196638638</c:v>
                </c:pt>
                <c:pt idx="178">
                  <c:v>179.3699493249791</c:v>
                </c:pt>
                <c:pt idx="179">
                  <c:v>179.68139588426908</c:v>
                </c:pt>
                <c:pt idx="180">
                  <c:v>180</c:v>
                </c:pt>
                <c:pt idx="181">
                  <c:v>180.31860411573092</c:v>
                </c:pt>
                <c:pt idx="182">
                  <c:v>180.6300506750209</c:v>
                </c:pt>
                <c:pt idx="183">
                  <c:v>180.9352803361362</c:v>
                </c:pt>
                <c:pt idx="184">
                  <c:v>181.23515442906321</c:v>
                </c:pt>
                <c:pt idx="185">
                  <c:v>181.5303888077535</c:v>
                </c:pt>
                <c:pt idx="186">
                  <c:v>181.82164638468402</c:v>
                </c:pt>
                <c:pt idx="187">
                  <c:v>182.10959320232763</c:v>
                </c:pt>
                <c:pt idx="188">
                  <c:v>182.394715469109</c:v>
                </c:pt>
                <c:pt idx="189">
                  <c:v>182.67762782633474</c:v>
                </c:pt>
                <c:pt idx="190">
                  <c:v>182.95871175641369</c:v>
                </c:pt>
                <c:pt idx="191">
                  <c:v>183.23842672898274</c:v>
                </c:pt>
                <c:pt idx="192">
                  <c:v>183.5173199069109</c:v>
                </c:pt>
                <c:pt idx="193">
                  <c:v>183.78689758706068</c:v>
                </c:pt>
                <c:pt idx="194">
                  <c:v>184.04570630921259</c:v>
                </c:pt>
                <c:pt idx="195">
                  <c:v>184.3036014808626</c:v>
                </c:pt>
                <c:pt idx="196">
                  <c:v>184.56098443583568</c:v>
                </c:pt>
                <c:pt idx="197">
                  <c:v>184.81848886208815</c:v>
                </c:pt>
                <c:pt idx="198">
                  <c:v>185.07645859178623</c:v>
                </c:pt>
                <c:pt idx="199">
                  <c:v>185.33542599845973</c:v>
                </c:pt>
                <c:pt idx="200">
                  <c:v>185.59568687108978</c:v>
                </c:pt>
                <c:pt idx="201">
                  <c:v>185.85774990577104</c:v>
                </c:pt>
                <c:pt idx="202">
                  <c:v>186.12204555798903</c:v>
                </c:pt>
                <c:pt idx="203">
                  <c:v>186.38891545772731</c:v>
                </c:pt>
                <c:pt idx="204">
                  <c:v>186.65887017633057</c:v>
                </c:pt>
                <c:pt idx="205">
                  <c:v>186.93234321529658</c:v>
                </c:pt>
                <c:pt idx="206">
                  <c:v>187.20968010011006</c:v>
                </c:pt>
                <c:pt idx="207">
                  <c:v>187.49142148338026</c:v>
                </c:pt>
                <c:pt idx="208">
                  <c:v>187.77813338333593</c:v>
                </c:pt>
                <c:pt idx="209">
                  <c:v>188.07020290935205</c:v>
                </c:pt>
                <c:pt idx="210">
                  <c:v>188.36813347881142</c:v>
                </c:pt>
                <c:pt idx="211">
                  <c:v>188.76626229004182</c:v>
                </c:pt>
                <c:pt idx="212">
                  <c:v>189.25845518894562</c:v>
                </c:pt>
                <c:pt idx="213">
                  <c:v>189.76265986355492</c:v>
                </c:pt>
                <c:pt idx="214">
                  <c:v>190.27984413042734</c:v>
                </c:pt>
                <c:pt idx="215">
                  <c:v>190.81107090170903</c:v>
                </c:pt>
                <c:pt idx="216">
                  <c:v>191.35751017509128</c:v>
                </c:pt>
                <c:pt idx="217">
                  <c:v>191.65542219641523</c:v>
                </c:pt>
                <c:pt idx="218">
                  <c:v>192.23431393449329</c:v>
                </c:pt>
                <c:pt idx="219">
                  <c:v>192.83259607793022</c:v>
                </c:pt>
                <c:pt idx="220">
                  <c:v>193.45142532305201</c:v>
                </c:pt>
                <c:pt idx="221">
                  <c:v>194.07784086710828</c:v>
                </c:pt>
                <c:pt idx="222">
                  <c:v>194.70573746822842</c:v>
                </c:pt>
                <c:pt idx="223">
                  <c:v>195.33638183014074</c:v>
                </c:pt>
                <c:pt idx="224">
                  <c:v>195.9710544276569</c:v>
                </c:pt>
                <c:pt idx="225">
                  <c:v>196.64265723079643</c:v>
                </c:pt>
                <c:pt idx="226">
                  <c:v>197.32741140754058</c:v>
                </c:pt>
                <c:pt idx="227">
                  <c:v>198.02137226512892</c:v>
                </c:pt>
                <c:pt idx="228">
                  <c:v>198.72608027028906</c:v>
                </c:pt>
                <c:pt idx="229">
                  <c:v>199.44320186223712</c:v>
                </c:pt>
                <c:pt idx="230">
                  <c:v>200.17452068169803</c:v>
                </c:pt>
                <c:pt idx="231">
                  <c:v>200.92188606260152</c:v>
                </c:pt>
                <c:pt idx="232">
                  <c:v>201.68744878792538</c:v>
                </c:pt>
                <c:pt idx="233">
                  <c:v>202.47340702920144</c:v>
                </c:pt>
                <c:pt idx="234">
                  <c:v>203.28206158786389</c:v>
                </c:pt>
                <c:pt idx="235">
                  <c:v>204.11634722070616</c:v>
                </c:pt>
                <c:pt idx="236">
                  <c:v>204.97901006347774</c:v>
                </c:pt>
                <c:pt idx="237">
                  <c:v>205.87344213606835</c:v>
                </c:pt>
                <c:pt idx="238">
                  <c:v>206.80334529508892</c:v>
                </c:pt>
                <c:pt idx="239">
                  <c:v>207.77290834807479</c:v>
                </c:pt>
                <c:pt idx="240">
                  <c:v>208.78674913347638</c:v>
                </c:pt>
                <c:pt idx="241">
                  <c:v>209.85046943652432</c:v>
                </c:pt>
                <c:pt idx="242">
                  <c:v>210.97020414315608</c:v>
                </c:pt>
                <c:pt idx="243">
                  <c:v>212.15286910750899</c:v>
                </c:pt>
                <c:pt idx="244">
                  <c:v>213.40691335717653</c:v>
                </c:pt>
                <c:pt idx="245">
                  <c:v>214.7420706914952</c:v>
                </c:pt>
                <c:pt idx="246">
                  <c:v>216.16939153719039</c:v>
                </c:pt>
                <c:pt idx="247">
                  <c:v>217.702504601789</c:v>
                </c:pt>
                <c:pt idx="248">
                  <c:v>219.35751326564088</c:v>
                </c:pt>
                <c:pt idx="249">
                  <c:v>220.69403190987774</c:v>
                </c:pt>
                <c:pt idx="250">
                  <c:v>222.59823070568777</c:v>
                </c:pt>
                <c:pt idx="251">
                  <c:v>224.57051469440722</c:v>
                </c:pt>
                <c:pt idx="252">
                  <c:v>226.60995283908736</c:v>
                </c:pt>
                <c:pt idx="253">
                  <c:v>228.72098506415503</c:v>
                </c:pt>
                <c:pt idx="254">
                  <c:v>230.90741750481121</c:v>
                </c:pt>
                <c:pt idx="255">
                  <c:v>233.17323621935873</c:v>
                </c:pt>
                <c:pt idx="256">
                  <c:v>235.52181022837954</c:v>
                </c:pt>
                <c:pt idx="257">
                  <c:v>237.95590376569407</c:v>
                </c:pt>
                <c:pt idx="258">
                  <c:v>240.47785463700228</c:v>
                </c:pt>
                <c:pt idx="259">
                  <c:v>243.08897142691518</c:v>
                </c:pt>
                <c:pt idx="260">
                  <c:v>245.07530231924648</c:v>
                </c:pt>
                <c:pt idx="261">
                  <c:v>247.84868393146087</c:v>
                </c:pt>
                <c:pt idx="262">
                  <c:v>250.2897646684097</c:v>
                </c:pt>
                <c:pt idx="263">
                  <c:v>252.40532590340214</c:v>
                </c:pt>
                <c:pt idx="264">
                  <c:v>254.60626053578295</c:v>
                </c:pt>
                <c:pt idx="265">
                  <c:v>256.89986071579943</c:v>
                </c:pt>
                <c:pt idx="266">
                  <c:v>259.29281624233715</c:v>
                </c:pt>
                <c:pt idx="267">
                  <c:v>261.79251203856927</c:v>
                </c:pt>
                <c:pt idx="268">
                  <c:v>264.40591214316345</c:v>
                </c:pt>
                <c:pt idx="269">
                  <c:v>267.13967400079378</c:v>
                </c:pt>
                <c:pt idx="270">
                  <c:v>270</c:v>
                </c:pt>
                <c:pt idx="271">
                  <c:v>272.86032599920611</c:v>
                </c:pt>
                <c:pt idx="272">
                  <c:v>275.59408785683667</c:v>
                </c:pt>
                <c:pt idx="273">
                  <c:v>278.20748796143073</c:v>
                </c:pt>
                <c:pt idx="274">
                  <c:v>280.70718375766285</c:v>
                </c:pt>
                <c:pt idx="275">
                  <c:v>283.10013928420051</c:v>
                </c:pt>
                <c:pt idx="276">
                  <c:v>285.39373946421699</c:v>
                </c:pt>
                <c:pt idx="277">
                  <c:v>287.59467409659794</c:v>
                </c:pt>
                <c:pt idx="278">
                  <c:v>289.7102353315903</c:v>
                </c:pt>
                <c:pt idx="279">
                  <c:v>292.15131606853907</c:v>
                </c:pt>
                <c:pt idx="280">
                  <c:v>294.92469768075341</c:v>
                </c:pt>
                <c:pt idx="281">
                  <c:v>296.91102857308488</c:v>
                </c:pt>
                <c:pt idx="282">
                  <c:v>299.52214536299766</c:v>
                </c:pt>
                <c:pt idx="283">
                  <c:v>302.04409623430587</c:v>
                </c:pt>
                <c:pt idx="284">
                  <c:v>304.47818977162041</c:v>
                </c:pt>
                <c:pt idx="285">
                  <c:v>306.82676378064122</c:v>
                </c:pt>
                <c:pt idx="286">
                  <c:v>309.09258249518888</c:v>
                </c:pt>
                <c:pt idx="287">
                  <c:v>311.27901493584494</c:v>
                </c:pt>
                <c:pt idx="288">
                  <c:v>313.39004716091262</c:v>
                </c:pt>
                <c:pt idx="289">
                  <c:v>315.42948530559278</c:v>
                </c:pt>
                <c:pt idx="290">
                  <c:v>317.40176929431232</c:v>
                </c:pt>
                <c:pt idx="291">
                  <c:v>319.30596809012224</c:v>
                </c:pt>
                <c:pt idx="292">
                  <c:v>320.64248673435907</c:v>
                </c:pt>
                <c:pt idx="293">
                  <c:v>322.29749539821097</c:v>
                </c:pt>
                <c:pt idx="294">
                  <c:v>323.83060846280961</c:v>
                </c:pt>
                <c:pt idx="295">
                  <c:v>325.25792930850486</c:v>
                </c:pt>
                <c:pt idx="296">
                  <c:v>326.59308664282344</c:v>
                </c:pt>
                <c:pt idx="297">
                  <c:v>327.84713089249101</c:v>
                </c:pt>
                <c:pt idx="298">
                  <c:v>329.02979585684392</c:v>
                </c:pt>
                <c:pt idx="299">
                  <c:v>330.14953056347571</c:v>
                </c:pt>
                <c:pt idx="300">
                  <c:v>331.21325086652359</c:v>
                </c:pt>
                <c:pt idx="301">
                  <c:v>332.22709165192521</c:v>
                </c:pt>
                <c:pt idx="302">
                  <c:v>333.19665470491105</c:v>
                </c:pt>
                <c:pt idx="303">
                  <c:v>334.12655786393162</c:v>
                </c:pt>
                <c:pt idx="304">
                  <c:v>335.02098993652226</c:v>
                </c:pt>
                <c:pt idx="305">
                  <c:v>335.88365277929381</c:v>
                </c:pt>
                <c:pt idx="306">
                  <c:v>336.71793841213611</c:v>
                </c:pt>
                <c:pt idx="307">
                  <c:v>337.52659297079856</c:v>
                </c:pt>
                <c:pt idx="308">
                  <c:v>338.31255121207465</c:v>
                </c:pt>
                <c:pt idx="309">
                  <c:v>339.07811393739848</c:v>
                </c:pt>
                <c:pt idx="310">
                  <c:v>339.82547931830197</c:v>
                </c:pt>
                <c:pt idx="311">
                  <c:v>340.55679813776288</c:v>
                </c:pt>
                <c:pt idx="312">
                  <c:v>341.27391972971088</c:v>
                </c:pt>
                <c:pt idx="313">
                  <c:v>341.97862773487111</c:v>
                </c:pt>
                <c:pt idx="314">
                  <c:v>342.67258859245942</c:v>
                </c:pt>
                <c:pt idx="315">
                  <c:v>343.35734276920357</c:v>
                </c:pt>
                <c:pt idx="316">
                  <c:v>344.0289455723431</c:v>
                </c:pt>
                <c:pt idx="317">
                  <c:v>344.66361816985926</c:v>
                </c:pt>
                <c:pt idx="318">
                  <c:v>345.29426253177155</c:v>
                </c:pt>
                <c:pt idx="319">
                  <c:v>345.92215913289169</c:v>
                </c:pt>
                <c:pt idx="320">
                  <c:v>346.54857467694796</c:v>
                </c:pt>
                <c:pt idx="321">
                  <c:v>347.16740392206975</c:v>
                </c:pt>
                <c:pt idx="322">
                  <c:v>347.76568606550671</c:v>
                </c:pt>
                <c:pt idx="323">
                  <c:v>348.3445778035848</c:v>
                </c:pt>
                <c:pt idx="324">
                  <c:v>348.64248982490869</c:v>
                </c:pt>
                <c:pt idx="325">
                  <c:v>349.188929098291</c:v>
                </c:pt>
                <c:pt idx="326">
                  <c:v>349.72015586957264</c:v>
                </c:pt>
                <c:pt idx="327">
                  <c:v>350.23734013644508</c:v>
                </c:pt>
                <c:pt idx="328">
                  <c:v>350.74154481105438</c:v>
                </c:pt>
                <c:pt idx="329">
                  <c:v>351.23373770995812</c:v>
                </c:pt>
                <c:pt idx="330">
                  <c:v>351.63186652118856</c:v>
                </c:pt>
                <c:pt idx="331">
                  <c:v>351.92979709064798</c:v>
                </c:pt>
                <c:pt idx="332">
                  <c:v>352.2218666166641</c:v>
                </c:pt>
                <c:pt idx="333">
                  <c:v>352.50857851661976</c:v>
                </c:pt>
                <c:pt idx="334">
                  <c:v>352.79031989988994</c:v>
                </c:pt>
                <c:pt idx="335">
                  <c:v>353.06765678470344</c:v>
                </c:pt>
                <c:pt idx="336">
                  <c:v>353.34112982366941</c:v>
                </c:pt>
                <c:pt idx="337">
                  <c:v>353.61108454227269</c:v>
                </c:pt>
                <c:pt idx="338">
                  <c:v>353.87795444201095</c:v>
                </c:pt>
                <c:pt idx="339">
                  <c:v>354.14225009422893</c:v>
                </c:pt>
                <c:pt idx="340">
                  <c:v>354.40431312891025</c:v>
                </c:pt>
                <c:pt idx="341">
                  <c:v>354.66457400154025</c:v>
                </c:pt>
                <c:pt idx="342">
                  <c:v>354.92354140821379</c:v>
                </c:pt>
                <c:pt idx="343">
                  <c:v>355.18151113791185</c:v>
                </c:pt>
                <c:pt idx="344">
                  <c:v>355.43901556416432</c:v>
                </c:pt>
                <c:pt idx="345">
                  <c:v>355.6963985191374</c:v>
                </c:pt>
                <c:pt idx="346">
                  <c:v>355.95429369078744</c:v>
                </c:pt>
                <c:pt idx="347">
                  <c:v>356.21310241293935</c:v>
                </c:pt>
                <c:pt idx="348">
                  <c:v>356.48268009308907</c:v>
                </c:pt>
                <c:pt idx="349">
                  <c:v>356.76157327101726</c:v>
                </c:pt>
                <c:pt idx="350">
                  <c:v>357.04128824358634</c:v>
                </c:pt>
                <c:pt idx="351">
                  <c:v>357.32237217366526</c:v>
                </c:pt>
                <c:pt idx="352">
                  <c:v>357.60528453089097</c:v>
                </c:pt>
                <c:pt idx="353">
                  <c:v>357.89040679767237</c:v>
                </c:pt>
                <c:pt idx="354">
                  <c:v>358.17835361531598</c:v>
                </c:pt>
                <c:pt idx="355">
                  <c:v>358.46961119224648</c:v>
                </c:pt>
                <c:pt idx="356">
                  <c:v>358.76484557093676</c:v>
                </c:pt>
                <c:pt idx="357">
                  <c:v>359.0647196638638</c:v>
                </c:pt>
                <c:pt idx="358">
                  <c:v>359.36994932497907</c:v>
                </c:pt>
                <c:pt idx="359">
                  <c:v>359.68139588426908</c:v>
                </c:pt>
                <c:pt idx="360">
                  <c:v>360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44.999998975941438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-69.829625335755111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0</c:v>
                </c:pt>
                <c:pt idx="1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4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4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0.67879100479322141</c:v>
                </c:pt>
                <c:pt idx="2">
                  <c:v>1.3574820095864428</c:v>
                </c:pt>
                <c:pt idx="3">
                  <c:v>2.0361730143796644</c:v>
                </c:pt>
                <c:pt idx="4">
                  <c:v>2.7148640191728859</c:v>
                </c:pt>
                <c:pt idx="5">
                  <c:v>3.393555023966107</c:v>
                </c:pt>
                <c:pt idx="6">
                  <c:v>4.072246028759329</c:v>
                </c:pt>
                <c:pt idx="7">
                  <c:v>4.7509370335525496</c:v>
                </c:pt>
                <c:pt idx="8">
                  <c:v>5.4296280383457711</c:v>
                </c:pt>
                <c:pt idx="9">
                  <c:v>6.1083190431389927</c:v>
                </c:pt>
                <c:pt idx="10">
                  <c:v>6.7870100479322142</c:v>
                </c:pt>
                <c:pt idx="11">
                  <c:v>7.4657010527254357</c:v>
                </c:pt>
                <c:pt idx="12">
                  <c:v>8.1443920575186564</c:v>
                </c:pt>
                <c:pt idx="13">
                  <c:v>8.8230830623118788</c:v>
                </c:pt>
                <c:pt idx="14">
                  <c:v>9.5017740671050994</c:v>
                </c:pt>
                <c:pt idx="15">
                  <c:v>10.180465071898322</c:v>
                </c:pt>
                <c:pt idx="16">
                  <c:v>10.859156076691542</c:v>
                </c:pt>
                <c:pt idx="17">
                  <c:v>11.537847081484765</c:v>
                </c:pt>
                <c:pt idx="18">
                  <c:v>12.216538086277986</c:v>
                </c:pt>
                <c:pt idx="19">
                  <c:v>12.895229091071206</c:v>
                </c:pt>
                <c:pt idx="20">
                  <c:v>13.573920095864429</c:v>
                </c:pt>
                <c:pt idx="21">
                  <c:v>14.252611100657649</c:v>
                </c:pt>
                <c:pt idx="22">
                  <c:v>14.931302105450872</c:v>
                </c:pt>
                <c:pt idx="23">
                  <c:v>15.609993110244092</c:v>
                </c:pt>
                <c:pt idx="24">
                  <c:v>16.288684115037313</c:v>
                </c:pt>
                <c:pt idx="25">
                  <c:v>16.967375119830535</c:v>
                </c:pt>
                <c:pt idx="26">
                  <c:v>17.646066124623758</c:v>
                </c:pt>
                <c:pt idx="27">
                  <c:v>18.324757129416977</c:v>
                </c:pt>
                <c:pt idx="28">
                  <c:v>19.003448134210199</c:v>
                </c:pt>
                <c:pt idx="29">
                  <c:v>19.682139139003421</c:v>
                </c:pt>
                <c:pt idx="30">
                  <c:v>20.360830143796644</c:v>
                </c:pt>
                <c:pt idx="31">
                  <c:v>21.039521148589863</c:v>
                </c:pt>
                <c:pt idx="32">
                  <c:v>21.718212153383085</c:v>
                </c:pt>
                <c:pt idx="33">
                  <c:v>22.396903158176308</c:v>
                </c:pt>
                <c:pt idx="34">
                  <c:v>23.07559416296953</c:v>
                </c:pt>
                <c:pt idx="35">
                  <c:v>23.754285167762749</c:v>
                </c:pt>
                <c:pt idx="36">
                  <c:v>24.432976172555971</c:v>
                </c:pt>
                <c:pt idx="37">
                  <c:v>25.111667177349194</c:v>
                </c:pt>
                <c:pt idx="38">
                  <c:v>25.790358182142413</c:v>
                </c:pt>
                <c:pt idx="39">
                  <c:v>26.469049186935635</c:v>
                </c:pt>
                <c:pt idx="40">
                  <c:v>27.147740191728857</c:v>
                </c:pt>
                <c:pt idx="41">
                  <c:v>27.82643119652208</c:v>
                </c:pt>
                <c:pt idx="42">
                  <c:v>28.505122201315299</c:v>
                </c:pt>
                <c:pt idx="43">
                  <c:v>29.183813206108521</c:v>
                </c:pt>
                <c:pt idx="44">
                  <c:v>29.862504210901744</c:v>
                </c:pt>
                <c:pt idx="45">
                  <c:v>30.541195215694962</c:v>
                </c:pt>
                <c:pt idx="46">
                  <c:v>31.219886220488185</c:v>
                </c:pt>
                <c:pt idx="47">
                  <c:v>31.898577225281407</c:v>
                </c:pt>
                <c:pt idx="48">
                  <c:v>32.57726823007463</c:v>
                </c:pt>
                <c:pt idx="49">
                  <c:v>33.255959234867852</c:v>
                </c:pt>
                <c:pt idx="50">
                  <c:v>33.934650239661075</c:v>
                </c:pt>
                <c:pt idx="51">
                  <c:v>34.61334124445429</c:v>
                </c:pt>
                <c:pt idx="52">
                  <c:v>35.292032249247512</c:v>
                </c:pt>
                <c:pt idx="53">
                  <c:v>35.970723254040735</c:v>
                </c:pt>
                <c:pt idx="54">
                  <c:v>36.649414258833957</c:v>
                </c:pt>
                <c:pt idx="55">
                  <c:v>37.32810526362718</c:v>
                </c:pt>
                <c:pt idx="56">
                  <c:v>38.006796268420402</c:v>
                </c:pt>
                <c:pt idx="57">
                  <c:v>38.685487273213624</c:v>
                </c:pt>
                <c:pt idx="58">
                  <c:v>39.36417827800684</c:v>
                </c:pt>
                <c:pt idx="59">
                  <c:v>40.042869282800062</c:v>
                </c:pt>
                <c:pt idx="60">
                  <c:v>40.721560287593284</c:v>
                </c:pt>
                <c:pt idx="61">
                  <c:v>41.400251292386507</c:v>
                </c:pt>
                <c:pt idx="62">
                  <c:v>42.078942297179729</c:v>
                </c:pt>
                <c:pt idx="63">
                  <c:v>42.757633301972952</c:v>
                </c:pt>
                <c:pt idx="64">
                  <c:v>43.436324306766174</c:v>
                </c:pt>
                <c:pt idx="65">
                  <c:v>44.115015311559389</c:v>
                </c:pt>
                <c:pt idx="66">
                  <c:v>44.793706316352612</c:v>
                </c:pt>
                <c:pt idx="67">
                  <c:v>45.472397321145834</c:v>
                </c:pt>
                <c:pt idx="68">
                  <c:v>46.151088325939057</c:v>
                </c:pt>
                <c:pt idx="69">
                  <c:v>46.829779330732279</c:v>
                </c:pt>
                <c:pt idx="70">
                  <c:v>47.508470335525502</c:v>
                </c:pt>
                <c:pt idx="71">
                  <c:v>48.187161340318724</c:v>
                </c:pt>
                <c:pt idx="72">
                  <c:v>48.865852345111939</c:v>
                </c:pt>
                <c:pt idx="73">
                  <c:v>49.544543349905162</c:v>
                </c:pt>
                <c:pt idx="74">
                  <c:v>50.223234354698384</c:v>
                </c:pt>
                <c:pt idx="75">
                  <c:v>50.901925359491607</c:v>
                </c:pt>
                <c:pt idx="76">
                  <c:v>51.580616364284829</c:v>
                </c:pt>
                <c:pt idx="77">
                  <c:v>52.259307369078051</c:v>
                </c:pt>
                <c:pt idx="78">
                  <c:v>52.937998373871274</c:v>
                </c:pt>
                <c:pt idx="79">
                  <c:v>53.616689378664489</c:v>
                </c:pt>
                <c:pt idx="80">
                  <c:v>54.295380383457712</c:v>
                </c:pt>
                <c:pt idx="81">
                  <c:v>54.974071388250934</c:v>
                </c:pt>
                <c:pt idx="82">
                  <c:v>55.652762393044156</c:v>
                </c:pt>
                <c:pt idx="83">
                  <c:v>56.331453397837379</c:v>
                </c:pt>
                <c:pt idx="84">
                  <c:v>57.010144402630601</c:v>
                </c:pt>
                <c:pt idx="85">
                  <c:v>57.688835407423824</c:v>
                </c:pt>
                <c:pt idx="86">
                  <c:v>58.367526412217039</c:v>
                </c:pt>
                <c:pt idx="87">
                  <c:v>59.046217417010261</c:v>
                </c:pt>
                <c:pt idx="88">
                  <c:v>59.724908421803484</c:v>
                </c:pt>
                <c:pt idx="89">
                  <c:v>60.403599426596706</c:v>
                </c:pt>
                <c:pt idx="90">
                  <c:v>61.082290431389929</c:v>
                </c:pt>
                <c:pt idx="91">
                  <c:v>61.760981436183151</c:v>
                </c:pt>
                <c:pt idx="92">
                  <c:v>62.439672440976373</c:v>
                </c:pt>
                <c:pt idx="93">
                  <c:v>63.118363445769589</c:v>
                </c:pt>
                <c:pt idx="94">
                  <c:v>63.797054450562811</c:v>
                </c:pt>
                <c:pt idx="95">
                  <c:v>64.475745455356034</c:v>
                </c:pt>
                <c:pt idx="96">
                  <c:v>65.154436460149256</c:v>
                </c:pt>
                <c:pt idx="97">
                  <c:v>65.833127464942478</c:v>
                </c:pt>
                <c:pt idx="98">
                  <c:v>66.511818469735701</c:v>
                </c:pt>
                <c:pt idx="99">
                  <c:v>67.190509474528923</c:v>
                </c:pt>
                <c:pt idx="100">
                  <c:v>67.869200479322146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-457.19999996787169</c:v>
                </c:pt>
                <c:pt idx="1">
                  <c:v>-455.71966424367832</c:v>
                </c:pt>
                <c:pt idx="2">
                  <c:v>-451.27952927928123</c:v>
                </c:pt>
                <c:pt idx="3">
                  <c:v>-443.87959507468031</c:v>
                </c:pt>
                <c:pt idx="4">
                  <c:v>-415.77544324106123</c:v>
                </c:pt>
                <c:pt idx="5">
                  <c:v>-368.66778991875623</c:v>
                </c:pt>
                <c:pt idx="6">
                  <c:v>-329.86276766298795</c:v>
                </c:pt>
                <c:pt idx="7">
                  <c:v>-294.53372222388123</c:v>
                </c:pt>
                <c:pt idx="8">
                  <c:v>-252.32594734665906</c:v>
                </c:pt>
                <c:pt idx="9">
                  <c:v>-198.40046510816433</c:v>
                </c:pt>
                <c:pt idx="10">
                  <c:v>-147.26844937796906</c:v>
                </c:pt>
                <c:pt idx="11">
                  <c:v>-82.857438717624206</c:v>
                </c:pt>
                <c:pt idx="12">
                  <c:v>-8.3485774871319336</c:v>
                </c:pt>
                <c:pt idx="13">
                  <c:v>67.625934746979738</c:v>
                </c:pt>
                <c:pt idx="14">
                  <c:v>140.99222116069114</c:v>
                </c:pt>
                <c:pt idx="15">
                  <c:v>220.98814310600474</c:v>
                </c:pt>
                <c:pt idx="16">
                  <c:v>303.09074715129901</c:v>
                </c:pt>
                <c:pt idx="17">
                  <c:v>383.89138976045609</c:v>
                </c:pt>
                <c:pt idx="18">
                  <c:v>465.28851832063089</c:v>
                </c:pt>
                <c:pt idx="19">
                  <c:v>552.36959655448936</c:v>
                </c:pt>
                <c:pt idx="20">
                  <c:v>635.43401555042942</c:v>
                </c:pt>
                <c:pt idx="21">
                  <c:v>710.05690195620514</c:v>
                </c:pt>
                <c:pt idx="22">
                  <c:v>786.54073391529232</c:v>
                </c:pt>
                <c:pt idx="23">
                  <c:v>856.5699947372234</c:v>
                </c:pt>
                <c:pt idx="24">
                  <c:v>929.04775417453095</c:v>
                </c:pt>
                <c:pt idx="25">
                  <c:v>999.88035107118367</c:v>
                </c:pt>
                <c:pt idx="26">
                  <c:v>1068.1873034589876</c:v>
                </c:pt>
                <c:pt idx="27">
                  <c:v>1132.2739301825209</c:v>
                </c:pt>
                <c:pt idx="28">
                  <c:v>1187.9277266490778</c:v>
                </c:pt>
                <c:pt idx="29">
                  <c:v>1243.9041782188322</c:v>
                </c:pt>
                <c:pt idx="30">
                  <c:v>1295.9888389488474</c:v>
                </c:pt>
                <c:pt idx="31">
                  <c:v>1344.2719011458794</c:v>
                </c:pt>
                <c:pt idx="32">
                  <c:v>1388.832283130251</c:v>
                </c:pt>
                <c:pt idx="33">
                  <c:v>1429.7393374079863</c:v>
                </c:pt>
                <c:pt idx="34">
                  <c:v>1467.0542574021122</c:v>
                </c:pt>
                <c:pt idx="35">
                  <c:v>1500.8312430310361</c:v>
                </c:pt>
                <c:pt idx="36">
                  <c:v>1526.8004720246572</c:v>
                </c:pt>
                <c:pt idx="37">
                  <c:v>1553.6409137303838</c:v>
                </c:pt>
                <c:pt idx="38">
                  <c:v>1577.0730144239601</c:v>
                </c:pt>
                <c:pt idx="39">
                  <c:v>1597.1312771882599</c:v>
                </c:pt>
                <c:pt idx="40">
                  <c:v>1613.8467548105789</c:v>
                </c:pt>
                <c:pt idx="41">
                  <c:v>1626.9932268579269</c:v>
                </c:pt>
                <c:pt idx="42">
                  <c:v>1636.2941627905084</c:v>
                </c:pt>
                <c:pt idx="43">
                  <c:v>1642.5095417078376</c:v>
                </c:pt>
                <c:pt idx="44">
                  <c:v>1647.771852683527</c:v>
                </c:pt>
                <c:pt idx="45">
                  <c:v>1652.800283937195</c:v>
                </c:pt>
                <c:pt idx="46">
                  <c:v>1657.610088445334</c:v>
                </c:pt>
                <c:pt idx="47">
                  <c:v>1662.2152210628469</c:v>
                </c:pt>
                <c:pt idx="48">
                  <c:v>1666.6284737436317</c:v>
                </c:pt>
                <c:pt idx="49">
                  <c:v>1670.8615942035908</c:v>
                </c:pt>
                <c:pt idx="50">
                  <c:v>1674.9253903441249</c:v>
                </c:pt>
                <c:pt idx="51">
                  <c:v>1678.8298223905417</c:v>
                </c:pt>
                <c:pt idx="52">
                  <c:v>1682.5840843991432</c:v>
                </c:pt>
                <c:pt idx="53">
                  <c:v>1686.1966765371178</c:v>
                </c:pt>
                <c:pt idx="54">
                  <c:v>1689.6754693313587</c:v>
                </c:pt>
                <c:pt idx="55">
                  <c:v>1693.0277609083362</c:v>
                </c:pt>
                <c:pt idx="56">
                  <c:v>1695.7930580494613</c:v>
                </c:pt>
                <c:pt idx="57">
                  <c:v>1698.318822431886</c:v>
                </c:pt>
                <c:pt idx="58">
                  <c:v>1700.7574917120342</c:v>
                </c:pt>
                <c:pt idx="59">
                  <c:v>1703.1134944433686</c:v>
                </c:pt>
                <c:pt idx="60">
                  <c:v>1705.3909639431799</c:v>
                </c:pt>
                <c:pt idx="61">
                  <c:v>1707.593762492214</c:v>
                </c:pt>
                <c:pt idx="62">
                  <c:v>1709.5504999871932</c:v>
                </c:pt>
                <c:pt idx="63">
                  <c:v>1711.073059918544</c:v>
                </c:pt>
                <c:pt idx="64">
                  <c:v>1712.5480399615794</c:v>
                </c:pt>
                <c:pt idx="65">
                  <c:v>1713.9776361061672</c:v>
                </c:pt>
                <c:pt idx="66">
                  <c:v>1715.3639112521771</c:v>
                </c:pt>
                <c:pt idx="67">
                  <c:v>1716.7088051415481</c:v>
                </c:pt>
                <c:pt idx="68">
                  <c:v>1718.0141434139996</c:v>
                </c:pt>
                <c:pt idx="69">
                  <c:v>1719.2816458752905</c:v>
                </c:pt>
                <c:pt idx="70">
                  <c:v>1720.5129340567719</c:v>
                </c:pt>
                <c:pt idx="71">
                  <c:v>1721.7095381361048</c:v>
                </c:pt>
                <c:pt idx="72">
                  <c:v>1722.872903281255</c:v>
                </c:pt>
                <c:pt idx="73">
                  <c:v>1724.0043954730618</c:v>
                </c:pt>
                <c:pt idx="74">
                  <c:v>1725.1053068557098</c:v>
                </c:pt>
                <c:pt idx="75">
                  <c:v>1726.1768606591622</c:v>
                </c:pt>
                <c:pt idx="76">
                  <c:v>1727.2202157329825</c:v>
                </c:pt>
                <c:pt idx="77">
                  <c:v>1727.8911027194129</c:v>
                </c:pt>
                <c:pt idx="78">
                  <c:v>1728.446113174592</c:v>
                </c:pt>
                <c:pt idx="79">
                  <c:v>1728.9870727583782</c:v>
                </c:pt>
                <c:pt idx="80">
                  <c:v>1729.5145083774778</c:v>
                </c:pt>
                <c:pt idx="81">
                  <c:v>1730.0289209185605</c:v>
                </c:pt>
                <c:pt idx="82">
                  <c:v>1730.5307868348445</c:v>
                </c:pt>
                <c:pt idx="83">
                  <c:v>1731.0205596179871</c:v>
                </c:pt>
                <c:pt idx="84">
                  <c:v>1731.4986711648428</c:v>
                </c:pt>
                <c:pt idx="85">
                  <c:v>1731.9655330477437</c:v>
                </c:pt>
                <c:pt idx="86">
                  <c:v>1732.4215376961556</c:v>
                </c:pt>
                <c:pt idx="87">
                  <c:v>1732.8670594968403</c:v>
                </c:pt>
                <c:pt idx="88">
                  <c:v>1733.3024558190084</c:v>
                </c:pt>
                <c:pt idx="89">
                  <c:v>1733.7280679703595</c:v>
                </c:pt>
                <c:pt idx="90">
                  <c:v>1734.1442220893869</c:v>
                </c:pt>
                <c:pt idx="91">
                  <c:v>1734.5512299788493</c:v>
                </c:pt>
                <c:pt idx="92">
                  <c:v>1734.949389884885</c:v>
                </c:pt>
                <c:pt idx="93">
                  <c:v>1735.3389872258622</c:v>
                </c:pt>
                <c:pt idx="94">
                  <c:v>1735.7202952747057</c:v>
                </c:pt>
                <c:pt idx="95">
                  <c:v>1736.093575798129</c:v>
                </c:pt>
                <c:pt idx="96">
                  <c:v>1736.4590796559169</c:v>
                </c:pt>
                <c:pt idx="97">
                  <c:v>1736.8170473631358</c:v>
                </c:pt>
                <c:pt idx="98">
                  <c:v>1736.8919999999998</c:v>
                </c:pt>
                <c:pt idx="99">
                  <c:v>1736.8919999999998</c:v>
                </c:pt>
                <c:pt idx="100">
                  <c:v>1736.8919999999998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95250</xdr:rowOff>
        </xdr:from>
        <xdr:to>
          <xdr:col>19</xdr:col>
          <xdr:colOff>819150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122</xdr:row>
          <xdr:rowOff>66675</xdr:rowOff>
        </xdr:from>
        <xdr:to>
          <xdr:col>18</xdr:col>
          <xdr:colOff>266700</xdr:colOff>
          <xdr:row>125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C5E4068-B6E1-4885-8532-B2CDCCC5D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find an interaction point with the same 3d unit vector of the applied 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abSelected="1" topLeftCell="A92" zoomScale="85" zoomScaleNormal="85" workbookViewId="0">
      <selection activeCell="S121" sqref="S121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9.42578125" bestFit="1" customWidth="1"/>
    <col min="14" max="14" width="12.42578125" customWidth="1"/>
    <col min="16" max="16" width="12.28515625" bestFit="1" customWidth="1"/>
    <col min="17" max="18" width="9" bestFit="1" customWidth="1"/>
    <col min="19" max="19" width="21.28515625" customWidth="1"/>
    <col min="20" max="20" width="20.28515625" bestFit="1" customWidth="1"/>
    <col min="21" max="21" width="11.42578125" customWidth="1"/>
    <col min="22" max="22" width="11.85546875" customWidth="1"/>
    <col min="23" max="23" width="11.140625" bestFit="1" customWidth="1"/>
    <col min="24" max="24" width="9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6">
        <v>4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8" t="s">
        <v>99</v>
      </c>
      <c r="T2" s="61" t="s">
        <v>100</v>
      </c>
      <c r="U2" s="41"/>
    </row>
    <row r="3" spans="1:21" x14ac:dyDescent="0.25">
      <c r="A3" s="2" t="s">
        <v>13</v>
      </c>
      <c r="B3" s="3">
        <f>(POWER(145,1.5)*33*SQRT(1000*B2))/1000</f>
        <v>3644.1474311558795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2">
        <v>10</v>
      </c>
      <c r="T3" s="47" t="s">
        <v>103</v>
      </c>
      <c r="U3" s="45"/>
    </row>
    <row r="4" spans="1:21" x14ac:dyDescent="0.25">
      <c r="A4" s="2" t="s">
        <v>35</v>
      </c>
      <c r="B4" s="1">
        <f>IF(B2&lt;=4,0.85,IF(B2&lt;=8,0.85 - ((0.05*(B2-4))/1),0.65))</f>
        <v>0.85</v>
      </c>
      <c r="D4" s="5">
        <f>B5</f>
        <v>16</v>
      </c>
      <c r="E4" s="5">
        <v>0</v>
      </c>
      <c r="G4">
        <v>-1</v>
      </c>
      <c r="H4">
        <v>-1</v>
      </c>
      <c r="S4" s="46">
        <f ca="1">OFFSET(Reference!A$1,MATCH('Cross Section Analysis'!S3,Reference!A$1:A$12,0)-1,1)</f>
        <v>1.27</v>
      </c>
      <c r="T4" s="47" t="s">
        <v>106</v>
      </c>
      <c r="U4" s="45"/>
    </row>
    <row r="5" spans="1:21" x14ac:dyDescent="0.25">
      <c r="A5" s="2" t="s">
        <v>2</v>
      </c>
      <c r="B5" s="36">
        <v>16</v>
      </c>
      <c r="C5" t="s">
        <v>6</v>
      </c>
      <c r="D5" s="5">
        <f>B5</f>
        <v>16</v>
      </c>
      <c r="E5" s="5">
        <f>B6</f>
        <v>24</v>
      </c>
      <c r="G5" t="s">
        <v>33</v>
      </c>
      <c r="S5" s="62">
        <v>3</v>
      </c>
      <c r="T5" s="47" t="s">
        <v>104</v>
      </c>
      <c r="U5" s="45"/>
    </row>
    <row r="6" spans="1:21" x14ac:dyDescent="0.25">
      <c r="A6" s="2" t="s">
        <v>3</v>
      </c>
      <c r="B6" s="36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6">
        <f ca="1">OFFSET(Reference!A$1,MATCH('Cross Section Analysis'!S5,Reference!A$1:A$12,0)-1,1)</f>
        <v>0.375</v>
      </c>
      <c r="T6" s="47" t="s">
        <v>108</v>
      </c>
      <c r="U6" s="45"/>
    </row>
    <row r="7" spans="1:21" x14ac:dyDescent="0.25">
      <c r="D7" s="5">
        <v>0</v>
      </c>
      <c r="E7" s="5">
        <v>0</v>
      </c>
      <c r="G7">
        <f>B5/2</f>
        <v>8</v>
      </c>
      <c r="H7">
        <f>B6/2</f>
        <v>12</v>
      </c>
      <c r="S7" s="59">
        <v>2</v>
      </c>
      <c r="T7" s="47" t="s">
        <v>109</v>
      </c>
      <c r="U7" s="45"/>
    </row>
    <row r="8" spans="1:21" x14ac:dyDescent="0.25">
      <c r="S8" s="46" t="s">
        <v>118</v>
      </c>
      <c r="T8" s="47"/>
      <c r="U8" s="45"/>
    </row>
    <row r="9" spans="1:21" x14ac:dyDescent="0.25">
      <c r="A9" t="s">
        <v>8</v>
      </c>
      <c r="S9" s="59">
        <v>2</v>
      </c>
      <c r="T9" s="47" t="s">
        <v>101</v>
      </c>
      <c r="U9" s="45"/>
    </row>
    <row r="10" spans="1:21" x14ac:dyDescent="0.25">
      <c r="A10" t="s">
        <v>9</v>
      </c>
      <c r="B10" s="36">
        <v>60</v>
      </c>
      <c r="C10" t="s">
        <v>5</v>
      </c>
      <c r="F10" s="27" t="s">
        <v>88</v>
      </c>
      <c r="S10" s="59">
        <v>3</v>
      </c>
      <c r="T10" s="47" t="s">
        <v>102</v>
      </c>
      <c r="U10" s="45"/>
    </row>
    <row r="11" spans="1:21" x14ac:dyDescent="0.25">
      <c r="A11" t="s">
        <v>12</v>
      </c>
      <c r="B11" s="3">
        <v>29000</v>
      </c>
      <c r="C11" t="s">
        <v>5</v>
      </c>
      <c r="F11" s="27" t="s">
        <v>89</v>
      </c>
      <c r="S11" s="46">
        <f>(2*S9)+((2*S10)-4)</f>
        <v>6</v>
      </c>
      <c r="T11" s="47" t="s">
        <v>107</v>
      </c>
      <c r="U11" s="45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  <c r="S12" s="46" t="s">
        <v>116</v>
      </c>
      <c r="T12" s="60" t="s">
        <v>117</v>
      </c>
      <c r="U12" s="45"/>
    </row>
    <row r="13" spans="1:21" x14ac:dyDescent="0.25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3.125</v>
      </c>
      <c r="E13" s="36">
        <v>3.125</v>
      </c>
      <c r="F13" s="27" t="s">
        <v>91</v>
      </c>
      <c r="S13" s="66">
        <f ca="1">2*S6</f>
        <v>0.75</v>
      </c>
      <c r="T13" s="60" t="s">
        <v>123</v>
      </c>
      <c r="U13" s="45"/>
    </row>
    <row r="14" spans="1:21" x14ac:dyDescent="0.25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8</v>
      </c>
      <c r="E14" s="36">
        <v>3.125</v>
      </c>
      <c r="F14" s="27" t="s">
        <v>92</v>
      </c>
      <c r="S14" s="66">
        <f ca="1">0.5*S4</f>
        <v>0.63500000000000001</v>
      </c>
      <c r="T14" s="60" t="s">
        <v>105</v>
      </c>
      <c r="U14" s="45"/>
    </row>
    <row r="15" spans="1:21" x14ac:dyDescent="0.25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12.875</v>
      </c>
      <c r="E15" s="36">
        <v>3.125</v>
      </c>
      <c r="S15" s="66">
        <f ca="1">MAX(S13:S14)</f>
        <v>0.75</v>
      </c>
      <c r="T15" s="60" t="s">
        <v>110</v>
      </c>
      <c r="U15" s="45"/>
    </row>
    <row r="16" spans="1:21" x14ac:dyDescent="0.25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3.125</v>
      </c>
      <c r="E16" s="36">
        <v>20.875</v>
      </c>
      <c r="S16" s="66">
        <f ca="1">S7+S6+S15</f>
        <v>3.125</v>
      </c>
      <c r="T16" s="60" t="s">
        <v>112</v>
      </c>
      <c r="U16" s="45"/>
    </row>
    <row r="17" spans="1:21" x14ac:dyDescent="0.25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8</v>
      </c>
      <c r="E17" s="36">
        <v>20.875</v>
      </c>
      <c r="S17" s="66">
        <f ca="1">B5-S16</f>
        <v>12.875</v>
      </c>
      <c r="T17" s="60" t="s">
        <v>111</v>
      </c>
      <c r="U17" s="45"/>
    </row>
    <row r="18" spans="1:21" x14ac:dyDescent="0.25">
      <c r="A18">
        <v>6</v>
      </c>
      <c r="B18" s="35">
        <v>10</v>
      </c>
      <c r="C18" s="4">
        <f ca="1">OFFSET(Reference!A$1,MATCH('Cross Section Analysis'!B18,Reference!A$1:A$12,0)-1,2)</f>
        <v>1.27</v>
      </c>
      <c r="D18" s="36">
        <v>12.875</v>
      </c>
      <c r="E18" s="36">
        <v>20.875</v>
      </c>
      <c r="S18" s="66">
        <f ca="1">B6-S16</f>
        <v>20.875</v>
      </c>
      <c r="T18" s="60" t="s">
        <v>113</v>
      </c>
      <c r="U18" s="45"/>
    </row>
    <row r="19" spans="1:21" x14ac:dyDescent="0.25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  <c r="S19" s="66">
        <f ca="1">(B5-(2*S16))/(S10-1)</f>
        <v>4.875</v>
      </c>
      <c r="T19" s="60" t="s">
        <v>114</v>
      </c>
      <c r="U19" s="45"/>
    </row>
    <row r="20" spans="1:21" x14ac:dyDescent="0.25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  <c r="S20" s="66">
        <f ca="1">(B6 - (2*S16))/(S9-1)</f>
        <v>17.75</v>
      </c>
      <c r="T20" s="60" t="s">
        <v>115</v>
      </c>
      <c r="U20" s="45"/>
    </row>
    <row r="21" spans="1:21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  <c r="S21" s="46"/>
      <c r="T21" s="47"/>
      <c r="U21" s="45"/>
    </row>
    <row r="22" spans="1:21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  <c r="S22" s="46"/>
      <c r="T22" s="47"/>
      <c r="U22" s="45"/>
    </row>
    <row r="23" spans="1:21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  <c r="S23" s="46"/>
      <c r="T23" s="47"/>
      <c r="U23" s="45"/>
    </row>
    <row r="24" spans="1:21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  <c r="S24" s="46"/>
      <c r="T24" s="47"/>
      <c r="U24" s="45"/>
    </row>
    <row r="25" spans="1:21" ht="15.75" thickBot="1" x14ac:dyDescent="0.3">
      <c r="C25" s="4">
        <f ca="1">SUM(C13:C24)</f>
        <v>7.6199999999999992</v>
      </c>
      <c r="D25" s="67">
        <f ca="1">(C25/(B5*B6))*100</f>
        <v>1.9843749999999998</v>
      </c>
      <c r="E25" s="68" t="str">
        <f>"=%As"</f>
        <v>=%As</v>
      </c>
      <c r="F25" s="69" t="str">
        <f ca="1">IF(AND(D25&gt;=1,D25&lt;=4),"OK","NG")</f>
        <v>OK</v>
      </c>
      <c r="S25" s="42"/>
      <c r="T25" s="63"/>
      <c r="U25" s="43"/>
    </row>
    <row r="26" spans="1:21" x14ac:dyDescent="0.25">
      <c r="A26" s="26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384</v>
      </c>
      <c r="C28" t="s">
        <v>18</v>
      </c>
      <c r="D28">
        <v>1</v>
      </c>
    </row>
    <row r="29" spans="1:21" x14ac:dyDescent="0.25">
      <c r="A29" s="2" t="s">
        <v>19</v>
      </c>
      <c r="B29">
        <f>B28*B2*D28</f>
        <v>1536</v>
      </c>
      <c r="C29" t="s">
        <v>20</v>
      </c>
    </row>
    <row r="30" spans="1:21" x14ac:dyDescent="0.25">
      <c r="A30" s="2" t="s">
        <v>21</v>
      </c>
      <c r="B30">
        <f>B29*(B6/2)</f>
        <v>18432</v>
      </c>
      <c r="C30" t="s">
        <v>23</v>
      </c>
    </row>
    <row r="31" spans="1:21" x14ac:dyDescent="0.25">
      <c r="A31" s="2" t="s">
        <v>22</v>
      </c>
      <c r="B31">
        <f>B29*(B5/2)</f>
        <v>12288</v>
      </c>
      <c r="C31" t="s">
        <v>23</v>
      </c>
    </row>
    <row r="33" spans="1:30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30" x14ac:dyDescent="0.25">
      <c r="A34">
        <f>A13</f>
        <v>1</v>
      </c>
      <c r="B34" s="7">
        <f ca="1">C13</f>
        <v>1.27</v>
      </c>
      <c r="C34" s="6">
        <f>($B$10-($B$2*$D$28))</f>
        <v>56</v>
      </c>
      <c r="D34" s="6">
        <f ca="1">B34*C34</f>
        <v>71.12</v>
      </c>
      <c r="E34" s="6">
        <f ca="1">D34*E13</f>
        <v>222.25</v>
      </c>
      <c r="F34" s="6">
        <f ca="1">D34*D13</f>
        <v>222.25</v>
      </c>
    </row>
    <row r="35" spans="1:30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($B$10-($B$2*$D$28))</f>
        <v>56</v>
      </c>
      <c r="D35" s="6">
        <f t="shared" ref="D35:D45" ca="1" si="3">B35*C35</f>
        <v>71.12</v>
      </c>
      <c r="E35" s="6">
        <f t="shared" ref="E35:E45" ca="1" si="4">D35*E14</f>
        <v>222.25</v>
      </c>
      <c r="F35" s="6">
        <f t="shared" ref="F35:F45" ca="1" si="5">D35*D14</f>
        <v>568.96</v>
      </c>
    </row>
    <row r="36" spans="1:30" x14ac:dyDescent="0.25">
      <c r="A36">
        <f t="shared" si="0"/>
        <v>3</v>
      </c>
      <c r="B36" s="7">
        <f t="shared" ca="1" si="1"/>
        <v>1.27</v>
      </c>
      <c r="C36" s="6">
        <f t="shared" si="2"/>
        <v>56</v>
      </c>
      <c r="D36" s="6">
        <f t="shared" ca="1" si="3"/>
        <v>71.12</v>
      </c>
      <c r="E36" s="6">
        <f t="shared" ca="1" si="4"/>
        <v>222.25</v>
      </c>
      <c r="F36" s="6">
        <f t="shared" ca="1" si="5"/>
        <v>915.67000000000007</v>
      </c>
    </row>
    <row r="37" spans="1:30" x14ac:dyDescent="0.25">
      <c r="A37">
        <f t="shared" si="0"/>
        <v>4</v>
      </c>
      <c r="B37" s="7">
        <f t="shared" ca="1" si="1"/>
        <v>1.27</v>
      </c>
      <c r="C37" s="6">
        <f t="shared" si="2"/>
        <v>56</v>
      </c>
      <c r="D37" s="6">
        <f t="shared" ca="1" si="3"/>
        <v>71.12</v>
      </c>
      <c r="E37" s="6">
        <f t="shared" ca="1" si="4"/>
        <v>1484.63</v>
      </c>
      <c r="F37" s="6">
        <f t="shared" ca="1" si="5"/>
        <v>222.25</v>
      </c>
    </row>
    <row r="38" spans="1:30" x14ac:dyDescent="0.25">
      <c r="A38">
        <f t="shared" si="0"/>
        <v>5</v>
      </c>
      <c r="B38" s="7">
        <f t="shared" ca="1" si="1"/>
        <v>1.27</v>
      </c>
      <c r="C38" s="6">
        <f t="shared" si="2"/>
        <v>56</v>
      </c>
      <c r="D38" s="6">
        <f t="shared" ca="1" si="3"/>
        <v>71.12</v>
      </c>
      <c r="E38" s="6">
        <f t="shared" ca="1" si="4"/>
        <v>1484.63</v>
      </c>
      <c r="F38" s="6">
        <f t="shared" ca="1" si="5"/>
        <v>568.96</v>
      </c>
    </row>
    <row r="39" spans="1:30" x14ac:dyDescent="0.25">
      <c r="A39">
        <f t="shared" si="0"/>
        <v>6</v>
      </c>
      <c r="B39" s="7">
        <f t="shared" ca="1" si="1"/>
        <v>1.27</v>
      </c>
      <c r="C39" s="6">
        <f t="shared" si="2"/>
        <v>56</v>
      </c>
      <c r="D39" s="6">
        <f t="shared" ca="1" si="3"/>
        <v>71.12</v>
      </c>
      <c r="E39" s="6">
        <f t="shared" ca="1" si="4"/>
        <v>1484.63</v>
      </c>
      <c r="F39" s="6">
        <f t="shared" ca="1" si="5"/>
        <v>915.67000000000007</v>
      </c>
    </row>
    <row r="40" spans="1:30" x14ac:dyDescent="0.25">
      <c r="A40">
        <f t="shared" si="0"/>
        <v>7</v>
      </c>
      <c r="B40" s="7">
        <f t="shared" ca="1" si="1"/>
        <v>0</v>
      </c>
      <c r="C40" s="6">
        <f t="shared" si="2"/>
        <v>56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30" x14ac:dyDescent="0.25">
      <c r="A41">
        <f t="shared" si="0"/>
        <v>8</v>
      </c>
      <c r="B41" s="7">
        <f t="shared" ca="1" si="1"/>
        <v>0</v>
      </c>
      <c r="C41" s="6">
        <f t="shared" si="2"/>
        <v>56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30" x14ac:dyDescent="0.25">
      <c r="A42">
        <f t="shared" si="0"/>
        <v>9</v>
      </c>
      <c r="B42" s="7">
        <f t="shared" ca="1" si="1"/>
        <v>0</v>
      </c>
      <c r="C42" s="6">
        <f t="shared" si="2"/>
        <v>56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30" x14ac:dyDescent="0.25">
      <c r="A43">
        <f t="shared" si="0"/>
        <v>10</v>
      </c>
      <c r="B43" s="7">
        <f t="shared" ca="1" si="1"/>
        <v>0</v>
      </c>
      <c r="C43" s="6">
        <f t="shared" si="2"/>
        <v>56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30" x14ac:dyDescent="0.25">
      <c r="A44">
        <f t="shared" si="0"/>
        <v>11</v>
      </c>
      <c r="B44" s="7">
        <f t="shared" ca="1" si="1"/>
        <v>0</v>
      </c>
      <c r="C44" s="6">
        <f t="shared" si="2"/>
        <v>56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30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56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30" ht="15.75" thickTop="1" x14ac:dyDescent="0.25">
      <c r="C46" s="6"/>
      <c r="D46" s="6">
        <f ca="1">SUM(D34:D45)</f>
        <v>426.72</v>
      </c>
      <c r="E46" s="6">
        <f t="shared" ref="E46:F46" ca="1" si="6">SUM(E34:E45)</f>
        <v>5120.6400000000003</v>
      </c>
      <c r="F46" s="6">
        <f t="shared" ca="1" si="6"/>
        <v>3413.76</v>
      </c>
    </row>
    <row r="47" spans="1:30" x14ac:dyDescent="0.25">
      <c r="AC47" s="1" t="s">
        <v>122</v>
      </c>
      <c r="AD47" s="1" t="s">
        <v>75</v>
      </c>
    </row>
    <row r="48" spans="1:30" x14ac:dyDescent="0.25">
      <c r="A48" s="2" t="s">
        <v>28</v>
      </c>
      <c r="B48" s="6">
        <f ca="1">B29+D46</f>
        <v>1962.72</v>
      </c>
      <c r="D48" t="s">
        <v>31</v>
      </c>
      <c r="E48" t="s">
        <v>32</v>
      </c>
      <c r="AC48">
        <v>1E-4</v>
      </c>
      <c r="AD48">
        <v>-457.19999996787169</v>
      </c>
    </row>
    <row r="49" spans="1:30" x14ac:dyDescent="0.25">
      <c r="A49" s="2" t="s">
        <v>29</v>
      </c>
      <c r="B49" s="6">
        <f ca="1">E46+B30</f>
        <v>23552.639999999999</v>
      </c>
      <c r="D49" s="1">
        <f ca="1">B50/B48</f>
        <v>8</v>
      </c>
      <c r="E49" s="4">
        <f ca="1">B49/B48</f>
        <v>12</v>
      </c>
      <c r="AC49">
        <v>0.67879100479322141</v>
      </c>
      <c r="AD49">
        <v>-455.71966424367832</v>
      </c>
    </row>
    <row r="50" spans="1:30" x14ac:dyDescent="0.25">
      <c r="A50" s="2" t="s">
        <v>30</v>
      </c>
      <c r="B50" s="6">
        <f ca="1">F46+B31</f>
        <v>15701.76</v>
      </c>
      <c r="AC50">
        <v>1.3574820095864428</v>
      </c>
      <c r="AD50">
        <v>-451.27952927928123</v>
      </c>
    </row>
    <row r="51" spans="1:30" x14ac:dyDescent="0.25">
      <c r="AC51">
        <v>2.0361730143796644</v>
      </c>
      <c r="AD51">
        <v>-443.87959507468031</v>
      </c>
    </row>
    <row r="52" spans="1:30" x14ac:dyDescent="0.25">
      <c r="A52" s="27" t="s">
        <v>34</v>
      </c>
      <c r="AC52">
        <v>2.7148640191728859</v>
      </c>
      <c r="AD52">
        <v>-415.77544324106123</v>
      </c>
    </row>
    <row r="53" spans="1:30" x14ac:dyDescent="0.25">
      <c r="A53" s="2" t="s">
        <v>36</v>
      </c>
      <c r="B53" s="34">
        <v>290.17037466424489</v>
      </c>
      <c r="C53" t="s">
        <v>39</v>
      </c>
      <c r="F53">
        <f>B53-360</f>
        <v>-69.829625335755111</v>
      </c>
      <c r="AC53">
        <v>3.393555023966107</v>
      </c>
      <c r="AD53">
        <v>-368.66778991875623</v>
      </c>
    </row>
    <row r="54" spans="1:30" x14ac:dyDescent="0.25">
      <c r="AC54">
        <v>4.072246028759329</v>
      </c>
      <c r="AD54">
        <v>-329.86276766298795</v>
      </c>
    </row>
    <row r="55" spans="1:30" x14ac:dyDescent="0.25">
      <c r="A55" s="2" t="s">
        <v>16</v>
      </c>
      <c r="AC55">
        <v>4.7509370335525496</v>
      </c>
      <c r="AD55">
        <v>-294.53372222388123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5.4296280383457711</v>
      </c>
      <c r="AD56">
        <v>-252.32594734665906</v>
      </c>
    </row>
    <row r="57" spans="1:30" x14ac:dyDescent="0.25">
      <c r="A57" s="6">
        <f ca="1">D3-$D$49</f>
        <v>-8</v>
      </c>
      <c r="B57" s="7">
        <f ca="1">E3-$E$49</f>
        <v>-12</v>
      </c>
      <c r="C57" s="4">
        <f ca="1">A57*COS(RADIANS(-1*$B$53))+B57*SIN(RADIANS(-1*$B$53))</f>
        <v>-14.022560412674048</v>
      </c>
      <c r="D57" s="4">
        <f ca="1">-1*A57*SIN(RADIANS(-1*$B$53))+B57*COS(RADIANS(-1*$B$53))</f>
        <v>3.3716167446651752</v>
      </c>
      <c r="F57" t="s">
        <v>40</v>
      </c>
      <c r="G57">
        <f ca="1">MAX(D57:D61)-MIN(D57:D61)</f>
        <v>23.294252496732724</v>
      </c>
      <c r="H57" t="s">
        <v>6</v>
      </c>
      <c r="T57" t="s">
        <v>82</v>
      </c>
      <c r="AC57">
        <v>6.1083190431389927</v>
      </c>
      <c r="AD57">
        <v>-198.40046510816433</v>
      </c>
    </row>
    <row r="58" spans="1:30" x14ac:dyDescent="0.25">
      <c r="A58" s="6">
        <f ca="1">D4-$D$49</f>
        <v>8</v>
      </c>
      <c r="B58" s="7">
        <f t="shared" ref="B58:B61" ca="1" si="7">E4-$E$49</f>
        <v>-12</v>
      </c>
      <c r="C58" s="4">
        <f t="shared" ref="C58:C61" ca="1" si="8">A58*COS(RADIANS(-1*$B$53))+B58*SIN(RADIANS(-1*$B$53))</f>
        <v>-8.505554076873258</v>
      </c>
      <c r="D58" s="4">
        <f t="shared" ref="D58:D61" ca="1" si="9">-1*A58*SIN(RADIANS(-1*$B$53))+B58*COS(RADIANS(-1*$B$53))</f>
        <v>-11.647126248366362</v>
      </c>
      <c r="F58" t="s">
        <v>62</v>
      </c>
      <c r="G58" s="7">
        <f ca="1">MAX(D57:D61)</f>
        <v>11.647126248366362</v>
      </c>
      <c r="T58" t="s">
        <v>0</v>
      </c>
      <c r="U58" t="s">
        <v>1</v>
      </c>
      <c r="AC58">
        <v>6.7870100479322142</v>
      </c>
      <c r="AD58">
        <v>-147.26844937796906</v>
      </c>
    </row>
    <row r="59" spans="1:30" x14ac:dyDescent="0.25">
      <c r="A59" s="6">
        <f ca="1">D5-$D$49</f>
        <v>8</v>
      </c>
      <c r="B59" s="7">
        <f t="shared" ca="1" si="7"/>
        <v>12</v>
      </c>
      <c r="C59" s="4">
        <f t="shared" ca="1" si="8"/>
        <v>14.022560412674048</v>
      </c>
      <c r="D59" s="4">
        <f t="shared" ca="1" si="9"/>
        <v>-3.3716167446651752</v>
      </c>
      <c r="T59">
        <f ca="1">MAX(MAX(C57:C61),MAX(D57:D61))</f>
        <v>14.022560412674048</v>
      </c>
      <c r="U59">
        <f ca="1">T59</f>
        <v>14.022560412674048</v>
      </c>
      <c r="AC59">
        <v>7.4657010527254357</v>
      </c>
      <c r="AD59">
        <v>-82.857438717624206</v>
      </c>
    </row>
    <row r="60" spans="1:30" x14ac:dyDescent="0.25">
      <c r="A60" s="6">
        <f ca="1">D6-$D$49</f>
        <v>-8</v>
      </c>
      <c r="B60" s="7">
        <f t="shared" ca="1" si="7"/>
        <v>12</v>
      </c>
      <c r="C60" s="4">
        <f t="shared" ca="1" si="8"/>
        <v>8.505554076873258</v>
      </c>
      <c r="D60" s="4">
        <f t="shared" ca="1" si="9"/>
        <v>11.647126248366362</v>
      </c>
      <c r="T60">
        <f ca="1">-1*T59</f>
        <v>-14.022560412674048</v>
      </c>
      <c r="U60">
        <f ca="1">-1*U59</f>
        <v>-14.022560412674048</v>
      </c>
      <c r="AC60">
        <v>8.1443920575186564</v>
      </c>
      <c r="AD60">
        <v>-8.3485774871319336</v>
      </c>
    </row>
    <row r="61" spans="1:30" x14ac:dyDescent="0.25">
      <c r="A61" s="6">
        <f ca="1">D7-$D$49</f>
        <v>-8</v>
      </c>
      <c r="B61" s="7">
        <f t="shared" ca="1" si="7"/>
        <v>-12</v>
      </c>
      <c r="C61" s="4">
        <f t="shared" ca="1" si="8"/>
        <v>-14.022560412674048</v>
      </c>
      <c r="D61" s="4">
        <f t="shared" ca="1" si="9"/>
        <v>3.3716167446651752</v>
      </c>
      <c r="AC61">
        <v>8.8230830623118788</v>
      </c>
      <c r="AD61">
        <v>67.625934746979738</v>
      </c>
    </row>
    <row r="62" spans="1:30" x14ac:dyDescent="0.25">
      <c r="A62" s="6"/>
      <c r="AC62">
        <v>9.5017740671050994</v>
      </c>
      <c r="AD62">
        <v>140.99222116069114</v>
      </c>
    </row>
    <row r="63" spans="1:30" x14ac:dyDescent="0.25">
      <c r="A63" s="28" t="s">
        <v>24</v>
      </c>
      <c r="F63" s="1" t="s">
        <v>37</v>
      </c>
      <c r="G63" s="1" t="s">
        <v>38</v>
      </c>
      <c r="AC63">
        <v>10.180465071898322</v>
      </c>
      <c r="AD63">
        <v>220.98814310600474</v>
      </c>
    </row>
    <row r="64" spans="1:30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-4.875</v>
      </c>
      <c r="E64" s="6">
        <f ca="1">E13-$E$49</f>
        <v>-8.875</v>
      </c>
      <c r="F64" s="4">
        <f ca="1">IF(C64&gt;0,D64*COS(RADIANS(-1*$B$53))+E64*SIN(RADIANS(-1*$B$53)),0)</f>
        <v>-10.011671871886485</v>
      </c>
      <c r="G64" s="4">
        <f ca="1">IF(C64&gt;0,-1*D64*SIN(RADIANS(-1*$B$53))+E64*COS(RADIANS(-1*$B$53)),0)</f>
        <v>1.5158088037997954</v>
      </c>
      <c r="AC64">
        <v>10.859156076691542</v>
      </c>
      <c r="AD64">
        <v>303.09074715129901</v>
      </c>
    </row>
    <row r="65" spans="1:30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0</v>
      </c>
      <c r="E65" s="6">
        <f t="shared" ref="E65:E75" ca="1" si="12">E14-$E$49</f>
        <v>-8.875</v>
      </c>
      <c r="F65" s="4">
        <f t="shared" ref="F65:F75" ca="1" si="13">IF(C65&gt;0,D65*COS(RADIANS(-1*$B$53))+E65*SIN(RADIANS(-1*$B$53)),0)</f>
        <v>-8.3307090039471809</v>
      </c>
      <c r="G65" s="4">
        <f t="shared" ref="G65:G75" ca="1" si="14">IF(C65&gt;0,-1*D65*SIN(RADIANS(-1*$B$53))+E65*COS(RADIANS(-1*$B$53)),0)</f>
        <v>-3.0602144518895011</v>
      </c>
      <c r="AC65">
        <v>11.537847081484765</v>
      </c>
      <c r="AD65">
        <v>383.89138976045609</v>
      </c>
    </row>
    <row r="66" spans="1:30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4.875</v>
      </c>
      <c r="E66" s="6">
        <f t="shared" ca="1" si="12"/>
        <v>-8.875</v>
      </c>
      <c r="F66" s="4">
        <f t="shared" ca="1" si="13"/>
        <v>-6.6497461360078773</v>
      </c>
      <c r="G66" s="4">
        <f t="shared" ca="1" si="14"/>
        <v>-7.6362377075787977</v>
      </c>
      <c r="AC66">
        <v>12.216538086277986</v>
      </c>
      <c r="AD66">
        <v>465.28851832063089</v>
      </c>
    </row>
    <row r="67" spans="1:30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-4.875</v>
      </c>
      <c r="E67" s="6">
        <f t="shared" ca="1" si="12"/>
        <v>8.875</v>
      </c>
      <c r="F67" s="4">
        <f t="shared" ca="1" si="13"/>
        <v>6.6497461360078773</v>
      </c>
      <c r="G67" s="4">
        <f t="shared" ca="1" si="14"/>
        <v>7.6362377075787977</v>
      </c>
      <c r="AC67">
        <v>12.895229091071206</v>
      </c>
      <c r="AD67">
        <v>552.36959655448936</v>
      </c>
    </row>
    <row r="68" spans="1:30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0</v>
      </c>
      <c r="E68" s="6">
        <f t="shared" ca="1" si="12"/>
        <v>8.875</v>
      </c>
      <c r="F68" s="4">
        <f t="shared" ca="1" si="13"/>
        <v>8.3307090039471809</v>
      </c>
      <c r="G68" s="4">
        <f t="shared" ca="1" si="14"/>
        <v>3.0602144518895011</v>
      </c>
      <c r="AC68">
        <v>13.573920095864429</v>
      </c>
      <c r="AD68">
        <v>635.43401555042942</v>
      </c>
    </row>
    <row r="69" spans="1:30" x14ac:dyDescent="0.25">
      <c r="A69" s="8">
        <f t="shared" si="10"/>
        <v>6</v>
      </c>
      <c r="B69" s="6">
        <f t="shared" si="10"/>
        <v>10</v>
      </c>
      <c r="C69" s="6">
        <f t="shared" ca="1" si="10"/>
        <v>1.27</v>
      </c>
      <c r="D69" s="6">
        <f t="shared" ca="1" si="11"/>
        <v>4.875</v>
      </c>
      <c r="E69" s="6">
        <f t="shared" ca="1" si="12"/>
        <v>8.875</v>
      </c>
      <c r="F69" s="4">
        <f t="shared" ca="1" si="13"/>
        <v>10.011671871886485</v>
      </c>
      <c r="G69" s="4">
        <f t="shared" ca="1" si="14"/>
        <v>-1.5158088037997954</v>
      </c>
      <c r="AC69">
        <v>14.252611100657649</v>
      </c>
      <c r="AD69">
        <v>710.05690195620514</v>
      </c>
    </row>
    <row r="70" spans="1:30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-8</v>
      </c>
      <c r="E70" s="6">
        <f t="shared" ca="1" si="12"/>
        <v>-12</v>
      </c>
      <c r="F70" s="4">
        <f t="shared" ca="1" si="13"/>
        <v>0</v>
      </c>
      <c r="G70" s="4">
        <f t="shared" ca="1" si="14"/>
        <v>0</v>
      </c>
      <c r="AC70">
        <v>14.931302105450872</v>
      </c>
      <c r="AD70">
        <v>786.54073391529232</v>
      </c>
    </row>
    <row r="71" spans="1:30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-8</v>
      </c>
      <c r="E71" s="6">
        <f t="shared" ca="1" si="12"/>
        <v>-12</v>
      </c>
      <c r="F71" s="4">
        <f t="shared" ca="1" si="13"/>
        <v>0</v>
      </c>
      <c r="G71" s="4">
        <f t="shared" ca="1" si="14"/>
        <v>0</v>
      </c>
      <c r="AC71">
        <v>15.609993110244092</v>
      </c>
      <c r="AD71">
        <v>856.5699947372234</v>
      </c>
    </row>
    <row r="72" spans="1:30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-8</v>
      </c>
      <c r="E72" s="6">
        <f t="shared" ca="1" si="12"/>
        <v>-12</v>
      </c>
      <c r="F72" s="4">
        <f t="shared" ca="1" si="13"/>
        <v>0</v>
      </c>
      <c r="G72" s="4">
        <f t="shared" ca="1" si="14"/>
        <v>0</v>
      </c>
      <c r="AC72">
        <v>16.288684115037313</v>
      </c>
      <c r="AD72">
        <v>929.04775417453095</v>
      </c>
    </row>
    <row r="73" spans="1:30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-8</v>
      </c>
      <c r="E73" s="6">
        <f t="shared" ca="1" si="12"/>
        <v>-12</v>
      </c>
      <c r="F73" s="4">
        <f t="shared" ca="1" si="13"/>
        <v>0</v>
      </c>
      <c r="G73" s="4">
        <f t="shared" ca="1" si="14"/>
        <v>0</v>
      </c>
      <c r="AC73">
        <v>16.967375119830535</v>
      </c>
      <c r="AD73">
        <v>999.88035107118367</v>
      </c>
    </row>
    <row r="74" spans="1:30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-8</v>
      </c>
      <c r="E74" s="6">
        <f t="shared" ca="1" si="12"/>
        <v>-12</v>
      </c>
      <c r="F74" s="4">
        <f t="shared" ca="1" si="13"/>
        <v>0</v>
      </c>
      <c r="G74" s="4">
        <f t="shared" ca="1" si="14"/>
        <v>0</v>
      </c>
      <c r="AC74">
        <v>17.646066124623758</v>
      </c>
      <c r="AD74">
        <v>1068.1873034589876</v>
      </c>
    </row>
    <row r="75" spans="1:30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-8</v>
      </c>
      <c r="E75" s="6">
        <f t="shared" ca="1" si="12"/>
        <v>-12</v>
      </c>
      <c r="F75" s="4">
        <f t="shared" ca="1" si="13"/>
        <v>0</v>
      </c>
      <c r="G75" s="4">
        <f t="shared" ca="1" si="14"/>
        <v>0</v>
      </c>
      <c r="AC75">
        <v>18.324757129416977</v>
      </c>
      <c r="AD75">
        <v>1132.2739301825209</v>
      </c>
    </row>
    <row r="76" spans="1:30" x14ac:dyDescent="0.25">
      <c r="G76" s="7">
        <f ca="1">MIN(G64:G75)</f>
        <v>-7.6362377075787977</v>
      </c>
      <c r="AC76">
        <v>19.003448134210199</v>
      </c>
      <c r="AD76">
        <v>1187.9277266490778</v>
      </c>
    </row>
    <row r="77" spans="1:30" x14ac:dyDescent="0.25">
      <c r="D77" t="s">
        <v>0</v>
      </c>
      <c r="E77" t="s">
        <v>1</v>
      </c>
      <c r="AC77">
        <v>19.682139139003421</v>
      </c>
      <c r="AD77">
        <v>1243.9041782188322</v>
      </c>
    </row>
    <row r="78" spans="1:30" x14ac:dyDescent="0.25">
      <c r="A78" s="2" t="s">
        <v>41</v>
      </c>
      <c r="B78" s="34">
        <v>10.961630037757384</v>
      </c>
      <c r="C78" t="s">
        <v>6</v>
      </c>
      <c r="D78" s="4">
        <f ca="1">MIN(C57:C61)</f>
        <v>-14.022560412674048</v>
      </c>
      <c r="E78" s="4">
        <f ca="1">MAX(D57:D61)-B78</f>
        <v>0.68549621060897792</v>
      </c>
      <c r="AC78">
        <v>20.360830143796644</v>
      </c>
      <c r="AD78">
        <v>1295.9888389488474</v>
      </c>
    </row>
    <row r="79" spans="1:30" x14ac:dyDescent="0.25">
      <c r="A79" s="2"/>
      <c r="D79" s="4">
        <f ca="1">MAX(C57:C61)</f>
        <v>14.022560412674048</v>
      </c>
      <c r="E79" s="4">
        <f ca="1">E78</f>
        <v>0.68549621060897792</v>
      </c>
      <c r="AC79">
        <v>21.039521148589863</v>
      </c>
      <c r="AD79">
        <v>1344.2719011458794</v>
      </c>
    </row>
    <row r="80" spans="1:30" x14ac:dyDescent="0.25">
      <c r="A80" s="2"/>
      <c r="AC80">
        <v>21.718212153383085</v>
      </c>
      <c r="AD80">
        <v>1388.832283130251</v>
      </c>
    </row>
    <row r="81" spans="1:30" x14ac:dyDescent="0.25">
      <c r="A81" s="2" t="s">
        <v>42</v>
      </c>
      <c r="B81" s="1">
        <f>B78*B4</f>
        <v>9.3173855320937768</v>
      </c>
      <c r="C81" t="s">
        <v>6</v>
      </c>
      <c r="D81" t="s">
        <v>0</v>
      </c>
      <c r="E81" t="s">
        <v>1</v>
      </c>
      <c r="AC81">
        <v>22.396903158176308</v>
      </c>
      <c r="AD81">
        <v>1429.7393374079863</v>
      </c>
    </row>
    <row r="82" spans="1:30" x14ac:dyDescent="0.25">
      <c r="D82" s="4">
        <f ca="1">MIN(C57:C61)</f>
        <v>-14.022560412674048</v>
      </c>
      <c r="E82" s="4">
        <f ca="1">MAX(D57:D61)-B81</f>
        <v>2.3297407162725854</v>
      </c>
      <c r="AC82">
        <v>23.07559416296953</v>
      </c>
      <c r="AD82">
        <v>1467.0542574021122</v>
      </c>
    </row>
    <row r="83" spans="1:30" x14ac:dyDescent="0.25">
      <c r="D83" s="4">
        <f ca="1">MAX(C57:C61)</f>
        <v>14.022560412674048</v>
      </c>
      <c r="E83" s="4">
        <f ca="1">E82</f>
        <v>2.3297407162725854</v>
      </c>
      <c r="AC83">
        <v>23.754285167762749</v>
      </c>
      <c r="AD83">
        <v>1500.8312430310361</v>
      </c>
    </row>
    <row r="84" spans="1:30" x14ac:dyDescent="0.25">
      <c r="A84" t="s">
        <v>47</v>
      </c>
      <c r="AC84">
        <v>24.432976172555971</v>
      </c>
      <c r="AD84">
        <v>1526.8004720246572</v>
      </c>
    </row>
    <row r="85" spans="1:30" x14ac:dyDescent="0.25">
      <c r="A85" s="2" t="s">
        <v>55</v>
      </c>
      <c r="B85" s="1">
        <f>0.85*B2</f>
        <v>3.4</v>
      </c>
      <c r="C85" t="s">
        <v>5</v>
      </c>
      <c r="AC85">
        <v>25.111667177349194</v>
      </c>
      <c r="AD85">
        <v>1553.6409137303838</v>
      </c>
    </row>
    <row r="86" spans="1:30" x14ac:dyDescent="0.25">
      <c r="AC86">
        <v>25.790358182142413</v>
      </c>
      <c r="AD86">
        <v>1577.0730144239601</v>
      </c>
    </row>
    <row r="87" spans="1:30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  <c r="AC87">
        <v>26.469049186935635</v>
      </c>
      <c r="AD87">
        <v>1597.1312771882599</v>
      </c>
    </row>
    <row r="88" spans="1:30" x14ac:dyDescent="0.25">
      <c r="A88">
        <v>1</v>
      </c>
      <c r="B88" s="4">
        <f t="shared" ref="B88:C91" ca="1" si="15">C57</f>
        <v>-14.022560412674048</v>
      </c>
      <c r="C88" s="4">
        <f t="shared" ca="1" si="15"/>
        <v>3.3716167446651752</v>
      </c>
      <c r="D88" s="4">
        <f t="shared" ref="D88:E91" ca="1" si="16">C58</f>
        <v>-8.505554076873258</v>
      </c>
      <c r="E88" s="4">
        <f t="shared" ca="1" si="16"/>
        <v>-11.647126248366362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-2.7222631403506585</v>
      </c>
      <c r="H88" s="4">
        <f ca="1">IF(OR(F88=1,F88=2),IF(G88="V",B88,(E$82-C88+(G88*B88))/G88),NA())</f>
        <v>-13.639836195845259</v>
      </c>
      <c r="I88" s="4">
        <f ca="1">IF(OR(F88=1,F88=2),E$82,NA())</f>
        <v>2.3297407162725854</v>
      </c>
      <c r="J88" s="5">
        <f ca="1">IF(F88=0,0,IF(F88=1,-0.5*B$85*(H88+D88)*(I88-E88),IF(F88=2,-0.5*B$85*(B88+H88)*(C88-I88),IF(F88=3,-0.5*B$85*(B88+D88)*(C88-E88),0))))</f>
        <v>48.995339454318071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139.7876827103851</v>
      </c>
      <c r="L88" s="5">
        <f ca="1">IF(F88=1,(1/6)*B$85*(POWER(H88,2)+H88*D88+POWER(D88,2))*(E88-I88),IF(F88=2,(1/6)*B$85*(POWER(B88,2)+B88*H88+POWER(H88,2))*(I88-C88),IF(F88=3,(1/6)*B$85*(POWER(B88,2)+B88*D88+POWER(D88,2))*(E88-C88),0)))</f>
        <v>-338.85374798449345</v>
      </c>
      <c r="AC88">
        <v>27.147740191728857</v>
      </c>
      <c r="AD88">
        <v>1613.8467548105789</v>
      </c>
    </row>
    <row r="89" spans="1:30" x14ac:dyDescent="0.25">
      <c r="A89">
        <v>2</v>
      </c>
      <c r="B89" s="4">
        <f t="shared" ca="1" si="15"/>
        <v>-8.505554076873258</v>
      </c>
      <c r="C89" s="4">
        <f t="shared" ca="1" si="15"/>
        <v>-11.647126248366362</v>
      </c>
      <c r="D89" s="4">
        <f t="shared" ca="1" si="16"/>
        <v>14.022560412674048</v>
      </c>
      <c r="E89" s="4">
        <f t="shared" ca="1" si="16"/>
        <v>-3.3716167446651752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0.36734141721185298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  <c r="AC89">
        <v>27.82643119652208</v>
      </c>
      <c r="AD89">
        <v>1626.9932268579269</v>
      </c>
    </row>
    <row r="90" spans="1:30" x14ac:dyDescent="0.25">
      <c r="A90">
        <v>3</v>
      </c>
      <c r="B90" s="4">
        <f t="shared" ca="1" si="15"/>
        <v>14.022560412674048</v>
      </c>
      <c r="C90" s="4">
        <f t="shared" ca="1" si="15"/>
        <v>-3.3716167446651752</v>
      </c>
      <c r="D90" s="4">
        <f t="shared" ca="1" si="16"/>
        <v>8.505554076873258</v>
      </c>
      <c r="E90" s="4">
        <f t="shared" ca="1" si="16"/>
        <v>11.647126248366362</v>
      </c>
      <c r="F90" s="1">
        <f t="shared" ca="1" si="17"/>
        <v>1</v>
      </c>
      <c r="G90" s="1">
        <f t="shared" ca="1" si="18"/>
        <v>-2.7222631403506585</v>
      </c>
      <c r="H90" s="4">
        <f t="shared" ca="1" si="19"/>
        <v>11.928215682941799</v>
      </c>
      <c r="I90" s="4">
        <f t="shared" ca="1" si="20"/>
        <v>2.3297407162725854</v>
      </c>
      <c r="J90" s="5">
        <f t="shared" ref="J90:J91" ca="1" si="23">IF(F90=0,0,IF(F90=1,-0.5*B$85*(H90+D90)*(I90-E90),IF(F90=2,-0.5*B$85*(B90+H90)*(C90-I90),IF(F90=3,-0.5*B$85*(B90+D90)*(C90-E90),0))))</f>
        <v>323.66182823460139</v>
      </c>
      <c r="K90" s="5">
        <f t="shared" ca="1" si="21"/>
        <v>2177.7012400210488</v>
      </c>
      <c r="L90" s="5">
        <f t="shared" ca="1" si="22"/>
        <v>1668.870673984668</v>
      </c>
      <c r="AC90">
        <v>28.505122201315299</v>
      </c>
      <c r="AD90">
        <v>1636.2941627905084</v>
      </c>
    </row>
    <row r="91" spans="1:30" ht="15.75" thickBot="1" x14ac:dyDescent="0.3">
      <c r="A91">
        <v>4</v>
      </c>
      <c r="B91" s="4">
        <f t="shared" ca="1" si="15"/>
        <v>8.505554076873258</v>
      </c>
      <c r="C91" s="4">
        <f t="shared" ca="1" si="15"/>
        <v>11.647126248366362</v>
      </c>
      <c r="D91" s="4">
        <f t="shared" ca="1" si="16"/>
        <v>-14.022560412674048</v>
      </c>
      <c r="E91" s="4">
        <f t="shared" ca="1" si="16"/>
        <v>3.3716167446651752</v>
      </c>
      <c r="F91" s="1">
        <f t="shared" ca="1" si="17"/>
        <v>3</v>
      </c>
      <c r="G91" s="1">
        <f t="shared" ca="1" si="18"/>
        <v>0.36734141721185298</v>
      </c>
      <c r="H91" s="4" t="e">
        <f t="shared" ca="1" si="19"/>
        <v>#N/A</v>
      </c>
      <c r="I91" s="4" t="e">
        <f t="shared" ca="1" si="20"/>
        <v>#N/A</v>
      </c>
      <c r="J91" s="24">
        <f t="shared" ca="1" si="23"/>
        <v>77.615265218628466</v>
      </c>
      <c r="K91" s="24">
        <f t="shared" ca="1" si="21"/>
        <v>145.71046508181996</v>
      </c>
      <c r="L91" s="24">
        <f t="shared" ca="1" si="22"/>
        <v>-702.04431987489374</v>
      </c>
      <c r="AC91">
        <v>29.183813206108521</v>
      </c>
      <c r="AD91">
        <v>1642.5095417078376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450.27243290754791</v>
      </c>
      <c r="K92" s="5">
        <f ca="1">SUM(K88:K91)</f>
        <v>2463.1993878132539</v>
      </c>
      <c r="L92" s="5">
        <f ca="1">SUM(L88:L91)*-1</f>
        <v>-627.97260612528066</v>
      </c>
      <c r="AC92">
        <v>29.862504210901744</v>
      </c>
      <c r="AD92">
        <v>1647.771852683527</v>
      </c>
    </row>
    <row r="93" spans="1:30" x14ac:dyDescent="0.25">
      <c r="AC93">
        <v>30.541195215694962</v>
      </c>
      <c r="AD93">
        <v>1652.800283937195</v>
      </c>
    </row>
    <row r="94" spans="1:30" x14ac:dyDescent="0.25">
      <c r="AC94">
        <v>31.219886220488185</v>
      </c>
      <c r="AD94">
        <v>1657.610088445334</v>
      </c>
    </row>
    <row r="95" spans="1:30" x14ac:dyDescent="0.25">
      <c r="A95" t="s">
        <v>56</v>
      </c>
      <c r="AC95">
        <v>31.898577225281407</v>
      </c>
      <c r="AD95">
        <v>1662.2152210628469</v>
      </c>
    </row>
    <row r="96" spans="1:30" x14ac:dyDescent="0.25">
      <c r="A96" s="2" t="s">
        <v>58</v>
      </c>
      <c r="B96" s="1">
        <v>3.0000000000000001E-3</v>
      </c>
      <c r="AC96">
        <v>32.57726823007463</v>
      </c>
      <c r="AD96">
        <v>1666.6284737436317</v>
      </c>
    </row>
    <row r="97" spans="1:3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  <c r="AC97">
        <v>33.255959234867852</v>
      </c>
      <c r="AD97">
        <v>1670.8615942035908</v>
      </c>
    </row>
    <row r="98" spans="1:30" x14ac:dyDescent="0.25">
      <c r="A98" s="8">
        <f>A64</f>
        <v>1</v>
      </c>
      <c r="B98" s="7">
        <f ca="1">C13</f>
        <v>1.27</v>
      </c>
      <c r="C98">
        <f t="shared" ca="1" si="24"/>
        <v>-10.011671871886485</v>
      </c>
      <c r="D98">
        <f t="shared" ca="1" si="25"/>
        <v>1.5158088037997954</v>
      </c>
      <c r="E98" s="7">
        <f ca="1">G$58-D98</f>
        <v>10.131317444566566</v>
      </c>
      <c r="F98" s="11">
        <f ca="1">IF(B98=0,0,((B$78-E98)/B$78)*B$96)</f>
        <v>2.2724154810848467E-4</v>
      </c>
      <c r="G98" s="4">
        <f ca="1">IF(AND(F98&gt;0,E98&lt;=B$81),MIN((F98*B$11),B$10)-B$85,MAX(F98*B$11,-1*B$10))</f>
        <v>6.5900048951460555</v>
      </c>
      <c r="H98" s="4">
        <f ca="1">G98*B98</f>
        <v>8.3693062168354899</v>
      </c>
      <c r="I98" s="4">
        <f ca="1">H98*D98</f>
        <v>12.686268045175595</v>
      </c>
      <c r="J98" s="4">
        <f ca="1">H98*C98</f>
        <v>-83.790747638296565</v>
      </c>
      <c r="AC98">
        <v>33.934650239661075</v>
      </c>
      <c r="AD98">
        <v>1674.9253903441249</v>
      </c>
    </row>
    <row r="99" spans="1:30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-8.3307090039471809</v>
      </c>
      <c r="D99">
        <f t="shared" ca="1" si="25"/>
        <v>-3.0602144518895011</v>
      </c>
      <c r="E99" s="7">
        <f t="shared" ref="E99:E109" ca="1" si="28">G$58-D99</f>
        <v>14.707340700255862</v>
      </c>
      <c r="F99" s="11">
        <f t="shared" ref="F99:F109" ca="1" si="29">IF(B99=0,0,((B$78-E99)/B$78)*B$96)</f>
        <v>-1.0251333012324885E-3</v>
      </c>
      <c r="G99" s="4">
        <f t="shared" ref="G99:G109" ca="1" si="30">IF(AND(F99&gt;0,E99&lt;=B$81),MIN((F99*B$11),B$10)-B$85,MAX(F99*B$11,-1*B$10))</f>
        <v>-29.728865735742168</v>
      </c>
      <c r="H99" s="4">
        <f t="shared" ref="H99:H109" ca="1" si="31">G99*B99</f>
        <v>-37.755659484392552</v>
      </c>
      <c r="I99" s="4">
        <f t="shared" ref="I99:I109" ca="1" si="32">H99*D99</f>
        <v>115.540414794757</v>
      </c>
      <c r="J99" s="4">
        <f t="shared" ref="J99:J109" ca="1" si="33">H99*C99</f>
        <v>314.53141241659284</v>
      </c>
      <c r="AC99">
        <v>34.61334124445429</v>
      </c>
      <c r="AD99">
        <v>1678.8298223905417</v>
      </c>
    </row>
    <row r="100" spans="1:30" x14ac:dyDescent="0.25">
      <c r="A100" s="8">
        <f t="shared" si="26"/>
        <v>3</v>
      </c>
      <c r="B100" s="7">
        <f t="shared" ca="1" si="27"/>
        <v>1.27</v>
      </c>
      <c r="C100">
        <f t="shared" ca="1" si="24"/>
        <v>-6.6497461360078773</v>
      </c>
      <c r="D100">
        <f t="shared" ca="1" si="25"/>
        <v>-7.6362377075787977</v>
      </c>
      <c r="E100" s="7">
        <f t="shared" ca="1" si="28"/>
        <v>19.283363955945159</v>
      </c>
      <c r="F100" s="11">
        <f t="shared" ca="1" si="29"/>
        <v>-2.2775081505734614E-3</v>
      </c>
      <c r="G100" s="4">
        <f t="shared" ca="1" si="30"/>
        <v>-60</v>
      </c>
      <c r="H100" s="4">
        <f t="shared" ca="1" si="31"/>
        <v>-76.2</v>
      </c>
      <c r="I100" s="4">
        <f t="shared" ca="1" si="32"/>
        <v>581.88131331750446</v>
      </c>
      <c r="J100" s="4">
        <f t="shared" ca="1" si="33"/>
        <v>506.71065556380029</v>
      </c>
      <c r="AC100">
        <v>35.292032249247512</v>
      </c>
      <c r="AD100">
        <v>1682.5840843991432</v>
      </c>
    </row>
    <row r="101" spans="1:30" x14ac:dyDescent="0.25">
      <c r="A101" s="8">
        <f t="shared" si="26"/>
        <v>4</v>
      </c>
      <c r="B101" s="7">
        <f t="shared" ca="1" si="27"/>
        <v>1.27</v>
      </c>
      <c r="C101">
        <f t="shared" ca="1" si="24"/>
        <v>6.6497461360078773</v>
      </c>
      <c r="D101">
        <f t="shared" ca="1" si="25"/>
        <v>7.6362377075787977</v>
      </c>
      <c r="E101" s="7">
        <f t="shared" ca="1" si="28"/>
        <v>4.0108885407875645</v>
      </c>
      <c r="F101" s="11">
        <f t="shared" ca="1" si="29"/>
        <v>1.9022923068087391E-3</v>
      </c>
      <c r="G101" s="4">
        <f t="shared" ca="1" si="30"/>
        <v>51.766476897453437</v>
      </c>
      <c r="H101" s="4">
        <f t="shared" ca="1" si="31"/>
        <v>65.743425659765862</v>
      </c>
      <c r="I101" s="4">
        <f t="shared" ca="1" si="32"/>
        <v>502.03242604850755</v>
      </c>
      <c r="J101" s="4">
        <f t="shared" ca="1" si="33"/>
        <v>437.17709074894918</v>
      </c>
      <c r="AC101">
        <v>35.970723254040735</v>
      </c>
      <c r="AD101">
        <v>1686.1966765371178</v>
      </c>
    </row>
    <row r="102" spans="1:30" x14ac:dyDescent="0.25">
      <c r="A102" s="8">
        <f t="shared" si="26"/>
        <v>5</v>
      </c>
      <c r="B102" s="7">
        <f t="shared" ca="1" si="27"/>
        <v>1.27</v>
      </c>
      <c r="C102">
        <f t="shared" ca="1" si="24"/>
        <v>8.3307090039471809</v>
      </c>
      <c r="D102">
        <f t="shared" ca="1" si="25"/>
        <v>3.0602144518895011</v>
      </c>
      <c r="E102" s="7">
        <f t="shared" ca="1" si="28"/>
        <v>8.586911796476862</v>
      </c>
      <c r="F102" s="11">
        <f t="shared" ca="1" si="29"/>
        <v>6.4991745746776567E-4</v>
      </c>
      <c r="G102" s="4">
        <f t="shared" ca="1" si="30"/>
        <v>15.447606266565204</v>
      </c>
      <c r="H102" s="4">
        <f t="shared" ca="1" si="31"/>
        <v>19.618459958537809</v>
      </c>
      <c r="I102" s="4">
        <f t="shared" ca="1" si="32"/>
        <v>60.036694688932904</v>
      </c>
      <c r="J102" s="4">
        <f t="shared" ca="1" si="33"/>
        <v>163.43568102016818</v>
      </c>
      <c r="M102" t="s">
        <v>127</v>
      </c>
      <c r="AC102">
        <v>36.649414258833957</v>
      </c>
      <c r="AD102">
        <v>1689.6754693313587</v>
      </c>
    </row>
    <row r="103" spans="1:30" x14ac:dyDescent="0.25">
      <c r="A103" s="8">
        <f t="shared" si="26"/>
        <v>6</v>
      </c>
      <c r="B103" s="7">
        <f t="shared" ca="1" si="27"/>
        <v>1.27</v>
      </c>
      <c r="C103">
        <f t="shared" ca="1" si="24"/>
        <v>10.011671871886485</v>
      </c>
      <c r="D103">
        <f t="shared" ca="1" si="25"/>
        <v>-1.5158088037997954</v>
      </c>
      <c r="E103" s="7">
        <f t="shared" ca="1" si="28"/>
        <v>13.162935052166159</v>
      </c>
      <c r="F103" s="11">
        <f t="shared" ca="1" si="29"/>
        <v>-6.0245739187320742E-4</v>
      </c>
      <c r="G103" s="4">
        <f t="shared" ca="1" si="30"/>
        <v>-17.471264364323016</v>
      </c>
      <c r="H103" s="4">
        <f t="shared" ca="1" si="31"/>
        <v>-22.188505742690232</v>
      </c>
      <c r="I103" s="4">
        <f t="shared" ca="1" si="32"/>
        <v>33.633532347932174</v>
      </c>
      <c r="J103" s="4">
        <f t="shared" ca="1" si="33"/>
        <v>-222.14403882328352</v>
      </c>
      <c r="AC103">
        <v>37.32810526362718</v>
      </c>
      <c r="AD103">
        <v>1693.0277609083362</v>
      </c>
    </row>
    <row r="104" spans="1:3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11.647126248366362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  <c r="AC104">
        <v>38.006796268420402</v>
      </c>
      <c r="AD104">
        <v>1695.7930580494613</v>
      </c>
    </row>
    <row r="105" spans="1:3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11.647126248366362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C105">
        <v>38.685487273213624</v>
      </c>
      <c r="AD105">
        <v>1698.318822431886</v>
      </c>
    </row>
    <row r="106" spans="1:3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11.647126248366362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C106">
        <v>39.36417827800684</v>
      </c>
      <c r="AD106">
        <v>1700.7574917120342</v>
      </c>
    </row>
    <row r="107" spans="1:3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11.647126248366362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C107">
        <v>40.042869282800062</v>
      </c>
      <c r="AD107">
        <v>1703.1134944433686</v>
      </c>
    </row>
    <row r="108" spans="1:3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11.647126248366362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C108">
        <v>40.721560287593284</v>
      </c>
      <c r="AD108">
        <v>1705.3909639431799</v>
      </c>
    </row>
    <row r="109" spans="1:3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11.647126248366362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  <c r="AC109">
        <v>41.400251292386507</v>
      </c>
      <c r="AD109">
        <v>1707.593762492214</v>
      </c>
    </row>
    <row r="110" spans="1:30" ht="15.75" thickTop="1" x14ac:dyDescent="0.25">
      <c r="F110" s="11">
        <f ca="1">MIN(F98:F109)</f>
        <v>-2.2775081505734614E-3</v>
      </c>
      <c r="H110" s="4">
        <f ca="1">SUM(H98:H109)</f>
        <v>-42.412973391943623</v>
      </c>
      <c r="I110" s="4">
        <f ca="1">SUM(I98:I109)</f>
        <v>1305.8106492428096</v>
      </c>
      <c r="J110" s="4">
        <f ca="1">SUM(J98:J109)*-1</f>
        <v>-1115.9200532879304</v>
      </c>
      <c r="M110" t="s">
        <v>124</v>
      </c>
      <c r="S110" t="s">
        <v>125</v>
      </c>
      <c r="Y110" t="s">
        <v>126</v>
      </c>
      <c r="AC110">
        <v>42.078942297179729</v>
      </c>
      <c r="AD110">
        <v>1709.5504999871932</v>
      </c>
    </row>
    <row r="111" spans="1:30" x14ac:dyDescent="0.25">
      <c r="M111">
        <f ca="1">SQRT((J114*J114)+(J115*J115)+(J116*J116))</f>
        <v>360.05453081875845</v>
      </c>
      <c r="N111" s="48">
        <f ca="1">J114/M111</f>
        <v>0.45749185456461633</v>
      </c>
      <c r="O111" s="48">
        <f ca="1">J115/M111</f>
        <v>0.45749183821093553</v>
      </c>
      <c r="P111" s="48">
        <f ca="1">J116/M111</f>
        <v>0.76249748916137894</v>
      </c>
      <c r="Q111">
        <f ca="1">SQRT((N111*N111)+(O111*O111)+(P111*P111))</f>
        <v>1</v>
      </c>
      <c r="S111">
        <f>SQRT((B119*B119)+(B120*B120)+(B118*B118))</f>
        <v>262.29754097208001</v>
      </c>
      <c r="T111" s="64">
        <f>B119/S111</f>
        <v>0.457495710997814</v>
      </c>
      <c r="U111" s="64">
        <f>B120/S111</f>
        <v>0.457495710997814</v>
      </c>
      <c r="V111" s="64">
        <f>B118/S111</f>
        <v>0.76249285166302339</v>
      </c>
      <c r="W111">
        <f>SQRT((T111*T111)+(U111*U111)+(V111*V111))</f>
        <v>1</v>
      </c>
      <c r="Y111" s="64">
        <f ca="1">N111-T111</f>
        <v>-3.8564331976687072E-6</v>
      </c>
      <c r="Z111" s="64">
        <f t="shared" ref="Z111:AA111" ca="1" si="34">O111-U111</f>
        <v>-3.8727868784671493E-6</v>
      </c>
      <c r="AA111" s="64">
        <f t="shared" ca="1" si="34"/>
        <v>4.6374983555530491E-6</v>
      </c>
      <c r="AB111" s="1">
        <f ca="1">SQRT((Y111*Y111)+(Z111*Z111)+(AA111*AA111))</f>
        <v>7.1677713559980307E-6</v>
      </c>
      <c r="AC111">
        <v>42.757633301972952</v>
      </c>
      <c r="AD111">
        <v>1711.073059918544</v>
      </c>
    </row>
    <row r="112" spans="1:30" x14ac:dyDescent="0.25">
      <c r="AC112">
        <v>43.436324306766174</v>
      </c>
      <c r="AD112">
        <v>1712.5480399615794</v>
      </c>
    </row>
    <row r="113" spans="1:30" x14ac:dyDescent="0.25">
      <c r="A113" s="2" t="s">
        <v>67</v>
      </c>
      <c r="B113" s="31">
        <f ca="1">J92+H110</f>
        <v>407.85945951560427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0.6731256792144551</v>
      </c>
      <c r="AC113">
        <v>44.115015311559389</v>
      </c>
      <c r="AD113">
        <v>1713.9776361061672</v>
      </c>
    </row>
    <row r="114" spans="1:30" x14ac:dyDescent="0.25">
      <c r="A114" s="2" t="s">
        <v>69</v>
      </c>
      <c r="B114" s="4">
        <f ca="1">(((K92+I110)*COS(RADIANS(B53)))+((L92+J110)*SIN(RADIANS(B53))))</f>
        <v>2936.5454945810234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2936.5454945810234</v>
      </c>
      <c r="G114" s="10" t="str">
        <f>"= Mnx,gc"</f>
        <v>= Mnx,gc</v>
      </c>
      <c r="H114" s="4">
        <f ca="1">F114/12</f>
        <v>244.71212454841861</v>
      </c>
      <c r="I114" t="s">
        <v>72</v>
      </c>
      <c r="J114" s="29">
        <f ca="1">H114*J113</f>
        <v>164.72201504866661</v>
      </c>
      <c r="K114" t="s">
        <v>72</v>
      </c>
      <c r="P114" t="s">
        <v>87</v>
      </c>
      <c r="V114">
        <v>-3.4151270794102309E-10</v>
      </c>
      <c r="W114" s="6"/>
      <c r="AC114">
        <v>44.793706316352612</v>
      </c>
      <c r="AD114">
        <v>1715.3639112521771</v>
      </c>
    </row>
    <row r="115" spans="1:30" ht="15.75" thickBot="1" x14ac:dyDescent="0.3">
      <c r="A115" s="2" t="s">
        <v>70</v>
      </c>
      <c r="B115" s="4">
        <f ca="1">(-1*(K92+I110)*SIN(RADIANS(B53)))+((L92+J110)*COS(RADIANS(B53)))</f>
        <v>2936.5453896101321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2936.5453896101321</v>
      </c>
      <c r="G115" s="10" t="str">
        <f>"= Mny,gc"</f>
        <v>= Mny,gc</v>
      </c>
      <c r="H115" s="4">
        <f ca="1">F115/12</f>
        <v>244.71211580084434</v>
      </c>
      <c r="I115" t="s">
        <v>72</v>
      </c>
      <c r="J115" s="29">
        <f ca="1">H115*J113</f>
        <v>164.72200916044974</v>
      </c>
      <c r="K115" t="s">
        <v>72</v>
      </c>
      <c r="M115" t="s">
        <v>79</v>
      </c>
      <c r="N115" s="9">
        <f ca="1">IF(AND(J115=0,J114=0),0,IF(DEGREES(ATAN2(J114,J115))&lt;0,DEGREES(ATAN2(J114,J115))+360,DEGREES(ATAN2(J114,J115))))</f>
        <v>44.999998975941438</v>
      </c>
      <c r="P115">
        <f ca="1">(-1*0.003*MAX(E98:E109))/(0.002-0.003)</f>
        <v>57.850091867835474</v>
      </c>
      <c r="V115">
        <v>-2.2768949390086561E-10</v>
      </c>
      <c r="W115" s="6"/>
      <c r="X115" s="6"/>
      <c r="AC115">
        <v>45.472397321145834</v>
      </c>
      <c r="AD115">
        <v>1716.7088051415481</v>
      </c>
    </row>
    <row r="116" spans="1:30" ht="15.75" thickBot="1" x14ac:dyDescent="0.3">
      <c r="J116" s="30">
        <f ca="1">B113*J113</f>
        <v>274.54067571048165</v>
      </c>
      <c r="K116" t="s">
        <v>20</v>
      </c>
      <c r="T116" s="2" t="s">
        <v>121</v>
      </c>
      <c r="U116" s="65">
        <v>1.0000000000000001E-5</v>
      </c>
      <c r="AC116">
        <v>46.151088325939057</v>
      </c>
      <c r="AD116">
        <v>1718.0141434139996</v>
      </c>
    </row>
    <row r="117" spans="1:30" ht="15.75" thickBot="1" x14ac:dyDescent="0.3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903.18383999999992</v>
      </c>
      <c r="K117" t="s">
        <v>20</v>
      </c>
      <c r="M117">
        <f ca="1">SQRT((J114*J114)+(J115*J115))</f>
        <v>232.95210353965135</v>
      </c>
      <c r="N117" t="s">
        <v>94</v>
      </c>
      <c r="O117">
        <f ca="1">J114/M117</f>
        <v>0.7071067938248039</v>
      </c>
      <c r="P117">
        <f ca="1">J115/M117</f>
        <v>0.70710676854829091</v>
      </c>
      <c r="T117" s="2" t="s">
        <v>96</v>
      </c>
      <c r="U117" s="53">
        <f ca="1">B118-J116</f>
        <v>-74.540675710481651</v>
      </c>
      <c r="AC117">
        <v>46.829779330732279</v>
      </c>
      <c r="AD117">
        <v>1719.2816458752905</v>
      </c>
    </row>
    <row r="118" spans="1:30" ht="15.75" thickBot="1" x14ac:dyDescent="0.3">
      <c r="A118" s="2" t="s">
        <v>75</v>
      </c>
      <c r="B118" s="34">
        <v>200</v>
      </c>
      <c r="C118" t="s">
        <v>20</v>
      </c>
      <c r="I118" t="s">
        <v>84</v>
      </c>
      <c r="J118" s="1">
        <f ca="1">-1*0.9*B10*SUM(C13:C24)</f>
        <v>-411.47999999999996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98</v>
      </c>
      <c r="U118" s="56">
        <f ca="1">B121-N115</f>
        <v>1.024058562393293E-6</v>
      </c>
      <c r="AC118">
        <v>47.508470335525502</v>
      </c>
      <c r="AD118">
        <v>1720.5129340567719</v>
      </c>
    </row>
    <row r="119" spans="1:30" x14ac:dyDescent="0.25">
      <c r="A119" s="2" t="s">
        <v>76</v>
      </c>
      <c r="B119" s="34">
        <v>120</v>
      </c>
      <c r="C119" t="s">
        <v>72</v>
      </c>
      <c r="G119" s="2" t="s">
        <v>80</v>
      </c>
      <c r="H119" s="33">
        <v>25</v>
      </c>
      <c r="L119">
        <f ca="1">B118-J116</f>
        <v>-74.540675710481651</v>
      </c>
      <c r="M119" s="44">
        <f ca="1">N115-B121</f>
        <v>-1.024058562393293E-6</v>
      </c>
      <c r="O119">
        <f>B119/E120</f>
        <v>0.70710678118654746</v>
      </c>
      <c r="P119">
        <f>B120/E120</f>
        <v>0.70710678118654746</v>
      </c>
      <c r="AC119">
        <v>48.187161340318724</v>
      </c>
      <c r="AD119">
        <v>1721.7095381361048</v>
      </c>
    </row>
    <row r="120" spans="1:30" x14ac:dyDescent="0.25">
      <c r="A120" s="2" t="s">
        <v>77</v>
      </c>
      <c r="B120" s="34">
        <v>120</v>
      </c>
      <c r="C120" t="s">
        <v>72</v>
      </c>
      <c r="D120">
        <f>B118</f>
        <v>200</v>
      </c>
      <c r="E120">
        <f>SQRT((B119*B119)+(B120*B120))</f>
        <v>169.70562748477141</v>
      </c>
      <c r="G120" s="2" t="s">
        <v>81</v>
      </c>
      <c r="H120" s="52">
        <v>26</v>
      </c>
      <c r="I120" s="52">
        <v>1</v>
      </c>
      <c r="O120">
        <f>ABS(O119)/O119</f>
        <v>1</v>
      </c>
      <c r="P120">
        <f>ABS(P119)/P119</f>
        <v>1</v>
      </c>
      <c r="Q120">
        <f>P120*O120</f>
        <v>1</v>
      </c>
      <c r="AC120">
        <v>48.865852345111939</v>
      </c>
      <c r="AD120">
        <v>1722.872903281255</v>
      </c>
    </row>
    <row r="121" spans="1:30" x14ac:dyDescent="0.25">
      <c r="A121" s="2" t="s">
        <v>78</v>
      </c>
      <c r="B121" s="12">
        <f>IF(AND(B119=0,B120=0),0,IF(DEGREES(ATAN2(B119,B120))&lt;0,DEGREES(ATAN2(B119,B120))+360,DEGREES(ATAN2(B119,B120))))</f>
        <v>45</v>
      </c>
      <c r="G121" s="2" t="s">
        <v>120</v>
      </c>
      <c r="H121" s="1">
        <v>1</v>
      </c>
      <c r="O121">
        <f ca="1">O117-O119</f>
        <v>1.2638256441377393E-8</v>
      </c>
      <c r="P121">
        <f ca="1">P117-P119</f>
        <v>-1.2638256552399696E-8</v>
      </c>
      <c r="AC121">
        <v>49.544543349905162</v>
      </c>
      <c r="AD121">
        <v>1724.0043954730618</v>
      </c>
    </row>
    <row r="122" spans="1:30" x14ac:dyDescent="0.25">
      <c r="G122" s="2" t="s">
        <v>119</v>
      </c>
      <c r="H122" s="1">
        <v>250</v>
      </c>
      <c r="AC122">
        <v>50.223234354698384</v>
      </c>
      <c r="AD122">
        <v>1725.1053068557098</v>
      </c>
    </row>
    <row r="123" spans="1:30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AC123">
        <v>50.901925359491607</v>
      </c>
      <c r="AD123">
        <v>1726.1768606591622</v>
      </c>
    </row>
    <row r="124" spans="1:30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  <c r="AC124">
        <v>51.580616364284829</v>
      </c>
      <c r="AD124">
        <v>1727.2202157329825</v>
      </c>
    </row>
    <row r="125" spans="1:30" x14ac:dyDescent="0.25">
      <c r="A125" s="16"/>
      <c r="B125" s="20"/>
      <c r="C125" s="15"/>
      <c r="D125" s="16"/>
      <c r="E125" s="17"/>
      <c r="F125" s="17"/>
      <c r="G125" s="16"/>
      <c r="H125" s="20">
        <f ca="1">J114</f>
        <v>164.72201504866661</v>
      </c>
      <c r="I125" s="3">
        <f ca="1">J115</f>
        <v>164.72200916044974</v>
      </c>
      <c r="J125" s="16"/>
      <c r="K125" s="17"/>
      <c r="L125" s="13"/>
      <c r="M125" s="16"/>
      <c r="N125" s="17"/>
      <c r="AC125">
        <v>52.259307369078051</v>
      </c>
      <c r="AD125">
        <v>1727.8911027194129</v>
      </c>
    </row>
    <row r="126" spans="1:30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AC126">
        <v>52.937998373871274</v>
      </c>
      <c r="AD126">
        <v>1728.446113174592</v>
      </c>
    </row>
    <row r="127" spans="1:30" ht="15.75" thickBot="1" x14ac:dyDescent="0.3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 s="57">
        <v>50</v>
      </c>
      <c r="AC127">
        <v>53.616689378664489</v>
      </c>
      <c r="AD127">
        <v>1728.9870727583782</v>
      </c>
    </row>
    <row r="128" spans="1:30" ht="17.25" x14ac:dyDescent="0.25">
      <c r="A128" s="16" t="s">
        <v>85</v>
      </c>
      <c r="B128" s="17" t="s">
        <v>76</v>
      </c>
      <c r="C128" s="18" t="s">
        <v>77</v>
      </c>
      <c r="D128" s="16" t="s">
        <v>95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97</v>
      </c>
      <c r="W128" s="41"/>
      <c r="AC128">
        <v>54.295380383457712</v>
      </c>
      <c r="AD128">
        <v>1729.5145083774778</v>
      </c>
    </row>
    <row r="129" spans="1:30" x14ac:dyDescent="0.25">
      <c r="A129" s="37">
        <v>0</v>
      </c>
      <c r="B129" s="49">
        <v>461.42606613619745</v>
      </c>
      <c r="C129" s="49">
        <v>0</v>
      </c>
      <c r="D129" s="50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f ca="1">J118</f>
        <v>-411.47999999999996</v>
      </c>
      <c r="R129" s="39" t="e">
        <v>#N/A</v>
      </c>
      <c r="S129" s="39">
        <v>33.69079548622846</v>
      </c>
      <c r="V129" s="54" t="s">
        <v>75</v>
      </c>
      <c r="W129" s="55" t="s">
        <v>49</v>
      </c>
      <c r="AC129">
        <v>54.974071388250934</v>
      </c>
      <c r="AD129">
        <v>1730.0289209185605</v>
      </c>
    </row>
    <row r="130" spans="1:30" x14ac:dyDescent="0.25">
      <c r="A130" s="38">
        <v>-1</v>
      </c>
      <c r="B130" s="49">
        <v>461.07678133553281</v>
      </c>
      <c r="C130" s="49">
        <v>2.5639318565983098</v>
      </c>
      <c r="D130" s="50">
        <f t="shared" ref="D130:D193" si="35">IF(DEGREES(ATAN2(B130,C130))&lt;0,DEGREES(ATAN2(B130,C130))+360,DEGREES(ATAN2(B130,C130)))</f>
        <v>0.31860411573092096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-411.47899999999998</v>
      </c>
      <c r="R130" t="e">
        <v>#N/A</v>
      </c>
      <c r="S130" s="39">
        <v>43.168854905554682</v>
      </c>
      <c r="V130" s="46">
        <v>0</v>
      </c>
      <c r="W130" s="45">
        <v>0</v>
      </c>
      <c r="AC130">
        <v>55.652762393044156</v>
      </c>
      <c r="AD130">
        <v>1730.5307868348445</v>
      </c>
    </row>
    <row r="131" spans="1:30" x14ac:dyDescent="0.25">
      <c r="A131" s="38">
        <v>-2</v>
      </c>
      <c r="B131" s="49">
        <v>460.70937493491601</v>
      </c>
      <c r="C131" s="49">
        <v>5.0663758435440363</v>
      </c>
      <c r="D131" s="50">
        <f t="shared" si="35"/>
        <v>0.63005067502090206</v>
      </c>
      <c r="E131" s="15"/>
      <c r="F131" s="15"/>
      <c r="G131" s="15"/>
      <c r="H131" s="15"/>
      <c r="I131" s="15"/>
      <c r="P131" s="39">
        <v>2</v>
      </c>
      <c r="Q131">
        <v>-385.18574319999999</v>
      </c>
      <c r="R131">
        <v>23.455022239054056</v>
      </c>
      <c r="S131" s="39">
        <v>45.000001553603106</v>
      </c>
      <c r="V131" s="46">
        <f>D120</f>
        <v>200</v>
      </c>
      <c r="W131" s="45">
        <f>E120</f>
        <v>169.70562748477141</v>
      </c>
      <c r="AC131">
        <v>56.331453397837379</v>
      </c>
      <c r="AD131">
        <v>1731.0205596179871</v>
      </c>
    </row>
    <row r="132" spans="1:30" ht="15.75" thickBot="1" x14ac:dyDescent="0.3">
      <c r="A132" s="37">
        <v>-3</v>
      </c>
      <c r="B132" s="49">
        <v>460.32466667366583</v>
      </c>
      <c r="C132" s="49">
        <v>7.5148790570000408</v>
      </c>
      <c r="D132" s="50">
        <f t="shared" si="35"/>
        <v>0.93528033613619055</v>
      </c>
      <c r="E132" s="15"/>
      <c r="F132" s="15"/>
      <c r="G132" s="15"/>
      <c r="H132" s="15"/>
      <c r="I132" s="15"/>
      <c r="P132" s="39">
        <v>3</v>
      </c>
      <c r="Q132">
        <v>-358.8924864</v>
      </c>
      <c r="R132">
        <v>43.476187437171696</v>
      </c>
      <c r="S132" s="39">
        <v>44.999999524882767</v>
      </c>
      <c r="V132" s="42">
        <f ca="1">J116</f>
        <v>274.54067571048165</v>
      </c>
      <c r="W132" s="43">
        <f ca="1">SQRT((J114*J114)+(J115*J115))</f>
        <v>232.95210353965135</v>
      </c>
      <c r="AC132">
        <v>57.010144402630601</v>
      </c>
      <c r="AD132">
        <v>1731.4986711648428</v>
      </c>
    </row>
    <row r="133" spans="1:30" x14ac:dyDescent="0.25">
      <c r="A133" s="37">
        <v>-4</v>
      </c>
      <c r="B133" s="49">
        <v>459.91515533598999</v>
      </c>
      <c r="C133" s="49">
        <v>9.9161624248366991</v>
      </c>
      <c r="D133" s="50">
        <f t="shared" si="35"/>
        <v>1.2351544290632113</v>
      </c>
      <c r="E133" s="15"/>
      <c r="F133" s="15"/>
      <c r="G133" s="15"/>
      <c r="H133" s="15"/>
      <c r="I133" s="15"/>
      <c r="P133" s="39">
        <v>4</v>
      </c>
      <c r="Q133">
        <v>-332.5992296</v>
      </c>
      <c r="R133">
        <v>61.827928496083594</v>
      </c>
      <c r="S133" s="39">
        <v>45.000000383800455</v>
      </c>
      <c r="AC133">
        <v>57.688835407423824</v>
      </c>
      <c r="AD133">
        <v>1731.9655330477437</v>
      </c>
    </row>
    <row r="134" spans="1:30" x14ac:dyDescent="0.25">
      <c r="A134" s="38">
        <v>-5</v>
      </c>
      <c r="B134" s="49">
        <v>459.48858189986885</v>
      </c>
      <c r="C134" s="49">
        <v>12.276008224291713</v>
      </c>
      <c r="D134" s="50">
        <f t="shared" si="35"/>
        <v>1.5303888077535077</v>
      </c>
      <c r="E134" s="15"/>
      <c r="F134" s="15"/>
      <c r="G134" s="15"/>
      <c r="H134" s="15"/>
      <c r="I134" s="15"/>
      <c r="P134" s="39">
        <v>5</v>
      </c>
      <c r="Q134">
        <v>-306.30597280000001</v>
      </c>
      <c r="R134">
        <v>79.908468121693843</v>
      </c>
      <c r="S134" s="39">
        <v>44.999995978625769</v>
      </c>
      <c r="AC134">
        <v>58.367526412217039</v>
      </c>
      <c r="AD134">
        <v>1732.4215376961556</v>
      </c>
    </row>
    <row r="135" spans="1:30" x14ac:dyDescent="0.25">
      <c r="A135" s="38">
        <v>-6</v>
      </c>
      <c r="B135" s="49">
        <v>459.0440798895404</v>
      </c>
      <c r="C135" s="49">
        <v>14.599641895385618</v>
      </c>
      <c r="D135" s="50">
        <f t="shared" si="35"/>
        <v>1.8216463846840198</v>
      </c>
      <c r="E135" s="15"/>
      <c r="F135" s="15"/>
      <c r="G135" s="15"/>
      <c r="H135" s="15"/>
      <c r="I135" s="15"/>
      <c r="P135" s="39">
        <v>6</v>
      </c>
      <c r="Q135">
        <v>-280.01271600000001</v>
      </c>
      <c r="R135">
        <v>97.79821725525197</v>
      </c>
      <c r="S135" s="39">
        <v>45.000003247022789</v>
      </c>
      <c r="AC135">
        <v>59.046217417010261</v>
      </c>
      <c r="AD135">
        <v>1732.8670594968403</v>
      </c>
    </row>
    <row r="136" spans="1:30" x14ac:dyDescent="0.25">
      <c r="A136" s="37">
        <v>-7</v>
      </c>
      <c r="B136" s="49">
        <v>458.57205433499985</v>
      </c>
      <c r="C136" s="49">
        <v>16.891957676325241</v>
      </c>
      <c r="D136" s="50">
        <f t="shared" si="35"/>
        <v>2.1095932023276394</v>
      </c>
      <c r="E136" s="15"/>
      <c r="F136" s="15"/>
      <c r="G136" s="15"/>
      <c r="H136" s="15"/>
      <c r="I136" s="15"/>
      <c r="P136" s="39">
        <v>7</v>
      </c>
      <c r="Q136">
        <v>-253.71945920000002</v>
      </c>
      <c r="R136">
        <v>115.48619577567088</v>
      </c>
      <c r="S136" s="39">
        <v>44.999999971141953</v>
      </c>
      <c r="AC136">
        <v>59.724908421803484</v>
      </c>
      <c r="AD136">
        <v>1733.3024558190084</v>
      </c>
    </row>
    <row r="137" spans="1:30" x14ac:dyDescent="0.25">
      <c r="A137" s="37">
        <v>-8</v>
      </c>
      <c r="B137" s="49">
        <v>458.08256854431158</v>
      </c>
      <c r="C137" s="49">
        <v>19.157023971106511</v>
      </c>
      <c r="D137" s="50">
        <f t="shared" si="35"/>
        <v>2.3947154691090096</v>
      </c>
      <c r="E137" s="15"/>
      <c r="F137" s="15"/>
      <c r="G137" s="15"/>
      <c r="H137" s="15"/>
      <c r="I137" s="15"/>
      <c r="P137" s="39">
        <v>8</v>
      </c>
      <c r="Q137">
        <v>-227.42620240000002</v>
      </c>
      <c r="R137">
        <v>131.58606421776165</v>
      </c>
      <c r="S137" s="39">
        <v>44.999996510108531</v>
      </c>
      <c r="V137" s="44"/>
      <c r="AC137">
        <v>60.403599426596706</v>
      </c>
      <c r="AD137">
        <v>1733.7280679703595</v>
      </c>
    </row>
    <row r="138" spans="1:30" x14ac:dyDescent="0.25">
      <c r="A138" s="38">
        <v>-9</v>
      </c>
      <c r="B138" s="49">
        <v>457.56251870772206</v>
      </c>
      <c r="C138" s="49">
        <v>21.399043009293038</v>
      </c>
      <c r="D138" s="50">
        <f t="shared" si="35"/>
        <v>2.6776278263347453</v>
      </c>
      <c r="E138" s="15"/>
      <c r="F138" s="15"/>
      <c r="G138" s="15"/>
      <c r="H138" s="15"/>
      <c r="I138" s="15"/>
      <c r="P138" s="39">
        <v>9</v>
      </c>
      <c r="Q138">
        <v>-201.13294560000003</v>
      </c>
      <c r="R138">
        <v>146.57577461318846</v>
      </c>
      <c r="S138" s="39">
        <v>44.999999056459323</v>
      </c>
      <c r="AC138">
        <v>61.082290431389929</v>
      </c>
      <c r="AD138">
        <v>1734.1442220893869</v>
      </c>
    </row>
    <row r="139" spans="1:30" x14ac:dyDescent="0.25">
      <c r="A139" s="38">
        <v>-10</v>
      </c>
      <c r="B139" s="49">
        <v>457.02307965705683</v>
      </c>
      <c r="C139" s="49">
        <v>23.62133449949053</v>
      </c>
      <c r="D139" s="50">
        <f t="shared" si="35"/>
        <v>2.958711756413682</v>
      </c>
      <c r="E139" s="15"/>
      <c r="F139" s="15"/>
      <c r="G139" s="15"/>
      <c r="H139" s="15"/>
      <c r="I139" s="15"/>
      <c r="P139" s="39">
        <v>10</v>
      </c>
      <c r="Q139">
        <v>-174.83968880000003</v>
      </c>
      <c r="R139">
        <v>161.46429935730129</v>
      </c>
      <c r="S139" s="39">
        <v>45.000003992780584</v>
      </c>
      <c r="AC139">
        <v>61.760981436183151</v>
      </c>
      <c r="AD139">
        <v>1734.5512299788493</v>
      </c>
    </row>
    <row r="140" spans="1:30" x14ac:dyDescent="0.25">
      <c r="A140" s="37">
        <v>-11</v>
      </c>
      <c r="B140" s="49">
        <v>456.46162218252692</v>
      </c>
      <c r="C140" s="49">
        <v>25.827271615412343</v>
      </c>
      <c r="D140" s="50">
        <f t="shared" si="35"/>
        <v>3.2384267289827311</v>
      </c>
      <c r="E140" s="15"/>
      <c r="F140" s="15"/>
      <c r="G140" s="15"/>
      <c r="H140" s="15"/>
      <c r="I140" s="15"/>
      <c r="P140" s="39">
        <v>11</v>
      </c>
      <c r="Q140">
        <v>-148.54643200000004</v>
      </c>
      <c r="R140">
        <v>172.56343388187162</v>
      </c>
      <c r="S140" s="39">
        <v>44.999999977362251</v>
      </c>
      <c r="AC140">
        <v>62.439672440976373</v>
      </c>
      <c r="AD140">
        <v>1734.949389884885</v>
      </c>
    </row>
    <row r="141" spans="1:30" x14ac:dyDescent="0.25">
      <c r="A141" s="37">
        <v>-12</v>
      </c>
      <c r="B141" s="49">
        <v>455.8663508598566</v>
      </c>
      <c r="C141" s="49">
        <v>28.020302089807643</v>
      </c>
      <c r="D141" s="50">
        <f t="shared" si="35"/>
        <v>3.5173199069109042</v>
      </c>
      <c r="E141" s="15"/>
      <c r="F141" s="15"/>
      <c r="G141" s="15"/>
      <c r="H141" s="15"/>
      <c r="I141" s="15"/>
      <c r="P141" s="39">
        <v>12</v>
      </c>
      <c r="Q141">
        <v>-122.25317520000004</v>
      </c>
      <c r="R141">
        <v>183.64429620191015</v>
      </c>
      <c r="S141" s="39">
        <v>44.99999922508475</v>
      </c>
      <c r="AC141">
        <v>63.118363445769589</v>
      </c>
      <c r="AD141">
        <v>1735.3389872258622</v>
      </c>
    </row>
    <row r="142" spans="1:30" x14ac:dyDescent="0.25">
      <c r="A142" s="38">
        <v>-13</v>
      </c>
      <c r="B142" s="49">
        <v>453.20319703354926</v>
      </c>
      <c r="C142" s="49">
        <v>29.997628881911158</v>
      </c>
      <c r="D142" s="50">
        <f t="shared" si="35"/>
        <v>3.786897587060662</v>
      </c>
      <c r="E142" s="15"/>
      <c r="F142" s="15"/>
      <c r="G142" s="15"/>
      <c r="H142" s="15"/>
      <c r="I142" s="15"/>
      <c r="P142" s="39">
        <v>13</v>
      </c>
      <c r="Q142">
        <v>-95.959918400000049</v>
      </c>
      <c r="R142">
        <v>194.71342573592236</v>
      </c>
      <c r="S142" s="39">
        <v>44.999999875964626</v>
      </c>
      <c r="AC142">
        <v>63.797054450562811</v>
      </c>
      <c r="AD142">
        <v>1735.7202952747057</v>
      </c>
    </row>
    <row r="143" spans="1:30" x14ac:dyDescent="0.25">
      <c r="A143" s="38">
        <v>-14</v>
      </c>
      <c r="B143" s="49">
        <v>448.41319788484947</v>
      </c>
      <c r="C143" s="49">
        <v>31.715585289888029</v>
      </c>
      <c r="D143" s="50">
        <f t="shared" si="35"/>
        <v>4.0457063092125889</v>
      </c>
      <c r="E143" s="15"/>
      <c r="F143" s="15"/>
      <c r="G143" s="15"/>
      <c r="H143" s="15"/>
      <c r="I143" s="15"/>
      <c r="P143" s="39">
        <v>14</v>
      </c>
      <c r="Q143">
        <v>-69.666661600000054</v>
      </c>
      <c r="R143">
        <v>205.73905050851909</v>
      </c>
      <c r="S143" s="39">
        <v>44.999999998903739</v>
      </c>
      <c r="AC143">
        <v>64.475745455356034</v>
      </c>
      <c r="AD143">
        <v>1736.093575798129</v>
      </c>
    </row>
    <row r="144" spans="1:30" x14ac:dyDescent="0.25">
      <c r="A144" s="37">
        <v>-15</v>
      </c>
      <c r="B144" s="49">
        <v>443.82780703229338</v>
      </c>
      <c r="C144" s="49">
        <v>33.399636295653416</v>
      </c>
      <c r="D144" s="50">
        <f t="shared" si="35"/>
        <v>4.3036014808626009</v>
      </c>
      <c r="E144" s="15"/>
      <c r="F144" s="15"/>
      <c r="G144" s="15"/>
      <c r="H144" s="16"/>
      <c r="I144" s="19"/>
      <c r="P144" s="39">
        <v>15</v>
      </c>
      <c r="Q144">
        <v>-43.37340480000006</v>
      </c>
      <c r="R144">
        <v>216.68338480906857</v>
      </c>
      <c r="S144" s="39">
        <v>44.999997481441497</v>
      </c>
      <c r="AC144">
        <v>65.154436460149256</v>
      </c>
      <c r="AD144">
        <v>1736.4590796559169</v>
      </c>
    </row>
    <row r="145" spans="1:30" x14ac:dyDescent="0.25">
      <c r="A145" s="37">
        <v>-16</v>
      </c>
      <c r="B145" s="49">
        <v>439.42579747290245</v>
      </c>
      <c r="C145" s="49">
        <v>35.054212576818699</v>
      </c>
      <c r="D145" s="50">
        <f t="shared" si="35"/>
        <v>4.5609844358356755</v>
      </c>
      <c r="E145" s="15"/>
      <c r="F145" s="15"/>
      <c r="G145" s="15"/>
      <c r="H145" s="16"/>
      <c r="I145" s="19"/>
      <c r="P145" s="39">
        <v>16</v>
      </c>
      <c r="Q145">
        <v>-17.080148000000062</v>
      </c>
      <c r="R145">
        <v>225.3205167855885</v>
      </c>
      <c r="S145" s="39">
        <v>44.999998434307209</v>
      </c>
      <c r="AC145">
        <v>65.833127464942478</v>
      </c>
      <c r="AD145">
        <v>1736.8170473631358</v>
      </c>
    </row>
    <row r="146" spans="1:30" x14ac:dyDescent="0.25">
      <c r="A146" s="38">
        <v>-17</v>
      </c>
      <c r="B146" s="49">
        <v>435.18871600921625</v>
      </c>
      <c r="C146" s="49">
        <v>36.685243288289676</v>
      </c>
      <c r="D146" s="50">
        <f t="shared" si="35"/>
        <v>4.8184888620881496</v>
      </c>
      <c r="E146" s="15"/>
      <c r="F146" s="15"/>
      <c r="G146" s="15"/>
      <c r="H146" s="15"/>
      <c r="I146" s="15"/>
      <c r="P146" s="39">
        <v>17</v>
      </c>
      <c r="Q146">
        <v>9.2131087999999366</v>
      </c>
      <c r="R146">
        <v>228.83433533651726</v>
      </c>
      <c r="S146" s="39">
        <v>44.99999976525757</v>
      </c>
      <c r="AC146">
        <v>66.511818469735701</v>
      </c>
      <c r="AD146">
        <v>1736.8919999999998</v>
      </c>
    </row>
    <row r="147" spans="1:30" x14ac:dyDescent="0.25">
      <c r="A147" s="38">
        <v>-18</v>
      </c>
      <c r="B147" s="51">
        <v>431.0993904699813</v>
      </c>
      <c r="C147" s="51">
        <v>38.296063292195441</v>
      </c>
      <c r="D147" s="50">
        <f t="shared" si="35"/>
        <v>5.0764585917862268</v>
      </c>
      <c r="P147" s="39">
        <v>18</v>
      </c>
      <c r="Q147">
        <v>35.506365599999938</v>
      </c>
      <c r="R147">
        <v>232.14609201226278</v>
      </c>
      <c r="S147" s="39">
        <v>44.99999995473005</v>
      </c>
      <c r="AC147">
        <v>67.190509474528923</v>
      </c>
      <c r="AD147">
        <v>1736.8919999999998</v>
      </c>
    </row>
    <row r="148" spans="1:30" x14ac:dyDescent="0.25">
      <c r="A148" s="37">
        <v>-19</v>
      </c>
      <c r="B148" s="51">
        <v>427.14246975114276</v>
      </c>
      <c r="C148" s="51">
        <v>39.891199307526662</v>
      </c>
      <c r="D148" s="50">
        <f t="shared" si="35"/>
        <v>5.3354259984597316</v>
      </c>
      <c r="P148" s="39">
        <v>19</v>
      </c>
      <c r="Q148">
        <v>61.799622399999933</v>
      </c>
      <c r="R148">
        <v>234.77538069306675</v>
      </c>
      <c r="S148" s="39">
        <v>44.999999563319584</v>
      </c>
      <c r="AC148">
        <v>67.869200479322146</v>
      </c>
      <c r="AD148">
        <v>1736.8919999999998</v>
      </c>
    </row>
    <row r="149" spans="1:30" x14ac:dyDescent="0.25">
      <c r="A149" s="37">
        <v>-20</v>
      </c>
      <c r="B149" s="51">
        <v>423.30405571162106</v>
      </c>
      <c r="C149" s="51">
        <v>41.473153826076228</v>
      </c>
      <c r="D149" s="50">
        <f t="shared" si="35"/>
        <v>5.5956868710897822</v>
      </c>
      <c r="P149" s="39">
        <v>20</v>
      </c>
      <c r="Q149">
        <v>88.092879199999928</v>
      </c>
      <c r="R149">
        <v>236.5095215237526</v>
      </c>
      <c r="S149" s="39">
        <v>44.999999377401998</v>
      </c>
    </row>
    <row r="150" spans="1:30" x14ac:dyDescent="0.25">
      <c r="A150" s="38">
        <v>-21</v>
      </c>
      <c r="B150" s="51">
        <v>419.57132768784732</v>
      </c>
      <c r="C150" s="51">
        <v>43.045805381122051</v>
      </c>
      <c r="D150" s="50">
        <f t="shared" si="35"/>
        <v>5.8577499057710494</v>
      </c>
      <c r="P150" s="39">
        <v>21</v>
      </c>
      <c r="Q150">
        <v>114.38613599999992</v>
      </c>
      <c r="R150">
        <v>236.64581769612823</v>
      </c>
      <c r="S150" s="39">
        <v>44.99999689105465</v>
      </c>
    </row>
    <row r="151" spans="1:30" x14ac:dyDescent="0.25">
      <c r="A151" s="38">
        <v>-22</v>
      </c>
      <c r="B151" s="51">
        <v>415.9324771187438</v>
      </c>
      <c r="C151" s="51">
        <v>44.612230617705777</v>
      </c>
      <c r="D151" s="50">
        <f t="shared" si="35"/>
        <v>6.1220455579890194</v>
      </c>
      <c r="P151" s="39">
        <v>22</v>
      </c>
      <c r="Q151">
        <v>140.67939279999993</v>
      </c>
      <c r="R151">
        <v>236.69460454308276</v>
      </c>
      <c r="S151" s="39">
        <v>44.999999999199702</v>
      </c>
    </row>
    <row r="152" spans="1:30" x14ac:dyDescent="0.25">
      <c r="A152" s="37">
        <v>-23</v>
      </c>
      <c r="B152" s="51">
        <v>412.37684170736316</v>
      </c>
      <c r="C152" s="51">
        <v>46.17469291463258</v>
      </c>
      <c r="D152" s="50">
        <f t="shared" si="35"/>
        <v>6.3889154577273191</v>
      </c>
      <c r="P152" s="39">
        <v>23</v>
      </c>
      <c r="Q152">
        <v>166.97264959999993</v>
      </c>
      <c r="R152">
        <v>236.61266919589008</v>
      </c>
      <c r="S152" s="39">
        <v>44.999999992457525</v>
      </c>
    </row>
    <row r="153" spans="1:30" x14ac:dyDescent="0.25">
      <c r="A153" s="37">
        <v>-24</v>
      </c>
      <c r="B153" s="51">
        <v>408.89408212252863</v>
      </c>
      <c r="C153" s="51">
        <v>47.736464541829626</v>
      </c>
      <c r="D153" s="50">
        <f t="shared" si="35"/>
        <v>6.6588701763305655</v>
      </c>
      <c r="P153" s="39">
        <v>24</v>
      </c>
      <c r="Q153">
        <v>193.26590639999992</v>
      </c>
      <c r="R153">
        <v>236.36425096524084</v>
      </c>
      <c r="S153" s="39">
        <v>44.999999991535127</v>
      </c>
    </row>
    <row r="154" spans="1:30" x14ac:dyDescent="0.25">
      <c r="A154" s="38">
        <v>-25</v>
      </c>
      <c r="B154" s="51">
        <v>405.47469292405384</v>
      </c>
      <c r="C154" s="51">
        <v>49.300085810820114</v>
      </c>
      <c r="D154" s="50">
        <f t="shared" si="35"/>
        <v>6.9323432152965792</v>
      </c>
      <c r="P154" s="39">
        <v>25</v>
      </c>
      <c r="Q154">
        <v>219.55916319999992</v>
      </c>
      <c r="R154">
        <v>235.90433334613357</v>
      </c>
      <c r="S154" s="39">
        <v>44.999996686436816</v>
      </c>
    </row>
    <row r="155" spans="1:30" x14ac:dyDescent="0.25">
      <c r="A155" s="38">
        <v>-26</v>
      </c>
      <c r="B155" s="51">
        <v>402.11014628393957</v>
      </c>
      <c r="C155" s="51">
        <v>50.867346880589842</v>
      </c>
      <c r="D155" s="50">
        <f t="shared" si="35"/>
        <v>7.209680100110047</v>
      </c>
      <c r="P155" s="39">
        <v>26</v>
      </c>
      <c r="Q155">
        <v>245.85241999999991</v>
      </c>
      <c r="R155">
        <v>234.13318605274335</v>
      </c>
      <c r="S155" s="39">
        <v>44.99999999605501</v>
      </c>
    </row>
    <row r="156" spans="1:30" x14ac:dyDescent="0.25">
      <c r="A156" s="37">
        <v>-27</v>
      </c>
      <c r="B156" s="51">
        <v>398.79168443487174</v>
      </c>
      <c r="C156" s="51">
        <v>52.441179149661778</v>
      </c>
      <c r="D156" s="50">
        <f t="shared" si="35"/>
        <v>7.4914214833802522</v>
      </c>
      <c r="P156" s="39">
        <v>27</v>
      </c>
      <c r="Q156">
        <v>272.14567679999993</v>
      </c>
      <c r="R156">
        <v>233.06905410339641</v>
      </c>
      <c r="S156" s="39">
        <v>44.999999998401748</v>
      </c>
    </row>
    <row r="157" spans="1:30" x14ac:dyDescent="0.25">
      <c r="A157" s="37">
        <v>-28</v>
      </c>
      <c r="B157" s="51">
        <v>395.51079323355094</v>
      </c>
      <c r="C157" s="51">
        <v>54.024470578508293</v>
      </c>
      <c r="D157" s="50">
        <f t="shared" si="35"/>
        <v>7.7781333833359199</v>
      </c>
      <c r="P157" s="39">
        <v>28</v>
      </c>
      <c r="Q157">
        <v>298.43893359999993</v>
      </c>
      <c r="R157">
        <v>231.57338686990525</v>
      </c>
      <c r="S157" s="39">
        <v>44.99999629158809</v>
      </c>
    </row>
    <row r="158" spans="1:30" x14ac:dyDescent="0.25">
      <c r="A158" s="38">
        <v>-29</v>
      </c>
      <c r="B158" s="51">
        <v>392.2602010206582</v>
      </c>
      <c r="C158" s="51">
        <v>55.618779318862565</v>
      </c>
      <c r="D158" s="50">
        <f t="shared" si="35"/>
        <v>8.0702029093520533</v>
      </c>
      <c r="P158" s="39">
        <v>29</v>
      </c>
      <c r="Q158">
        <v>324.73219039999992</v>
      </c>
      <c r="R158">
        <v>229.62094592699307</v>
      </c>
      <c r="S158" s="39">
        <v>44.999999387131297</v>
      </c>
    </row>
    <row r="159" spans="1:30" x14ac:dyDescent="0.25">
      <c r="A159" s="38">
        <v>-30</v>
      </c>
      <c r="B159" s="51">
        <v>389.03251512451982</v>
      </c>
      <c r="C159" s="51">
        <v>57.226253391578673</v>
      </c>
      <c r="D159" s="50">
        <f t="shared" si="35"/>
        <v>8.3681334788114068</v>
      </c>
      <c r="P159" s="39">
        <v>30</v>
      </c>
      <c r="Q159">
        <v>351.02544719999992</v>
      </c>
      <c r="R159">
        <v>229.74171923615768</v>
      </c>
      <c r="S159" s="39">
        <v>44.999999031535275</v>
      </c>
    </row>
    <row r="160" spans="1:30" x14ac:dyDescent="0.25">
      <c r="A160" s="37">
        <v>-31</v>
      </c>
      <c r="B160" s="51">
        <v>384.98217540163853</v>
      </c>
      <c r="C160" s="51">
        <v>59.366287285671646</v>
      </c>
      <c r="D160" s="50">
        <f t="shared" si="35"/>
        <v>8.7662622900418388</v>
      </c>
      <c r="P160" s="39">
        <v>31</v>
      </c>
      <c r="Q160">
        <v>377.31870399999991</v>
      </c>
      <c r="R160">
        <v>229.21596458674637</v>
      </c>
      <c r="S160" s="39">
        <v>44.999996326661339</v>
      </c>
    </row>
    <row r="161" spans="1:19" x14ac:dyDescent="0.25">
      <c r="A161" s="37">
        <v>-32</v>
      </c>
      <c r="B161" s="51">
        <v>380.18948363693977</v>
      </c>
      <c r="C161" s="51">
        <v>61.97538363153398</v>
      </c>
      <c r="D161" s="50">
        <f t="shared" si="35"/>
        <v>9.2584551889456321</v>
      </c>
      <c r="P161" s="39">
        <v>32</v>
      </c>
      <c r="Q161">
        <v>403.61196079999991</v>
      </c>
      <c r="R161">
        <v>228.76122596292149</v>
      </c>
      <c r="S161" s="39">
        <v>44.999997598629271</v>
      </c>
    </row>
    <row r="162" spans="1:19" x14ac:dyDescent="0.25">
      <c r="A162" s="38">
        <v>-33</v>
      </c>
      <c r="B162" s="51">
        <v>375.39796818549496</v>
      </c>
      <c r="C162" s="51">
        <v>64.590567375974217</v>
      </c>
      <c r="D162" s="50">
        <f t="shared" si="35"/>
        <v>9.7626598635549051</v>
      </c>
      <c r="P162" s="39">
        <v>33</v>
      </c>
      <c r="Q162">
        <v>429.9052175999999</v>
      </c>
      <c r="R162">
        <v>227.70061023905029</v>
      </c>
      <c r="S162" s="39">
        <v>44.999998236312848</v>
      </c>
    </row>
    <row r="163" spans="1:19" x14ac:dyDescent="0.25">
      <c r="A163" s="38">
        <v>-34</v>
      </c>
      <c r="B163" s="51">
        <v>370.60073165940065</v>
      </c>
      <c r="C163" s="51">
        <v>67.214898132699062</v>
      </c>
      <c r="D163" s="50">
        <f t="shared" si="35"/>
        <v>10.279844130427373</v>
      </c>
      <c r="P163" s="39">
        <v>34</v>
      </c>
      <c r="Q163">
        <v>456.1984743999999</v>
      </c>
      <c r="R163">
        <v>226.12194734371099</v>
      </c>
      <c r="S163" s="39">
        <v>44.999998712452381</v>
      </c>
    </row>
    <row r="164" spans="1:19" x14ac:dyDescent="0.25">
      <c r="A164" s="37">
        <v>-35</v>
      </c>
      <c r="B164" s="51">
        <v>365.79056624736938</v>
      </c>
      <c r="C164" s="51">
        <v>69.851536474397392</v>
      </c>
      <c r="D164" s="50">
        <f t="shared" si="35"/>
        <v>10.811070901709012</v>
      </c>
      <c r="P164" s="39">
        <v>35</v>
      </c>
      <c r="Q164">
        <v>482.49173119999989</v>
      </c>
      <c r="R164">
        <v>224.15695059083075</v>
      </c>
      <c r="S164" s="39">
        <v>44.999998464040722</v>
      </c>
    </row>
    <row r="165" spans="1:19" x14ac:dyDescent="0.25">
      <c r="A165" s="37">
        <v>-36</v>
      </c>
      <c r="B165" s="51">
        <v>360.9599056859077</v>
      </c>
      <c r="C165" s="51">
        <v>72.503759058418879</v>
      </c>
      <c r="D165" s="50">
        <f t="shared" si="35"/>
        <v>11.357510175091267</v>
      </c>
      <c r="P165" s="39">
        <v>36</v>
      </c>
      <c r="Q165">
        <v>508.78498799999988</v>
      </c>
      <c r="R165">
        <v>221.77316192353851</v>
      </c>
      <c r="S165" s="39">
        <v>44.999998343213825</v>
      </c>
    </row>
    <row r="166" spans="1:19" x14ac:dyDescent="0.25">
      <c r="A166" s="38">
        <v>-37</v>
      </c>
      <c r="B166" s="51">
        <v>358.47872168389023</v>
      </c>
      <c r="C166" s="51">
        <v>73.946552912345709</v>
      </c>
      <c r="D166" s="50">
        <f t="shared" si="35"/>
        <v>11.655422196415227</v>
      </c>
      <c r="P166" s="39">
        <v>37</v>
      </c>
      <c r="Q166">
        <v>535.07824479999988</v>
      </c>
      <c r="R166">
        <v>218.94009310468292</v>
      </c>
      <c r="S166" s="39">
        <v>44.999998502639848</v>
      </c>
    </row>
    <row r="167" spans="1:19" x14ac:dyDescent="0.25">
      <c r="A167" s="38">
        <v>-38</v>
      </c>
      <c r="B167" s="51">
        <v>353.53130856547256</v>
      </c>
      <c r="C167" s="51">
        <v>76.657827288361119</v>
      </c>
      <c r="D167" s="50">
        <f t="shared" si="35"/>
        <v>12.234313934493278</v>
      </c>
      <c r="P167" s="39">
        <v>38</v>
      </c>
      <c r="Q167">
        <v>561.37150159999987</v>
      </c>
      <c r="R167">
        <v>215.62939813315251</v>
      </c>
      <c r="S167" s="39">
        <v>44.999996688472486</v>
      </c>
    </row>
    <row r="168" spans="1:19" x14ac:dyDescent="0.25">
      <c r="A168" s="37">
        <v>-39</v>
      </c>
      <c r="B168" s="51">
        <v>348.53941787824044</v>
      </c>
      <c r="C168" s="51">
        <v>79.394762111916407</v>
      </c>
      <c r="D168" s="50">
        <f t="shared" si="35"/>
        <v>12.832596077930214</v>
      </c>
      <c r="P168" s="39">
        <v>39</v>
      </c>
      <c r="Q168">
        <v>587.66475839999987</v>
      </c>
      <c r="R168">
        <v>211.7424739624519</v>
      </c>
      <c r="S168" s="39">
        <v>44.999999393741817</v>
      </c>
    </row>
    <row r="169" spans="1:19" x14ac:dyDescent="0.25">
      <c r="A169" s="37">
        <v>-40</v>
      </c>
      <c r="B169" s="51">
        <v>343.49730411719884</v>
      </c>
      <c r="C169" s="51">
        <v>82.158471339267976</v>
      </c>
      <c r="D169" s="50">
        <f t="shared" si="35"/>
        <v>13.451425323051996</v>
      </c>
      <c r="P169" s="39">
        <v>40</v>
      </c>
      <c r="Q169">
        <v>613.95801519999986</v>
      </c>
      <c r="R169">
        <v>207.34283976797082</v>
      </c>
      <c r="S169" s="39">
        <v>44.999999628947918</v>
      </c>
    </row>
    <row r="170" spans="1:19" x14ac:dyDescent="0.25">
      <c r="A170" s="38">
        <v>-41</v>
      </c>
      <c r="B170" s="51">
        <v>338.49920846079686</v>
      </c>
      <c r="C170" s="51">
        <v>84.885963552934953</v>
      </c>
      <c r="D170" s="50">
        <f t="shared" si="35"/>
        <v>14.077840867108296</v>
      </c>
      <c r="P170" s="39">
        <v>41</v>
      </c>
      <c r="Q170">
        <v>640.25127199999986</v>
      </c>
      <c r="R170">
        <v>202.38857352520159</v>
      </c>
      <c r="S170" s="39">
        <v>44.999999361531962</v>
      </c>
    </row>
    <row r="171" spans="1:19" x14ac:dyDescent="0.25">
      <c r="A171" s="38">
        <v>-42</v>
      </c>
      <c r="B171" s="51">
        <v>333.58678732948681</v>
      </c>
      <c r="C171" s="51">
        <v>87.550560001795802</v>
      </c>
      <c r="D171" s="50">
        <f t="shared" si="35"/>
        <v>14.705737468228413</v>
      </c>
      <c r="P171" s="39">
        <v>42</v>
      </c>
      <c r="Q171">
        <v>666.54452879999985</v>
      </c>
      <c r="R171">
        <v>196.85793109209203</v>
      </c>
      <c r="S171" s="39">
        <v>44.999998260951969</v>
      </c>
    </row>
    <row r="172" spans="1:19" x14ac:dyDescent="0.25">
      <c r="A172" s="37">
        <v>-43</v>
      </c>
      <c r="B172" s="51">
        <v>328.74938863274753</v>
      </c>
      <c r="C172" s="51">
        <v>90.160067725628679</v>
      </c>
      <c r="D172" s="50">
        <f t="shared" si="35"/>
        <v>15.336381830140729</v>
      </c>
      <c r="P172" s="39">
        <v>43</v>
      </c>
      <c r="Q172">
        <v>692.83778559999985</v>
      </c>
      <c r="R172">
        <v>190.73026341930387</v>
      </c>
      <c r="S172" s="39">
        <v>44.999998213967842</v>
      </c>
    </row>
    <row r="173" spans="1:19" x14ac:dyDescent="0.25">
      <c r="A173" s="37">
        <v>-44</v>
      </c>
      <c r="B173" s="51">
        <v>323.97681876572256</v>
      </c>
      <c r="C173" s="51">
        <v>92.721754310268906</v>
      </c>
      <c r="D173" s="50">
        <f t="shared" si="35"/>
        <v>15.971054427656892</v>
      </c>
      <c r="P173" s="39">
        <v>44</v>
      </c>
      <c r="Q173">
        <v>719.13104239999984</v>
      </c>
      <c r="R173">
        <v>183.98587749496497</v>
      </c>
      <c r="S173" s="39">
        <v>44.999999999217714</v>
      </c>
    </row>
    <row r="174" spans="1:19" x14ac:dyDescent="0.25">
      <c r="A174" s="38">
        <v>-45</v>
      </c>
      <c r="B174" s="51">
        <v>318.64747058703921</v>
      </c>
      <c r="C174" s="51">
        <v>95.251313513603861</v>
      </c>
      <c r="D174" s="50">
        <f t="shared" si="35"/>
        <v>16.64265723079642</v>
      </c>
      <c r="P174" s="39">
        <v>45</v>
      </c>
      <c r="Q174">
        <v>745.42429919999984</v>
      </c>
      <c r="R174">
        <v>176.56897778606483</v>
      </c>
      <c r="S174" s="39">
        <v>45.000000000434412</v>
      </c>
    </row>
    <row r="175" spans="1:19" x14ac:dyDescent="0.25">
      <c r="A175" s="38">
        <v>-46</v>
      </c>
      <c r="B175" s="51">
        <v>313.27937741358909</v>
      </c>
      <c r="C175" s="51">
        <v>97.740103538286291</v>
      </c>
      <c r="D175" s="50">
        <f t="shared" si="35"/>
        <v>17.327411407540584</v>
      </c>
      <c r="P175" s="39">
        <v>46</v>
      </c>
      <c r="Q175">
        <v>771.71755599999983</v>
      </c>
      <c r="R175">
        <v>168.46022230600778</v>
      </c>
      <c r="S175" s="39">
        <v>45.000000005621253</v>
      </c>
    </row>
    <row r="176" spans="1:19" x14ac:dyDescent="0.25">
      <c r="A176" s="37">
        <v>-47</v>
      </c>
      <c r="B176" s="51">
        <v>307.9707561258914</v>
      </c>
      <c r="C176" s="51">
        <v>100.19278607930714</v>
      </c>
      <c r="D176" s="50">
        <f t="shared" si="35"/>
        <v>18.021372265128914</v>
      </c>
      <c r="P176" s="39">
        <v>47</v>
      </c>
      <c r="Q176">
        <v>798.01081279999983</v>
      </c>
      <c r="R176">
        <v>159.67351513005062</v>
      </c>
      <c r="S176" s="39">
        <v>45.000001381437258</v>
      </c>
    </row>
    <row r="177" spans="1:19" x14ac:dyDescent="0.25">
      <c r="A177" s="37">
        <v>-48</v>
      </c>
      <c r="B177" s="51">
        <v>302.71228954688752</v>
      </c>
      <c r="C177" s="51">
        <v>102.61605795185383</v>
      </c>
      <c r="D177" s="50">
        <f t="shared" si="35"/>
        <v>18.726080270289067</v>
      </c>
      <c r="P177" s="39">
        <v>48</v>
      </c>
      <c r="Q177">
        <v>824.30406959999982</v>
      </c>
      <c r="R177">
        <v>150.18195178088067</v>
      </c>
      <c r="S177" s="39">
        <v>44.999999995203979</v>
      </c>
    </row>
    <row r="178" spans="1:19" x14ac:dyDescent="0.25">
      <c r="A178" s="38">
        <v>-49</v>
      </c>
      <c r="B178" s="51">
        <v>297.49386237076698</v>
      </c>
      <c r="C178" s="51">
        <v>105.01632655366757</v>
      </c>
      <c r="D178" s="50">
        <f t="shared" si="35"/>
        <v>19.443201862237132</v>
      </c>
      <c r="P178" s="39">
        <v>49</v>
      </c>
      <c r="Q178">
        <v>850.59732639999982</v>
      </c>
      <c r="R178">
        <v>139.95723434925353</v>
      </c>
      <c r="S178" s="39">
        <v>44.999999873327646</v>
      </c>
    </row>
    <row r="179" spans="1:19" x14ac:dyDescent="0.25">
      <c r="A179" s="38">
        <v>-50</v>
      </c>
      <c r="B179" s="51">
        <v>292.30533843631252</v>
      </c>
      <c r="C179" s="51">
        <v>107.39986382028918</v>
      </c>
      <c r="D179" s="50">
        <f t="shared" si="35"/>
        <v>20.174520681698048</v>
      </c>
      <c r="P179" s="39">
        <v>50</v>
      </c>
      <c r="Q179">
        <v>876.89058319999981</v>
      </c>
      <c r="R179">
        <v>128.96901350974957</v>
      </c>
      <c r="S179" s="39">
        <v>44.999999578355492</v>
      </c>
    </row>
    <row r="180" spans="1:19" x14ac:dyDescent="0.25">
      <c r="A180" s="37">
        <v>-51</v>
      </c>
      <c r="B180" s="51">
        <v>287.13730384442499</v>
      </c>
      <c r="C180" s="51">
        <v>109.7727680627343</v>
      </c>
      <c r="D180" s="50">
        <f t="shared" si="35"/>
        <v>20.921886062601533</v>
      </c>
      <c r="P180" s="39">
        <v>51</v>
      </c>
      <c r="Q180">
        <v>903.1838399999998</v>
      </c>
      <c r="R180">
        <v>117.18398506603614</v>
      </c>
      <c r="S180" s="39">
        <v>44.999999514472229</v>
      </c>
    </row>
    <row r="181" spans="1:19" x14ac:dyDescent="0.25">
      <c r="A181" s="37">
        <v>-52</v>
      </c>
      <c r="B181" s="51">
        <v>281.97844057408167</v>
      </c>
      <c r="C181" s="51">
        <v>112.14130409522814</v>
      </c>
      <c r="D181" s="50">
        <f t="shared" si="35"/>
        <v>21.68744878792538</v>
      </c>
      <c r="P181" s="39">
        <v>52</v>
      </c>
      <c r="Q181">
        <v>903.1838399999998</v>
      </c>
      <c r="R181">
        <v>0</v>
      </c>
      <c r="S181" s="39">
        <v>79.795883430087997</v>
      </c>
    </row>
    <row r="182" spans="1:19" x14ac:dyDescent="0.25">
      <c r="A182" s="38">
        <v>-53</v>
      </c>
      <c r="B182" s="51">
        <v>276.8187812777648</v>
      </c>
      <c r="C182" s="51">
        <v>114.51159729151689</v>
      </c>
      <c r="D182" s="50">
        <f t="shared" si="35"/>
        <v>22.473407029201432</v>
      </c>
      <c r="P182" s="39">
        <v>53</v>
      </c>
      <c r="S182" s="39">
        <v>79.795984990634366</v>
      </c>
    </row>
    <row r="183" spans="1:19" x14ac:dyDescent="0.25">
      <c r="A183" s="38">
        <v>-54</v>
      </c>
      <c r="B183" s="51">
        <v>271.64875683680884</v>
      </c>
      <c r="C183" s="51">
        <v>116.88962773462802</v>
      </c>
      <c r="D183" s="50">
        <f t="shared" si="35"/>
        <v>23.282061587863897</v>
      </c>
      <c r="P183" s="39">
        <v>54</v>
      </c>
      <c r="S183" s="39">
        <v>79.800407675686515</v>
      </c>
    </row>
    <row r="184" spans="1:19" x14ac:dyDescent="0.25">
      <c r="A184" s="37">
        <v>-55</v>
      </c>
      <c r="B184" s="51">
        <v>266.4548342504238</v>
      </c>
      <c r="C184" s="51">
        <v>119.28225393534935</v>
      </c>
      <c r="D184" s="50">
        <f t="shared" si="35"/>
        <v>24.116347220706178</v>
      </c>
      <c r="P184" s="39">
        <v>55</v>
      </c>
      <c r="S184" s="39">
        <v>79.801950009186669</v>
      </c>
    </row>
    <row r="185" spans="1:19" x14ac:dyDescent="0.25">
      <c r="A185" s="37">
        <v>-56</v>
      </c>
      <c r="B185" s="51">
        <v>261.2269853843128</v>
      </c>
      <c r="C185" s="51">
        <v>121.69565586708023</v>
      </c>
      <c r="D185" s="50">
        <f t="shared" si="35"/>
        <v>24.979010063477727</v>
      </c>
      <c r="P185" s="39">
        <v>56</v>
      </c>
      <c r="S185" s="39">
        <v>79.805234093351316</v>
      </c>
    </row>
    <row r="186" spans="1:19" x14ac:dyDescent="0.25">
      <c r="A186" s="38">
        <v>-57</v>
      </c>
      <c r="B186" s="51">
        <v>255.9517366197008</v>
      </c>
      <c r="C186" s="51">
        <v>124.13690628875806</v>
      </c>
      <c r="D186" s="50">
        <f t="shared" si="35"/>
        <v>25.873442136068352</v>
      </c>
      <c r="P186" s="39">
        <v>57</v>
      </c>
      <c r="S186" s="39">
        <v>79.801997048140805</v>
      </c>
    </row>
    <row r="187" spans="1:19" x14ac:dyDescent="0.25">
      <c r="A187" s="38">
        <v>-58</v>
      </c>
      <c r="B187" s="51">
        <v>250.61536201658637</v>
      </c>
      <c r="C187" s="51">
        <v>126.61329549500249</v>
      </c>
      <c r="D187" s="50">
        <f t="shared" si="35"/>
        <v>26.803345295088917</v>
      </c>
      <c r="P187" s="39">
        <v>58</v>
      </c>
      <c r="S187" s="39">
        <v>79.798935028433348</v>
      </c>
    </row>
    <row r="188" spans="1:19" x14ac:dyDescent="0.25">
      <c r="A188" s="37">
        <v>-59</v>
      </c>
      <c r="B188" s="51">
        <v>245.20279610295884</v>
      </c>
      <c r="C188" s="51">
        <v>129.13263446263937</v>
      </c>
      <c r="D188" s="50">
        <f t="shared" si="35"/>
        <v>27.772908348074811</v>
      </c>
      <c r="P188" s="39">
        <v>59</v>
      </c>
      <c r="S188" s="39">
        <v>79.800804788945442</v>
      </c>
    </row>
    <row r="189" spans="1:19" x14ac:dyDescent="0.25">
      <c r="A189" s="37">
        <v>-60</v>
      </c>
      <c r="B189" s="51">
        <v>239.69826270545491</v>
      </c>
      <c r="C189" s="51">
        <v>131.70305467838864</v>
      </c>
      <c r="D189" s="50">
        <f t="shared" si="35"/>
        <v>28.786749133476377</v>
      </c>
      <c r="P189" s="39">
        <v>60</v>
      </c>
      <c r="S189" s="39">
        <v>79.793752692274055</v>
      </c>
    </row>
    <row r="190" spans="1:19" x14ac:dyDescent="0.25">
      <c r="A190" s="38">
        <v>-61</v>
      </c>
      <c r="B190" s="51">
        <v>234.08220857923328</v>
      </c>
      <c r="C190" s="51">
        <v>134.33410590351471</v>
      </c>
      <c r="D190" s="50">
        <f t="shared" si="35"/>
        <v>29.850469436524314</v>
      </c>
      <c r="P190" s="39">
        <v>61</v>
      </c>
      <c r="S190" s="39">
        <v>79.791252829481351</v>
      </c>
    </row>
    <row r="191" spans="1:19" x14ac:dyDescent="0.25">
      <c r="A191" s="38">
        <v>-62</v>
      </c>
      <c r="B191" s="51">
        <v>228.33451279222328</v>
      </c>
      <c r="C191" s="51">
        <v>137.03565516581304</v>
      </c>
      <c r="D191" s="50">
        <f t="shared" si="35"/>
        <v>30.970204143156053</v>
      </c>
      <c r="P191" s="39">
        <v>62</v>
      </c>
      <c r="S191" s="39">
        <v>79.790355143936864</v>
      </c>
    </row>
    <row r="192" spans="1:19" x14ac:dyDescent="0.25">
      <c r="A192" s="37">
        <v>-63</v>
      </c>
      <c r="B192" s="51">
        <v>222.43320803033561</v>
      </c>
      <c r="C192" s="51">
        <v>139.81826798487245</v>
      </c>
      <c r="D192" s="50">
        <f t="shared" si="35"/>
        <v>32.152869107508998</v>
      </c>
      <c r="P192" s="39">
        <v>63</v>
      </c>
      <c r="S192" s="39">
        <v>79.799281022740217</v>
      </c>
    </row>
    <row r="193" spans="1:19" x14ac:dyDescent="0.25">
      <c r="A193" s="37">
        <v>-64</v>
      </c>
      <c r="B193" s="51">
        <v>216.35092553839627</v>
      </c>
      <c r="C193" s="51">
        <v>142.69460893589115</v>
      </c>
      <c r="D193" s="50">
        <f t="shared" si="35"/>
        <v>33.40691335717657</v>
      </c>
      <c r="P193" s="39">
        <v>64</v>
      </c>
      <c r="S193" s="39">
        <v>79.79873572892474</v>
      </c>
    </row>
    <row r="194" spans="1:19" x14ac:dyDescent="0.25">
      <c r="A194" s="38">
        <v>-65</v>
      </c>
      <c r="B194" s="51">
        <v>210.05695419867249</v>
      </c>
      <c r="C194" s="51">
        <v>145.67863784183245</v>
      </c>
      <c r="D194" s="50">
        <f t="shared" ref="D194:D257" si="36">IF(DEGREES(ATAN2(B194,C194))&lt;0,DEGREES(ATAN2(B194,C194))+360,DEGREES(ATAN2(B194,C194)))</f>
        <v>34.742070691495165</v>
      </c>
      <c r="P194" s="39">
        <v>65</v>
      </c>
      <c r="S194" s="39">
        <v>79.796024731208419</v>
      </c>
    </row>
    <row r="195" spans="1:19" x14ac:dyDescent="0.25">
      <c r="A195" s="38">
        <v>-66</v>
      </c>
      <c r="B195" s="51">
        <v>203.51749952712515</v>
      </c>
      <c r="C195" s="51">
        <v>148.78539654101641</v>
      </c>
      <c r="D195" s="50">
        <f t="shared" si="36"/>
        <v>36.169391537190371</v>
      </c>
      <c r="P195" s="39">
        <v>66</v>
      </c>
      <c r="S195" s="39">
        <v>79.796024608327969</v>
      </c>
    </row>
    <row r="196" spans="1:19" x14ac:dyDescent="0.25">
      <c r="A196" s="37">
        <v>-67</v>
      </c>
      <c r="B196" s="51">
        <v>196.69019491942299</v>
      </c>
      <c r="C196" s="51">
        <v>152.03319268826391</v>
      </c>
      <c r="D196" s="50">
        <f t="shared" si="36"/>
        <v>37.702504601789009</v>
      </c>
      <c r="P196" s="39">
        <v>67</v>
      </c>
      <c r="S196" s="39">
        <v>79.796024398828592</v>
      </c>
    </row>
    <row r="197" spans="1:19" x14ac:dyDescent="0.25">
      <c r="A197" s="37">
        <v>-68</v>
      </c>
      <c r="B197" s="51">
        <v>189.52558967565355</v>
      </c>
      <c r="C197" s="51">
        <v>155.4428542544006</v>
      </c>
      <c r="D197" s="50">
        <f t="shared" si="36"/>
        <v>39.357513265640904</v>
      </c>
      <c r="P197" s="39">
        <v>68</v>
      </c>
      <c r="S197" s="39">
        <v>79.796024088516859</v>
      </c>
    </row>
    <row r="198" spans="1:19" x14ac:dyDescent="0.25">
      <c r="A198" s="38">
        <v>-69</v>
      </c>
      <c r="B198" s="51">
        <v>184.717090237316</v>
      </c>
      <c r="C198" s="51">
        <v>158.84829017415947</v>
      </c>
      <c r="D198" s="50">
        <f t="shared" si="36"/>
        <v>40.694031909877786</v>
      </c>
      <c r="P198" s="39">
        <v>69</v>
      </c>
      <c r="S198" s="39">
        <v>79.796046876507106</v>
      </c>
    </row>
    <row r="199" spans="1:19" x14ac:dyDescent="0.25">
      <c r="A199" s="38">
        <v>-70</v>
      </c>
      <c r="B199" s="51">
        <v>176.8181871489347</v>
      </c>
      <c r="C199" s="51">
        <v>162.58258114096131</v>
      </c>
      <c r="D199" s="50">
        <f t="shared" si="36"/>
        <v>42.598230705687726</v>
      </c>
      <c r="P199" s="39">
        <v>70</v>
      </c>
      <c r="S199" s="39">
        <v>79.796044591182749</v>
      </c>
    </row>
    <row r="200" spans="1:19" x14ac:dyDescent="0.25">
      <c r="A200" s="37">
        <v>-71</v>
      </c>
      <c r="B200" s="51">
        <v>168.79456197524974</v>
      </c>
      <c r="C200" s="51">
        <v>166.2827976034034</v>
      </c>
      <c r="D200" s="50">
        <f t="shared" si="36"/>
        <v>44.570514694407194</v>
      </c>
      <c r="P200" s="39">
        <v>71</v>
      </c>
      <c r="S200" s="39">
        <v>79.796024664487405</v>
      </c>
    </row>
    <row r="201" spans="1:19" x14ac:dyDescent="0.25">
      <c r="A201" s="37">
        <v>-72</v>
      </c>
      <c r="B201" s="51">
        <v>160.65153461904092</v>
      </c>
      <c r="C201" s="51">
        <v>169.94335879427626</v>
      </c>
      <c r="D201" s="50">
        <f t="shared" si="36"/>
        <v>46.609952839087363</v>
      </c>
      <c r="P201" s="39">
        <v>72</v>
      </c>
      <c r="S201" s="39">
        <v>79.796023917917111</v>
      </c>
    </row>
    <row r="202" spans="1:19" x14ac:dyDescent="0.25">
      <c r="A202" s="38">
        <v>-73</v>
      </c>
      <c r="B202" s="51">
        <v>152.37414121281907</v>
      </c>
      <c r="C202" s="51">
        <v>173.57201632010114</v>
      </c>
      <c r="D202" s="50">
        <f t="shared" si="36"/>
        <v>48.720985064155045</v>
      </c>
      <c r="P202" s="39">
        <v>73</v>
      </c>
      <c r="S202" s="39">
        <v>79.796022839235093</v>
      </c>
    </row>
    <row r="203" spans="1:19" x14ac:dyDescent="0.25">
      <c r="A203" s="38">
        <v>-74</v>
      </c>
      <c r="B203" s="51">
        <v>143.94880986296386</v>
      </c>
      <c r="C203" s="51">
        <v>177.1758305943782</v>
      </c>
      <c r="D203" s="50">
        <f t="shared" si="36"/>
        <v>50.907417504811157</v>
      </c>
      <c r="P203" s="39">
        <v>74</v>
      </c>
      <c r="S203" s="39">
        <v>79.796021291289463</v>
      </c>
    </row>
    <row r="204" spans="1:19" x14ac:dyDescent="0.25">
      <c r="A204" s="37">
        <v>-75</v>
      </c>
      <c r="B204" s="51">
        <v>135.3592028933212</v>
      </c>
      <c r="C204" s="51">
        <v>180.76228330778522</v>
      </c>
      <c r="D204" s="50">
        <f t="shared" si="36"/>
        <v>53.173236219358728</v>
      </c>
      <c r="P204" s="39">
        <v>75</v>
      </c>
      <c r="S204" s="39">
        <v>79.796019079369941</v>
      </c>
    </row>
    <row r="205" spans="1:19" x14ac:dyDescent="0.25">
      <c r="A205" s="37">
        <v>-76</v>
      </c>
      <c r="B205" s="51">
        <v>126.58910561188935</v>
      </c>
      <c r="C205" s="51">
        <v>184.33857758329316</v>
      </c>
      <c r="D205" s="50">
        <f t="shared" si="36"/>
        <v>55.521810228379543</v>
      </c>
      <c r="P205" s="39">
        <v>76</v>
      </c>
      <c r="S205" s="39">
        <v>79.796022642203468</v>
      </c>
    </row>
    <row r="206" spans="1:19" x14ac:dyDescent="0.25">
      <c r="A206" s="38">
        <v>-77</v>
      </c>
      <c r="B206" s="51">
        <v>117.62173117317892</v>
      </c>
      <c r="C206" s="51">
        <v>187.91214989105919</v>
      </c>
      <c r="D206" s="50">
        <f t="shared" si="36"/>
        <v>57.955903765694117</v>
      </c>
      <c r="P206" s="39">
        <v>77</v>
      </c>
      <c r="S206" s="39">
        <v>79.796032527510476</v>
      </c>
    </row>
    <row r="207" spans="1:19" x14ac:dyDescent="0.25">
      <c r="A207" s="38">
        <v>-78</v>
      </c>
      <c r="B207" s="51">
        <v>108.43782400613284</v>
      </c>
      <c r="C207" s="51">
        <v>191.49047547169374</v>
      </c>
      <c r="D207" s="50">
        <f t="shared" si="36"/>
        <v>60.477854637002295</v>
      </c>
      <c r="P207">
        <v>78</v>
      </c>
      <c r="S207">
        <v>79.796024684424083</v>
      </c>
    </row>
    <row r="208" spans="1:19" x14ac:dyDescent="0.25">
      <c r="A208" s="37">
        <v>-79</v>
      </c>
      <c r="B208" s="51">
        <v>99.017730673365264</v>
      </c>
      <c r="C208" s="51">
        <v>195.08153424088923</v>
      </c>
      <c r="D208" s="50">
        <f t="shared" si="36"/>
        <v>63.088971426915137</v>
      </c>
      <c r="P208">
        <v>79</v>
      </c>
      <c r="S208">
        <v>79.796001417562323</v>
      </c>
    </row>
    <row r="209" spans="1:19" x14ac:dyDescent="0.25">
      <c r="A209" s="37">
        <v>-80</v>
      </c>
      <c r="B209" s="51">
        <v>91.656345039327277</v>
      </c>
      <c r="C209" s="51">
        <v>197.23402600384063</v>
      </c>
      <c r="D209" s="50">
        <f t="shared" si="36"/>
        <v>65.075302319246475</v>
      </c>
      <c r="P209">
        <v>80</v>
      </c>
      <c r="S209">
        <v>79.796024915781032</v>
      </c>
    </row>
    <row r="210" spans="1:19" x14ac:dyDescent="0.25">
      <c r="A210" s="38">
        <v>-81</v>
      </c>
      <c r="B210" s="51">
        <v>81.758912506671209</v>
      </c>
      <c r="C210" s="51">
        <v>200.83172410774878</v>
      </c>
      <c r="D210" s="50">
        <f t="shared" si="36"/>
        <v>67.848683931460897</v>
      </c>
      <c r="P210">
        <v>81</v>
      </c>
      <c r="S210">
        <v>79.796024375789329</v>
      </c>
    </row>
    <row r="211" spans="1:19" x14ac:dyDescent="0.25">
      <c r="A211" s="38">
        <v>-82</v>
      </c>
      <c r="B211" s="51">
        <v>73.010633484610437</v>
      </c>
      <c r="C211" s="51">
        <v>203.79607013580232</v>
      </c>
      <c r="D211" s="50">
        <f t="shared" si="36"/>
        <v>70.289764668409745</v>
      </c>
      <c r="P211">
        <v>82</v>
      </c>
      <c r="S211">
        <v>79.796021300631352</v>
      </c>
    </row>
    <row r="212" spans="1:19" x14ac:dyDescent="0.25">
      <c r="A212" s="37">
        <v>-83</v>
      </c>
      <c r="B212" s="51">
        <v>65.37568661986019</v>
      </c>
      <c r="C212" s="51">
        <v>206.15676354588791</v>
      </c>
      <c r="D212" s="50">
        <f t="shared" si="36"/>
        <v>72.405325903402115</v>
      </c>
      <c r="P212">
        <v>83</v>
      </c>
      <c r="S212">
        <v>79.796018037533642</v>
      </c>
    </row>
    <row r="213" spans="1:19" x14ac:dyDescent="0.25">
      <c r="A213" s="37">
        <v>-84</v>
      </c>
      <c r="B213" s="51">
        <v>57.426325839508181</v>
      </c>
      <c r="C213" s="51">
        <v>208.57397536145959</v>
      </c>
      <c r="D213" s="50">
        <f t="shared" si="36"/>
        <v>74.606260535782923</v>
      </c>
      <c r="P213">
        <v>84</v>
      </c>
      <c r="S213">
        <v>79.796013568309874</v>
      </c>
    </row>
    <row r="214" spans="1:19" x14ac:dyDescent="0.25">
      <c r="A214" s="38">
        <v>-85</v>
      </c>
      <c r="B214" s="51">
        <v>49.116390757186217</v>
      </c>
      <c r="C214" s="51">
        <v>211.06279042218225</v>
      </c>
      <c r="D214" s="50">
        <f t="shared" si="36"/>
        <v>76.899860715799463</v>
      </c>
      <c r="P214">
        <v>85</v>
      </c>
      <c r="S214">
        <v>79.795774471000286</v>
      </c>
    </row>
    <row r="215" spans="1:19" x14ac:dyDescent="0.25">
      <c r="A215" s="38">
        <v>-86</v>
      </c>
      <c r="B215" s="51">
        <v>40.395556115253278</v>
      </c>
      <c r="C215" s="51">
        <v>213.64061248164904</v>
      </c>
      <c r="D215" s="50">
        <f t="shared" si="36"/>
        <v>79.292816242337182</v>
      </c>
      <c r="P215">
        <v>86</v>
      </c>
      <c r="S215">
        <v>79.794402645571822</v>
      </c>
    </row>
    <row r="216" spans="1:19" x14ac:dyDescent="0.25">
      <c r="A216" s="37">
        <v>-87</v>
      </c>
      <c r="B216" s="51">
        <v>31.202057095326079</v>
      </c>
      <c r="C216" s="51">
        <v>216.32700612711363</v>
      </c>
      <c r="D216" s="50">
        <f t="shared" si="36"/>
        <v>81.792512038569299</v>
      </c>
      <c r="P216">
        <v>87</v>
      </c>
      <c r="S216">
        <v>79.796115005270764</v>
      </c>
    </row>
    <row r="217" spans="1:19" x14ac:dyDescent="0.25">
      <c r="A217" s="37">
        <v>-88</v>
      </c>
      <c r="B217" s="51">
        <v>21.464504184021035</v>
      </c>
      <c r="C217" s="51">
        <v>219.14478568217254</v>
      </c>
      <c r="D217" s="50">
        <f t="shared" si="36"/>
        <v>84.405912143163391</v>
      </c>
      <c r="P217">
        <v>88</v>
      </c>
      <c r="S217">
        <v>79.79604267311295</v>
      </c>
    </row>
    <row r="218" spans="1:19" x14ac:dyDescent="0.25">
      <c r="A218" s="38">
        <v>-89</v>
      </c>
      <c r="B218" s="51">
        <v>11.097963144088332</v>
      </c>
      <c r="C218" s="51">
        <v>222.12087808949104</v>
      </c>
      <c r="D218" s="50">
        <f t="shared" si="36"/>
        <v>87.139674000793804</v>
      </c>
      <c r="P218">
        <v>89</v>
      </c>
      <c r="S218">
        <v>79.796032836112175</v>
      </c>
    </row>
    <row r="219" spans="1:19" x14ac:dyDescent="0.25">
      <c r="A219" s="38">
        <v>-90</v>
      </c>
      <c r="B219" s="51">
        <v>3.1552445228416275E-14</v>
      </c>
      <c r="C219" s="51">
        <v>225.28550728441064</v>
      </c>
      <c r="D219" s="50">
        <f t="shared" si="36"/>
        <v>90</v>
      </c>
      <c r="P219">
        <v>90</v>
      </c>
      <c r="S219">
        <v>79.800315046451928</v>
      </c>
    </row>
    <row r="220" spans="1:19" x14ac:dyDescent="0.25">
      <c r="A220" s="37">
        <v>-91</v>
      </c>
      <c r="B220" s="51">
        <v>-11.097963144088261</v>
      </c>
      <c r="C220" s="51">
        <v>222.12087808949107</v>
      </c>
      <c r="D220" s="50">
        <f t="shared" si="36"/>
        <v>92.860325999206182</v>
      </c>
      <c r="P220">
        <v>91</v>
      </c>
      <c r="S220">
        <v>79.794854443486997</v>
      </c>
    </row>
    <row r="221" spans="1:19" x14ac:dyDescent="0.25">
      <c r="A221" s="37">
        <v>-92</v>
      </c>
      <c r="B221" s="51">
        <v>-21.464504184021013</v>
      </c>
      <c r="C221" s="51">
        <v>219.14478568217254</v>
      </c>
      <c r="D221" s="50">
        <f t="shared" si="36"/>
        <v>95.594087856836609</v>
      </c>
      <c r="P221">
        <v>92</v>
      </c>
      <c r="S221">
        <v>79.790360744459818</v>
      </c>
    </row>
    <row r="222" spans="1:19" x14ac:dyDescent="0.25">
      <c r="A222" s="38">
        <v>-93</v>
      </c>
      <c r="B222" s="51">
        <v>-31.202057095326001</v>
      </c>
      <c r="C222" s="51">
        <v>216.32700612711369</v>
      </c>
      <c r="D222" s="50">
        <f t="shared" si="36"/>
        <v>98.207487961430672</v>
      </c>
      <c r="P222">
        <v>93</v>
      </c>
      <c r="S222">
        <v>79.796052394988749</v>
      </c>
    </row>
    <row r="223" spans="1:19" x14ac:dyDescent="0.25">
      <c r="A223" s="38">
        <v>-94</v>
      </c>
      <c r="B223" s="51">
        <v>-40.395556115253349</v>
      </c>
      <c r="C223" s="51">
        <v>213.64061248164901</v>
      </c>
      <c r="D223" s="50">
        <f t="shared" si="36"/>
        <v>100.70718375766283</v>
      </c>
      <c r="P223">
        <v>94</v>
      </c>
      <c r="S223">
        <v>79.796044048302932</v>
      </c>
    </row>
    <row r="224" spans="1:19" x14ac:dyDescent="0.25">
      <c r="A224" s="37">
        <v>-95</v>
      </c>
      <c r="B224" s="51">
        <v>-49.116390757186281</v>
      </c>
      <c r="C224" s="51">
        <v>211.06279042218227</v>
      </c>
      <c r="D224" s="50">
        <f t="shared" si="36"/>
        <v>103.10013928420055</v>
      </c>
      <c r="P224">
        <v>95</v>
      </c>
      <c r="S224">
        <v>79.796014809379415</v>
      </c>
    </row>
    <row r="225" spans="1:19" x14ac:dyDescent="0.25">
      <c r="A225" s="37">
        <v>-96</v>
      </c>
      <c r="B225" s="51">
        <v>-57.426325839508237</v>
      </c>
      <c r="C225" s="51">
        <v>208.57397536145956</v>
      </c>
      <c r="D225" s="50">
        <f t="shared" si="36"/>
        <v>105.39373946421709</v>
      </c>
      <c r="P225">
        <v>96</v>
      </c>
      <c r="S225">
        <v>79.795984599405656</v>
      </c>
    </row>
    <row r="226" spans="1:19" x14ac:dyDescent="0.25">
      <c r="A226" s="38">
        <v>-97</v>
      </c>
      <c r="B226" s="51">
        <v>-65.37568661986019</v>
      </c>
      <c r="C226" s="51">
        <v>206.156763545888</v>
      </c>
      <c r="D226" s="50">
        <f t="shared" si="36"/>
        <v>107.59467409659788</v>
      </c>
      <c r="P226">
        <v>97</v>
      </c>
      <c r="S226">
        <v>79.795904241288866</v>
      </c>
    </row>
    <row r="227" spans="1:19" x14ac:dyDescent="0.25">
      <c r="A227" s="38">
        <v>-98</v>
      </c>
      <c r="B227" s="51">
        <v>-73.010633484610352</v>
      </c>
      <c r="C227" s="51">
        <v>203.79607013580232</v>
      </c>
      <c r="D227" s="50">
        <f t="shared" si="36"/>
        <v>109.71023533159023</v>
      </c>
      <c r="P227">
        <v>98</v>
      </c>
      <c r="S227">
        <v>79.796025773794653</v>
      </c>
    </row>
    <row r="228" spans="1:19" x14ac:dyDescent="0.25">
      <c r="A228" s="37">
        <v>-99</v>
      </c>
      <c r="B228" s="51">
        <v>-81.75891250667118</v>
      </c>
      <c r="C228" s="51">
        <v>200.83172410774873</v>
      </c>
      <c r="D228" s="50">
        <f t="shared" si="36"/>
        <v>112.1513160685391</v>
      </c>
      <c r="P228">
        <v>99</v>
      </c>
      <c r="S228">
        <v>79.795544163328614</v>
      </c>
    </row>
    <row r="229" spans="1:19" x14ac:dyDescent="0.25">
      <c r="A229" s="37">
        <v>-100</v>
      </c>
      <c r="B229" s="51">
        <v>-91.656345039327149</v>
      </c>
      <c r="C229" s="51">
        <v>197.23402600384063</v>
      </c>
      <c r="D229" s="50">
        <f t="shared" si="36"/>
        <v>114.92469768075351</v>
      </c>
      <c r="P229">
        <v>100</v>
      </c>
      <c r="S229">
        <v>79.795334970560603</v>
      </c>
    </row>
    <row r="230" spans="1:19" x14ac:dyDescent="0.25">
      <c r="A230" s="38">
        <v>-101</v>
      </c>
      <c r="B230" s="51">
        <v>-99.017730673365179</v>
      </c>
      <c r="C230" s="51">
        <v>195.0815342408892</v>
      </c>
      <c r="D230" s="50">
        <f t="shared" si="36"/>
        <v>116.91102857308486</v>
      </c>
      <c r="P230">
        <v>101</v>
      </c>
      <c r="S230">
        <v>79.794236717096751</v>
      </c>
    </row>
    <row r="231" spans="1:19" x14ac:dyDescent="0.25">
      <c r="A231" s="38">
        <v>-102</v>
      </c>
      <c r="B231" s="51">
        <v>-108.43782400613276</v>
      </c>
      <c r="C231" s="51">
        <v>191.49047547169388</v>
      </c>
      <c r="D231" s="50">
        <f t="shared" si="36"/>
        <v>119.52214536299768</v>
      </c>
    </row>
    <row r="232" spans="1:19" x14ac:dyDescent="0.25">
      <c r="A232" s="37">
        <v>-103</v>
      </c>
      <c r="B232" s="51">
        <v>-117.62173117317896</v>
      </c>
      <c r="C232" s="51">
        <v>187.91214989105919</v>
      </c>
      <c r="D232" s="50">
        <f t="shared" si="36"/>
        <v>122.0440962343059</v>
      </c>
    </row>
    <row r="233" spans="1:19" x14ac:dyDescent="0.25">
      <c r="A233" s="37">
        <v>-104</v>
      </c>
      <c r="B233" s="51">
        <v>-126.58910561188938</v>
      </c>
      <c r="C233" s="51">
        <v>184.33857758329316</v>
      </c>
      <c r="D233" s="50">
        <f t="shared" si="36"/>
        <v>124.47818977162046</v>
      </c>
    </row>
    <row r="234" spans="1:19" x14ac:dyDescent="0.25">
      <c r="A234" s="38">
        <v>-105</v>
      </c>
      <c r="B234" s="51">
        <v>-135.35920289332125</v>
      </c>
      <c r="C234" s="51">
        <v>180.76228330778525</v>
      </c>
      <c r="D234" s="50">
        <f t="shared" si="36"/>
        <v>126.82676378064129</v>
      </c>
    </row>
    <row r="235" spans="1:19" x14ac:dyDescent="0.25">
      <c r="A235" s="38">
        <v>-106</v>
      </c>
      <c r="B235" s="51">
        <v>-143.94880986296377</v>
      </c>
      <c r="C235" s="51">
        <v>177.17583059437823</v>
      </c>
      <c r="D235" s="50">
        <f t="shared" si="36"/>
        <v>129.09258249518882</v>
      </c>
    </row>
    <row r="236" spans="1:19" x14ac:dyDescent="0.25">
      <c r="A236" s="37">
        <v>-107</v>
      </c>
      <c r="B236" s="51">
        <v>-152.37414121281907</v>
      </c>
      <c r="C236" s="51">
        <v>173.57201632010126</v>
      </c>
      <c r="D236" s="50">
        <f t="shared" si="36"/>
        <v>131.27901493584494</v>
      </c>
    </row>
    <row r="237" spans="1:19" x14ac:dyDescent="0.25">
      <c r="A237" s="37">
        <v>-108</v>
      </c>
      <c r="B237" s="51">
        <v>-160.65153461904086</v>
      </c>
      <c r="C237" s="51">
        <v>169.94335879427635</v>
      </c>
      <c r="D237" s="50">
        <f t="shared" si="36"/>
        <v>133.39004716091262</v>
      </c>
    </row>
    <row r="238" spans="1:19" x14ac:dyDescent="0.25">
      <c r="A238" s="38">
        <v>-109</v>
      </c>
      <c r="B238" s="51">
        <v>-168.79456197524968</v>
      </c>
      <c r="C238" s="51">
        <v>166.28279760340348</v>
      </c>
      <c r="D238" s="50">
        <f t="shared" si="36"/>
        <v>135.42948530559278</v>
      </c>
    </row>
    <row r="239" spans="1:19" x14ac:dyDescent="0.25">
      <c r="A239" s="38">
        <v>-110</v>
      </c>
      <c r="B239" s="51">
        <v>-176.81818714893461</v>
      </c>
      <c r="C239" s="51">
        <v>162.58258114096134</v>
      </c>
      <c r="D239" s="50">
        <f t="shared" si="36"/>
        <v>137.40176929431226</v>
      </c>
    </row>
    <row r="240" spans="1:19" x14ac:dyDescent="0.25">
      <c r="A240" s="37">
        <v>-111</v>
      </c>
      <c r="B240" s="51">
        <v>-184.71709023731589</v>
      </c>
      <c r="C240" s="51">
        <v>158.84829017415942</v>
      </c>
      <c r="D240" s="50">
        <f t="shared" si="36"/>
        <v>139.30596809012221</v>
      </c>
    </row>
    <row r="241" spans="1:4" x14ac:dyDescent="0.25">
      <c r="A241" s="37">
        <v>-112</v>
      </c>
      <c r="B241" s="51">
        <v>-189.52558967565355</v>
      </c>
      <c r="C241" s="51">
        <v>155.4428542544006</v>
      </c>
      <c r="D241" s="50">
        <f t="shared" si="36"/>
        <v>140.6424867343591</v>
      </c>
    </row>
    <row r="242" spans="1:4" x14ac:dyDescent="0.25">
      <c r="A242" s="38">
        <v>-113</v>
      </c>
      <c r="B242" s="51">
        <v>-196.69019491942294</v>
      </c>
      <c r="C242" s="51">
        <v>152.03319268826382</v>
      </c>
      <c r="D242" s="50">
        <f t="shared" si="36"/>
        <v>142.297495398211</v>
      </c>
    </row>
    <row r="243" spans="1:4" x14ac:dyDescent="0.25">
      <c r="A243" s="38">
        <v>-114</v>
      </c>
      <c r="B243" s="51">
        <v>-203.51749952712515</v>
      </c>
      <c r="C243" s="51">
        <v>148.78539654101641</v>
      </c>
      <c r="D243" s="50">
        <f t="shared" si="36"/>
        <v>143.83060846280964</v>
      </c>
    </row>
    <row r="244" spans="1:4" x14ac:dyDescent="0.25">
      <c r="A244" s="37">
        <v>-115</v>
      </c>
      <c r="B244" s="51">
        <v>-210.05695419867249</v>
      </c>
      <c r="C244" s="51">
        <v>145.67863784183248</v>
      </c>
      <c r="D244" s="50">
        <f t="shared" si="36"/>
        <v>145.25792930850483</v>
      </c>
    </row>
    <row r="245" spans="1:4" x14ac:dyDescent="0.25">
      <c r="A245" s="37">
        <v>-116</v>
      </c>
      <c r="B245" s="51">
        <v>-216.35092553839627</v>
      </c>
      <c r="C245" s="51">
        <v>142.69460893589107</v>
      </c>
      <c r="D245" s="50">
        <f t="shared" si="36"/>
        <v>146.59308664282344</v>
      </c>
    </row>
    <row r="246" spans="1:4" x14ac:dyDescent="0.25">
      <c r="A246" s="38">
        <v>-117</v>
      </c>
      <c r="B246" s="51">
        <v>-222.43320803033558</v>
      </c>
      <c r="C246" s="51">
        <v>139.81826798487245</v>
      </c>
      <c r="D246" s="50">
        <f t="shared" si="36"/>
        <v>147.84713089249098</v>
      </c>
    </row>
    <row r="247" spans="1:4" x14ac:dyDescent="0.25">
      <c r="A247" s="38">
        <v>-118</v>
      </c>
      <c r="B247" s="51">
        <v>-228.33451279222328</v>
      </c>
      <c r="C247" s="51">
        <v>137.03565516581307</v>
      </c>
      <c r="D247" s="50">
        <f t="shared" si="36"/>
        <v>149.02979585684395</v>
      </c>
    </row>
    <row r="248" spans="1:4" x14ac:dyDescent="0.25">
      <c r="A248" s="37">
        <v>-119</v>
      </c>
      <c r="B248" s="51">
        <v>-234.08220857923325</v>
      </c>
      <c r="C248" s="51">
        <v>134.33410590351477</v>
      </c>
      <c r="D248" s="50">
        <f t="shared" si="36"/>
        <v>150.14953056347568</v>
      </c>
    </row>
    <row r="249" spans="1:4" x14ac:dyDescent="0.25">
      <c r="A249" s="37">
        <v>-120</v>
      </c>
      <c r="B249" s="51">
        <v>-239.69826270545468</v>
      </c>
      <c r="C249" s="51">
        <v>131.7030546783887</v>
      </c>
      <c r="D249" s="50">
        <f t="shared" si="36"/>
        <v>151.21325086652359</v>
      </c>
    </row>
    <row r="250" spans="1:4" x14ac:dyDescent="0.25">
      <c r="A250" s="38">
        <v>-121</v>
      </c>
      <c r="B250" s="51">
        <v>-245.20279610295901</v>
      </c>
      <c r="C250" s="51">
        <v>129.13263446263934</v>
      </c>
      <c r="D250" s="50">
        <f t="shared" si="36"/>
        <v>152.22709165192521</v>
      </c>
    </row>
    <row r="251" spans="1:4" x14ac:dyDescent="0.25">
      <c r="A251" s="38">
        <v>-122</v>
      </c>
      <c r="B251" s="51">
        <v>-250.61536201658623</v>
      </c>
      <c r="C251" s="51">
        <v>126.61329549500249</v>
      </c>
      <c r="D251" s="50">
        <f t="shared" si="36"/>
        <v>153.19665470491105</v>
      </c>
    </row>
    <row r="252" spans="1:4" x14ac:dyDescent="0.25">
      <c r="A252" s="37">
        <v>-123</v>
      </c>
      <c r="B252" s="51">
        <v>-255.95173661970071</v>
      </c>
      <c r="C252" s="51">
        <v>124.13690628875796</v>
      </c>
      <c r="D252" s="50">
        <f t="shared" si="36"/>
        <v>154.12655786393165</v>
      </c>
    </row>
    <row r="253" spans="1:4" x14ac:dyDescent="0.25">
      <c r="A253" s="37">
        <v>-124</v>
      </c>
      <c r="B253" s="51">
        <v>-261.22698538431263</v>
      </c>
      <c r="C253" s="51">
        <v>121.69565586708029</v>
      </c>
      <c r="D253" s="50">
        <f t="shared" si="36"/>
        <v>155.02098993652226</v>
      </c>
    </row>
    <row r="254" spans="1:4" x14ac:dyDescent="0.25">
      <c r="A254" s="38">
        <v>-125</v>
      </c>
      <c r="B254" s="51">
        <v>-266.45483425042363</v>
      </c>
      <c r="C254" s="51">
        <v>119.28225393534926</v>
      </c>
      <c r="D254" s="50">
        <f t="shared" si="36"/>
        <v>155.88365277929381</v>
      </c>
    </row>
    <row r="255" spans="1:4" x14ac:dyDescent="0.25">
      <c r="A255" s="38">
        <v>-126</v>
      </c>
      <c r="B255" s="51">
        <v>-271.64875683680879</v>
      </c>
      <c r="C255" s="51">
        <v>116.88962773462804</v>
      </c>
      <c r="D255" s="50">
        <f t="shared" si="36"/>
        <v>156.71793841213608</v>
      </c>
    </row>
    <row r="256" spans="1:4" x14ac:dyDescent="0.25">
      <c r="A256" s="37">
        <v>-127</v>
      </c>
      <c r="B256" s="51">
        <v>-276.81878127776474</v>
      </c>
      <c r="C256" s="51">
        <v>114.51159729151679</v>
      </c>
      <c r="D256" s="50">
        <f t="shared" si="36"/>
        <v>157.52659297079859</v>
      </c>
    </row>
    <row r="257" spans="1:7" x14ac:dyDescent="0.25">
      <c r="A257" s="37">
        <v>-128</v>
      </c>
      <c r="B257" s="51">
        <v>-281.97844057408167</v>
      </c>
      <c r="C257" s="51">
        <v>112.14130409522814</v>
      </c>
      <c r="D257" s="50">
        <f t="shared" si="36"/>
        <v>158.31255121207462</v>
      </c>
    </row>
    <row r="258" spans="1:7" x14ac:dyDescent="0.25">
      <c r="A258" s="38">
        <v>-129</v>
      </c>
      <c r="B258" s="51">
        <v>-287.13730384442488</v>
      </c>
      <c r="C258" s="51">
        <v>109.77276806273426</v>
      </c>
      <c r="D258" s="50">
        <f t="shared" ref="D258:D321" si="37">IF(DEGREES(ATAN2(B258,C258))&lt;0,DEGREES(ATAN2(B258,C258))+360,DEGREES(ATAN2(B258,C258)))</f>
        <v>159.07811393739846</v>
      </c>
    </row>
    <row r="259" spans="1:7" x14ac:dyDescent="0.25">
      <c r="A259" s="38">
        <v>-130</v>
      </c>
      <c r="B259" s="51">
        <v>-292.30533843631252</v>
      </c>
      <c r="C259" s="51">
        <v>107.39986382028918</v>
      </c>
      <c r="D259" s="50">
        <f t="shared" si="37"/>
        <v>159.82547931830194</v>
      </c>
    </row>
    <row r="260" spans="1:7" x14ac:dyDescent="0.25">
      <c r="A260" s="37">
        <v>-131</v>
      </c>
      <c r="B260" s="51">
        <v>-297.49386237076698</v>
      </c>
      <c r="C260" s="51">
        <v>105.0163265536676</v>
      </c>
      <c r="D260" s="50">
        <f t="shared" si="37"/>
        <v>160.55679813776285</v>
      </c>
    </row>
    <row r="261" spans="1:7" x14ac:dyDescent="0.25">
      <c r="A261" s="37">
        <v>-132</v>
      </c>
      <c r="B261" s="51">
        <v>-302.71228954688752</v>
      </c>
      <c r="C261" s="51">
        <v>102.61605795185378</v>
      </c>
      <c r="D261" s="50">
        <f t="shared" si="37"/>
        <v>161.27391972971094</v>
      </c>
      <c r="F261">
        <v>0</v>
      </c>
      <c r="G261">
        <v>0</v>
      </c>
    </row>
    <row r="262" spans="1:7" x14ac:dyDescent="0.25">
      <c r="A262" s="38">
        <v>-133</v>
      </c>
      <c r="B262" s="51">
        <v>-307.9707561258914</v>
      </c>
      <c r="C262" s="51">
        <v>100.19278607930725</v>
      </c>
      <c r="D262" s="50">
        <f t="shared" si="37"/>
        <v>161.97862773487108</v>
      </c>
      <c r="F262">
        <v>360</v>
      </c>
      <c r="G262">
        <v>-360</v>
      </c>
    </row>
    <row r="263" spans="1:7" x14ac:dyDescent="0.25">
      <c r="A263" s="38">
        <v>-134</v>
      </c>
      <c r="B263" s="51">
        <v>-313.2793774135892</v>
      </c>
      <c r="C263" s="51">
        <v>97.740103538286235</v>
      </c>
      <c r="D263" s="50">
        <f t="shared" si="37"/>
        <v>162.67258859245945</v>
      </c>
    </row>
    <row r="264" spans="1:7" x14ac:dyDescent="0.25">
      <c r="A264" s="37">
        <v>-135</v>
      </c>
      <c r="B264" s="51">
        <v>-318.64747058703921</v>
      </c>
      <c r="C264" s="51">
        <v>95.251313513603947</v>
      </c>
      <c r="D264" s="50">
        <f t="shared" si="37"/>
        <v>163.35734276920357</v>
      </c>
    </row>
    <row r="265" spans="1:7" x14ac:dyDescent="0.25">
      <c r="A265" s="37">
        <v>-136</v>
      </c>
      <c r="B265" s="51">
        <v>-323.97681876572256</v>
      </c>
      <c r="C265" s="51">
        <v>92.721754310268878</v>
      </c>
      <c r="D265" s="50">
        <f t="shared" si="37"/>
        <v>164.0289455723431</v>
      </c>
    </row>
    <row r="266" spans="1:7" x14ac:dyDescent="0.25">
      <c r="A266" s="38">
        <v>-137</v>
      </c>
      <c r="B266" s="51">
        <v>-328.74938863274758</v>
      </c>
      <c r="C266" s="51">
        <v>90.160067725628679</v>
      </c>
      <c r="D266" s="50">
        <f t="shared" si="37"/>
        <v>164.66361816985926</v>
      </c>
    </row>
    <row r="267" spans="1:7" x14ac:dyDescent="0.25">
      <c r="A267" s="38">
        <v>-138</v>
      </c>
      <c r="B267" s="51">
        <v>-333.58678732948658</v>
      </c>
      <c r="C267" s="51">
        <v>87.550560001795844</v>
      </c>
      <c r="D267" s="50">
        <f t="shared" si="37"/>
        <v>165.29426253177158</v>
      </c>
    </row>
    <row r="268" spans="1:7" x14ac:dyDescent="0.25">
      <c r="A268" s="37">
        <v>-139</v>
      </c>
      <c r="B268" s="51">
        <v>-338.49920846079698</v>
      </c>
      <c r="C268" s="51">
        <v>84.885963552934925</v>
      </c>
      <c r="D268" s="50">
        <f t="shared" si="37"/>
        <v>165.92215913289172</v>
      </c>
    </row>
    <row r="269" spans="1:7" x14ac:dyDescent="0.25">
      <c r="A269" s="37">
        <v>-140</v>
      </c>
      <c r="B269" s="51">
        <v>-343.49730411719872</v>
      </c>
      <c r="C269" s="51">
        <v>82.158471339268047</v>
      </c>
      <c r="D269" s="50">
        <f t="shared" si="37"/>
        <v>166.54857467694799</v>
      </c>
    </row>
    <row r="270" spans="1:7" x14ac:dyDescent="0.25">
      <c r="A270" s="38">
        <v>-141</v>
      </c>
      <c r="B270" s="51">
        <v>-348.53941787824044</v>
      </c>
      <c r="C270" s="51">
        <v>79.394762111916407</v>
      </c>
      <c r="D270" s="50">
        <f t="shared" si="37"/>
        <v>167.16740392206978</v>
      </c>
    </row>
    <row r="271" spans="1:7" x14ac:dyDescent="0.25">
      <c r="A271" s="38">
        <v>-142</v>
      </c>
      <c r="B271" s="51">
        <v>-353.53130856547261</v>
      </c>
      <c r="C271" s="51">
        <v>76.657827288361119</v>
      </c>
      <c r="D271" s="50">
        <f t="shared" si="37"/>
        <v>167.76568606550671</v>
      </c>
    </row>
    <row r="272" spans="1:7" x14ac:dyDescent="0.25">
      <c r="A272" s="37">
        <v>-143</v>
      </c>
      <c r="B272" s="51">
        <v>-358.47872168389017</v>
      </c>
      <c r="C272" s="51">
        <v>73.946552912345709</v>
      </c>
      <c r="D272" s="50">
        <f t="shared" si="37"/>
        <v>168.34457780358477</v>
      </c>
    </row>
    <row r="273" spans="1:4" x14ac:dyDescent="0.25">
      <c r="A273" s="37">
        <v>-144</v>
      </c>
      <c r="B273" s="51">
        <v>-360.95990568590764</v>
      </c>
      <c r="C273" s="51">
        <v>72.503759058418879</v>
      </c>
      <c r="D273" s="50">
        <f t="shared" si="37"/>
        <v>168.64248982490872</v>
      </c>
    </row>
    <row r="274" spans="1:4" x14ac:dyDescent="0.25">
      <c r="A274" s="38">
        <v>-145</v>
      </c>
      <c r="B274" s="51">
        <v>-365.79056624736944</v>
      </c>
      <c r="C274" s="51">
        <v>69.851536474397363</v>
      </c>
      <c r="D274" s="50">
        <f t="shared" si="37"/>
        <v>169.188929098291</v>
      </c>
    </row>
    <row r="275" spans="1:4" x14ac:dyDescent="0.25">
      <c r="A275" s="38">
        <v>-146</v>
      </c>
      <c r="B275" s="51">
        <v>-370.60073165940065</v>
      </c>
      <c r="C275" s="51">
        <v>67.214898132699062</v>
      </c>
      <c r="D275" s="50">
        <f t="shared" si="37"/>
        <v>169.72015586957264</v>
      </c>
    </row>
    <row r="276" spans="1:4" x14ac:dyDescent="0.25">
      <c r="A276" s="37">
        <v>-147</v>
      </c>
      <c r="B276" s="51">
        <v>-375.3979681854949</v>
      </c>
      <c r="C276" s="51">
        <v>64.590567375974317</v>
      </c>
      <c r="D276" s="50">
        <f t="shared" si="37"/>
        <v>170.23734013644506</v>
      </c>
    </row>
    <row r="277" spans="1:4" x14ac:dyDescent="0.25">
      <c r="A277" s="37">
        <v>-148</v>
      </c>
      <c r="B277" s="51">
        <v>-380.18948363693977</v>
      </c>
      <c r="C277" s="51">
        <v>61.97538363153398</v>
      </c>
      <c r="D277" s="50">
        <f t="shared" si="37"/>
        <v>170.74154481105435</v>
      </c>
    </row>
    <row r="278" spans="1:4" x14ac:dyDescent="0.25">
      <c r="A278" s="38">
        <v>-149</v>
      </c>
      <c r="B278" s="51">
        <v>-384.98217540163841</v>
      </c>
      <c r="C278" s="51">
        <v>59.366287285671646</v>
      </c>
      <c r="D278" s="50">
        <f t="shared" si="37"/>
        <v>171.23373770995815</v>
      </c>
    </row>
    <row r="279" spans="1:4" x14ac:dyDescent="0.25">
      <c r="A279" s="38">
        <v>-150</v>
      </c>
      <c r="B279" s="51">
        <v>-389.03251512451988</v>
      </c>
      <c r="C279" s="51">
        <v>57.226253391578688</v>
      </c>
      <c r="D279" s="50">
        <f t="shared" si="37"/>
        <v>171.63186652118861</v>
      </c>
    </row>
    <row r="280" spans="1:4" x14ac:dyDescent="0.25">
      <c r="A280" s="37">
        <v>-151</v>
      </c>
      <c r="B280" s="51">
        <v>-392.2602010206582</v>
      </c>
      <c r="C280" s="51">
        <v>55.618779318862615</v>
      </c>
      <c r="D280" s="50">
        <f t="shared" si="37"/>
        <v>171.92979709064795</v>
      </c>
    </row>
    <row r="281" spans="1:4" x14ac:dyDescent="0.25">
      <c r="A281" s="37">
        <v>-152</v>
      </c>
      <c r="B281" s="51">
        <v>-395.51079323355083</v>
      </c>
      <c r="C281" s="51">
        <v>54.0244705785083</v>
      </c>
      <c r="D281" s="50">
        <f t="shared" si="37"/>
        <v>172.22186661666407</v>
      </c>
    </row>
    <row r="282" spans="1:4" x14ac:dyDescent="0.25">
      <c r="A282" s="38">
        <v>-153</v>
      </c>
      <c r="B282" s="51">
        <v>-398.79168443487168</v>
      </c>
      <c r="C282" s="51">
        <v>52.441179149661764</v>
      </c>
      <c r="D282" s="50">
        <f t="shared" si="37"/>
        <v>172.50857851661974</v>
      </c>
    </row>
    <row r="283" spans="1:4" x14ac:dyDescent="0.25">
      <c r="A283" s="38">
        <v>-154</v>
      </c>
      <c r="B283" s="51">
        <v>-402.11014628393957</v>
      </c>
      <c r="C283" s="51">
        <v>50.867346880589857</v>
      </c>
      <c r="D283" s="50">
        <f t="shared" si="37"/>
        <v>172.79031989988994</v>
      </c>
    </row>
    <row r="284" spans="1:4" x14ac:dyDescent="0.25">
      <c r="A284" s="37">
        <v>-155</v>
      </c>
      <c r="B284" s="51">
        <v>-405.4746929240539</v>
      </c>
      <c r="C284" s="51">
        <v>49.300085810820114</v>
      </c>
      <c r="D284" s="50">
        <f t="shared" si="37"/>
        <v>173.06765678470342</v>
      </c>
    </row>
    <row r="285" spans="1:4" x14ac:dyDescent="0.25">
      <c r="A285" s="37">
        <v>-156</v>
      </c>
      <c r="B285" s="51">
        <v>-408.89408212252835</v>
      </c>
      <c r="C285" s="51">
        <v>47.736464541829619</v>
      </c>
      <c r="D285" s="50">
        <f t="shared" si="37"/>
        <v>173.34112982366943</v>
      </c>
    </row>
    <row r="286" spans="1:4" x14ac:dyDescent="0.25">
      <c r="A286" s="38">
        <v>-157</v>
      </c>
      <c r="B286" s="51">
        <v>-412.37684170736316</v>
      </c>
      <c r="C286" s="51">
        <v>46.17469291463258</v>
      </c>
      <c r="D286" s="50">
        <f t="shared" si="37"/>
        <v>173.61108454227269</v>
      </c>
    </row>
    <row r="287" spans="1:4" x14ac:dyDescent="0.25">
      <c r="A287" s="38">
        <v>-158</v>
      </c>
      <c r="B287" s="51">
        <v>-415.9324771187438</v>
      </c>
      <c r="C287" s="51">
        <v>44.612230617705805</v>
      </c>
      <c r="D287" s="50">
        <f t="shared" si="37"/>
        <v>173.87795444201097</v>
      </c>
    </row>
    <row r="288" spans="1:4" x14ac:dyDescent="0.25">
      <c r="A288" s="37">
        <v>-159</v>
      </c>
      <c r="B288" s="51">
        <v>-419.57132768784732</v>
      </c>
      <c r="C288" s="51">
        <v>43.045805381122108</v>
      </c>
      <c r="D288" s="50">
        <f t="shared" si="37"/>
        <v>174.14225009422896</v>
      </c>
    </row>
    <row r="289" spans="1:4" x14ac:dyDescent="0.25">
      <c r="A289" s="37">
        <v>-160</v>
      </c>
      <c r="B289" s="51">
        <v>-423.30405571162089</v>
      </c>
      <c r="C289" s="51">
        <v>41.473153826076242</v>
      </c>
      <c r="D289" s="50">
        <f t="shared" si="37"/>
        <v>174.40431312891022</v>
      </c>
    </row>
    <row r="290" spans="1:4" x14ac:dyDescent="0.25">
      <c r="A290" s="38">
        <v>-161</v>
      </c>
      <c r="B290" s="51">
        <v>-427.14246975114276</v>
      </c>
      <c r="C290" s="51">
        <v>39.891199307526612</v>
      </c>
      <c r="D290" s="50">
        <f t="shared" si="37"/>
        <v>174.66457400154027</v>
      </c>
    </row>
    <row r="291" spans="1:4" x14ac:dyDescent="0.25">
      <c r="A291" s="38">
        <v>-162</v>
      </c>
      <c r="B291" s="51">
        <v>-431.09939046998142</v>
      </c>
      <c r="C291" s="51">
        <v>38.296063292195427</v>
      </c>
      <c r="D291" s="50">
        <f t="shared" si="37"/>
        <v>174.92354140821377</v>
      </c>
    </row>
    <row r="292" spans="1:4" x14ac:dyDescent="0.25">
      <c r="A292" s="37">
        <v>-163</v>
      </c>
      <c r="B292" s="51">
        <v>-435.18871600921636</v>
      </c>
      <c r="C292" s="51">
        <v>36.685243288289662</v>
      </c>
      <c r="D292" s="50">
        <f t="shared" si="37"/>
        <v>175.18151113791185</v>
      </c>
    </row>
    <row r="293" spans="1:4" x14ac:dyDescent="0.25">
      <c r="A293" s="37">
        <v>-164</v>
      </c>
      <c r="B293" s="51">
        <v>-439.42579747290239</v>
      </c>
      <c r="C293" s="51">
        <v>35.054212576818664</v>
      </c>
      <c r="D293" s="50">
        <f t="shared" si="37"/>
        <v>175.43901556416432</v>
      </c>
    </row>
    <row r="294" spans="1:4" x14ac:dyDescent="0.25">
      <c r="A294" s="38">
        <v>-165</v>
      </c>
      <c r="B294" s="51">
        <v>-443.82780703229321</v>
      </c>
      <c r="C294" s="51">
        <v>33.399636295653465</v>
      </c>
      <c r="D294" s="50">
        <f t="shared" si="37"/>
        <v>175.69639851913738</v>
      </c>
    </row>
    <row r="295" spans="1:4" x14ac:dyDescent="0.25">
      <c r="A295" s="38">
        <v>-166</v>
      </c>
      <c r="B295" s="51">
        <v>-448.41319788484947</v>
      </c>
      <c r="C295" s="51">
        <v>31.715585289888029</v>
      </c>
      <c r="D295" s="50">
        <f t="shared" si="37"/>
        <v>175.95429369078741</v>
      </c>
    </row>
    <row r="296" spans="1:4" x14ac:dyDescent="0.25">
      <c r="A296" s="37">
        <v>-167</v>
      </c>
      <c r="B296" s="51">
        <v>-453.20319703354909</v>
      </c>
      <c r="C296" s="51">
        <v>29.997628881911183</v>
      </c>
      <c r="D296" s="50">
        <f t="shared" si="37"/>
        <v>176.21310241293932</v>
      </c>
    </row>
    <row r="297" spans="1:4" x14ac:dyDescent="0.25">
      <c r="A297" s="37">
        <v>-168</v>
      </c>
      <c r="B297" s="51">
        <v>-455.8663508598566</v>
      </c>
      <c r="C297" s="51">
        <v>28.020302089807611</v>
      </c>
      <c r="D297" s="50">
        <f t="shared" si="37"/>
        <v>176.4826800930891</v>
      </c>
    </row>
    <row r="298" spans="1:4" x14ac:dyDescent="0.25">
      <c r="A298" s="38">
        <v>-169</v>
      </c>
      <c r="B298" s="51">
        <v>-456.46162218252692</v>
      </c>
      <c r="C298" s="51">
        <v>25.827271615412329</v>
      </c>
      <c r="D298" s="50">
        <f t="shared" si="37"/>
        <v>176.76157327101726</v>
      </c>
    </row>
    <row r="299" spans="1:4" x14ac:dyDescent="0.25">
      <c r="A299" s="38">
        <v>-170</v>
      </c>
      <c r="B299" s="51">
        <v>-457.02307965705683</v>
      </c>
      <c r="C299" s="51">
        <v>23.621334499490519</v>
      </c>
      <c r="D299" s="50">
        <f t="shared" si="37"/>
        <v>177.04128824358634</v>
      </c>
    </row>
    <row r="300" spans="1:4" x14ac:dyDescent="0.25">
      <c r="A300" s="37">
        <v>-171</v>
      </c>
      <c r="B300" s="51">
        <v>-457.56251870772178</v>
      </c>
      <c r="C300" s="51">
        <v>21.399043009293063</v>
      </c>
      <c r="D300" s="50">
        <f t="shared" si="37"/>
        <v>177.32237217366526</v>
      </c>
    </row>
    <row r="301" spans="1:4" x14ac:dyDescent="0.25">
      <c r="A301" s="37">
        <v>-172</v>
      </c>
      <c r="B301" s="51">
        <v>-458.08256854431153</v>
      </c>
      <c r="C301" s="51">
        <v>19.157023971106526</v>
      </c>
      <c r="D301" s="50">
        <f t="shared" si="37"/>
        <v>177.605284530891</v>
      </c>
    </row>
    <row r="302" spans="1:4" x14ac:dyDescent="0.25">
      <c r="A302" s="38">
        <v>-173</v>
      </c>
      <c r="B302" s="51">
        <v>-458.57205433499973</v>
      </c>
      <c r="C302" s="51">
        <v>16.891957676325241</v>
      </c>
      <c r="D302" s="50">
        <f t="shared" si="37"/>
        <v>177.89040679767237</v>
      </c>
    </row>
    <row r="303" spans="1:4" x14ac:dyDescent="0.25">
      <c r="A303" s="38">
        <v>-174</v>
      </c>
      <c r="B303" s="51">
        <v>-459.0440798895404</v>
      </c>
      <c r="C303" s="51">
        <v>14.599641895385638</v>
      </c>
      <c r="D303" s="50">
        <f t="shared" si="37"/>
        <v>178.17835361531598</v>
      </c>
    </row>
    <row r="304" spans="1:4" x14ac:dyDescent="0.25">
      <c r="A304" s="37">
        <v>-175</v>
      </c>
      <c r="B304" s="51">
        <v>-459.48858189986885</v>
      </c>
      <c r="C304" s="51">
        <v>12.276008224291687</v>
      </c>
      <c r="D304" s="50">
        <f t="shared" si="37"/>
        <v>178.4696111922465</v>
      </c>
    </row>
    <row r="305" spans="1:4" x14ac:dyDescent="0.25">
      <c r="A305" s="37">
        <v>-176</v>
      </c>
      <c r="B305" s="51">
        <v>-459.91515533598982</v>
      </c>
      <c r="C305" s="51">
        <v>9.9161624248367701</v>
      </c>
      <c r="D305" s="50">
        <f t="shared" si="37"/>
        <v>178.76484557093679</v>
      </c>
    </row>
    <row r="306" spans="1:4" x14ac:dyDescent="0.25">
      <c r="A306" s="38">
        <v>-177</v>
      </c>
      <c r="B306" s="51">
        <v>-460.32466667366583</v>
      </c>
      <c r="C306" s="51">
        <v>7.5148790570000461</v>
      </c>
      <c r="D306" s="50">
        <f t="shared" si="37"/>
        <v>179.0647196638638</v>
      </c>
    </row>
    <row r="307" spans="1:4" x14ac:dyDescent="0.25">
      <c r="A307" s="38">
        <v>-178</v>
      </c>
      <c r="B307" s="51">
        <v>-460.70937493491596</v>
      </c>
      <c r="C307" s="51">
        <v>5.0663758435441073</v>
      </c>
      <c r="D307" s="50">
        <f t="shared" si="37"/>
        <v>179.3699493249791</v>
      </c>
    </row>
    <row r="308" spans="1:4" x14ac:dyDescent="0.25">
      <c r="A308" s="37">
        <v>-179</v>
      </c>
      <c r="B308" s="51">
        <v>-461.07678133553281</v>
      </c>
      <c r="C308" s="51">
        <v>2.5639318565983054</v>
      </c>
      <c r="D308" s="50">
        <f t="shared" si="37"/>
        <v>179.68139588426908</v>
      </c>
    </row>
    <row r="309" spans="1:4" x14ac:dyDescent="0.25">
      <c r="A309" s="37">
        <v>-180</v>
      </c>
      <c r="B309" s="51">
        <v>-461.42606613619745</v>
      </c>
      <c r="C309" s="51">
        <v>3.095200471076889E-14</v>
      </c>
      <c r="D309" s="50">
        <f t="shared" si="37"/>
        <v>180</v>
      </c>
    </row>
    <row r="310" spans="1:4" x14ac:dyDescent="0.25">
      <c r="A310" s="38">
        <v>-181</v>
      </c>
      <c r="B310" s="51">
        <v>-461.07678133553259</v>
      </c>
      <c r="C310" s="51">
        <v>-2.5639318565982969</v>
      </c>
      <c r="D310" s="50">
        <f t="shared" si="37"/>
        <v>180.31860411573092</v>
      </c>
    </row>
    <row r="311" spans="1:4" x14ac:dyDescent="0.25">
      <c r="A311" s="38">
        <v>-182</v>
      </c>
      <c r="B311" s="51">
        <v>-460.70937493491596</v>
      </c>
      <c r="C311" s="51">
        <v>-5.0663758435440212</v>
      </c>
      <c r="D311" s="50">
        <f t="shared" si="37"/>
        <v>180.6300506750209</v>
      </c>
    </row>
    <row r="312" spans="1:4" x14ac:dyDescent="0.25">
      <c r="A312" s="37">
        <v>-183</v>
      </c>
      <c r="B312" s="51">
        <v>-460.324666673666</v>
      </c>
      <c r="C312" s="51">
        <v>-7.5148790569999946</v>
      </c>
      <c r="D312" s="50">
        <f t="shared" si="37"/>
        <v>180.9352803361362</v>
      </c>
    </row>
    <row r="313" spans="1:4" x14ac:dyDescent="0.25">
      <c r="A313" s="37">
        <v>-184</v>
      </c>
      <c r="B313" s="51">
        <v>-459.91515533598999</v>
      </c>
      <c r="C313" s="51">
        <v>-9.9161624248366813</v>
      </c>
      <c r="D313" s="50">
        <f t="shared" si="37"/>
        <v>181.23515442906321</v>
      </c>
    </row>
    <row r="314" spans="1:4" x14ac:dyDescent="0.25">
      <c r="A314" s="38">
        <v>-185</v>
      </c>
      <c r="B314" s="51">
        <v>-459.4885818998689</v>
      </c>
      <c r="C314" s="51">
        <v>-12.276008224291653</v>
      </c>
      <c r="D314" s="50">
        <f t="shared" si="37"/>
        <v>181.5303888077535</v>
      </c>
    </row>
    <row r="315" spans="1:4" x14ac:dyDescent="0.25">
      <c r="A315" s="38">
        <v>-186</v>
      </c>
      <c r="B315" s="51">
        <v>-459.0440798895404</v>
      </c>
      <c r="C315" s="51">
        <v>-14.599641895385618</v>
      </c>
      <c r="D315" s="50">
        <f t="shared" si="37"/>
        <v>181.82164638468402</v>
      </c>
    </row>
    <row r="316" spans="1:4" x14ac:dyDescent="0.25">
      <c r="A316" s="37">
        <v>-187</v>
      </c>
      <c r="B316" s="51">
        <v>-458.57205433500019</v>
      </c>
      <c r="C316" s="51">
        <v>-16.891957676325216</v>
      </c>
      <c r="D316" s="50">
        <f t="shared" si="37"/>
        <v>182.10959320232763</v>
      </c>
    </row>
    <row r="317" spans="1:4" x14ac:dyDescent="0.25">
      <c r="A317" s="37">
        <v>-188</v>
      </c>
      <c r="B317" s="51">
        <v>-458.08256854431141</v>
      </c>
      <c r="C317" s="51">
        <v>-19.157023971106501</v>
      </c>
      <c r="D317" s="50">
        <f t="shared" si="37"/>
        <v>182.394715469109</v>
      </c>
    </row>
    <row r="318" spans="1:4" x14ac:dyDescent="0.25">
      <c r="A318" s="38">
        <v>-189</v>
      </c>
      <c r="B318" s="51">
        <v>-457.56251870772195</v>
      </c>
      <c r="C318" s="51">
        <v>-21.399043009293017</v>
      </c>
      <c r="D318" s="50">
        <f t="shared" si="37"/>
        <v>182.67762782633474</v>
      </c>
    </row>
    <row r="319" spans="1:4" x14ac:dyDescent="0.25">
      <c r="A319" s="38">
        <v>-190</v>
      </c>
      <c r="B319" s="51">
        <v>-457.02307965705683</v>
      </c>
      <c r="C319" s="51">
        <v>-23.621334499490587</v>
      </c>
      <c r="D319" s="50">
        <f t="shared" si="37"/>
        <v>182.95871175641369</v>
      </c>
    </row>
    <row r="320" spans="1:4" x14ac:dyDescent="0.25">
      <c r="A320" s="37">
        <v>-191</v>
      </c>
      <c r="B320" s="51">
        <v>-456.46162218252692</v>
      </c>
      <c r="C320" s="51">
        <v>-25.827271615412329</v>
      </c>
      <c r="D320" s="50">
        <f t="shared" si="37"/>
        <v>183.23842672898274</v>
      </c>
    </row>
    <row r="321" spans="1:4" x14ac:dyDescent="0.25">
      <c r="A321" s="37">
        <v>-192</v>
      </c>
      <c r="B321" s="51">
        <v>-455.86635085985648</v>
      </c>
      <c r="C321" s="51">
        <v>-28.020302089807601</v>
      </c>
      <c r="D321" s="50">
        <f t="shared" si="37"/>
        <v>183.5173199069109</v>
      </c>
    </row>
    <row r="322" spans="1:4" x14ac:dyDescent="0.25">
      <c r="A322" s="38">
        <v>-193</v>
      </c>
      <c r="B322" s="51">
        <v>-453.20319703354926</v>
      </c>
      <c r="C322" s="51">
        <v>-29.997628881911165</v>
      </c>
      <c r="D322" s="50">
        <f t="shared" ref="D322:D385" si="38">IF(DEGREES(ATAN2(B322,C322))&lt;0,DEGREES(ATAN2(B322,C322))+360,DEGREES(ATAN2(B322,C322)))</f>
        <v>183.78689758706068</v>
      </c>
    </row>
    <row r="323" spans="1:4" x14ac:dyDescent="0.25">
      <c r="A323" s="38">
        <v>-194</v>
      </c>
      <c r="B323" s="51">
        <v>-448.41319788484935</v>
      </c>
      <c r="C323" s="51">
        <v>-31.715585289887951</v>
      </c>
      <c r="D323" s="50">
        <f t="shared" si="38"/>
        <v>184.04570630921259</v>
      </c>
    </row>
    <row r="324" spans="1:4" x14ac:dyDescent="0.25">
      <c r="A324" s="37">
        <v>-195</v>
      </c>
      <c r="B324" s="51">
        <v>-443.82780703229344</v>
      </c>
      <c r="C324" s="51">
        <v>-33.399636295653437</v>
      </c>
      <c r="D324" s="50">
        <f t="shared" si="38"/>
        <v>184.3036014808626</v>
      </c>
    </row>
    <row r="325" spans="1:4" x14ac:dyDescent="0.25">
      <c r="A325" s="37">
        <v>-196</v>
      </c>
      <c r="B325" s="51">
        <v>-439.42579747290239</v>
      </c>
      <c r="C325" s="51">
        <v>-35.054212576818713</v>
      </c>
      <c r="D325" s="50">
        <f t="shared" si="38"/>
        <v>184.56098443583568</v>
      </c>
    </row>
    <row r="326" spans="1:4" x14ac:dyDescent="0.25">
      <c r="A326" s="38">
        <v>-197</v>
      </c>
      <c r="B326" s="51">
        <v>-435.18871600921625</v>
      </c>
      <c r="C326" s="51">
        <v>-36.685243288289676</v>
      </c>
      <c r="D326" s="50">
        <f t="shared" si="38"/>
        <v>184.81848886208815</v>
      </c>
    </row>
    <row r="327" spans="1:4" x14ac:dyDescent="0.25">
      <c r="A327" s="38">
        <v>-198</v>
      </c>
      <c r="B327" s="51">
        <v>-431.09939046998159</v>
      </c>
      <c r="C327" s="51">
        <v>-38.296063292195463</v>
      </c>
      <c r="D327" s="50">
        <f t="shared" si="38"/>
        <v>185.07645859178623</v>
      </c>
    </row>
    <row r="328" spans="1:4" x14ac:dyDescent="0.25">
      <c r="A328" s="37">
        <v>-199</v>
      </c>
      <c r="B328" s="51">
        <v>-427.1424697511427</v>
      </c>
      <c r="C328" s="51">
        <v>-39.891199307526641</v>
      </c>
      <c r="D328" s="50">
        <f t="shared" si="38"/>
        <v>185.33542599845973</v>
      </c>
    </row>
    <row r="329" spans="1:4" x14ac:dyDescent="0.25">
      <c r="A329" s="37">
        <v>-200</v>
      </c>
      <c r="B329" s="51">
        <v>-423.30405571162106</v>
      </c>
      <c r="C329" s="51">
        <v>-41.473153826076242</v>
      </c>
      <c r="D329" s="50">
        <f t="shared" si="38"/>
        <v>185.59568687108978</v>
      </c>
    </row>
    <row r="330" spans="1:4" x14ac:dyDescent="0.25">
      <c r="A330" s="38">
        <v>-201</v>
      </c>
      <c r="B330" s="51">
        <v>-419.57132768784737</v>
      </c>
      <c r="C330" s="51">
        <v>-43.04580538112215</v>
      </c>
      <c r="D330" s="50">
        <f t="shared" si="38"/>
        <v>185.85774990577104</v>
      </c>
    </row>
    <row r="331" spans="1:4" x14ac:dyDescent="0.25">
      <c r="A331" s="38">
        <v>-202</v>
      </c>
      <c r="B331" s="51">
        <v>-415.93247711874386</v>
      </c>
      <c r="C331" s="51">
        <v>-44.612230617705805</v>
      </c>
      <c r="D331" s="50">
        <f t="shared" si="38"/>
        <v>186.12204555798903</v>
      </c>
    </row>
    <row r="332" spans="1:4" x14ac:dyDescent="0.25">
      <c r="A332" s="37">
        <v>-203</v>
      </c>
      <c r="B332" s="51">
        <v>-412.37684170736304</v>
      </c>
      <c r="C332" s="51">
        <v>-46.174692914632558</v>
      </c>
      <c r="D332" s="50">
        <f t="shared" si="38"/>
        <v>186.38891545772731</v>
      </c>
    </row>
    <row r="333" spans="1:4" x14ac:dyDescent="0.25">
      <c r="A333" s="37">
        <v>-204</v>
      </c>
      <c r="B333" s="51">
        <v>-408.89408212252852</v>
      </c>
      <c r="C333" s="51">
        <v>-47.736464541829626</v>
      </c>
      <c r="D333" s="50">
        <f t="shared" si="38"/>
        <v>186.65887017633057</v>
      </c>
    </row>
    <row r="334" spans="1:4" x14ac:dyDescent="0.25">
      <c r="A334" s="38">
        <v>-205</v>
      </c>
      <c r="B334" s="51">
        <v>-405.47469292405395</v>
      </c>
      <c r="C334" s="51">
        <v>-49.300085810820093</v>
      </c>
      <c r="D334" s="50">
        <f t="shared" si="38"/>
        <v>186.93234321529658</v>
      </c>
    </row>
    <row r="335" spans="1:4" x14ac:dyDescent="0.25">
      <c r="A335" s="38">
        <v>-206</v>
      </c>
      <c r="B335" s="51">
        <v>-402.1101462839394</v>
      </c>
      <c r="C335" s="51">
        <v>-50.867346880589842</v>
      </c>
      <c r="D335" s="50">
        <f t="shared" si="38"/>
        <v>187.20968010011006</v>
      </c>
    </row>
    <row r="336" spans="1:4" x14ac:dyDescent="0.25">
      <c r="A336" s="37">
        <v>-207</v>
      </c>
      <c r="B336" s="51">
        <v>-398.79168443487168</v>
      </c>
      <c r="C336" s="51">
        <v>-52.441179149661814</v>
      </c>
      <c r="D336" s="50">
        <f t="shared" si="38"/>
        <v>187.49142148338026</v>
      </c>
    </row>
    <row r="337" spans="1:4" x14ac:dyDescent="0.25">
      <c r="A337" s="37">
        <v>-208</v>
      </c>
      <c r="B337" s="51">
        <v>-395.51079323355077</v>
      </c>
      <c r="C337" s="51">
        <v>-54.024470578508272</v>
      </c>
      <c r="D337" s="50">
        <f t="shared" si="38"/>
        <v>187.77813338333593</v>
      </c>
    </row>
    <row r="338" spans="1:4" x14ac:dyDescent="0.25">
      <c r="A338" s="38">
        <v>-209</v>
      </c>
      <c r="B338" s="51">
        <v>-392.26020102065843</v>
      </c>
      <c r="C338" s="51">
        <v>-55.618779318862607</v>
      </c>
      <c r="D338" s="50">
        <f t="shared" si="38"/>
        <v>188.07020290935205</v>
      </c>
    </row>
    <row r="339" spans="1:4" x14ac:dyDescent="0.25">
      <c r="A339" s="38">
        <v>-210</v>
      </c>
      <c r="B339" s="51">
        <v>-389.03251512451988</v>
      </c>
      <c r="C339" s="51">
        <v>-57.22625339157873</v>
      </c>
      <c r="D339" s="50">
        <f t="shared" si="38"/>
        <v>188.36813347881142</v>
      </c>
    </row>
    <row r="340" spans="1:4" x14ac:dyDescent="0.25">
      <c r="A340" s="37">
        <v>-211</v>
      </c>
      <c r="B340" s="51">
        <v>-384.98217540163853</v>
      </c>
      <c r="C340" s="51">
        <v>-59.366287285671604</v>
      </c>
      <c r="D340" s="50">
        <f t="shared" si="38"/>
        <v>188.76626229004182</v>
      </c>
    </row>
    <row r="341" spans="1:4" x14ac:dyDescent="0.25">
      <c r="A341" s="37">
        <v>-212</v>
      </c>
      <c r="B341" s="51">
        <v>-380.18948363693977</v>
      </c>
      <c r="C341" s="51">
        <v>-61.975383631533937</v>
      </c>
      <c r="D341" s="50">
        <f t="shared" si="38"/>
        <v>189.25845518894562</v>
      </c>
    </row>
    <row r="342" spans="1:4" x14ac:dyDescent="0.25">
      <c r="A342" s="38">
        <v>-213</v>
      </c>
      <c r="B342" s="51">
        <v>-375.39796818549496</v>
      </c>
      <c r="C342" s="51">
        <v>-64.59056737597426</v>
      </c>
      <c r="D342" s="50">
        <f t="shared" si="38"/>
        <v>189.76265986355492</v>
      </c>
    </row>
    <row r="343" spans="1:4" x14ac:dyDescent="0.25">
      <c r="A343" s="38">
        <v>-214</v>
      </c>
      <c r="B343" s="51">
        <v>-370.60073165940082</v>
      </c>
      <c r="C343" s="51">
        <v>-67.214898132698949</v>
      </c>
      <c r="D343" s="50">
        <f t="shared" si="38"/>
        <v>190.27984413042734</v>
      </c>
    </row>
    <row r="344" spans="1:4" x14ac:dyDescent="0.25">
      <c r="A344" s="37">
        <v>-215</v>
      </c>
      <c r="B344" s="51">
        <v>-365.79056624736944</v>
      </c>
      <c r="C344" s="51">
        <v>-69.851536474397435</v>
      </c>
      <c r="D344" s="50">
        <f t="shared" si="38"/>
        <v>190.81107090170903</v>
      </c>
    </row>
    <row r="345" spans="1:4" x14ac:dyDescent="0.25">
      <c r="A345" s="37">
        <v>-216</v>
      </c>
      <c r="B345" s="51">
        <v>-360.95990568590781</v>
      </c>
      <c r="C345" s="51">
        <v>-72.503759058418865</v>
      </c>
      <c r="D345" s="50">
        <f t="shared" si="38"/>
        <v>191.35751017509128</v>
      </c>
    </row>
    <row r="346" spans="1:4" x14ac:dyDescent="0.25">
      <c r="A346" s="38">
        <v>-217</v>
      </c>
      <c r="B346" s="51">
        <v>-358.47872168389023</v>
      </c>
      <c r="C346" s="51">
        <v>-73.946552912345794</v>
      </c>
      <c r="D346" s="50">
        <f t="shared" si="38"/>
        <v>191.65542219641523</v>
      </c>
    </row>
    <row r="347" spans="1:4" x14ac:dyDescent="0.25">
      <c r="A347" s="38">
        <v>-218</v>
      </c>
      <c r="B347" s="51">
        <v>-353.53130856547267</v>
      </c>
      <c r="C347" s="51">
        <v>-76.657827288361105</v>
      </c>
      <c r="D347" s="50">
        <f t="shared" si="38"/>
        <v>192.23431393449329</v>
      </c>
    </row>
    <row r="348" spans="1:4" x14ac:dyDescent="0.25">
      <c r="A348" s="37">
        <v>-219</v>
      </c>
      <c r="B348" s="51">
        <v>-348.53941787824044</v>
      </c>
      <c r="C348" s="51">
        <v>-79.394762111916492</v>
      </c>
      <c r="D348" s="50">
        <f t="shared" si="38"/>
        <v>192.83259607793022</v>
      </c>
    </row>
    <row r="349" spans="1:4" x14ac:dyDescent="0.25">
      <c r="A349" s="37">
        <v>-220</v>
      </c>
      <c r="B349" s="51">
        <v>-343.49730411719884</v>
      </c>
      <c r="C349" s="51">
        <v>-82.158471339267976</v>
      </c>
      <c r="D349" s="50">
        <f t="shared" si="38"/>
        <v>193.45142532305201</v>
      </c>
    </row>
    <row r="350" spans="1:4" x14ac:dyDescent="0.25">
      <c r="A350" s="38">
        <v>-221</v>
      </c>
      <c r="B350" s="51">
        <v>-338.49920846079698</v>
      </c>
      <c r="C350" s="51">
        <v>-84.885963552934911</v>
      </c>
      <c r="D350" s="50">
        <f t="shared" si="38"/>
        <v>194.07784086710828</v>
      </c>
    </row>
    <row r="351" spans="1:4" x14ac:dyDescent="0.25">
      <c r="A351" s="38">
        <v>-222</v>
      </c>
      <c r="B351" s="51">
        <v>-333.58678732948675</v>
      </c>
      <c r="C351" s="51">
        <v>-87.55056000179583</v>
      </c>
      <c r="D351" s="50">
        <f t="shared" si="38"/>
        <v>194.70573746822842</v>
      </c>
    </row>
    <row r="352" spans="1:4" x14ac:dyDescent="0.25">
      <c r="A352" s="37">
        <v>-223</v>
      </c>
      <c r="B352" s="51">
        <v>-328.74938863274764</v>
      </c>
      <c r="C352" s="51">
        <v>-90.16006772562865</v>
      </c>
      <c r="D352" s="50">
        <f t="shared" si="38"/>
        <v>195.33638183014074</v>
      </c>
    </row>
    <row r="353" spans="1:4" x14ac:dyDescent="0.25">
      <c r="A353" s="37">
        <v>-224</v>
      </c>
      <c r="B353" s="51">
        <v>-323.97681876572244</v>
      </c>
      <c r="C353" s="51">
        <v>-92.721754310268921</v>
      </c>
      <c r="D353" s="50">
        <f t="shared" si="38"/>
        <v>195.9710544276569</v>
      </c>
    </row>
    <row r="354" spans="1:4" x14ac:dyDescent="0.25">
      <c r="A354" s="38">
        <v>-225</v>
      </c>
      <c r="B354" s="51">
        <v>-318.64747058703927</v>
      </c>
      <c r="C354" s="51">
        <v>-95.251313513603947</v>
      </c>
      <c r="D354" s="50">
        <f t="shared" si="38"/>
        <v>196.64265723079643</v>
      </c>
    </row>
    <row r="355" spans="1:4" x14ac:dyDescent="0.25">
      <c r="A355" s="38">
        <v>-226</v>
      </c>
      <c r="B355" s="51">
        <v>-313.27937741358915</v>
      </c>
      <c r="C355" s="51">
        <v>-97.740103538286249</v>
      </c>
      <c r="D355" s="50">
        <f t="shared" si="38"/>
        <v>197.32741140754058</v>
      </c>
    </row>
    <row r="356" spans="1:4" x14ac:dyDescent="0.25">
      <c r="A356" s="37">
        <v>-227</v>
      </c>
      <c r="B356" s="51">
        <v>-307.9707561258914</v>
      </c>
      <c r="C356" s="51">
        <v>-100.19278607930717</v>
      </c>
      <c r="D356" s="50">
        <f t="shared" si="38"/>
        <v>198.02137226512892</v>
      </c>
    </row>
    <row r="357" spans="1:4" x14ac:dyDescent="0.25">
      <c r="A357" s="37">
        <v>-228</v>
      </c>
      <c r="B357" s="51">
        <v>-302.71228954688752</v>
      </c>
      <c r="C357" s="51">
        <v>-102.61605795185379</v>
      </c>
      <c r="D357" s="50">
        <f t="shared" si="38"/>
        <v>198.72608027028906</v>
      </c>
    </row>
    <row r="358" spans="1:4" x14ac:dyDescent="0.25">
      <c r="A358" s="38">
        <v>-229</v>
      </c>
      <c r="B358" s="51">
        <v>-297.49386237076686</v>
      </c>
      <c r="C358" s="51">
        <v>-105.01632655366753</v>
      </c>
      <c r="D358" s="50">
        <f t="shared" si="38"/>
        <v>199.44320186223712</v>
      </c>
    </row>
    <row r="359" spans="1:4" x14ac:dyDescent="0.25">
      <c r="A359" s="38">
        <v>-230</v>
      </c>
      <c r="B359" s="51">
        <v>-292.30533843631252</v>
      </c>
      <c r="C359" s="51">
        <v>-107.39986382028916</v>
      </c>
      <c r="D359" s="50">
        <f t="shared" si="38"/>
        <v>200.17452068169803</v>
      </c>
    </row>
    <row r="360" spans="1:4" x14ac:dyDescent="0.25">
      <c r="A360" s="37">
        <v>-231</v>
      </c>
      <c r="B360" s="51">
        <v>-287.13730384442511</v>
      </c>
      <c r="C360" s="51">
        <v>-109.77276806273416</v>
      </c>
      <c r="D360" s="50">
        <f t="shared" si="38"/>
        <v>200.92188606260152</v>
      </c>
    </row>
    <row r="361" spans="1:4" x14ac:dyDescent="0.25">
      <c r="A361" s="37">
        <v>-232</v>
      </c>
      <c r="B361" s="51">
        <v>-281.97844057408145</v>
      </c>
      <c r="C361" s="51">
        <v>-112.14130409522811</v>
      </c>
      <c r="D361" s="50">
        <f t="shared" si="38"/>
        <v>201.68744878792538</v>
      </c>
    </row>
    <row r="362" spans="1:4" x14ac:dyDescent="0.25">
      <c r="A362" s="38">
        <v>-233</v>
      </c>
      <c r="B362" s="51">
        <v>-276.81878127776469</v>
      </c>
      <c r="C362" s="51">
        <v>-114.51159729151688</v>
      </c>
      <c r="D362" s="50">
        <f t="shared" si="38"/>
        <v>202.47340702920144</v>
      </c>
    </row>
    <row r="363" spans="1:4" x14ac:dyDescent="0.25">
      <c r="A363" s="38">
        <v>-234</v>
      </c>
      <c r="B363" s="51">
        <v>-271.6487568368089</v>
      </c>
      <c r="C363" s="51">
        <v>-116.88962773462798</v>
      </c>
      <c r="D363" s="50">
        <f t="shared" si="38"/>
        <v>203.28206158786389</v>
      </c>
    </row>
    <row r="364" spans="1:4" x14ac:dyDescent="0.25">
      <c r="A364" s="37">
        <v>-235</v>
      </c>
      <c r="B364" s="51">
        <v>-266.4548342504238</v>
      </c>
      <c r="C364" s="51">
        <v>-119.28225393534923</v>
      </c>
      <c r="D364" s="50">
        <f t="shared" si="38"/>
        <v>204.11634722070616</v>
      </c>
    </row>
    <row r="365" spans="1:4" x14ac:dyDescent="0.25">
      <c r="A365" s="37">
        <v>-236</v>
      </c>
      <c r="B365" s="51">
        <v>-261.22698538431263</v>
      </c>
      <c r="C365" s="51">
        <v>-121.69565586708032</v>
      </c>
      <c r="D365" s="50">
        <f t="shared" si="38"/>
        <v>204.97901006347774</v>
      </c>
    </row>
    <row r="366" spans="1:4" x14ac:dyDescent="0.25">
      <c r="A366" s="38">
        <v>-237</v>
      </c>
      <c r="B366" s="51">
        <v>-255.95173661970071</v>
      </c>
      <c r="C366" s="51">
        <v>-124.13690628875794</v>
      </c>
      <c r="D366" s="50">
        <f t="shared" si="38"/>
        <v>205.87344213606835</v>
      </c>
    </row>
    <row r="367" spans="1:4" x14ac:dyDescent="0.25">
      <c r="A367" s="38">
        <v>-238</v>
      </c>
      <c r="B367" s="51">
        <v>-250.61536201658637</v>
      </c>
      <c r="C367" s="51">
        <v>-126.61329549500246</v>
      </c>
      <c r="D367" s="50">
        <f t="shared" si="38"/>
        <v>206.80334529508892</v>
      </c>
    </row>
    <row r="368" spans="1:4" x14ac:dyDescent="0.25">
      <c r="A368" s="37">
        <v>-239</v>
      </c>
      <c r="B368" s="51">
        <v>-245.20279610295896</v>
      </c>
      <c r="C368" s="51">
        <v>-129.13263446263932</v>
      </c>
      <c r="D368" s="50">
        <f t="shared" si="38"/>
        <v>207.77290834807479</v>
      </c>
    </row>
    <row r="369" spans="1:4" x14ac:dyDescent="0.25">
      <c r="A369" s="37">
        <v>-240</v>
      </c>
      <c r="B369" s="51">
        <v>-239.69826270545497</v>
      </c>
      <c r="C369" s="51">
        <v>-131.70305467838855</v>
      </c>
      <c r="D369" s="50">
        <f t="shared" si="38"/>
        <v>208.78674913347638</v>
      </c>
    </row>
    <row r="370" spans="1:4" x14ac:dyDescent="0.25">
      <c r="A370" s="38">
        <v>-241</v>
      </c>
      <c r="B370" s="51">
        <v>-234.08220857923325</v>
      </c>
      <c r="C370" s="51">
        <v>-134.33410590351485</v>
      </c>
      <c r="D370" s="50">
        <f t="shared" si="38"/>
        <v>209.85046943652432</v>
      </c>
    </row>
    <row r="371" spans="1:4" x14ac:dyDescent="0.25">
      <c r="A371" s="38">
        <v>-242</v>
      </c>
      <c r="B371" s="51">
        <v>-228.33451279222328</v>
      </c>
      <c r="C371" s="51">
        <v>-137.03565516581318</v>
      </c>
      <c r="D371" s="50">
        <f t="shared" si="38"/>
        <v>210.97020414315608</v>
      </c>
    </row>
    <row r="372" spans="1:4" x14ac:dyDescent="0.25">
      <c r="A372" s="37">
        <v>-243</v>
      </c>
      <c r="B372" s="51">
        <v>-222.43320803033566</v>
      </c>
      <c r="C372" s="51">
        <v>-139.81826798487245</v>
      </c>
      <c r="D372" s="50">
        <f t="shared" si="38"/>
        <v>212.15286910750899</v>
      </c>
    </row>
    <row r="373" spans="1:4" x14ac:dyDescent="0.25">
      <c r="A373" s="37">
        <v>-244</v>
      </c>
      <c r="B373" s="51">
        <v>-216.35092553839633</v>
      </c>
      <c r="C373" s="51">
        <v>-142.6946089358911</v>
      </c>
      <c r="D373" s="50">
        <f t="shared" si="38"/>
        <v>213.40691335717653</v>
      </c>
    </row>
    <row r="374" spans="1:4" x14ac:dyDescent="0.25">
      <c r="A374" s="38">
        <v>-245</v>
      </c>
      <c r="B374" s="51">
        <v>-210.05695419867237</v>
      </c>
      <c r="C374" s="51">
        <v>-145.67863784183254</v>
      </c>
      <c r="D374" s="50">
        <f t="shared" si="38"/>
        <v>214.7420706914952</v>
      </c>
    </row>
    <row r="375" spans="1:4" x14ac:dyDescent="0.25">
      <c r="A375" s="38">
        <v>-246</v>
      </c>
      <c r="B375" s="51">
        <v>-203.51749952712507</v>
      </c>
      <c r="C375" s="51">
        <v>-148.78539654101647</v>
      </c>
      <c r="D375" s="50">
        <f t="shared" si="38"/>
        <v>216.16939153719039</v>
      </c>
    </row>
    <row r="376" spans="1:4" x14ac:dyDescent="0.25">
      <c r="A376" s="37">
        <v>-247</v>
      </c>
      <c r="B376" s="51">
        <v>-196.69019491942291</v>
      </c>
      <c r="C376" s="51">
        <v>-152.03319268826382</v>
      </c>
      <c r="D376" s="50">
        <f t="shared" si="38"/>
        <v>217.702504601789</v>
      </c>
    </row>
    <row r="377" spans="1:4" x14ac:dyDescent="0.25">
      <c r="A377" s="37">
        <v>-248</v>
      </c>
      <c r="B377" s="51">
        <v>-189.52558967565369</v>
      </c>
      <c r="C377" s="51">
        <v>-155.4428542544006</v>
      </c>
      <c r="D377" s="50">
        <f t="shared" si="38"/>
        <v>219.35751326564088</v>
      </c>
    </row>
    <row r="378" spans="1:4" x14ac:dyDescent="0.25">
      <c r="A378" s="38">
        <v>-249</v>
      </c>
      <c r="B378" s="51">
        <v>-184.71709023731614</v>
      </c>
      <c r="C378" s="51">
        <v>-158.8482901741593</v>
      </c>
      <c r="D378" s="50">
        <f t="shared" si="38"/>
        <v>220.69403190987774</v>
      </c>
    </row>
    <row r="379" spans="1:4" x14ac:dyDescent="0.25">
      <c r="A379" s="38">
        <v>-250</v>
      </c>
      <c r="B379" s="51">
        <v>-176.8181871489345</v>
      </c>
      <c r="C379" s="51">
        <v>-162.58258114096139</v>
      </c>
      <c r="D379" s="50">
        <f t="shared" si="38"/>
        <v>222.59823070568777</v>
      </c>
    </row>
    <row r="380" spans="1:4" x14ac:dyDescent="0.25">
      <c r="A380" s="37">
        <v>-251</v>
      </c>
      <c r="B380" s="51">
        <v>-168.79456197524974</v>
      </c>
      <c r="C380" s="51">
        <v>-166.28279760340348</v>
      </c>
      <c r="D380" s="50">
        <f t="shared" si="38"/>
        <v>224.57051469440722</v>
      </c>
    </row>
    <row r="381" spans="1:4" x14ac:dyDescent="0.25">
      <c r="A381" s="37">
        <v>-252</v>
      </c>
      <c r="B381" s="51">
        <v>-160.65153461904092</v>
      </c>
      <c r="C381" s="51">
        <v>-169.94335879427626</v>
      </c>
      <c r="D381" s="50">
        <f t="shared" si="38"/>
        <v>226.60995283908736</v>
      </c>
    </row>
    <row r="382" spans="1:4" x14ac:dyDescent="0.25">
      <c r="A382" s="38">
        <v>-253</v>
      </c>
      <c r="B382" s="51">
        <v>-152.3741412128193</v>
      </c>
      <c r="C382" s="51">
        <v>-173.57201632010114</v>
      </c>
      <c r="D382" s="50">
        <f t="shared" si="38"/>
        <v>228.72098506415503</v>
      </c>
    </row>
    <row r="383" spans="1:4" x14ac:dyDescent="0.25">
      <c r="A383" s="38">
        <v>-254</v>
      </c>
      <c r="B383" s="51">
        <v>-143.94880986296369</v>
      </c>
      <c r="C383" s="51">
        <v>-177.17583059437831</v>
      </c>
      <c r="D383" s="50">
        <f t="shared" si="38"/>
        <v>230.90741750481121</v>
      </c>
    </row>
    <row r="384" spans="1:4" x14ac:dyDescent="0.25">
      <c r="A384" s="37">
        <v>-255</v>
      </c>
      <c r="B384" s="51">
        <v>-135.35920289332117</v>
      </c>
      <c r="C384" s="51">
        <v>-180.76228330778528</v>
      </c>
      <c r="D384" s="50">
        <f t="shared" si="38"/>
        <v>233.17323621935873</v>
      </c>
    </row>
    <row r="385" spans="1:4" x14ac:dyDescent="0.25">
      <c r="A385" s="37">
        <v>-256</v>
      </c>
      <c r="B385" s="51">
        <v>-126.58910561188938</v>
      </c>
      <c r="C385" s="51">
        <v>-184.33857758329313</v>
      </c>
      <c r="D385" s="50">
        <f t="shared" si="38"/>
        <v>235.52181022837954</v>
      </c>
    </row>
    <row r="386" spans="1:4" x14ac:dyDescent="0.25">
      <c r="A386" s="38">
        <v>-257</v>
      </c>
      <c r="B386" s="51">
        <v>-117.62173117317907</v>
      </c>
      <c r="C386" s="51">
        <v>-187.91214989105913</v>
      </c>
      <c r="D386" s="50">
        <f t="shared" ref="D386:D449" si="39">IF(DEGREES(ATAN2(B386,C386))&lt;0,DEGREES(ATAN2(B386,C386))+360,DEGREES(ATAN2(B386,C386)))</f>
        <v>237.95590376569407</v>
      </c>
    </row>
    <row r="387" spans="1:4" x14ac:dyDescent="0.25">
      <c r="A387" s="38">
        <v>-258</v>
      </c>
      <c r="B387" s="51">
        <v>-108.43782400613301</v>
      </c>
      <c r="C387" s="51">
        <v>-191.49047547169374</v>
      </c>
      <c r="D387" s="50">
        <f t="shared" si="39"/>
        <v>240.47785463700228</v>
      </c>
    </row>
    <row r="388" spans="1:4" x14ac:dyDescent="0.25">
      <c r="A388" s="37">
        <v>-259</v>
      </c>
      <c r="B388" s="51">
        <v>-99.017730673365079</v>
      </c>
      <c r="C388" s="51">
        <v>-195.08153424088923</v>
      </c>
      <c r="D388" s="50">
        <f t="shared" si="39"/>
        <v>243.08897142691518</v>
      </c>
    </row>
    <row r="389" spans="1:4" x14ac:dyDescent="0.25">
      <c r="A389" s="37">
        <v>-260</v>
      </c>
      <c r="B389" s="51">
        <v>-91.656345039327164</v>
      </c>
      <c r="C389" s="51">
        <v>-197.23402600384063</v>
      </c>
      <c r="D389" s="50">
        <f t="shared" si="39"/>
        <v>245.07530231924648</v>
      </c>
    </row>
    <row r="390" spans="1:4" x14ac:dyDescent="0.25">
      <c r="A390" s="38">
        <v>-261</v>
      </c>
      <c r="B390" s="51">
        <v>-81.75891250667128</v>
      </c>
      <c r="C390" s="51">
        <v>-200.83172410774861</v>
      </c>
      <c r="D390" s="50">
        <f t="shared" si="39"/>
        <v>247.84868393146087</v>
      </c>
    </row>
    <row r="391" spans="1:4" x14ac:dyDescent="0.25">
      <c r="A391" s="38">
        <v>-262</v>
      </c>
      <c r="B391" s="51">
        <v>-73.01063348461058</v>
      </c>
      <c r="C391" s="51">
        <v>-203.79607013580227</v>
      </c>
      <c r="D391" s="50">
        <f t="shared" si="39"/>
        <v>250.2897646684097</v>
      </c>
    </row>
    <row r="392" spans="1:4" x14ac:dyDescent="0.25">
      <c r="A392" s="37">
        <v>-263</v>
      </c>
      <c r="B392" s="51">
        <v>-65.375686619860105</v>
      </c>
      <c r="C392" s="51">
        <v>-206.15676354588803</v>
      </c>
      <c r="D392" s="50">
        <f t="shared" si="39"/>
        <v>252.40532590340214</v>
      </c>
    </row>
    <row r="393" spans="1:4" x14ac:dyDescent="0.25">
      <c r="A393" s="37">
        <v>-264</v>
      </c>
      <c r="B393" s="51">
        <v>-57.426325839508117</v>
      </c>
      <c r="C393" s="51">
        <v>-208.57397536145959</v>
      </c>
      <c r="D393" s="50">
        <f t="shared" si="39"/>
        <v>254.60626053578295</v>
      </c>
    </row>
    <row r="394" spans="1:4" x14ac:dyDescent="0.25">
      <c r="A394" s="38">
        <v>-265</v>
      </c>
      <c r="B394" s="51">
        <v>-49.116390757186302</v>
      </c>
      <c r="C394" s="51">
        <v>-211.06279042218225</v>
      </c>
      <c r="D394" s="50">
        <f t="shared" si="39"/>
        <v>256.89986071579943</v>
      </c>
    </row>
    <row r="395" spans="1:4" x14ac:dyDescent="0.25">
      <c r="A395" s="38">
        <v>-266</v>
      </c>
      <c r="B395" s="51">
        <v>-40.395556115253441</v>
      </c>
      <c r="C395" s="51">
        <v>-213.64061248164899</v>
      </c>
      <c r="D395" s="50">
        <f t="shared" si="39"/>
        <v>259.29281624233715</v>
      </c>
    </row>
    <row r="396" spans="1:4" x14ac:dyDescent="0.25">
      <c r="A396" s="37">
        <v>-267</v>
      </c>
      <c r="B396" s="51">
        <v>-31.202057095326239</v>
      </c>
      <c r="C396" s="51">
        <v>-216.32700612711361</v>
      </c>
      <c r="D396" s="50">
        <f t="shared" si="39"/>
        <v>261.79251203856927</v>
      </c>
    </row>
    <row r="397" spans="1:4" x14ac:dyDescent="0.25">
      <c r="A397" s="37">
        <v>-268</v>
      </c>
      <c r="B397" s="51">
        <v>-21.464504184020868</v>
      </c>
      <c r="C397" s="51">
        <v>-219.14478568217254</v>
      </c>
      <c r="D397" s="50">
        <f t="shared" si="39"/>
        <v>264.40591214316345</v>
      </c>
    </row>
    <row r="398" spans="1:4" x14ac:dyDescent="0.25">
      <c r="A398" s="38">
        <v>-269</v>
      </c>
      <c r="B398" s="51">
        <v>-11.097963144088299</v>
      </c>
      <c r="C398" s="51">
        <v>-222.12087808949107</v>
      </c>
      <c r="D398" s="50">
        <f t="shared" si="39"/>
        <v>267.13967400079378</v>
      </c>
    </row>
    <row r="399" spans="1:4" x14ac:dyDescent="0.25">
      <c r="A399" s="38">
        <v>-270</v>
      </c>
      <c r="B399" s="51">
        <v>-9.0242808296344158E-14</v>
      </c>
      <c r="C399" s="51">
        <v>-225.28550728441064</v>
      </c>
      <c r="D399" s="50">
        <f t="shared" si="39"/>
        <v>270</v>
      </c>
    </row>
    <row r="400" spans="1:4" x14ac:dyDescent="0.25">
      <c r="A400" s="37">
        <v>-271</v>
      </c>
      <c r="B400" s="51">
        <v>11.09796314408803</v>
      </c>
      <c r="C400" s="51">
        <v>-222.12087808949107</v>
      </c>
      <c r="D400" s="50">
        <f t="shared" si="39"/>
        <v>272.86032599920611</v>
      </c>
    </row>
    <row r="401" spans="1:4" x14ac:dyDescent="0.25">
      <c r="A401" s="37">
        <v>-272</v>
      </c>
      <c r="B401" s="51">
        <v>21.464504184021159</v>
      </c>
      <c r="C401" s="51">
        <v>-219.14478568217245</v>
      </c>
      <c r="D401" s="50">
        <f t="shared" si="39"/>
        <v>275.59408785683667</v>
      </c>
    </row>
    <row r="402" spans="1:4" x14ac:dyDescent="0.25">
      <c r="A402" s="38">
        <v>-273</v>
      </c>
      <c r="B402" s="51">
        <v>31.202057095326079</v>
      </c>
      <c r="C402" s="51">
        <v>-216.32700612711363</v>
      </c>
      <c r="D402" s="50">
        <f t="shared" si="39"/>
        <v>278.20748796143073</v>
      </c>
    </row>
    <row r="403" spans="1:4" x14ac:dyDescent="0.25">
      <c r="A403" s="38">
        <v>-274</v>
      </c>
      <c r="B403" s="51">
        <v>40.395556115253314</v>
      </c>
      <c r="C403" s="51">
        <v>-213.64061248164916</v>
      </c>
      <c r="D403" s="50">
        <f t="shared" si="39"/>
        <v>280.70718375766285</v>
      </c>
    </row>
    <row r="404" spans="1:4" x14ac:dyDescent="0.25">
      <c r="A404" s="37">
        <v>-275</v>
      </c>
      <c r="B404" s="51">
        <v>49.116390757186061</v>
      </c>
      <c r="C404" s="51">
        <v>-211.06279042218227</v>
      </c>
      <c r="D404" s="50">
        <f t="shared" si="39"/>
        <v>283.10013928420051</v>
      </c>
    </row>
    <row r="405" spans="1:4" x14ac:dyDescent="0.25">
      <c r="A405" s="37">
        <v>-276</v>
      </c>
      <c r="B405" s="51">
        <v>57.426325839507925</v>
      </c>
      <c r="C405" s="51">
        <v>-208.57397536145967</v>
      </c>
      <c r="D405" s="50">
        <f t="shared" si="39"/>
        <v>285.39373946421699</v>
      </c>
    </row>
    <row r="406" spans="1:4" x14ac:dyDescent="0.25">
      <c r="A406" s="38">
        <v>-277</v>
      </c>
      <c r="B406" s="51">
        <v>65.375686619860332</v>
      </c>
      <c r="C406" s="51">
        <v>-206.15676354588791</v>
      </c>
      <c r="D406" s="50">
        <f t="shared" si="39"/>
        <v>287.59467409659794</v>
      </c>
    </row>
    <row r="407" spans="1:4" x14ac:dyDescent="0.25">
      <c r="A407" s="38">
        <v>-278</v>
      </c>
      <c r="B407" s="51">
        <v>73.010633484610437</v>
      </c>
      <c r="C407" s="51">
        <v>-203.79607013580227</v>
      </c>
      <c r="D407" s="50">
        <f t="shared" si="39"/>
        <v>289.7102353315903</v>
      </c>
    </row>
    <row r="408" spans="1:4" x14ac:dyDescent="0.25">
      <c r="A408" s="37">
        <v>-279</v>
      </c>
      <c r="B408" s="51">
        <v>81.758912506671081</v>
      </c>
      <c r="C408" s="51">
        <v>-200.83172410774876</v>
      </c>
      <c r="D408" s="50">
        <f t="shared" si="39"/>
        <v>292.15131606853907</v>
      </c>
    </row>
    <row r="409" spans="1:4" x14ac:dyDescent="0.25">
      <c r="A409" s="37">
        <v>-280</v>
      </c>
      <c r="B409" s="51">
        <v>91.656345039326951</v>
      </c>
      <c r="C409" s="51">
        <v>-197.23402600384065</v>
      </c>
      <c r="D409" s="50">
        <f t="shared" si="39"/>
        <v>294.92469768075341</v>
      </c>
    </row>
    <row r="410" spans="1:4" x14ac:dyDescent="0.25">
      <c r="A410" s="38">
        <v>-281</v>
      </c>
      <c r="B410" s="51">
        <v>99.017730673365378</v>
      </c>
      <c r="C410" s="51">
        <v>-195.08153424088911</v>
      </c>
      <c r="D410" s="50">
        <f t="shared" si="39"/>
        <v>296.91102857308488</v>
      </c>
    </row>
    <row r="411" spans="1:4" x14ac:dyDescent="0.25">
      <c r="A411" s="38">
        <v>-282</v>
      </c>
      <c r="B411" s="51">
        <v>108.43782400613277</v>
      </c>
      <c r="C411" s="51">
        <v>-191.49047547169374</v>
      </c>
      <c r="D411" s="50">
        <f t="shared" si="39"/>
        <v>299.52214536299766</v>
      </c>
    </row>
    <row r="412" spans="1:4" x14ac:dyDescent="0.25">
      <c r="A412" s="37">
        <v>-283</v>
      </c>
      <c r="B412" s="51">
        <v>117.62173117317892</v>
      </c>
      <c r="C412" s="51">
        <v>-187.91214989105919</v>
      </c>
      <c r="D412" s="50">
        <f t="shared" si="39"/>
        <v>302.04409623430587</v>
      </c>
    </row>
    <row r="413" spans="1:4" x14ac:dyDescent="0.25">
      <c r="A413" s="37">
        <v>-284</v>
      </c>
      <c r="B413" s="51">
        <v>126.5891056118892</v>
      </c>
      <c r="C413" s="51">
        <v>-184.33857758329316</v>
      </c>
      <c r="D413" s="50">
        <f t="shared" si="39"/>
        <v>304.47818977162041</v>
      </c>
    </row>
    <row r="414" spans="1:4" x14ac:dyDescent="0.25">
      <c r="A414" s="38">
        <v>-285</v>
      </c>
      <c r="B414" s="51">
        <v>135.35920289332094</v>
      </c>
      <c r="C414" s="51">
        <v>-180.76228330778531</v>
      </c>
      <c r="D414" s="50">
        <f t="shared" si="39"/>
        <v>306.82676378064122</v>
      </c>
    </row>
    <row r="415" spans="1:4" x14ac:dyDescent="0.25">
      <c r="A415" s="38">
        <v>-286</v>
      </c>
      <c r="B415" s="51">
        <v>143.948809862964</v>
      </c>
      <c r="C415" s="51">
        <v>-177.17583059437806</v>
      </c>
      <c r="D415" s="50">
        <f t="shared" si="39"/>
        <v>309.09258249518888</v>
      </c>
    </row>
    <row r="416" spans="1:4" x14ac:dyDescent="0.25">
      <c r="A416" s="37">
        <v>-287</v>
      </c>
      <c r="B416" s="51">
        <v>152.37414121281907</v>
      </c>
      <c r="C416" s="51">
        <v>-173.57201632010117</v>
      </c>
      <c r="D416" s="50">
        <f t="shared" si="39"/>
        <v>311.27901493584494</v>
      </c>
    </row>
    <row r="417" spans="1:4" x14ac:dyDescent="0.25">
      <c r="A417" s="37">
        <v>-288</v>
      </c>
      <c r="B417" s="51">
        <v>160.65153461904077</v>
      </c>
      <c r="C417" s="51">
        <v>-169.94335879427632</v>
      </c>
      <c r="D417" s="50">
        <f t="shared" si="39"/>
        <v>313.39004716091262</v>
      </c>
    </row>
    <row r="418" spans="1:4" x14ac:dyDescent="0.25">
      <c r="A418" s="38">
        <v>-289</v>
      </c>
      <c r="B418" s="51">
        <v>168.79456197524954</v>
      </c>
      <c r="C418" s="51">
        <v>-166.28279760340348</v>
      </c>
      <c r="D418" s="50">
        <f t="shared" si="39"/>
        <v>315.42948530559278</v>
      </c>
    </row>
    <row r="419" spans="1:4" x14ac:dyDescent="0.25">
      <c r="A419" s="38">
        <v>-290</v>
      </c>
      <c r="B419" s="51">
        <v>176.8181871489347</v>
      </c>
      <c r="C419" s="51">
        <v>-162.58258114096125</v>
      </c>
      <c r="D419" s="50">
        <f t="shared" si="39"/>
        <v>317.40176929431232</v>
      </c>
    </row>
    <row r="420" spans="1:4" x14ac:dyDescent="0.25">
      <c r="A420" s="37">
        <v>-291</v>
      </c>
      <c r="B420" s="51">
        <v>184.717090237316</v>
      </c>
      <c r="C420" s="51">
        <v>-158.84829017415942</v>
      </c>
      <c r="D420" s="50">
        <f t="shared" si="39"/>
        <v>319.30596809012224</v>
      </c>
    </row>
    <row r="421" spans="1:4" x14ac:dyDescent="0.25">
      <c r="A421" s="37">
        <v>-292</v>
      </c>
      <c r="B421" s="51">
        <v>189.52558967565349</v>
      </c>
      <c r="C421" s="51">
        <v>-155.44285425440063</v>
      </c>
      <c r="D421" s="50">
        <f t="shared" si="39"/>
        <v>320.64248673435907</v>
      </c>
    </row>
    <row r="422" spans="1:4" x14ac:dyDescent="0.25">
      <c r="A422" s="38">
        <v>-293</v>
      </c>
      <c r="B422" s="51">
        <v>196.69019491942285</v>
      </c>
      <c r="C422" s="51">
        <v>-152.03319268826394</v>
      </c>
      <c r="D422" s="50">
        <f t="shared" si="39"/>
        <v>322.29749539821097</v>
      </c>
    </row>
    <row r="423" spans="1:4" x14ac:dyDescent="0.25">
      <c r="A423" s="38">
        <v>-294</v>
      </c>
      <c r="B423" s="51">
        <v>203.51749952712493</v>
      </c>
      <c r="C423" s="51">
        <v>-148.7853965410165</v>
      </c>
      <c r="D423" s="50">
        <f t="shared" si="39"/>
        <v>323.83060846280961</v>
      </c>
    </row>
    <row r="424" spans="1:4" x14ac:dyDescent="0.25">
      <c r="A424" s="37">
        <v>-295</v>
      </c>
      <c r="B424" s="51">
        <v>210.0569541986726</v>
      </c>
      <c r="C424" s="51">
        <v>-145.67863784183254</v>
      </c>
      <c r="D424" s="50">
        <f t="shared" si="39"/>
        <v>325.25792930850486</v>
      </c>
    </row>
    <row r="425" spans="1:4" x14ac:dyDescent="0.25">
      <c r="A425" s="37">
        <v>-296</v>
      </c>
      <c r="B425" s="51">
        <v>216.35092553839621</v>
      </c>
      <c r="C425" s="51">
        <v>-142.69460893589115</v>
      </c>
      <c r="D425" s="50">
        <f t="shared" si="39"/>
        <v>326.59308664282344</v>
      </c>
    </row>
    <row r="426" spans="1:4" x14ac:dyDescent="0.25">
      <c r="A426" s="38">
        <v>-297</v>
      </c>
      <c r="B426" s="51">
        <v>222.43320803033549</v>
      </c>
      <c r="C426" s="51">
        <v>-139.81826798487245</v>
      </c>
      <c r="D426" s="50">
        <f t="shared" si="39"/>
        <v>327.84713089249101</v>
      </c>
    </row>
    <row r="427" spans="1:4" x14ac:dyDescent="0.25">
      <c r="A427" s="38">
        <v>-298</v>
      </c>
      <c r="B427" s="51">
        <v>228.33451279222314</v>
      </c>
      <c r="C427" s="51">
        <v>-137.03565516581318</v>
      </c>
      <c r="D427" s="50">
        <f t="shared" si="39"/>
        <v>329.02979585684392</v>
      </c>
    </row>
    <row r="428" spans="1:4" x14ac:dyDescent="0.25">
      <c r="A428" s="37">
        <v>-299</v>
      </c>
      <c r="B428" s="51">
        <v>234.08220857923337</v>
      </c>
      <c r="C428" s="51">
        <v>-134.33410590351471</v>
      </c>
      <c r="D428" s="50">
        <f t="shared" si="39"/>
        <v>330.14953056347571</v>
      </c>
    </row>
    <row r="429" spans="1:4" x14ac:dyDescent="0.25">
      <c r="A429" s="37">
        <v>-300</v>
      </c>
      <c r="B429" s="51">
        <v>239.69826270545482</v>
      </c>
      <c r="C429" s="51">
        <v>-131.70305467838864</v>
      </c>
      <c r="D429" s="50">
        <f t="shared" si="39"/>
        <v>331.21325086652359</v>
      </c>
    </row>
    <row r="430" spans="1:4" x14ac:dyDescent="0.25">
      <c r="A430" s="38">
        <v>-301</v>
      </c>
      <c r="B430" s="51">
        <v>245.20279610295896</v>
      </c>
      <c r="C430" s="51">
        <v>-129.13263446263937</v>
      </c>
      <c r="D430" s="50">
        <f t="shared" si="39"/>
        <v>332.22709165192521</v>
      </c>
    </row>
    <row r="431" spans="1:4" x14ac:dyDescent="0.25">
      <c r="A431" s="38">
        <v>-302</v>
      </c>
      <c r="B431" s="51">
        <v>250.61536201658623</v>
      </c>
      <c r="C431" s="51">
        <v>-126.61329549500255</v>
      </c>
      <c r="D431" s="50">
        <f t="shared" si="39"/>
        <v>333.19665470491105</v>
      </c>
    </row>
    <row r="432" spans="1:4" x14ac:dyDescent="0.25">
      <c r="A432" s="37">
        <v>-303</v>
      </c>
      <c r="B432" s="51">
        <v>255.95173661970063</v>
      </c>
      <c r="C432" s="51">
        <v>-124.13690628875804</v>
      </c>
      <c r="D432" s="50">
        <f t="shared" si="39"/>
        <v>334.12655786393162</v>
      </c>
    </row>
    <row r="433" spans="1:4" x14ac:dyDescent="0.25">
      <c r="A433" s="37">
        <v>-304</v>
      </c>
      <c r="B433" s="51">
        <v>261.22698538431285</v>
      </c>
      <c r="C433" s="51">
        <v>-121.69565586708025</v>
      </c>
      <c r="D433" s="50">
        <f t="shared" si="39"/>
        <v>335.02098993652226</v>
      </c>
    </row>
    <row r="434" spans="1:4" x14ac:dyDescent="0.25">
      <c r="A434" s="38">
        <v>-305</v>
      </c>
      <c r="B434" s="51">
        <v>266.45483425042363</v>
      </c>
      <c r="C434" s="51">
        <v>-119.2822539353493</v>
      </c>
      <c r="D434" s="50">
        <f t="shared" si="39"/>
        <v>335.88365277929381</v>
      </c>
    </row>
    <row r="435" spans="1:4" x14ac:dyDescent="0.25">
      <c r="A435" s="38">
        <v>-306</v>
      </c>
      <c r="B435" s="51">
        <v>271.64875683680873</v>
      </c>
      <c r="C435" s="51">
        <v>-116.88962773462802</v>
      </c>
      <c r="D435" s="50">
        <f t="shared" si="39"/>
        <v>336.71793841213611</v>
      </c>
    </row>
    <row r="436" spans="1:4" x14ac:dyDescent="0.25">
      <c r="A436" s="37">
        <v>-307</v>
      </c>
      <c r="B436" s="51">
        <v>276.81878127776463</v>
      </c>
      <c r="C436" s="51">
        <v>-114.51159729151692</v>
      </c>
      <c r="D436" s="50">
        <f t="shared" si="39"/>
        <v>337.52659297079856</v>
      </c>
    </row>
    <row r="437" spans="1:4" x14ac:dyDescent="0.25">
      <c r="A437" s="37">
        <v>-308</v>
      </c>
      <c r="B437" s="51">
        <v>281.97844057408162</v>
      </c>
      <c r="C437" s="51">
        <v>-112.14130409522808</v>
      </c>
      <c r="D437" s="50">
        <f t="shared" si="39"/>
        <v>338.31255121207465</v>
      </c>
    </row>
    <row r="438" spans="1:4" x14ac:dyDescent="0.25">
      <c r="A438" s="38">
        <v>-309</v>
      </c>
      <c r="B438" s="51">
        <v>287.13730384442505</v>
      </c>
      <c r="C438" s="51">
        <v>-109.77276806273423</v>
      </c>
      <c r="D438" s="50">
        <f t="shared" si="39"/>
        <v>339.07811393739848</v>
      </c>
    </row>
    <row r="439" spans="1:4" x14ac:dyDescent="0.25">
      <c r="A439" s="38">
        <v>-310</v>
      </c>
      <c r="B439" s="51">
        <v>292.30533843631252</v>
      </c>
      <c r="C439" s="51">
        <v>-107.39986382028918</v>
      </c>
      <c r="D439" s="50">
        <f t="shared" si="39"/>
        <v>339.82547931830197</v>
      </c>
    </row>
    <row r="440" spans="1:4" x14ac:dyDescent="0.25">
      <c r="A440" s="37">
        <v>-311</v>
      </c>
      <c r="B440" s="51">
        <v>297.49386237076686</v>
      </c>
      <c r="C440" s="51">
        <v>-105.01632655366757</v>
      </c>
      <c r="D440" s="50">
        <f t="shared" si="39"/>
        <v>340.55679813776288</v>
      </c>
    </row>
    <row r="441" spans="1:4" x14ac:dyDescent="0.25">
      <c r="A441" s="37">
        <v>-312</v>
      </c>
      <c r="B441" s="51">
        <v>302.71228954688735</v>
      </c>
      <c r="C441" s="51">
        <v>-102.6160579518539</v>
      </c>
      <c r="D441" s="50">
        <f t="shared" si="39"/>
        <v>341.27391972971088</v>
      </c>
    </row>
    <row r="442" spans="1:4" x14ac:dyDescent="0.25">
      <c r="A442" s="38">
        <v>-313</v>
      </c>
      <c r="B442" s="51">
        <v>307.9707561258914</v>
      </c>
      <c r="C442" s="51">
        <v>-100.19278607930714</v>
      </c>
      <c r="D442" s="50">
        <f t="shared" si="39"/>
        <v>341.97862773487111</v>
      </c>
    </row>
    <row r="443" spans="1:4" x14ac:dyDescent="0.25">
      <c r="A443" s="38">
        <v>-314</v>
      </c>
      <c r="B443" s="51">
        <v>313.2793774135892</v>
      </c>
      <c r="C443" s="51">
        <v>-97.740103538286291</v>
      </c>
      <c r="D443" s="50">
        <f t="shared" si="39"/>
        <v>342.67258859245942</v>
      </c>
    </row>
    <row r="444" spans="1:4" x14ac:dyDescent="0.25">
      <c r="A444" s="37">
        <v>-315</v>
      </c>
      <c r="B444" s="51">
        <v>318.64747058703909</v>
      </c>
      <c r="C444" s="51">
        <v>-95.251313513603904</v>
      </c>
      <c r="D444" s="50">
        <f t="shared" si="39"/>
        <v>343.35734276920357</v>
      </c>
    </row>
    <row r="445" spans="1:4" x14ac:dyDescent="0.25">
      <c r="A445" s="37">
        <v>-316</v>
      </c>
      <c r="B445" s="51">
        <v>323.97681876572244</v>
      </c>
      <c r="C445" s="51">
        <v>-92.721754310269006</v>
      </c>
      <c r="D445" s="50">
        <f t="shared" si="39"/>
        <v>344.0289455723431</v>
      </c>
    </row>
    <row r="446" spans="1:4" x14ac:dyDescent="0.25">
      <c r="A446" s="38">
        <v>-317</v>
      </c>
      <c r="B446" s="51">
        <v>328.74938863274764</v>
      </c>
      <c r="C446" s="51">
        <v>-90.160067725628707</v>
      </c>
      <c r="D446" s="50">
        <f t="shared" si="39"/>
        <v>344.66361816985926</v>
      </c>
    </row>
    <row r="447" spans="1:4" x14ac:dyDescent="0.25">
      <c r="A447" s="38">
        <v>-318</v>
      </c>
      <c r="B447" s="51">
        <v>333.58678732948675</v>
      </c>
      <c r="C447" s="51">
        <v>-87.550560001795844</v>
      </c>
      <c r="D447" s="50">
        <f t="shared" si="39"/>
        <v>345.29426253177155</v>
      </c>
    </row>
    <row r="448" spans="1:4" x14ac:dyDescent="0.25">
      <c r="A448" s="37">
        <v>-319</v>
      </c>
      <c r="B448" s="51">
        <v>338.49920846079698</v>
      </c>
      <c r="C448" s="51">
        <v>-84.88596355293501</v>
      </c>
      <c r="D448" s="50">
        <f t="shared" si="39"/>
        <v>345.92215913289169</v>
      </c>
    </row>
    <row r="449" spans="1:4" x14ac:dyDescent="0.25">
      <c r="A449" s="37">
        <v>-320</v>
      </c>
      <c r="B449" s="51">
        <v>343.49730411719867</v>
      </c>
      <c r="C449" s="51">
        <v>-82.158471339268075</v>
      </c>
      <c r="D449" s="50">
        <f t="shared" si="39"/>
        <v>346.54857467694796</v>
      </c>
    </row>
    <row r="450" spans="1:4" x14ac:dyDescent="0.25">
      <c r="A450" s="38">
        <v>-321</v>
      </c>
      <c r="B450" s="51">
        <v>348.53941787824033</v>
      </c>
      <c r="C450" s="51">
        <v>-79.394762111916521</v>
      </c>
      <c r="D450" s="50">
        <f t="shared" ref="D450:D490" si="40">IF(DEGREES(ATAN2(B450,C450))&lt;0,DEGREES(ATAN2(B450,C450))+360,DEGREES(ATAN2(B450,C450)))</f>
        <v>347.16740392206975</v>
      </c>
    </row>
    <row r="451" spans="1:4" x14ac:dyDescent="0.25">
      <c r="A451" s="38">
        <v>-322</v>
      </c>
      <c r="B451" s="51">
        <v>353.53130856547267</v>
      </c>
      <c r="C451" s="51">
        <v>-76.657827288361148</v>
      </c>
      <c r="D451" s="50">
        <f t="shared" si="40"/>
        <v>347.76568606550671</v>
      </c>
    </row>
    <row r="452" spans="1:4" x14ac:dyDescent="0.25">
      <c r="A452" s="37">
        <v>-323</v>
      </c>
      <c r="B452" s="51">
        <v>358.47872168389017</v>
      </c>
      <c r="C452" s="51">
        <v>-73.946552912345709</v>
      </c>
      <c r="D452" s="50">
        <f t="shared" si="40"/>
        <v>348.3445778035848</v>
      </c>
    </row>
    <row r="453" spans="1:4" x14ac:dyDescent="0.25">
      <c r="A453" s="37">
        <v>-324</v>
      </c>
      <c r="B453" s="51">
        <v>360.9599056859077</v>
      </c>
      <c r="C453" s="51">
        <v>-72.50375905841895</v>
      </c>
      <c r="D453" s="50">
        <f t="shared" si="40"/>
        <v>348.64248982490869</v>
      </c>
    </row>
    <row r="454" spans="1:4" x14ac:dyDescent="0.25">
      <c r="A454" s="38">
        <v>-325</v>
      </c>
      <c r="B454" s="51">
        <v>365.79056624736944</v>
      </c>
      <c r="C454" s="51">
        <v>-69.851536474397449</v>
      </c>
      <c r="D454" s="50">
        <f t="shared" si="40"/>
        <v>349.188929098291</v>
      </c>
    </row>
    <row r="455" spans="1:4" x14ac:dyDescent="0.25">
      <c r="A455" s="38">
        <v>-326</v>
      </c>
      <c r="B455" s="51">
        <v>370.60073165940071</v>
      </c>
      <c r="C455" s="51">
        <v>-67.214898132698963</v>
      </c>
      <c r="D455" s="50">
        <f t="shared" si="40"/>
        <v>349.72015586957264</v>
      </c>
    </row>
    <row r="456" spans="1:4" x14ac:dyDescent="0.25">
      <c r="A456" s="37">
        <v>-327</v>
      </c>
      <c r="B456" s="51">
        <v>375.3979681854949</v>
      </c>
      <c r="C456" s="51">
        <v>-64.590567375974231</v>
      </c>
      <c r="D456" s="50">
        <f t="shared" si="40"/>
        <v>350.23734013644508</v>
      </c>
    </row>
    <row r="457" spans="1:4" x14ac:dyDescent="0.25">
      <c r="A457" s="37">
        <v>-328</v>
      </c>
      <c r="B457" s="51">
        <v>380.18948363693983</v>
      </c>
      <c r="C457" s="51">
        <v>-61.975383631534022</v>
      </c>
      <c r="D457" s="50">
        <f t="shared" si="40"/>
        <v>350.74154481105438</v>
      </c>
    </row>
    <row r="458" spans="1:4" x14ac:dyDescent="0.25">
      <c r="A458" s="38">
        <v>-329</v>
      </c>
      <c r="B458" s="51">
        <v>384.98217540163841</v>
      </c>
      <c r="C458" s="51">
        <v>-59.36628728567176</v>
      </c>
      <c r="D458" s="50">
        <f t="shared" si="40"/>
        <v>351.23373770995812</v>
      </c>
    </row>
    <row r="459" spans="1:4" x14ac:dyDescent="0.25">
      <c r="A459" s="38">
        <v>-330</v>
      </c>
      <c r="B459" s="51">
        <v>389.03251512451965</v>
      </c>
      <c r="C459" s="51">
        <v>-57.226253391578766</v>
      </c>
      <c r="D459" s="50">
        <f t="shared" si="40"/>
        <v>351.63186652118856</v>
      </c>
    </row>
    <row r="460" spans="1:4" x14ac:dyDescent="0.25">
      <c r="A460" s="37">
        <v>-331</v>
      </c>
      <c r="B460" s="51">
        <v>392.26020102065843</v>
      </c>
      <c r="C460" s="51">
        <v>-55.618779318862543</v>
      </c>
      <c r="D460" s="50">
        <f t="shared" si="40"/>
        <v>351.92979709064798</v>
      </c>
    </row>
    <row r="461" spans="1:4" x14ac:dyDescent="0.25">
      <c r="A461" s="37">
        <v>-332</v>
      </c>
      <c r="B461" s="51">
        <v>395.51079323355077</v>
      </c>
      <c r="C461" s="51">
        <v>-54.0244705785083</v>
      </c>
      <c r="D461" s="50">
        <f t="shared" si="40"/>
        <v>352.2218666166641</v>
      </c>
    </row>
    <row r="462" spans="1:4" x14ac:dyDescent="0.25">
      <c r="A462" s="38">
        <v>-333</v>
      </c>
      <c r="B462" s="51">
        <v>398.79168443487174</v>
      </c>
      <c r="C462" s="51">
        <v>-52.441179149661785</v>
      </c>
      <c r="D462" s="50">
        <f t="shared" si="40"/>
        <v>352.50857851661976</v>
      </c>
    </row>
    <row r="463" spans="1:4" x14ac:dyDescent="0.25">
      <c r="A463" s="38">
        <v>-334</v>
      </c>
      <c r="B463" s="51">
        <v>402.1101462839394</v>
      </c>
      <c r="C463" s="51">
        <v>-50.86734688058992</v>
      </c>
      <c r="D463" s="50">
        <f t="shared" si="40"/>
        <v>352.79031989988994</v>
      </c>
    </row>
    <row r="464" spans="1:4" x14ac:dyDescent="0.25">
      <c r="A464" s="37">
        <v>-335</v>
      </c>
      <c r="B464" s="51">
        <v>405.47469292405395</v>
      </c>
      <c r="C464" s="51">
        <v>-49.300085810820065</v>
      </c>
      <c r="D464" s="50">
        <f t="shared" si="40"/>
        <v>353.06765678470344</v>
      </c>
    </row>
    <row r="465" spans="1:4" x14ac:dyDescent="0.25">
      <c r="A465" s="37">
        <v>-336</v>
      </c>
      <c r="B465" s="51">
        <v>408.89408212252863</v>
      </c>
      <c r="C465" s="51">
        <v>-47.736464541829662</v>
      </c>
      <c r="D465" s="50">
        <f t="shared" si="40"/>
        <v>353.34112982366941</v>
      </c>
    </row>
    <row r="466" spans="1:4" x14ac:dyDescent="0.25">
      <c r="A466" s="38">
        <v>-337</v>
      </c>
      <c r="B466" s="51">
        <v>412.37684170736298</v>
      </c>
      <c r="C466" s="51">
        <v>-46.17469291463258</v>
      </c>
      <c r="D466" s="50">
        <f t="shared" si="40"/>
        <v>353.61108454227269</v>
      </c>
    </row>
    <row r="467" spans="1:4" x14ac:dyDescent="0.25">
      <c r="A467" s="38">
        <v>-338</v>
      </c>
      <c r="B467" s="51">
        <v>415.93247711874369</v>
      </c>
      <c r="C467" s="51">
        <v>-44.612230617705841</v>
      </c>
      <c r="D467" s="50">
        <f t="shared" si="40"/>
        <v>353.87795444201095</v>
      </c>
    </row>
    <row r="468" spans="1:4" x14ac:dyDescent="0.25">
      <c r="A468" s="37">
        <v>-339</v>
      </c>
      <c r="B468" s="51">
        <v>419.57132768784732</v>
      </c>
      <c r="C468" s="51">
        <v>-43.045805381122157</v>
      </c>
      <c r="D468" s="50">
        <f t="shared" si="40"/>
        <v>354.14225009422893</v>
      </c>
    </row>
    <row r="469" spans="1:4" x14ac:dyDescent="0.25">
      <c r="A469" s="37">
        <v>-340</v>
      </c>
      <c r="B469" s="51">
        <v>423.304055711621</v>
      </c>
      <c r="C469" s="51">
        <v>-41.473153826076214</v>
      </c>
      <c r="D469" s="50">
        <f t="shared" si="40"/>
        <v>354.40431312891025</v>
      </c>
    </row>
    <row r="470" spans="1:4" x14ac:dyDescent="0.25">
      <c r="A470" s="38">
        <v>-341</v>
      </c>
      <c r="B470" s="51">
        <v>427.14246975114276</v>
      </c>
      <c r="C470" s="51">
        <v>-39.891199307526669</v>
      </c>
      <c r="D470" s="50">
        <f t="shared" si="40"/>
        <v>354.66457400154025</v>
      </c>
    </row>
    <row r="471" spans="1:4" x14ac:dyDescent="0.25">
      <c r="A471" s="38">
        <v>-342</v>
      </c>
      <c r="B471" s="51">
        <v>431.09939046998142</v>
      </c>
      <c r="C471" s="51">
        <v>-38.296063292195491</v>
      </c>
      <c r="D471" s="50">
        <f t="shared" si="40"/>
        <v>354.92354140821379</v>
      </c>
    </row>
    <row r="472" spans="1:4" x14ac:dyDescent="0.25">
      <c r="A472" s="37">
        <v>-343</v>
      </c>
      <c r="B472" s="51">
        <v>435.18871600921619</v>
      </c>
      <c r="C472" s="51">
        <v>-36.685243288289755</v>
      </c>
      <c r="D472" s="50">
        <f t="shared" si="40"/>
        <v>355.18151113791185</v>
      </c>
    </row>
    <row r="473" spans="1:4" x14ac:dyDescent="0.25">
      <c r="A473" s="37">
        <v>-344</v>
      </c>
      <c r="B473" s="51">
        <v>439.42579747290239</v>
      </c>
      <c r="C473" s="51">
        <v>-35.054212576818657</v>
      </c>
      <c r="D473" s="50">
        <f t="shared" si="40"/>
        <v>355.43901556416432</v>
      </c>
    </row>
    <row r="474" spans="1:4" x14ac:dyDescent="0.25">
      <c r="A474" s="38">
        <v>-345</v>
      </c>
      <c r="B474" s="51">
        <v>443.82780703229332</v>
      </c>
      <c r="C474" s="51">
        <v>-33.399636295653437</v>
      </c>
      <c r="D474" s="50">
        <f t="shared" si="40"/>
        <v>355.6963985191374</v>
      </c>
    </row>
    <row r="475" spans="1:4" x14ac:dyDescent="0.25">
      <c r="A475" s="38">
        <v>-346</v>
      </c>
      <c r="B475" s="51">
        <v>448.41319788484947</v>
      </c>
      <c r="C475" s="51">
        <v>-31.715585289888029</v>
      </c>
      <c r="D475" s="50">
        <f t="shared" si="40"/>
        <v>355.95429369078744</v>
      </c>
    </row>
    <row r="476" spans="1:4" x14ac:dyDescent="0.25">
      <c r="A476" s="37">
        <v>-347</v>
      </c>
      <c r="B476" s="51">
        <v>453.20319703354915</v>
      </c>
      <c r="C476" s="51">
        <v>-29.997628881911204</v>
      </c>
      <c r="D476" s="50">
        <f t="shared" si="40"/>
        <v>356.21310241293935</v>
      </c>
    </row>
    <row r="477" spans="1:4" x14ac:dyDescent="0.25">
      <c r="A477" s="37">
        <v>-348</v>
      </c>
      <c r="B477" s="51">
        <v>455.86635085985631</v>
      </c>
      <c r="C477" s="51">
        <v>-28.020302089807668</v>
      </c>
      <c r="D477" s="50">
        <f t="shared" si="40"/>
        <v>356.48268009308907</v>
      </c>
    </row>
    <row r="478" spans="1:4" x14ac:dyDescent="0.25">
      <c r="A478" s="38">
        <v>-349</v>
      </c>
      <c r="B478" s="51">
        <v>456.46162218252692</v>
      </c>
      <c r="C478" s="51">
        <v>-25.827271615412268</v>
      </c>
      <c r="D478" s="50">
        <f t="shared" si="40"/>
        <v>356.76157327101726</v>
      </c>
    </row>
    <row r="479" spans="1:4" x14ac:dyDescent="0.25">
      <c r="A479" s="38">
        <v>-350</v>
      </c>
      <c r="B479" s="51">
        <v>457.02307965705683</v>
      </c>
      <c r="C479" s="51">
        <v>-23.621334499490519</v>
      </c>
      <c r="D479" s="50">
        <f t="shared" si="40"/>
        <v>357.04128824358634</v>
      </c>
    </row>
    <row r="480" spans="1:4" x14ac:dyDescent="0.25">
      <c r="A480" s="37">
        <v>-351</v>
      </c>
      <c r="B480" s="51">
        <v>457.56251870772184</v>
      </c>
      <c r="C480" s="51">
        <v>-21.399043009293063</v>
      </c>
      <c r="D480" s="50">
        <f t="shared" si="40"/>
        <v>357.32237217366526</v>
      </c>
    </row>
    <row r="481" spans="1:4" x14ac:dyDescent="0.25">
      <c r="A481" s="37">
        <v>-352</v>
      </c>
      <c r="B481" s="51">
        <v>458.08256854431141</v>
      </c>
      <c r="C481" s="51">
        <v>-19.157023971106586</v>
      </c>
      <c r="D481" s="50">
        <f t="shared" si="40"/>
        <v>357.60528453089097</v>
      </c>
    </row>
    <row r="482" spans="1:4" x14ac:dyDescent="0.25">
      <c r="A482" s="38">
        <v>-353</v>
      </c>
      <c r="B482" s="51">
        <v>458.57205433500002</v>
      </c>
      <c r="C482" s="51">
        <v>-16.891957676325216</v>
      </c>
      <c r="D482" s="50">
        <f t="shared" si="40"/>
        <v>357.89040679767237</v>
      </c>
    </row>
    <row r="483" spans="1:4" x14ac:dyDescent="0.25">
      <c r="A483" s="38">
        <v>-354</v>
      </c>
      <c r="B483" s="51">
        <v>459.0440798895404</v>
      </c>
      <c r="C483" s="51">
        <v>-14.599641895385581</v>
      </c>
      <c r="D483" s="50">
        <f t="shared" si="40"/>
        <v>358.17835361531598</v>
      </c>
    </row>
    <row r="484" spans="1:4" x14ac:dyDescent="0.25">
      <c r="A484" s="37">
        <v>-355</v>
      </c>
      <c r="B484" s="51">
        <v>459.48858189986873</v>
      </c>
      <c r="C484" s="51">
        <v>-12.276008224291729</v>
      </c>
      <c r="D484" s="50">
        <f t="shared" si="40"/>
        <v>358.46961119224648</v>
      </c>
    </row>
    <row r="485" spans="1:4" x14ac:dyDescent="0.25">
      <c r="A485" s="37">
        <v>-356</v>
      </c>
      <c r="B485" s="51">
        <v>459.91515533598977</v>
      </c>
      <c r="C485" s="51">
        <v>-9.916162424836763</v>
      </c>
      <c r="D485" s="50">
        <f t="shared" si="40"/>
        <v>358.76484557093676</v>
      </c>
    </row>
    <row r="486" spans="1:4" x14ac:dyDescent="0.25">
      <c r="A486" s="38">
        <v>-357</v>
      </c>
      <c r="B486" s="51">
        <v>460.32466667366572</v>
      </c>
      <c r="C486" s="51">
        <v>-7.5148790570001109</v>
      </c>
      <c r="D486" s="50">
        <f t="shared" si="40"/>
        <v>359.0647196638638</v>
      </c>
    </row>
    <row r="487" spans="1:4" x14ac:dyDescent="0.25">
      <c r="A487" s="38">
        <v>-358</v>
      </c>
      <c r="B487" s="51">
        <v>460.70937493491596</v>
      </c>
      <c r="C487" s="51">
        <v>-5.0663758435440531</v>
      </c>
      <c r="D487" s="50">
        <f t="shared" si="40"/>
        <v>359.36994932497907</v>
      </c>
    </row>
    <row r="488" spans="1:4" x14ac:dyDescent="0.25">
      <c r="A488" s="37">
        <v>-359</v>
      </c>
      <c r="B488" s="51">
        <v>461.07678133553259</v>
      </c>
      <c r="C488" s="51">
        <v>-2.563931856598336</v>
      </c>
      <c r="D488" s="50">
        <f t="shared" si="40"/>
        <v>359.68139588426908</v>
      </c>
    </row>
    <row r="489" spans="1:4" x14ac:dyDescent="0.25">
      <c r="A489" s="37">
        <v>-360</v>
      </c>
      <c r="B489" s="51">
        <v>461.42606613619745</v>
      </c>
      <c r="C489" s="51">
        <v>-8.1088663287060494E-14</v>
      </c>
      <c r="D489" s="50">
        <f t="shared" si="40"/>
        <v>360</v>
      </c>
    </row>
    <row r="490" spans="1:4" x14ac:dyDescent="0.25">
      <c r="A490" s="39"/>
      <c r="B490" s="51">
        <f>B129</f>
        <v>461.42606613619745</v>
      </c>
      <c r="C490" s="51">
        <f>C129</f>
        <v>0</v>
      </c>
      <c r="D490" s="50">
        <f t="shared" si="40"/>
        <v>0</v>
      </c>
    </row>
  </sheetData>
  <dataValidations disablePrompts="1"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95250</xdr:rowOff>
                  </from>
                  <to>
                    <xdr:col>19</xdr:col>
                    <xdr:colOff>819150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isection_method_for_na_3dvector">
                <anchor moveWithCells="1" sizeWithCells="1">
                  <from>
                    <xdr:col>14</xdr:col>
                    <xdr:colOff>447675</xdr:colOff>
                    <xdr:row>122</xdr:row>
                    <xdr:rowOff>66675</xdr:rowOff>
                  </from>
                  <to>
                    <xdr:col>18</xdr:col>
                    <xdr:colOff>266700</xdr:colOff>
                    <xdr:row>125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2020-02-03T23:03:17Z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