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53E4EDFF-CD68-48C9-9B88-CC281EEC058D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Sheet1" sheetId="1" r:id="rId1"/>
    <sheet name="Reference" sheetId="2" r:id="rId2"/>
  </sheets>
  <definedNames>
    <definedName name="solver_adj" localSheetId="0" hidden="1">Sheet1!$B$53,Sheet1!$B$78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Sheet1!$D$121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1" i="1" l="1"/>
  <c r="C35" i="1" l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A109" i="1"/>
  <c r="A99" i="1"/>
  <c r="A100" i="1"/>
  <c r="A101" i="1"/>
  <c r="A102" i="1"/>
  <c r="A103" i="1"/>
  <c r="A104" i="1"/>
  <c r="A105" i="1"/>
  <c r="A106" i="1"/>
  <c r="A107" i="1"/>
  <c r="A108" i="1"/>
  <c r="A98" i="1"/>
  <c r="B85" i="1"/>
  <c r="B3" i="1"/>
  <c r="J118" i="1" l="1"/>
  <c r="B98" i="1"/>
  <c r="J117" i="1"/>
  <c r="B4" i="1"/>
  <c r="B81" i="1" s="1"/>
  <c r="A75" i="1"/>
  <c r="B75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B64" i="1"/>
  <c r="A64" i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B43" i="1" l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F34" i="1" s="1"/>
  <c r="B31" i="1"/>
  <c r="E6" i="1"/>
  <c r="E5" i="1"/>
  <c r="D5" i="1"/>
  <c r="D4" i="1"/>
  <c r="D43" i="1" l="1"/>
  <c r="E43" i="1" s="1"/>
  <c r="F39" i="1"/>
  <c r="E34" i="1"/>
  <c r="E44" i="1"/>
  <c r="F44" i="1"/>
  <c r="F36" i="1"/>
  <c r="E36" i="1"/>
  <c r="E41" i="1"/>
  <c r="F42" i="1"/>
  <c r="F45" i="1"/>
  <c r="F37" i="1"/>
  <c r="F38" i="1"/>
  <c r="F40" i="1"/>
  <c r="E35" i="1"/>
  <c r="G3" i="1"/>
  <c r="H3" i="1" s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B57" i="1" l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C60" i="1"/>
  <c r="B91" i="1" s="1"/>
  <c r="E64" i="1"/>
  <c r="D60" i="1"/>
  <c r="C91" i="1" s="1"/>
  <c r="E73" i="1"/>
  <c r="E70" i="1"/>
  <c r="E66" i="1"/>
  <c r="E71" i="1"/>
  <c r="F69" i="1" l="1"/>
  <c r="C103" i="1" s="1"/>
  <c r="F72" i="1"/>
  <c r="C106" i="1" s="1"/>
  <c r="G71" i="1"/>
  <c r="D105" i="1" s="1"/>
  <c r="G70" i="1"/>
  <c r="D104" i="1" s="1"/>
  <c r="G68" i="1"/>
  <c r="D102" i="1" s="1"/>
  <c r="F67" i="1"/>
  <c r="C101" i="1" s="1"/>
  <c r="C61" i="1"/>
  <c r="D91" i="1" s="1"/>
  <c r="D57" i="1"/>
  <c r="C88" i="1" s="1"/>
  <c r="F74" i="1"/>
  <c r="C108" i="1" s="1"/>
  <c r="G65" i="1"/>
  <c r="D99" i="1" s="1"/>
  <c r="D61" i="1"/>
  <c r="E91" i="1" s="1"/>
  <c r="C59" i="1"/>
  <c r="D89" i="1" s="1"/>
  <c r="F70" i="1"/>
  <c r="C104" i="1" s="1"/>
  <c r="G64" i="1"/>
  <c r="D98" i="1" s="1"/>
  <c r="F65" i="1"/>
  <c r="C99" i="1" s="1"/>
  <c r="D58" i="1"/>
  <c r="D59" i="1"/>
  <c r="F75" i="1"/>
  <c r="C109" i="1" s="1"/>
  <c r="G72" i="1"/>
  <c r="D106" i="1" s="1"/>
  <c r="F73" i="1"/>
  <c r="C107" i="1" s="1"/>
  <c r="C58" i="1"/>
  <c r="C57" i="1"/>
  <c r="F68" i="1"/>
  <c r="C102" i="1" s="1"/>
  <c r="G73" i="1"/>
  <c r="D107" i="1" s="1"/>
  <c r="G69" i="1"/>
  <c r="D103" i="1" s="1"/>
  <c r="G66" i="1"/>
  <c r="D100" i="1" s="1"/>
  <c r="D90" i="1"/>
  <c r="F64" i="1"/>
  <c r="C98" i="1" s="1"/>
  <c r="F66" i="1"/>
  <c r="C100" i="1" s="1"/>
  <c r="G67" i="1"/>
  <c r="D101" i="1" s="1"/>
  <c r="G75" i="1"/>
  <c r="D109" i="1" s="1"/>
  <c r="G74" i="1"/>
  <c r="D108" i="1" s="1"/>
  <c r="E90" i="1"/>
  <c r="F71" i="1"/>
  <c r="C105" i="1" s="1"/>
  <c r="T59" i="1" l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F98" i="1" s="1"/>
  <c r="G98" i="1" s="1"/>
  <c r="H98" i="1" s="1"/>
  <c r="J98" i="1" s="1"/>
  <c r="E106" i="1"/>
  <c r="E100" i="1"/>
  <c r="F100" i="1" s="1"/>
  <c r="G100" i="1" s="1"/>
  <c r="H100" i="1" s="1"/>
  <c r="I100" i="1" s="1"/>
  <c r="E105" i="1"/>
  <c r="E102" i="1"/>
  <c r="F102" i="1" s="1"/>
  <c r="G102" i="1" s="1"/>
  <c r="H102" i="1" s="1"/>
  <c r="J102" i="1" s="1"/>
  <c r="E104" i="1"/>
  <c r="E107" i="1"/>
  <c r="E109" i="1"/>
  <c r="E99" i="1"/>
  <c r="F99" i="1" s="1"/>
  <c r="G99" i="1" s="1"/>
  <c r="H99" i="1" s="1"/>
  <c r="I99" i="1" s="1"/>
  <c r="E101" i="1"/>
  <c r="F101" i="1" s="1"/>
  <c r="G101" i="1" s="1"/>
  <c r="H101" i="1" s="1"/>
  <c r="I101" i="1" s="1"/>
  <c r="I91" i="1"/>
  <c r="E83" i="1"/>
  <c r="G89" i="1"/>
  <c r="F103" i="1"/>
  <c r="G103" i="1" s="1"/>
  <c r="H103" i="1" s="1"/>
  <c r="F105" i="1"/>
  <c r="F104" i="1"/>
  <c r="F107" i="1"/>
  <c r="F108" i="1"/>
  <c r="F106" i="1"/>
  <c r="F109" i="1"/>
  <c r="H90" i="1" l="1"/>
  <c r="L91" i="1"/>
  <c r="H89" i="1"/>
  <c r="G106" i="1"/>
  <c r="H106" i="1" s="1"/>
  <c r="J106" i="1" s="1"/>
  <c r="G108" i="1"/>
  <c r="H108" i="1" s="1"/>
  <c r="I108" i="1" s="1"/>
  <c r="J91" i="1"/>
  <c r="K91" i="1"/>
  <c r="J99" i="1"/>
  <c r="J10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I104" i="1" s="1"/>
  <c r="J100" i="1"/>
  <c r="I90" i="1"/>
  <c r="I98" i="1"/>
  <c r="F110" i="1"/>
  <c r="J113" i="1" s="1"/>
  <c r="J103" i="1"/>
  <c r="I103" i="1"/>
  <c r="J90" i="1" l="1"/>
  <c r="K90" i="1"/>
  <c r="L90" i="1"/>
  <c r="J89" i="1"/>
  <c r="L89" i="1"/>
  <c r="K89" i="1"/>
  <c r="I106" i="1"/>
  <c r="J108" i="1"/>
  <c r="L88" i="1"/>
  <c r="J88" i="1"/>
  <c r="I105" i="1"/>
  <c r="I109" i="1"/>
  <c r="J104" i="1"/>
  <c r="H110" i="1"/>
  <c r="I107" i="1"/>
  <c r="K92" i="1" l="1"/>
  <c r="J92" i="1"/>
  <c r="B113" i="1" s="1"/>
  <c r="J116" i="1" s="1"/>
  <c r="L92" i="1"/>
  <c r="J110" i="1"/>
  <c r="I110" i="1"/>
  <c r="B114" i="1" l="1"/>
  <c r="D115" i="1"/>
  <c r="B115" i="1"/>
  <c r="D114" i="1"/>
  <c r="F114" i="1" l="1"/>
  <c r="H114" i="1" s="1"/>
  <c r="J114" i="1" s="1"/>
  <c r="F115" i="1"/>
  <c r="H115" i="1" s="1"/>
  <c r="J115" i="1" s="1"/>
  <c r="N115" i="1" l="1"/>
</calcChain>
</file>

<file path=xl/sharedStrings.xml><?xml version="1.0" encoding="utf-8"?>
<sst xmlns="http://schemas.openxmlformats.org/spreadsheetml/2006/main" count="126" uniqueCount="85">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</sst>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/>
    <xf numFmtId="164" fontId="3" fillId="0" borderId="0" xfId="0" applyNumberFormat="1" applyFont="1" applyFill="1" applyAlignment="1">
      <alignment horizontal="center"/>
    </xf>
    <xf numFmtId="166" fontId="3" fillId="0" borderId="0" xfId="0" applyNumberFormat="1" applyFont="1" applyFill="1"/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10</c:v>
                </c:pt>
                <c:pt idx="4">
                  <c:v>4</c:v>
                </c:pt>
                <c:pt idx="5" formatCode="General">
                  <c:v>10</c:v>
                </c:pt>
              </c:numCache>
            </c:numRef>
          </c:xVal>
          <c:yVal>
            <c:numRef>
              <c:f>Sheet1!$E$13:$E$24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Sheet1!$G$3:$G$4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xVal>
          <c:yVal>
            <c:numRef>
              <c:f>Sheet1!$H$3:$H$4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Sheet1!$E$49</c:f>
              <c:numCache>
                <c:formatCode>0.000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Sheet1!$C$57:$C$61</c:f>
              <c:numCache>
                <c:formatCode>0.000</c:formatCode>
                <c:ptCount val="5"/>
                <c:pt idx="0">
                  <c:v>4.2550277792010567</c:v>
                </c:pt>
                <c:pt idx="1">
                  <c:v>17.807390454451234</c:v>
                </c:pt>
                <c:pt idx="2">
                  <c:v>-4.2550277792010567</c:v>
                </c:pt>
                <c:pt idx="3">
                  <c:v>-17.807390454451234</c:v>
                </c:pt>
                <c:pt idx="4">
                  <c:v>4.2550277792010567</c:v>
                </c:pt>
              </c:numCache>
            </c:numRef>
          </c:xVal>
          <c:yVal>
            <c:numRef>
              <c:f>Sheet1!$D$57:$D$61</c:f>
              <c:numCache>
                <c:formatCode>0.000</c:formatCode>
                <c:ptCount val="5"/>
                <c:pt idx="0">
                  <c:v>-17.518411417655063</c:v>
                </c:pt>
                <c:pt idx="1">
                  <c:v>-2.8101325952202023</c:v>
                </c:pt>
                <c:pt idx="2">
                  <c:v>17.518411417655063</c:v>
                </c:pt>
                <c:pt idx="3">
                  <c:v>2.8101325952202023</c:v>
                </c:pt>
                <c:pt idx="4">
                  <c:v>-17.518411417655063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Sheet1!$F$64:$F$75</c:f>
              <c:numCache>
                <c:formatCode>0.000</c:formatCode>
                <c:ptCount val="12"/>
                <c:pt idx="0">
                  <c:v>4.02384454976412</c:v>
                </c:pt>
                <c:pt idx="1">
                  <c:v>12.155262154914226</c:v>
                </c:pt>
                <c:pt idx="2">
                  <c:v>-4.02384454976412</c:v>
                </c:pt>
                <c:pt idx="3">
                  <c:v>-8.0895533523391734</c:v>
                </c:pt>
                <c:pt idx="4">
                  <c:v>-12.155262154914226</c:v>
                </c:pt>
                <c:pt idx="5">
                  <c:v>8.0895533523391734</c:v>
                </c:pt>
                <c:pt idx="6">
                  <c:v>4.2550277792010567</c:v>
                </c:pt>
                <c:pt idx="7">
                  <c:v>4.2550277792010567</c:v>
                </c:pt>
                <c:pt idx="8">
                  <c:v>4.2550277792010567</c:v>
                </c:pt>
                <c:pt idx="9">
                  <c:v>4.2550277792010567</c:v>
                </c:pt>
                <c:pt idx="10">
                  <c:v>4.2550277792010567</c:v>
                </c:pt>
                <c:pt idx="11">
                  <c:v>4.2550277792010567</c:v>
                </c:pt>
              </c:numCache>
            </c:numRef>
          </c:xVal>
          <c:yVal>
            <c:numRef>
              <c:f>Sheet1!$G$64:$G$75</c:f>
              <c:numCache>
                <c:formatCode>0.000</c:formatCode>
                <c:ptCount val="12"/>
                <c:pt idx="0">
                  <c:v>-11.866283118118055</c:v>
                </c:pt>
                <c:pt idx="1">
                  <c:v>-3.041315824657139</c:v>
                </c:pt>
                <c:pt idx="2">
                  <c:v>11.866283118118055</c:v>
                </c:pt>
                <c:pt idx="3">
                  <c:v>7.4537994713875975</c:v>
                </c:pt>
                <c:pt idx="4">
                  <c:v>3.041315824657139</c:v>
                </c:pt>
                <c:pt idx="5">
                  <c:v>-7.4537994713875975</c:v>
                </c:pt>
                <c:pt idx="6">
                  <c:v>-17.518411417655063</c:v>
                </c:pt>
                <c:pt idx="7">
                  <c:v>-17.518411417655063</c:v>
                </c:pt>
                <c:pt idx="8">
                  <c:v>-17.518411417655063</c:v>
                </c:pt>
                <c:pt idx="9">
                  <c:v>-17.518411417655063</c:v>
                </c:pt>
                <c:pt idx="10">
                  <c:v>-17.518411417655063</c:v>
                </c:pt>
                <c:pt idx="11">
                  <c:v>-17.518411417655063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Sheet1!$D$78:$D$79</c:f>
              <c:numCache>
                <c:formatCode>0.000</c:formatCode>
                <c:ptCount val="2"/>
                <c:pt idx="0">
                  <c:v>-17.807390454451234</c:v>
                </c:pt>
                <c:pt idx="1">
                  <c:v>17.807390454451234</c:v>
                </c:pt>
              </c:numCache>
            </c:numRef>
          </c:xVal>
          <c:yVal>
            <c:numRef>
              <c:f>Sheet1!$E$78:$E$79</c:f>
              <c:numCache>
                <c:formatCode>0.000</c:formatCode>
                <c:ptCount val="2"/>
                <c:pt idx="0">
                  <c:v>-8.2717765082663242</c:v>
                </c:pt>
                <c:pt idx="1">
                  <c:v>-8.2717765082663242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Sheet1!$D$82:$D$83</c:f>
              <c:numCache>
                <c:formatCode>0.000</c:formatCode>
                <c:ptCount val="2"/>
                <c:pt idx="0">
                  <c:v>-17.807390454451234</c:v>
                </c:pt>
                <c:pt idx="1">
                  <c:v>17.807390454451234</c:v>
                </c:pt>
              </c:numCache>
            </c:numRef>
          </c:xVal>
          <c:yVal>
            <c:numRef>
              <c:f>Sheet1!$E$82:$E$83</c:f>
              <c:numCache>
                <c:formatCode>0.000</c:formatCode>
                <c:ptCount val="2"/>
                <c:pt idx="0">
                  <c:v>-3.113738923082046</c:v>
                </c:pt>
                <c:pt idx="1">
                  <c:v>-3.113738923082046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Sheet1!$H$88:$H$91</c:f>
              <c:numCache>
                <c:formatCode>0.000</c:formatCode>
                <c:ptCount val="4"/>
                <c:pt idx="0">
                  <c:v>17.527644393381969</c:v>
                </c:pt>
                <c:pt idx="1">
                  <c:v>#N/A</c:v>
                </c:pt>
                <c:pt idx="2">
                  <c:v>#N/A</c:v>
                </c:pt>
                <c:pt idx="3">
                  <c:v>-11.37825657666696</c:v>
                </c:pt>
              </c:numCache>
            </c:numRef>
          </c:xVal>
          <c:yVal>
            <c:numRef>
              <c:f>Sheet1!$I$88:$I$91</c:f>
              <c:numCache>
                <c:formatCode>0.000</c:formatCode>
                <c:ptCount val="4"/>
                <c:pt idx="0">
                  <c:v>-3.113738923082046</c:v>
                </c:pt>
                <c:pt idx="1">
                  <c:v>#N/A</c:v>
                </c:pt>
                <c:pt idx="2">
                  <c:v>#N/A</c:v>
                </c:pt>
                <c:pt idx="3">
                  <c:v>-3.113738923082046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Sheet1!$T$59:$T$60</c:f>
              <c:numCache>
                <c:formatCode>General</c:formatCode>
                <c:ptCount val="2"/>
                <c:pt idx="0">
                  <c:v>17.807390454451234</c:v>
                </c:pt>
                <c:pt idx="1">
                  <c:v>-17.807390454451234</c:v>
                </c:pt>
              </c:numCache>
            </c:numRef>
          </c:xVal>
          <c:yVal>
            <c:numRef>
              <c:f>Sheet1!$U$59:$U$60</c:f>
              <c:numCache>
                <c:formatCode>General</c:formatCode>
                <c:ptCount val="2"/>
                <c:pt idx="0">
                  <c:v>17.807390454451234</c:v>
                </c:pt>
                <c:pt idx="1">
                  <c:v>-17.807390454451234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838201</xdr:colOff>
      <xdr:row>44</xdr:row>
      <xdr:rowOff>150187</xdr:rowOff>
    </xdr:from>
    <xdr:to>
      <xdr:col>18</xdr:col>
      <xdr:colOff>209550</xdr:colOff>
      <xdr:row>78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118</xdr:row>
          <xdr:rowOff>85725</xdr:rowOff>
        </xdr:from>
        <xdr:to>
          <xdr:col>5</xdr:col>
          <xdr:colOff>819150</xdr:colOff>
          <xdr:row>121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U146"/>
  <sheetViews>
    <sheetView tabSelected="1" topLeftCell="A48" workbookViewId="0">
      <selection activeCell="B119" sqref="B119"/>
    </sheetView>
  </sheetViews>
  <sheetFormatPr defaultRowHeight="15" x14ac:dyDescent="0.25"/>
  <cols>
    <col min="1" max="1" width="16.42578125" customWidth="1"/>
    <col min="2" max="2" width="18.570312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5703125" bestFit="1" customWidth="1"/>
    <col min="8" max="8" width="14.42578125" bestFit="1" customWidth="1"/>
    <col min="9" max="9" width="13.42578125" bestFit="1" customWidth="1"/>
    <col min="11" max="11" width="11.7109375" customWidth="1"/>
    <col min="14" max="14" width="12.42578125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5">
        <f>(POWER(145,1.5)*33*SQRT(1000*B2))/1000</f>
        <v>4074.2806880478911</v>
      </c>
      <c r="C3" t="s">
        <v>5</v>
      </c>
      <c r="D3" s="8">
        <v>0</v>
      </c>
      <c r="E3" s="8">
        <v>0</v>
      </c>
      <c r="G3" s="9">
        <f>MAX(MAX(D3:D7),MAX(E3:E7))</f>
        <v>30</v>
      </c>
      <c r="H3" s="9">
        <f>G3</f>
        <v>30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8">
        <f>B5</f>
        <v>20</v>
      </c>
      <c r="E4" s="8">
        <v>0</v>
      </c>
      <c r="G4">
        <v>-1</v>
      </c>
      <c r="H4">
        <v>-1</v>
      </c>
    </row>
    <row r="5" spans="1:8" x14ac:dyDescent="0.25">
      <c r="A5" s="2" t="s">
        <v>2</v>
      </c>
      <c r="B5" s="6">
        <v>20</v>
      </c>
      <c r="C5" t="s">
        <v>6</v>
      </c>
      <c r="D5" s="8">
        <f>B5</f>
        <v>20</v>
      </c>
      <c r="E5" s="8">
        <f>B6</f>
        <v>30</v>
      </c>
      <c r="G5" t="s">
        <v>33</v>
      </c>
    </row>
    <row r="6" spans="1:8" x14ac:dyDescent="0.25">
      <c r="A6" s="2" t="s">
        <v>3</v>
      </c>
      <c r="B6" s="6">
        <v>30</v>
      </c>
      <c r="C6" t="s">
        <v>6</v>
      </c>
      <c r="D6" s="8">
        <v>0</v>
      </c>
      <c r="E6" s="8">
        <f>B6</f>
        <v>30</v>
      </c>
      <c r="G6" t="s">
        <v>0</v>
      </c>
      <c r="H6" t="s">
        <v>1</v>
      </c>
    </row>
    <row r="7" spans="1:8" x14ac:dyDescent="0.25">
      <c r="D7" s="8">
        <v>0</v>
      </c>
      <c r="E7" s="8">
        <v>0</v>
      </c>
      <c r="G7">
        <f>B5/2</f>
        <v>10</v>
      </c>
      <c r="H7">
        <f>B6/2</f>
        <v>15</v>
      </c>
    </row>
    <row r="9" spans="1:8" x14ac:dyDescent="0.25">
      <c r="A9" t="s">
        <v>8</v>
      </c>
    </row>
    <row r="10" spans="1:8" x14ac:dyDescent="0.25">
      <c r="A10" t="s">
        <v>9</v>
      </c>
      <c r="B10" s="6">
        <v>60</v>
      </c>
      <c r="C10" t="s">
        <v>5</v>
      </c>
    </row>
    <row r="11" spans="1:8" x14ac:dyDescent="0.25">
      <c r="A11" t="s">
        <v>12</v>
      </c>
      <c r="B11" s="5">
        <v>29000</v>
      </c>
      <c r="C11" t="s">
        <v>5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</row>
    <row r="13" spans="1:8" x14ac:dyDescent="0.25">
      <c r="A13">
        <v>1</v>
      </c>
      <c r="B13" s="3">
        <v>10</v>
      </c>
      <c r="C13" s="7">
        <f ca="1">OFFSET(Reference!A$1,MATCH(Sheet1!B13,Reference!A$1:A$12,0)-1,2)</f>
        <v>1.27</v>
      </c>
      <c r="D13" s="6">
        <v>4</v>
      </c>
      <c r="E13" s="6">
        <v>4</v>
      </c>
    </row>
    <row r="14" spans="1:8" x14ac:dyDescent="0.25">
      <c r="A14">
        <v>2</v>
      </c>
      <c r="B14" s="3">
        <v>10</v>
      </c>
      <c r="C14" s="7">
        <f ca="1">OFFSET(Reference!A$1,MATCH(Sheet1!B14,Reference!A$1:A$12,0)-1,2)</f>
        <v>1.27</v>
      </c>
      <c r="D14" s="6">
        <v>16</v>
      </c>
      <c r="E14" s="6">
        <v>4</v>
      </c>
    </row>
    <row r="15" spans="1:8" x14ac:dyDescent="0.25">
      <c r="A15">
        <v>3</v>
      </c>
      <c r="B15" s="3">
        <v>10</v>
      </c>
      <c r="C15" s="7">
        <f ca="1">OFFSET(Reference!A$1,MATCH(Sheet1!B15,Reference!A$1:A$12,0)-1,2)</f>
        <v>1.27</v>
      </c>
      <c r="D15" s="6">
        <v>16</v>
      </c>
      <c r="E15" s="6">
        <v>26</v>
      </c>
    </row>
    <row r="16" spans="1:8" x14ac:dyDescent="0.25">
      <c r="A16">
        <v>4</v>
      </c>
      <c r="B16" s="3">
        <v>10</v>
      </c>
      <c r="C16" s="7">
        <f ca="1">OFFSET(Reference!A$1,MATCH(Sheet1!B16,Reference!A$1:A$12,0)-1,2)</f>
        <v>1.27</v>
      </c>
      <c r="D16" s="6">
        <v>10</v>
      </c>
      <c r="E16" s="6">
        <v>26</v>
      </c>
    </row>
    <row r="17" spans="1:5" x14ac:dyDescent="0.25">
      <c r="A17">
        <v>5</v>
      </c>
      <c r="B17" s="3">
        <v>10</v>
      </c>
      <c r="C17" s="7">
        <f ca="1">OFFSET(Reference!A$1,MATCH(Sheet1!B17,Reference!A$1:A$12,0)-1,2)</f>
        <v>1.27</v>
      </c>
      <c r="D17" s="6">
        <v>4</v>
      </c>
      <c r="E17" s="6">
        <v>26</v>
      </c>
    </row>
    <row r="18" spans="1:5" x14ac:dyDescent="0.25">
      <c r="A18">
        <v>6</v>
      </c>
      <c r="B18" s="3">
        <v>10</v>
      </c>
      <c r="C18" s="7">
        <f ca="1">OFFSET(Reference!A$1,MATCH(Sheet1!B18,Reference!A$1:A$12,0)-1,2)</f>
        <v>1.27</v>
      </c>
      <c r="D18" s="4">
        <v>10</v>
      </c>
      <c r="E18" s="4">
        <v>4</v>
      </c>
    </row>
    <row r="19" spans="1:5" x14ac:dyDescent="0.25">
      <c r="A19">
        <v>7</v>
      </c>
      <c r="B19" s="3">
        <v>0</v>
      </c>
      <c r="C19" s="7">
        <f ca="1">OFFSET(Reference!A$1,MATCH(Sheet1!B19,Reference!A$1:A$12,0)-1,2)</f>
        <v>0</v>
      </c>
      <c r="D19" s="4"/>
      <c r="E19" s="4"/>
    </row>
    <row r="20" spans="1:5" x14ac:dyDescent="0.25">
      <c r="A20">
        <v>8</v>
      </c>
      <c r="B20" s="3">
        <v>0</v>
      </c>
      <c r="C20" s="7">
        <f ca="1">OFFSET(Reference!A$1,MATCH(Sheet1!B20,Reference!A$1:A$12,0)-1,2)</f>
        <v>0</v>
      </c>
      <c r="D20" s="4"/>
      <c r="E20" s="4"/>
    </row>
    <row r="21" spans="1:5" x14ac:dyDescent="0.25">
      <c r="A21">
        <v>9</v>
      </c>
      <c r="B21" s="3">
        <v>0</v>
      </c>
      <c r="C21" s="7">
        <f ca="1">OFFSET(Reference!A$1,MATCH(Sheet1!B21,Reference!A$1:A$12,0)-1,2)</f>
        <v>0</v>
      </c>
      <c r="D21" s="4"/>
      <c r="E21" s="4"/>
    </row>
    <row r="22" spans="1:5" x14ac:dyDescent="0.25">
      <c r="A22">
        <v>10</v>
      </c>
      <c r="B22" s="3">
        <v>0</v>
      </c>
      <c r="C22" s="7">
        <f ca="1">OFFSET(Reference!A$1,MATCH(Sheet1!B22,Reference!A$1:A$12,0)-1,2)</f>
        <v>0</v>
      </c>
      <c r="D22" s="4"/>
      <c r="E22" s="4"/>
    </row>
    <row r="23" spans="1:5" x14ac:dyDescent="0.25">
      <c r="A23">
        <v>11</v>
      </c>
      <c r="B23" s="3">
        <v>0</v>
      </c>
      <c r="C23" s="7">
        <f ca="1">OFFSET(Reference!A$1,MATCH(Sheet1!B23,Reference!A$1:A$12,0)-1,2)</f>
        <v>0</v>
      </c>
      <c r="D23" s="4"/>
      <c r="E23" s="4"/>
    </row>
    <row r="24" spans="1:5" x14ac:dyDescent="0.25">
      <c r="A24">
        <v>12</v>
      </c>
      <c r="B24" s="3">
        <v>0</v>
      </c>
      <c r="C24" s="7">
        <f ca="1">OFFSET(Reference!A$1,MATCH(Sheet1!B24,Reference!A$1:A$12,0)-1,2)</f>
        <v>0</v>
      </c>
      <c r="D24" s="4"/>
      <c r="E24" s="4"/>
    </row>
    <row r="26" spans="1:5" x14ac:dyDescent="0.25">
      <c r="A26" s="31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600</v>
      </c>
      <c r="C28" t="s">
        <v>18</v>
      </c>
    </row>
    <row r="29" spans="1:5" x14ac:dyDescent="0.25">
      <c r="A29" s="2" t="s">
        <v>19</v>
      </c>
      <c r="B29">
        <f>B28*B2</f>
        <v>3000</v>
      </c>
      <c r="C29" t="s">
        <v>20</v>
      </c>
    </row>
    <row r="30" spans="1:5" x14ac:dyDescent="0.25">
      <c r="A30" s="2" t="s">
        <v>21</v>
      </c>
      <c r="B30">
        <f>B29*(B6/2)</f>
        <v>45000</v>
      </c>
      <c r="C30" t="s">
        <v>23</v>
      </c>
    </row>
    <row r="31" spans="1:5" x14ac:dyDescent="0.25">
      <c r="A31" s="2" t="s">
        <v>22</v>
      </c>
      <c r="B31">
        <f>B29*(B5/2)</f>
        <v>30000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10">
        <f ca="1">C13</f>
        <v>1.27</v>
      </c>
      <c r="C34" s="9">
        <f>($B$10-($B$2))</f>
        <v>55</v>
      </c>
      <c r="D34" s="9">
        <f ca="1">B34*C34</f>
        <v>69.849999999999994</v>
      </c>
      <c r="E34" s="9">
        <f ca="1">D34*E13</f>
        <v>279.39999999999998</v>
      </c>
      <c r="F34" s="9">
        <f ca="1">D34*D13</f>
        <v>279.39999999999998</v>
      </c>
    </row>
    <row r="35" spans="1:6" x14ac:dyDescent="0.25">
      <c r="A35">
        <f t="shared" ref="A35:A45" si="0">A14</f>
        <v>2</v>
      </c>
      <c r="B35" s="10">
        <f t="shared" ref="B35:B45" ca="1" si="1">C14</f>
        <v>1.27</v>
      </c>
      <c r="C35" s="9">
        <f t="shared" ref="C35:C45" si="2">($B$10-($B$2))</f>
        <v>55</v>
      </c>
      <c r="D35" s="9">
        <f t="shared" ref="D35:D45" ca="1" si="3">B35*C35</f>
        <v>69.849999999999994</v>
      </c>
      <c r="E35" s="9">
        <f t="shared" ref="E35:E45" ca="1" si="4">D35*E14</f>
        <v>279.39999999999998</v>
      </c>
      <c r="F35" s="9">
        <f t="shared" ref="F35:F45" ca="1" si="5">D35*D14</f>
        <v>1117.5999999999999</v>
      </c>
    </row>
    <row r="36" spans="1:6" x14ac:dyDescent="0.25">
      <c r="A36">
        <f t="shared" si="0"/>
        <v>3</v>
      </c>
      <c r="B36" s="10">
        <f t="shared" ca="1" si="1"/>
        <v>1.27</v>
      </c>
      <c r="C36" s="9">
        <f t="shared" si="2"/>
        <v>55</v>
      </c>
      <c r="D36" s="9">
        <f t="shared" ca="1" si="3"/>
        <v>69.849999999999994</v>
      </c>
      <c r="E36" s="9">
        <f t="shared" ca="1" si="4"/>
        <v>1816.1</v>
      </c>
      <c r="F36" s="9">
        <f t="shared" ca="1" si="5"/>
        <v>1117.5999999999999</v>
      </c>
    </row>
    <row r="37" spans="1:6" x14ac:dyDescent="0.25">
      <c r="A37">
        <f t="shared" si="0"/>
        <v>4</v>
      </c>
      <c r="B37" s="10">
        <f t="shared" ca="1" si="1"/>
        <v>1.27</v>
      </c>
      <c r="C37" s="9">
        <f t="shared" si="2"/>
        <v>55</v>
      </c>
      <c r="D37" s="9">
        <f t="shared" ca="1" si="3"/>
        <v>69.849999999999994</v>
      </c>
      <c r="E37" s="9">
        <f t="shared" ca="1" si="4"/>
        <v>1816.1</v>
      </c>
      <c r="F37" s="9">
        <f t="shared" ca="1" si="5"/>
        <v>698.5</v>
      </c>
    </row>
    <row r="38" spans="1:6" x14ac:dyDescent="0.25">
      <c r="A38">
        <f t="shared" si="0"/>
        <v>5</v>
      </c>
      <c r="B38" s="10">
        <f t="shared" ca="1" si="1"/>
        <v>1.27</v>
      </c>
      <c r="C38" s="9">
        <f t="shared" si="2"/>
        <v>55</v>
      </c>
      <c r="D38" s="9">
        <f t="shared" ca="1" si="3"/>
        <v>69.849999999999994</v>
      </c>
      <c r="E38" s="9">
        <f t="shared" ca="1" si="4"/>
        <v>1816.1</v>
      </c>
      <c r="F38" s="9">
        <f t="shared" ca="1" si="5"/>
        <v>279.39999999999998</v>
      </c>
    </row>
    <row r="39" spans="1:6" x14ac:dyDescent="0.25">
      <c r="A39">
        <f t="shared" si="0"/>
        <v>6</v>
      </c>
      <c r="B39" s="10">
        <f t="shared" ca="1" si="1"/>
        <v>1.27</v>
      </c>
      <c r="C39" s="9">
        <f t="shared" si="2"/>
        <v>55</v>
      </c>
      <c r="D39" s="9">
        <f t="shared" ca="1" si="3"/>
        <v>69.849999999999994</v>
      </c>
      <c r="E39" s="9">
        <f t="shared" ca="1" si="4"/>
        <v>279.39999999999998</v>
      </c>
      <c r="F39" s="9">
        <f t="shared" ca="1" si="5"/>
        <v>698.5</v>
      </c>
    </row>
    <row r="40" spans="1:6" x14ac:dyDescent="0.25">
      <c r="A40">
        <f t="shared" si="0"/>
        <v>7</v>
      </c>
      <c r="B40" s="10">
        <f t="shared" ca="1" si="1"/>
        <v>0</v>
      </c>
      <c r="C40" s="9">
        <f t="shared" si="2"/>
        <v>55</v>
      </c>
      <c r="D40" s="9">
        <f t="shared" ca="1" si="3"/>
        <v>0</v>
      </c>
      <c r="E40" s="9">
        <f t="shared" ca="1" si="4"/>
        <v>0</v>
      </c>
      <c r="F40" s="9">
        <f t="shared" ca="1" si="5"/>
        <v>0</v>
      </c>
    </row>
    <row r="41" spans="1:6" x14ac:dyDescent="0.25">
      <c r="A41">
        <f t="shared" si="0"/>
        <v>8</v>
      </c>
      <c r="B41" s="10">
        <f t="shared" ca="1" si="1"/>
        <v>0</v>
      </c>
      <c r="C41" s="9">
        <f t="shared" si="2"/>
        <v>55</v>
      </c>
      <c r="D41" s="9">
        <f t="shared" ca="1" si="3"/>
        <v>0</v>
      </c>
      <c r="E41" s="9">
        <f t="shared" ca="1" si="4"/>
        <v>0</v>
      </c>
      <c r="F41" s="9">
        <f t="shared" ca="1" si="5"/>
        <v>0</v>
      </c>
    </row>
    <row r="42" spans="1:6" x14ac:dyDescent="0.25">
      <c r="A42">
        <f t="shared" si="0"/>
        <v>9</v>
      </c>
      <c r="B42" s="10">
        <f t="shared" ca="1" si="1"/>
        <v>0</v>
      </c>
      <c r="C42" s="9">
        <f t="shared" si="2"/>
        <v>55</v>
      </c>
      <c r="D42" s="9">
        <f t="shared" ca="1" si="3"/>
        <v>0</v>
      </c>
      <c r="E42" s="9">
        <f t="shared" ca="1" si="4"/>
        <v>0</v>
      </c>
      <c r="F42" s="9">
        <f t="shared" ca="1" si="5"/>
        <v>0</v>
      </c>
    </row>
    <row r="43" spans="1:6" x14ac:dyDescent="0.25">
      <c r="A43">
        <f t="shared" si="0"/>
        <v>10</v>
      </c>
      <c r="B43" s="10">
        <f t="shared" ca="1" si="1"/>
        <v>0</v>
      </c>
      <c r="C43" s="9">
        <f t="shared" si="2"/>
        <v>55</v>
      </c>
      <c r="D43" s="9">
        <f t="shared" ca="1" si="3"/>
        <v>0</v>
      </c>
      <c r="E43" s="9">
        <f t="shared" ca="1" si="4"/>
        <v>0</v>
      </c>
      <c r="F43" s="9">
        <f t="shared" ca="1" si="5"/>
        <v>0</v>
      </c>
    </row>
    <row r="44" spans="1:6" x14ac:dyDescent="0.25">
      <c r="A44">
        <f t="shared" si="0"/>
        <v>11</v>
      </c>
      <c r="B44" s="10">
        <f t="shared" ca="1" si="1"/>
        <v>0</v>
      </c>
      <c r="C44" s="9">
        <f t="shared" si="2"/>
        <v>55</v>
      </c>
      <c r="D44" s="9">
        <f t="shared" ca="1" si="3"/>
        <v>0</v>
      </c>
      <c r="E44" s="9">
        <f t="shared" ca="1" si="4"/>
        <v>0</v>
      </c>
      <c r="F44" s="9">
        <f t="shared" ca="1" si="5"/>
        <v>0</v>
      </c>
    </row>
    <row r="45" spans="1:6" ht="15.75" thickBot="1" x14ac:dyDescent="0.3">
      <c r="A45">
        <f t="shared" si="0"/>
        <v>12</v>
      </c>
      <c r="B45" s="10">
        <f t="shared" ca="1" si="1"/>
        <v>0</v>
      </c>
      <c r="C45" s="9">
        <f t="shared" si="2"/>
        <v>55</v>
      </c>
      <c r="D45" s="30">
        <f t="shared" ca="1" si="3"/>
        <v>0</v>
      </c>
      <c r="E45" s="30">
        <f t="shared" ca="1" si="4"/>
        <v>0</v>
      </c>
      <c r="F45" s="30">
        <f t="shared" ca="1" si="5"/>
        <v>0</v>
      </c>
    </row>
    <row r="46" spans="1:6" ht="15.75" thickTop="1" x14ac:dyDescent="0.25">
      <c r="C46" s="9"/>
      <c r="D46" s="9">
        <f ca="1">SUM(D34:D45)</f>
        <v>419.1</v>
      </c>
      <c r="E46" s="9">
        <f t="shared" ref="E46:F46" ca="1" si="6">SUM(E34:E45)</f>
        <v>6286.5</v>
      </c>
      <c r="F46" s="9">
        <f t="shared" ca="1" si="6"/>
        <v>4191</v>
      </c>
    </row>
    <row r="48" spans="1:6" x14ac:dyDescent="0.25">
      <c r="A48" s="2" t="s">
        <v>28</v>
      </c>
      <c r="B48" s="9">
        <f ca="1">B29+D46</f>
        <v>3419.1</v>
      </c>
      <c r="D48" t="s">
        <v>31</v>
      </c>
      <c r="E48" t="s">
        <v>32</v>
      </c>
    </row>
    <row r="49" spans="1:21" x14ac:dyDescent="0.25">
      <c r="A49" s="2" t="s">
        <v>29</v>
      </c>
      <c r="B49" s="9">
        <f ca="1">E46+B30</f>
        <v>51286.5</v>
      </c>
      <c r="D49" s="1">
        <f ca="1">B50/B48</f>
        <v>10</v>
      </c>
      <c r="E49" s="7">
        <f ca="1">B49/B48</f>
        <v>15</v>
      </c>
    </row>
    <row r="50" spans="1:21" x14ac:dyDescent="0.25">
      <c r="A50" s="2" t="s">
        <v>30</v>
      </c>
      <c r="B50" s="9">
        <f ca="1">F46+B31</f>
        <v>34191</v>
      </c>
    </row>
    <row r="52" spans="1:21" x14ac:dyDescent="0.25">
      <c r="A52" s="32" t="s">
        <v>34</v>
      </c>
    </row>
    <row r="53" spans="1:21" x14ac:dyDescent="0.25">
      <c r="A53" s="2" t="s">
        <v>36</v>
      </c>
      <c r="B53" s="4">
        <v>-47.342205168619422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9">
        <f ca="1">D3-$D$49</f>
        <v>-10</v>
      </c>
      <c r="B57" s="10">
        <f ca="1">E3-$E$49</f>
        <v>-15</v>
      </c>
      <c r="C57" s="7">
        <f ca="1">A57*COS(RADIANS($B$53))+B57*SIN(RADIANS($B$53))</f>
        <v>4.2550277792010567</v>
      </c>
      <c r="D57" s="7">
        <f ca="1">-1*A57*SIN(RADIANS($B$53))+B57*COS(RADIANS($B$53))</f>
        <v>-17.518411417655063</v>
      </c>
      <c r="F57" t="s">
        <v>40</v>
      </c>
      <c r="G57">
        <f ca="1">MAX(D57:D61)-MIN(D57:D61)</f>
        <v>35.036822835310126</v>
      </c>
      <c r="H57" t="s">
        <v>6</v>
      </c>
      <c r="T57" t="s">
        <v>82</v>
      </c>
    </row>
    <row r="58" spans="1:21" x14ac:dyDescent="0.25">
      <c r="A58" s="9">
        <f ca="1">D4-$D$49</f>
        <v>10</v>
      </c>
      <c r="B58" s="10">
        <f t="shared" ref="B58:B61" ca="1" si="7">E4-$E$49</f>
        <v>-15</v>
      </c>
      <c r="C58" s="7">
        <f t="shared" ref="C58:C61" ca="1" si="8">A58*COS(RADIANS($B$53))+B58*SIN(RADIANS($B$53))</f>
        <v>17.807390454451234</v>
      </c>
      <c r="D58" s="7">
        <f t="shared" ref="D58:D61" ca="1" si="9">-1*A58*SIN(RADIANS($B$53))+B58*COS(RADIANS($B$53))</f>
        <v>-2.8101325952202023</v>
      </c>
      <c r="F58" t="s">
        <v>62</v>
      </c>
      <c r="G58" s="10">
        <f ca="1">MAX(D57:D61)</f>
        <v>17.518411417655063</v>
      </c>
      <c r="T58" t="s">
        <v>0</v>
      </c>
      <c r="U58" t="s">
        <v>1</v>
      </c>
    </row>
    <row r="59" spans="1:21" x14ac:dyDescent="0.25">
      <c r="A59" s="9">
        <f ca="1">D5-$D$49</f>
        <v>10</v>
      </c>
      <c r="B59" s="10">
        <f t="shared" ca="1" si="7"/>
        <v>15</v>
      </c>
      <c r="C59" s="7">
        <f t="shared" ca="1" si="8"/>
        <v>-4.2550277792010567</v>
      </c>
      <c r="D59" s="7">
        <f t="shared" ca="1" si="9"/>
        <v>17.518411417655063</v>
      </c>
      <c r="T59">
        <f ca="1">MAX(MAX(C57:C61),MAX(D57:D61))</f>
        <v>17.807390454451234</v>
      </c>
      <c r="U59">
        <f ca="1">T59</f>
        <v>17.807390454451234</v>
      </c>
    </row>
    <row r="60" spans="1:21" x14ac:dyDescent="0.25">
      <c r="A60" s="9">
        <f ca="1">D6-$D$49</f>
        <v>-10</v>
      </c>
      <c r="B60" s="10">
        <f t="shared" ca="1" si="7"/>
        <v>15</v>
      </c>
      <c r="C60" s="7">
        <f t="shared" ca="1" si="8"/>
        <v>-17.807390454451234</v>
      </c>
      <c r="D60" s="7">
        <f t="shared" ca="1" si="9"/>
        <v>2.8101325952202023</v>
      </c>
      <c r="T60">
        <f ca="1">-1*T59</f>
        <v>-17.807390454451234</v>
      </c>
      <c r="U60">
        <f ca="1">-1*U59</f>
        <v>-17.807390454451234</v>
      </c>
    </row>
    <row r="61" spans="1:21" x14ac:dyDescent="0.25">
      <c r="A61" s="9">
        <f ca="1">D7-$D$49</f>
        <v>-10</v>
      </c>
      <c r="B61" s="10">
        <f t="shared" ca="1" si="7"/>
        <v>-15</v>
      </c>
      <c r="C61" s="7">
        <f t="shared" ca="1" si="8"/>
        <v>4.2550277792010567</v>
      </c>
      <c r="D61" s="7">
        <f t="shared" ca="1" si="9"/>
        <v>-17.518411417655063</v>
      </c>
    </row>
    <row r="62" spans="1:21" x14ac:dyDescent="0.25">
      <c r="A62" s="9"/>
    </row>
    <row r="63" spans="1:21" x14ac:dyDescent="0.25">
      <c r="A63" s="33" t="s">
        <v>24</v>
      </c>
      <c r="F63" s="1" t="s">
        <v>37</v>
      </c>
      <c r="G63" s="1" t="s">
        <v>38</v>
      </c>
    </row>
    <row r="64" spans="1:21" x14ac:dyDescent="0.25">
      <c r="A64" s="11">
        <f t="shared" ref="A64:C75" si="10">A13</f>
        <v>1</v>
      </c>
      <c r="B64" s="9">
        <f t="shared" si="10"/>
        <v>10</v>
      </c>
      <c r="C64" s="9">
        <f t="shared" ca="1" si="10"/>
        <v>1.27</v>
      </c>
      <c r="D64" s="9">
        <f ca="1">D13-$D$49</f>
        <v>-6</v>
      </c>
      <c r="E64" s="9">
        <f ca="1">E13-$E$49</f>
        <v>-11</v>
      </c>
      <c r="F64" s="7">
        <f ca="1">D64*COS(RADIANS($B$53))+E64*SIN(RADIANS($B$53))</f>
        <v>4.02384454976412</v>
      </c>
      <c r="G64" s="7">
        <f ca="1">-1*D64*SIN(RADIANS($B$53))+E64*COS(RADIANS($B$53))</f>
        <v>-11.866283118118055</v>
      </c>
    </row>
    <row r="65" spans="1:7" x14ac:dyDescent="0.25">
      <c r="A65" s="11">
        <f t="shared" si="10"/>
        <v>2</v>
      </c>
      <c r="B65" s="9">
        <f t="shared" si="10"/>
        <v>10</v>
      </c>
      <c r="C65" s="9">
        <f t="shared" ca="1" si="10"/>
        <v>1.27</v>
      </c>
      <c r="D65" s="9">
        <f t="shared" ref="D65:D75" ca="1" si="11">D14-$D$49</f>
        <v>6</v>
      </c>
      <c r="E65" s="9">
        <f t="shared" ref="E65:E75" ca="1" si="12">E14-$E$49</f>
        <v>-11</v>
      </c>
      <c r="F65" s="7">
        <f t="shared" ref="F65:F75" ca="1" si="13">D65*COS(RADIANS($B$53))+E65*SIN(RADIANS($B$53))</f>
        <v>12.155262154914226</v>
      </c>
      <c r="G65" s="7">
        <f t="shared" ref="G65:G75" ca="1" si="14">-1*D65*SIN(RADIANS($B$53))+E65*COS(RADIANS($B$53))</f>
        <v>-3.041315824657139</v>
      </c>
    </row>
    <row r="66" spans="1:7" x14ac:dyDescent="0.25">
      <c r="A66" s="11">
        <f t="shared" si="10"/>
        <v>3</v>
      </c>
      <c r="B66" s="9">
        <f t="shared" si="10"/>
        <v>10</v>
      </c>
      <c r="C66" s="9">
        <f t="shared" ca="1" si="10"/>
        <v>1.27</v>
      </c>
      <c r="D66" s="9">
        <f t="shared" ca="1" si="11"/>
        <v>6</v>
      </c>
      <c r="E66" s="9">
        <f t="shared" ca="1" si="12"/>
        <v>11</v>
      </c>
      <c r="F66" s="7">
        <f t="shared" ca="1" si="13"/>
        <v>-4.02384454976412</v>
      </c>
      <c r="G66" s="7">
        <f t="shared" ca="1" si="14"/>
        <v>11.866283118118055</v>
      </c>
    </row>
    <row r="67" spans="1:7" x14ac:dyDescent="0.25">
      <c r="A67" s="11">
        <f t="shared" si="10"/>
        <v>4</v>
      </c>
      <c r="B67" s="9">
        <f t="shared" si="10"/>
        <v>10</v>
      </c>
      <c r="C67" s="9">
        <f t="shared" ca="1" si="10"/>
        <v>1.27</v>
      </c>
      <c r="D67" s="9">
        <f t="shared" ca="1" si="11"/>
        <v>0</v>
      </c>
      <c r="E67" s="9">
        <f t="shared" ca="1" si="12"/>
        <v>11</v>
      </c>
      <c r="F67" s="7">
        <f t="shared" ca="1" si="13"/>
        <v>-8.0895533523391734</v>
      </c>
      <c r="G67" s="7">
        <f t="shared" ca="1" si="14"/>
        <v>7.4537994713875975</v>
      </c>
    </row>
    <row r="68" spans="1:7" x14ac:dyDescent="0.25">
      <c r="A68" s="11">
        <f t="shared" si="10"/>
        <v>5</v>
      </c>
      <c r="B68" s="9">
        <f t="shared" si="10"/>
        <v>10</v>
      </c>
      <c r="C68" s="9">
        <f t="shared" ca="1" si="10"/>
        <v>1.27</v>
      </c>
      <c r="D68" s="9">
        <f t="shared" ca="1" si="11"/>
        <v>-6</v>
      </c>
      <c r="E68" s="9">
        <f t="shared" ca="1" si="12"/>
        <v>11</v>
      </c>
      <c r="F68" s="7">
        <f t="shared" ca="1" si="13"/>
        <v>-12.155262154914226</v>
      </c>
      <c r="G68" s="7">
        <f t="shared" ca="1" si="14"/>
        <v>3.041315824657139</v>
      </c>
    </row>
    <row r="69" spans="1:7" x14ac:dyDescent="0.25">
      <c r="A69" s="11">
        <f t="shared" si="10"/>
        <v>6</v>
      </c>
      <c r="B69" s="9">
        <f t="shared" si="10"/>
        <v>10</v>
      </c>
      <c r="C69" s="9">
        <f t="shared" ca="1" si="10"/>
        <v>1.27</v>
      </c>
      <c r="D69" s="9">
        <f t="shared" ca="1" si="11"/>
        <v>0</v>
      </c>
      <c r="E69" s="9">
        <f t="shared" ca="1" si="12"/>
        <v>-11</v>
      </c>
      <c r="F69" s="7">
        <f t="shared" ca="1" si="13"/>
        <v>8.0895533523391734</v>
      </c>
      <c r="G69" s="7">
        <f t="shared" ca="1" si="14"/>
        <v>-7.4537994713875975</v>
      </c>
    </row>
    <row r="70" spans="1:7" x14ac:dyDescent="0.25">
      <c r="A70" s="11">
        <f t="shared" si="10"/>
        <v>7</v>
      </c>
      <c r="B70" s="9">
        <f t="shared" si="10"/>
        <v>0</v>
      </c>
      <c r="C70" s="9">
        <f t="shared" ca="1" si="10"/>
        <v>0</v>
      </c>
      <c r="D70" s="9">
        <f t="shared" ca="1" si="11"/>
        <v>-10</v>
      </c>
      <c r="E70" s="9">
        <f t="shared" ca="1" si="12"/>
        <v>-15</v>
      </c>
      <c r="F70" s="7">
        <f t="shared" ca="1" si="13"/>
        <v>4.2550277792010567</v>
      </c>
      <c r="G70" s="7">
        <f t="shared" ca="1" si="14"/>
        <v>-17.518411417655063</v>
      </c>
    </row>
    <row r="71" spans="1:7" x14ac:dyDescent="0.25">
      <c r="A71" s="11">
        <f t="shared" si="10"/>
        <v>8</v>
      </c>
      <c r="B71" s="9">
        <f t="shared" si="10"/>
        <v>0</v>
      </c>
      <c r="C71" s="9">
        <f t="shared" ca="1" si="10"/>
        <v>0</v>
      </c>
      <c r="D71" s="9">
        <f t="shared" ca="1" si="11"/>
        <v>-10</v>
      </c>
      <c r="E71" s="9">
        <f t="shared" ca="1" si="12"/>
        <v>-15</v>
      </c>
      <c r="F71" s="7">
        <f t="shared" ca="1" si="13"/>
        <v>4.2550277792010567</v>
      </c>
      <c r="G71" s="7">
        <f t="shared" ca="1" si="14"/>
        <v>-17.518411417655063</v>
      </c>
    </row>
    <row r="72" spans="1:7" x14ac:dyDescent="0.25">
      <c r="A72" s="11">
        <f t="shared" si="10"/>
        <v>9</v>
      </c>
      <c r="B72" s="9">
        <f t="shared" si="10"/>
        <v>0</v>
      </c>
      <c r="C72" s="9">
        <f t="shared" ca="1" si="10"/>
        <v>0</v>
      </c>
      <c r="D72" s="9">
        <f t="shared" ca="1" si="11"/>
        <v>-10</v>
      </c>
      <c r="E72" s="9">
        <f t="shared" ca="1" si="12"/>
        <v>-15</v>
      </c>
      <c r="F72" s="7">
        <f t="shared" ca="1" si="13"/>
        <v>4.2550277792010567</v>
      </c>
      <c r="G72" s="7">
        <f t="shared" ca="1" si="14"/>
        <v>-17.518411417655063</v>
      </c>
    </row>
    <row r="73" spans="1:7" x14ac:dyDescent="0.25">
      <c r="A73" s="11">
        <f t="shared" si="10"/>
        <v>10</v>
      </c>
      <c r="B73" s="9">
        <f t="shared" si="10"/>
        <v>0</v>
      </c>
      <c r="C73" s="9">
        <f t="shared" ca="1" si="10"/>
        <v>0</v>
      </c>
      <c r="D73" s="9">
        <f t="shared" ca="1" si="11"/>
        <v>-10</v>
      </c>
      <c r="E73" s="9">
        <f t="shared" ca="1" si="12"/>
        <v>-15</v>
      </c>
      <c r="F73" s="7">
        <f t="shared" ca="1" si="13"/>
        <v>4.2550277792010567</v>
      </c>
      <c r="G73" s="7">
        <f t="shared" ca="1" si="14"/>
        <v>-17.518411417655063</v>
      </c>
    </row>
    <row r="74" spans="1:7" x14ac:dyDescent="0.25">
      <c r="A74" s="11">
        <f t="shared" si="10"/>
        <v>11</v>
      </c>
      <c r="B74" s="9">
        <f t="shared" si="10"/>
        <v>0</v>
      </c>
      <c r="C74" s="9">
        <f t="shared" ca="1" si="10"/>
        <v>0</v>
      </c>
      <c r="D74" s="9">
        <f t="shared" ca="1" si="11"/>
        <v>-10</v>
      </c>
      <c r="E74" s="9">
        <f t="shared" ca="1" si="12"/>
        <v>-15</v>
      </c>
      <c r="F74" s="7">
        <f t="shared" ca="1" si="13"/>
        <v>4.2550277792010567</v>
      </c>
      <c r="G74" s="7">
        <f t="shared" ca="1" si="14"/>
        <v>-17.518411417655063</v>
      </c>
    </row>
    <row r="75" spans="1:7" x14ac:dyDescent="0.25">
      <c r="A75" s="11">
        <f t="shared" si="10"/>
        <v>12</v>
      </c>
      <c r="B75" s="9">
        <f t="shared" si="10"/>
        <v>0</v>
      </c>
      <c r="C75" s="9">
        <f t="shared" ca="1" si="10"/>
        <v>0</v>
      </c>
      <c r="D75" s="9">
        <f t="shared" ca="1" si="11"/>
        <v>-10</v>
      </c>
      <c r="E75" s="9">
        <f t="shared" ca="1" si="12"/>
        <v>-15</v>
      </c>
      <c r="F75" s="7">
        <f t="shared" ca="1" si="13"/>
        <v>4.2550277792010567</v>
      </c>
      <c r="G75" s="7">
        <f t="shared" ca="1" si="14"/>
        <v>-17.518411417655063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4">
        <v>25.790187925921387</v>
      </c>
      <c r="C78" t="s">
        <v>6</v>
      </c>
      <c r="D78" s="7">
        <f ca="1">MIN(C57:C61)</f>
        <v>-17.807390454451234</v>
      </c>
      <c r="E78" s="7">
        <f ca="1">MAX(D57:D61)-B78</f>
        <v>-8.2717765082663242</v>
      </c>
    </row>
    <row r="79" spans="1:7" x14ac:dyDescent="0.25">
      <c r="A79" s="2"/>
      <c r="D79" s="7">
        <f ca="1">MAX(C57:C61)</f>
        <v>17.807390454451234</v>
      </c>
      <c r="E79" s="7">
        <f ca="1">E78</f>
        <v>-8.2717765082663242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20.632150340737109</v>
      </c>
      <c r="C81" t="s">
        <v>6</v>
      </c>
      <c r="D81" t="s">
        <v>0</v>
      </c>
      <c r="E81" t="s">
        <v>1</v>
      </c>
    </row>
    <row r="82" spans="1:12" x14ac:dyDescent="0.25">
      <c r="D82" s="7">
        <f ca="1">MIN(C57:C61)</f>
        <v>-17.807390454451234</v>
      </c>
      <c r="E82" s="7">
        <f ca="1">MAX(D57:D61)-B81</f>
        <v>-3.113738923082046</v>
      </c>
    </row>
    <row r="83" spans="1:12" x14ac:dyDescent="0.25">
      <c r="D83" s="7">
        <f ca="1">MAX(C57:C61)</f>
        <v>17.807390454451234</v>
      </c>
      <c r="E83" s="7">
        <f ca="1">E82</f>
        <v>-3.113738923082046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7">
        <f t="shared" ref="B88:C91" ca="1" si="15">C57</f>
        <v>4.2550277792010567</v>
      </c>
      <c r="C88" s="7">
        <f t="shared" ca="1" si="15"/>
        <v>-17.518411417655063</v>
      </c>
      <c r="D88" s="7">
        <f t="shared" ref="D88:E91" ca="1" si="16">C58</f>
        <v>17.807390454451234</v>
      </c>
      <c r="E88" s="7">
        <f t="shared" ca="1" si="16"/>
        <v>-2.8101325952202023</v>
      </c>
      <c r="F88" s="1">
        <f ca="1">IF(AND(E88&gt;=E$82,C88&lt;=E$82),1,IF(AND(C88&gt;=E$82,E88&gt;=E$82),3,IF(AND(E88&lt;=E$82,C88&gt;=E$82),2,0)))</f>
        <v>1</v>
      </c>
      <c r="G88" s="1">
        <f ca="1">IF(E88=C88,"H",IF(B88=D88,"V",(E88-C88)/(D88-B88)))</f>
        <v>1.0852925925082908</v>
      </c>
      <c r="H88" s="7">
        <f ca="1">IF(OR(F88=1,F88=2),IF(G88="V",B88,(E$82-C88+(G88*B88))/G88),NA())</f>
        <v>17.527644393381969</v>
      </c>
      <c r="I88" s="7">
        <f ca="1">IF(OR(F88=1,F88=2),E$82,NA())</f>
        <v>-3.113738923082046</v>
      </c>
      <c r="J88" s="8">
        <f ca="1">IF(F88=0,0,IF(F88=1,-0.5*B$85*(H88+D88)*(I88-E88),IF(F88=2,-0.5*B$85*(B88+H88)*(C88-I88),IF(F88=3,-0.5*B$85*(B88+D88)*(C88-E88),0))))</f>
        <v>22.796872871919454</v>
      </c>
      <c r="K88" s="8">
        <f ca="1">IF(F88=1,(1/6)*B$85*(E88-I88)*((H88*(2*I88+E88))+(D88*(I88+2*E88))),IF(F88=2,(1/6)*B$85*(I88-C88)*((B88*(2*C88+I88))+(H88*(C88+2*I88))),IF(F88=3,(1/6)*B$85*(E88-C88)*((B88*(2*C88+E88))+(D88*(C88+2*E88))),0)))</f>
        <v>-67.513740380008414</v>
      </c>
      <c r="L88" s="8">
        <f ca="1">IF(F88=1,(1/6)*B$85*(POWER(H88,2)+H88*D88+POWER(D88,2))*(E88-I88),IF(F88=2,(1/6)*B$85*(POWER(B88,2)+B88*H88+POWER(H88,2))*(I88-C88),IF(F88=3,(1/6)*B$85*(POWER(B88,2)+B88*D88+POWER(D88,2))*(E88-C88),0)))</f>
        <v>201.38628176354433</v>
      </c>
    </row>
    <row r="89" spans="1:12" x14ac:dyDescent="0.25">
      <c r="A89">
        <v>2</v>
      </c>
      <c r="B89" s="7">
        <f t="shared" ca="1" si="15"/>
        <v>17.807390454451234</v>
      </c>
      <c r="C89" s="7">
        <f t="shared" ca="1" si="15"/>
        <v>-2.8101325952202023</v>
      </c>
      <c r="D89" s="7">
        <f t="shared" ca="1" si="16"/>
        <v>-4.2550277792010567</v>
      </c>
      <c r="E89" s="7">
        <f t="shared" ca="1" si="16"/>
        <v>17.518411417655063</v>
      </c>
      <c r="F89" s="1">
        <f t="shared" ref="F89:F91" ca="1" si="17">IF(AND(E89&gt;=E$82,C89&lt;=E$82),1,IF(AND(C89&gt;=E$82,E89&gt;=E$82),3,IF(AND(E89&lt;=E$82,C89&gt;=E$82),2,0)))</f>
        <v>3</v>
      </c>
      <c r="G89" s="1">
        <f t="shared" ref="G89:G91" ca="1" si="18">IF(E89=C89,"H",IF(B89=D89,"V",(E89-C89)/(D89-B89)))</f>
        <v>-0.92141050892905707</v>
      </c>
      <c r="H89" s="7" t="e">
        <f t="shared" ref="H89:H91" ca="1" si="19">IF(OR(F89=1,F89=2),IF(G89="V",B89,(E$82-C89+(G89*B89))/G89),NA())</f>
        <v>#N/A</v>
      </c>
      <c r="I89" s="7" t="e">
        <f t="shared" ref="I89:I91" ca="1" si="20">IF(OR(F89=1,F89=2),E$82,NA())</f>
        <v>#N/A</v>
      </c>
      <c r="J89" s="8">
        <f t="shared" ref="J89:J91" ca="1" si="21">IF(F89=0,0,IF(F89=1,-0.5*B$85*(H89+D89)*(I89-E89),IF(F89=2,-0.5*B$85*(B89+H89)*(C89-I89),IF(F89=3,-0.5*B$85*(B89+D89)*(C89-E89),0))))</f>
        <v>585.43707738482635</v>
      </c>
      <c r="K89" s="8">
        <f t="shared" ref="K89:K91" ca="1" si="22">IF(F89=1,(1/6)*B$85*(E89-I89)*((H89*(2*I89+E89))+(D89*(I89+2*E89))),IF(F89=2,(1/6)*B$85*(I89-C89)*((B89*(2*C89+I89))+(H89*(C89+2*I89))),IF(F89=3,(1/6)*B$85*(E89-C89)*((B89*(2*C89+E89))+(D89*(C89+2*E89))),0)))</f>
        <v>1076.346470895925</v>
      </c>
      <c r="L89" s="8">
        <f t="shared" ref="L89:L91" ca="1" si="23">IF(F89=1,(1/6)*B$85*(POWER(H89,2)+H89*D89+POWER(D89,2))*(E89-I89),IF(F89=2,(1/6)*B$85*(POWER(B89,2)+B89*H89+POWER(H89,2))*(I89-C89),IF(F89=3,(1/6)*B$85*(POWER(B89,2)+B89*D89+POWER(D89,2))*(E89-C89),0)))</f>
        <v>3735.7401768180989</v>
      </c>
    </row>
    <row r="90" spans="1:12" x14ac:dyDescent="0.25">
      <c r="A90">
        <v>3</v>
      </c>
      <c r="B90" s="7">
        <f t="shared" ca="1" si="15"/>
        <v>-4.2550277792010567</v>
      </c>
      <c r="C90" s="7">
        <f t="shared" ca="1" si="15"/>
        <v>17.518411417655063</v>
      </c>
      <c r="D90" s="7">
        <f t="shared" ca="1" si="16"/>
        <v>-17.807390454451234</v>
      </c>
      <c r="E90" s="7">
        <f t="shared" ca="1" si="16"/>
        <v>2.8101325952202023</v>
      </c>
      <c r="F90" s="1">
        <f t="shared" ca="1" si="17"/>
        <v>3</v>
      </c>
      <c r="G90" s="1">
        <f t="shared" ca="1" si="18"/>
        <v>1.0852925925082908</v>
      </c>
      <c r="H90" s="7" t="e">
        <f t="shared" ca="1" si="19"/>
        <v>#N/A</v>
      </c>
      <c r="I90" s="7" t="e">
        <f t="shared" ca="1" si="20"/>
        <v>#N/A</v>
      </c>
      <c r="J90" s="8">
        <f t="shared" ca="1" si="21"/>
        <v>689.56292261517353</v>
      </c>
      <c r="K90" s="8">
        <f t="shared" ca="1" si="22"/>
        <v>5970.5487982718041</v>
      </c>
      <c r="L90" s="8">
        <f t="shared" ca="1" si="23"/>
        <v>-4281.7326085759687</v>
      </c>
    </row>
    <row r="91" spans="1:12" ht="15.75" thickBot="1" x14ac:dyDescent="0.3">
      <c r="A91">
        <v>4</v>
      </c>
      <c r="B91" s="7">
        <f t="shared" ca="1" si="15"/>
        <v>-17.807390454451234</v>
      </c>
      <c r="C91" s="7">
        <f t="shared" ca="1" si="15"/>
        <v>2.8101325952202023</v>
      </c>
      <c r="D91" s="7">
        <f t="shared" ca="1" si="16"/>
        <v>4.2550277792010567</v>
      </c>
      <c r="E91" s="7">
        <f t="shared" ca="1" si="16"/>
        <v>-17.518411417655063</v>
      </c>
      <c r="F91" s="1">
        <f t="shared" ca="1" si="17"/>
        <v>2</v>
      </c>
      <c r="G91" s="1">
        <f t="shared" ca="1" si="18"/>
        <v>-0.92141050892905707</v>
      </c>
      <c r="H91" s="7">
        <f t="shared" ca="1" si="19"/>
        <v>-11.37825657666696</v>
      </c>
      <c r="I91" s="7">
        <f t="shared" ca="1" si="20"/>
        <v>-3.113738923082046</v>
      </c>
      <c r="J91" s="29">
        <f t="shared" ca="1" si="21"/>
        <v>367.39554928058527</v>
      </c>
      <c r="K91" s="29">
        <f t="shared" ca="1" si="22"/>
        <v>24.13272566383338</v>
      </c>
      <c r="L91" s="29">
        <f t="shared" ca="1" si="23"/>
        <v>-2724.0291041194055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8">
        <f ca="1">SUM(J88:J91)</f>
        <v>1665.1924221525046</v>
      </c>
      <c r="K92" s="8">
        <f ca="1">SUM(K88:K91)</f>
        <v>7003.5142544515538</v>
      </c>
      <c r="L92" s="8">
        <f t="shared" ref="L92" ca="1" si="24">SUM(L88:L91)</f>
        <v>-3068.6352541137308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10" x14ac:dyDescent="0.25">
      <c r="A97" t="s">
        <v>57</v>
      </c>
      <c r="B97" t="s">
        <v>60</v>
      </c>
      <c r="C97" t="str">
        <f t="shared" ref="C97:C109" si="25">F63</f>
        <v>x'</v>
      </c>
      <c r="D97" t="str">
        <f t="shared" ref="D97:D109" si="26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 x14ac:dyDescent="0.25">
      <c r="A98" s="11">
        <f>A64</f>
        <v>1</v>
      </c>
      <c r="B98" s="10">
        <f ca="1">C13</f>
        <v>1.27</v>
      </c>
      <c r="C98">
        <f t="shared" ca="1" si="25"/>
        <v>4.02384454976412</v>
      </c>
      <c r="D98">
        <f t="shared" ca="1" si="26"/>
        <v>-11.866283118118055</v>
      </c>
      <c r="E98" s="10">
        <f ca="1">G$58-D98</f>
        <v>29.384694535773118</v>
      </c>
      <c r="F98" s="14">
        <f ca="1">IF(B98=0,0,((B$78-E98)/B$78)*B$96)</f>
        <v>-4.1812490318136907E-4</v>
      </c>
      <c r="G98" s="7">
        <f ca="1">IF(AND(F98&gt;0,E98&lt;=B$81),MIN((F98*B$11),B$10)-B$85,MAX(F98*B$11,-1*B$10))</f>
        <v>-12.125622192259703</v>
      </c>
      <c r="H98" s="7">
        <f ca="1">G98*B98</f>
        <v>-15.399540184169823</v>
      </c>
      <c r="I98" s="7">
        <f ca="1">H98*D98</f>
        <v>182.73530371419497</v>
      </c>
      <c r="J98" s="7">
        <f ca="1">H98*C98</f>
        <v>-61.965355838945293</v>
      </c>
    </row>
    <row r="99" spans="1:10" x14ac:dyDescent="0.25">
      <c r="A99" s="11">
        <f t="shared" ref="A99:A108" si="27">A65</f>
        <v>2</v>
      </c>
      <c r="B99" s="10">
        <f t="shared" ref="B99:B109" ca="1" si="28">C14</f>
        <v>1.27</v>
      </c>
      <c r="C99">
        <f t="shared" ca="1" si="25"/>
        <v>12.155262154914226</v>
      </c>
      <c r="D99">
        <f t="shared" ca="1" si="26"/>
        <v>-3.041315824657139</v>
      </c>
      <c r="E99" s="10">
        <f t="shared" ref="E99:E109" ca="1" si="29">G$58-D99</f>
        <v>20.559727242312203</v>
      </c>
      <c r="F99" s="14">
        <f t="shared" ref="F99:F109" ca="1" si="30">IF(B99=0,0,((B$78-E99)/B$78)*B$96)</f>
        <v>6.0842449445885373E-4</v>
      </c>
      <c r="G99" s="7">
        <f t="shared" ref="G99:G109" ca="1" si="31">IF(AND(F99&gt;0,E99&lt;=B$81),MIN((F99*B$11),B$10)-B$85,MAX(F99*B$11,-1*B$10))</f>
        <v>13.39431033930676</v>
      </c>
      <c r="H99" s="7">
        <f t="shared" ref="H99:H109" ca="1" si="32">G99*B99</f>
        <v>17.010774130919586</v>
      </c>
      <c r="I99" s="7">
        <f t="shared" ref="I99:I109" ca="1" si="33">H99*D99</f>
        <v>-51.735136554034028</v>
      </c>
      <c r="J99" s="7">
        <f t="shared" ref="J99:J109" ca="1" si="34">H99*C99</f>
        <v>206.77041901936079</v>
      </c>
    </row>
    <row r="100" spans="1:10" x14ac:dyDescent="0.25">
      <c r="A100" s="11">
        <f t="shared" si="27"/>
        <v>3</v>
      </c>
      <c r="B100" s="10">
        <f t="shared" ca="1" si="28"/>
        <v>1.27</v>
      </c>
      <c r="C100">
        <f t="shared" ca="1" si="25"/>
        <v>-4.02384454976412</v>
      </c>
      <c r="D100">
        <f t="shared" ca="1" si="26"/>
        <v>11.866283118118055</v>
      </c>
      <c r="E100" s="10">
        <f t="shared" ca="1" si="29"/>
        <v>5.6521282995370079</v>
      </c>
      <c r="F100" s="14">
        <f t="shared" ca="1" si="30"/>
        <v>2.3425257331464275E-3</v>
      </c>
      <c r="G100" s="7">
        <f t="shared" ca="1" si="31"/>
        <v>55.75</v>
      </c>
      <c r="H100" s="7">
        <f t="shared" ca="1" si="32"/>
        <v>70.802499999999995</v>
      </c>
      <c r="I100" s="7">
        <f t="shared" ca="1" si="33"/>
        <v>840.16251047055357</v>
      </c>
      <c r="J100" s="7">
        <f t="shared" ca="1" si="34"/>
        <v>-284.89825373467409</v>
      </c>
    </row>
    <row r="101" spans="1:10" x14ac:dyDescent="0.25">
      <c r="A101" s="11">
        <f t="shared" si="27"/>
        <v>4</v>
      </c>
      <c r="B101" s="10">
        <f t="shared" ca="1" si="28"/>
        <v>1.27</v>
      </c>
      <c r="C101">
        <f t="shared" ca="1" si="25"/>
        <v>-8.0895533523391734</v>
      </c>
      <c r="D101">
        <f t="shared" ca="1" si="26"/>
        <v>7.4537994713875975</v>
      </c>
      <c r="E101" s="10">
        <f t="shared" ca="1" si="29"/>
        <v>10.064611946267465</v>
      </c>
      <c r="F101" s="14">
        <f t="shared" ca="1" si="30"/>
        <v>1.8292510343263159E-3</v>
      </c>
      <c r="G101" s="7">
        <f t="shared" ca="1" si="31"/>
        <v>48.798279995463162</v>
      </c>
      <c r="H101" s="7">
        <f t="shared" ca="1" si="32"/>
        <v>61.973815594238218</v>
      </c>
      <c r="I101" s="7">
        <f t="shared" ca="1" si="33"/>
        <v>461.94039391620527</v>
      </c>
      <c r="J101" s="7">
        <f t="shared" ca="1" si="34"/>
        <v>-501.34048769761949</v>
      </c>
    </row>
    <row r="102" spans="1:10" x14ac:dyDescent="0.25">
      <c r="A102" s="11">
        <f t="shared" si="27"/>
        <v>5</v>
      </c>
      <c r="B102" s="10">
        <f t="shared" ca="1" si="28"/>
        <v>1.27</v>
      </c>
      <c r="C102">
        <f t="shared" ca="1" si="25"/>
        <v>-12.155262154914226</v>
      </c>
      <c r="D102">
        <f t="shared" ca="1" si="26"/>
        <v>3.041315824657139</v>
      </c>
      <c r="E102" s="10">
        <f t="shared" ca="1" si="29"/>
        <v>14.477095592997923</v>
      </c>
      <c r="F102" s="14">
        <f t="shared" ca="1" si="30"/>
        <v>1.3159763355062048E-3</v>
      </c>
      <c r="G102" s="7">
        <f t="shared" ca="1" si="31"/>
        <v>33.913313729679942</v>
      </c>
      <c r="H102" s="7">
        <f t="shared" ca="1" si="32"/>
        <v>43.069908436693524</v>
      </c>
      <c r="I102" s="7">
        <f t="shared" ca="1" si="33"/>
        <v>130.98919409505004</v>
      </c>
      <c r="J102" s="7">
        <f t="shared" ca="1" si="34"/>
        <v>-523.52602803616173</v>
      </c>
    </row>
    <row r="103" spans="1:10" x14ac:dyDescent="0.25">
      <c r="A103" s="11">
        <f t="shared" si="27"/>
        <v>6</v>
      </c>
      <c r="B103" s="10">
        <f t="shared" ca="1" si="28"/>
        <v>1.27</v>
      </c>
      <c r="C103">
        <f t="shared" ca="1" si="25"/>
        <v>8.0895533523391734</v>
      </c>
      <c r="D103">
        <f t="shared" ca="1" si="26"/>
        <v>-7.4537994713875975</v>
      </c>
      <c r="E103" s="10">
        <f t="shared" ca="1" si="29"/>
        <v>24.97221088904266</v>
      </c>
      <c r="F103" s="14">
        <f t="shared" ca="1" si="30"/>
        <v>9.5149795638742343E-5</v>
      </c>
      <c r="G103" s="7">
        <f t="shared" ca="1" si="31"/>
        <v>2.7593440735235277</v>
      </c>
      <c r="H103" s="7">
        <f t="shared" ca="1" si="32"/>
        <v>3.5043669733748803</v>
      </c>
      <c r="I103" s="7">
        <f t="shared" ca="1" si="33"/>
        <v>-26.120848693689837</v>
      </c>
      <c r="J103" s="7">
        <f t="shared" ca="1" si="34"/>
        <v>28.348763597291445</v>
      </c>
    </row>
    <row r="104" spans="1:10" x14ac:dyDescent="0.25">
      <c r="A104" s="11">
        <f t="shared" si="27"/>
        <v>7</v>
      </c>
      <c r="B104" s="10">
        <f t="shared" ca="1" si="28"/>
        <v>0</v>
      </c>
      <c r="C104">
        <f t="shared" ca="1" si="25"/>
        <v>4.2550277792010567</v>
      </c>
      <c r="D104">
        <f t="shared" ca="1" si="26"/>
        <v>-17.518411417655063</v>
      </c>
      <c r="E104" s="10">
        <f t="shared" ca="1" si="29"/>
        <v>35.036822835310126</v>
      </c>
      <c r="F104" s="14">
        <f t="shared" ca="1" si="30"/>
        <v>0</v>
      </c>
      <c r="G104" s="7">
        <f t="shared" ca="1" si="31"/>
        <v>0</v>
      </c>
      <c r="H104" s="7">
        <f t="shared" ca="1" si="32"/>
        <v>0</v>
      </c>
      <c r="I104" s="7">
        <f t="shared" ca="1" si="33"/>
        <v>0</v>
      </c>
      <c r="J104" s="7">
        <f t="shared" ca="1" si="34"/>
        <v>0</v>
      </c>
    </row>
    <row r="105" spans="1:10" x14ac:dyDescent="0.25">
      <c r="A105" s="11">
        <f t="shared" si="27"/>
        <v>8</v>
      </c>
      <c r="B105" s="10">
        <f t="shared" ca="1" si="28"/>
        <v>0</v>
      </c>
      <c r="C105">
        <f t="shared" ca="1" si="25"/>
        <v>4.2550277792010567</v>
      </c>
      <c r="D105">
        <f t="shared" ca="1" si="26"/>
        <v>-17.518411417655063</v>
      </c>
      <c r="E105" s="10">
        <f t="shared" ca="1" si="29"/>
        <v>35.036822835310126</v>
      </c>
      <c r="F105" s="14">
        <f t="shared" ca="1" si="30"/>
        <v>0</v>
      </c>
      <c r="G105" s="7">
        <f t="shared" ca="1" si="31"/>
        <v>0</v>
      </c>
      <c r="H105" s="7">
        <f t="shared" ca="1" si="32"/>
        <v>0</v>
      </c>
      <c r="I105" s="7">
        <f t="shared" ca="1" si="33"/>
        <v>0</v>
      </c>
      <c r="J105" s="7">
        <f t="shared" ca="1" si="34"/>
        <v>0</v>
      </c>
    </row>
    <row r="106" spans="1:10" x14ac:dyDescent="0.25">
      <c r="A106" s="11">
        <f t="shared" si="27"/>
        <v>9</v>
      </c>
      <c r="B106" s="10">
        <f t="shared" ca="1" si="28"/>
        <v>0</v>
      </c>
      <c r="C106">
        <f t="shared" ca="1" si="25"/>
        <v>4.2550277792010567</v>
      </c>
      <c r="D106">
        <f t="shared" ca="1" si="26"/>
        <v>-17.518411417655063</v>
      </c>
      <c r="E106" s="10">
        <f t="shared" ca="1" si="29"/>
        <v>35.036822835310126</v>
      </c>
      <c r="F106" s="14">
        <f t="shared" ca="1" si="30"/>
        <v>0</v>
      </c>
      <c r="G106" s="7">
        <f t="shared" ca="1" si="31"/>
        <v>0</v>
      </c>
      <c r="H106" s="7">
        <f t="shared" ca="1" si="32"/>
        <v>0</v>
      </c>
      <c r="I106" s="7">
        <f t="shared" ca="1" si="33"/>
        <v>0</v>
      </c>
      <c r="J106" s="7">
        <f t="shared" ca="1" si="34"/>
        <v>0</v>
      </c>
    </row>
    <row r="107" spans="1:10" x14ac:dyDescent="0.25">
      <c r="A107" s="11">
        <f t="shared" si="27"/>
        <v>10</v>
      </c>
      <c r="B107" s="10">
        <f t="shared" ca="1" si="28"/>
        <v>0</v>
      </c>
      <c r="C107">
        <f t="shared" ca="1" si="25"/>
        <v>4.2550277792010567</v>
      </c>
      <c r="D107">
        <f t="shared" ca="1" si="26"/>
        <v>-17.518411417655063</v>
      </c>
      <c r="E107" s="10">
        <f t="shared" ca="1" si="29"/>
        <v>35.036822835310126</v>
      </c>
      <c r="F107" s="14">
        <f t="shared" ca="1" si="30"/>
        <v>0</v>
      </c>
      <c r="G107" s="7">
        <f t="shared" ca="1" si="31"/>
        <v>0</v>
      </c>
      <c r="H107" s="7">
        <f t="shared" ca="1" si="32"/>
        <v>0</v>
      </c>
      <c r="I107" s="7">
        <f t="shared" ca="1" si="33"/>
        <v>0</v>
      </c>
      <c r="J107" s="7">
        <f t="shared" ca="1" si="34"/>
        <v>0</v>
      </c>
    </row>
    <row r="108" spans="1:10" x14ac:dyDescent="0.25">
      <c r="A108" s="11">
        <f t="shared" si="27"/>
        <v>11</v>
      </c>
      <c r="B108" s="10">
        <f t="shared" ca="1" si="28"/>
        <v>0</v>
      </c>
      <c r="C108">
        <f t="shared" ca="1" si="25"/>
        <v>4.2550277792010567</v>
      </c>
      <c r="D108">
        <f t="shared" ca="1" si="26"/>
        <v>-17.518411417655063</v>
      </c>
      <c r="E108" s="10">
        <f t="shared" ca="1" si="29"/>
        <v>35.036822835310126</v>
      </c>
      <c r="F108" s="14">
        <f t="shared" ca="1" si="30"/>
        <v>0</v>
      </c>
      <c r="G108" s="7">
        <f t="shared" ca="1" si="31"/>
        <v>0</v>
      </c>
      <c r="H108" s="7">
        <f t="shared" ca="1" si="32"/>
        <v>0</v>
      </c>
      <c r="I108" s="7">
        <f t="shared" ca="1" si="33"/>
        <v>0</v>
      </c>
      <c r="J108" s="7">
        <f t="shared" ca="1" si="34"/>
        <v>0</v>
      </c>
    </row>
    <row r="109" spans="1:10" ht="15.75" thickBot="1" x14ac:dyDescent="0.3">
      <c r="A109" s="11">
        <f>A75</f>
        <v>12</v>
      </c>
      <c r="B109" s="10">
        <f t="shared" ca="1" si="28"/>
        <v>0</v>
      </c>
      <c r="C109">
        <f t="shared" ca="1" si="25"/>
        <v>4.2550277792010567</v>
      </c>
      <c r="D109">
        <f t="shared" ca="1" si="26"/>
        <v>-17.518411417655063</v>
      </c>
      <c r="E109" s="10">
        <f t="shared" ca="1" si="29"/>
        <v>35.036822835310126</v>
      </c>
      <c r="F109" s="28">
        <f t="shared" ca="1" si="30"/>
        <v>0</v>
      </c>
      <c r="G109" s="7">
        <f t="shared" ca="1" si="31"/>
        <v>0</v>
      </c>
      <c r="H109" s="27">
        <f t="shared" ca="1" si="32"/>
        <v>0</v>
      </c>
      <c r="I109" s="27">
        <f t="shared" ca="1" si="33"/>
        <v>0</v>
      </c>
      <c r="J109" s="27">
        <f t="shared" ca="1" si="34"/>
        <v>0</v>
      </c>
    </row>
    <row r="110" spans="1:10" ht="15.75" thickTop="1" x14ac:dyDescent="0.25">
      <c r="F110" s="14">
        <f ca="1">MIN(F98:F109)</f>
        <v>-4.1812490318136907E-4</v>
      </c>
      <c r="H110" s="7">
        <f ca="1">SUM(H98:H109)</f>
        <v>180.96182495105637</v>
      </c>
      <c r="I110" s="7">
        <f ca="1">SUM(I98:I109)</f>
        <v>1537.97141694828</v>
      </c>
      <c r="J110" s="7">
        <f t="shared" ref="J110" ca="1" si="35">SUM(J98:J109)</f>
        <v>-1136.6109426907483</v>
      </c>
    </row>
    <row r="113" spans="1:14" x14ac:dyDescent="0.25">
      <c r="A113" s="2" t="s">
        <v>67</v>
      </c>
      <c r="B113" s="37">
        <f ca="1">J92+H110</f>
        <v>1846.1542471035609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0.65</v>
      </c>
    </row>
    <row r="114" spans="1:14" x14ac:dyDescent="0.25">
      <c r="A114" s="2" t="s">
        <v>69</v>
      </c>
      <c r="B114" s="7">
        <f ca="1">((K92+I110)*COS(RADIANS(B53)))+((L92+J110)*SIN(RADIANS(B53)))</f>
        <v>8880.4622591923689</v>
      </c>
      <c r="C114" t="s">
        <v>23</v>
      </c>
      <c r="D114" s="7">
        <f ca="1">(B113*(E49-H7))</f>
        <v>0</v>
      </c>
      <c r="E114" t="s">
        <v>23</v>
      </c>
      <c r="F114" s="7">
        <f ca="1">B114+D114</f>
        <v>8880.4622591923689</v>
      </c>
      <c r="G114" s="13" t="str">
        <f>"= Mnx,gc"</f>
        <v>= Mnx,gc</v>
      </c>
      <c r="H114" s="7">
        <f ca="1">F114/12</f>
        <v>740.03852159936412</v>
      </c>
      <c r="I114" t="s">
        <v>72</v>
      </c>
      <c r="J114" s="34">
        <f ca="1">H114*J113</f>
        <v>481.02503903958672</v>
      </c>
      <c r="K114" t="s">
        <v>72</v>
      </c>
    </row>
    <row r="115" spans="1:14" x14ac:dyDescent="0.25">
      <c r="A115" s="2" t="s">
        <v>70</v>
      </c>
      <c r="B115" s="7">
        <f ca="1">(-1*(K92+I110)*SIN(RADIANS(B53)))+((L92+J110)*COS(RADIANS(B53)))</f>
        <v>3431.9765607485101</v>
      </c>
      <c r="C115" t="s">
        <v>23</v>
      </c>
      <c r="D115" s="1">
        <f ca="1">-1*B113*(D49-G7)</f>
        <v>0</v>
      </c>
      <c r="E115" t="s">
        <v>23</v>
      </c>
      <c r="F115" s="7">
        <f ca="1">B115+D115</f>
        <v>3431.9765607485101</v>
      </c>
      <c r="G115" s="13" t="str">
        <f>"= Mny,gc"</f>
        <v>= Mny,gc</v>
      </c>
      <c r="H115" s="7">
        <f ca="1">F115/12</f>
        <v>285.99804672904253</v>
      </c>
      <c r="I115" t="s">
        <v>72</v>
      </c>
      <c r="J115" s="34">
        <f ca="1">H115*J113</f>
        <v>185.89873037387764</v>
      </c>
      <c r="K115" t="s">
        <v>72</v>
      </c>
      <c r="M115" t="s">
        <v>79</v>
      </c>
      <c r="N115" s="12">
        <f ca="1">IF(J115=0,90,DEGREES(ATAN2(J114,J115)))</f>
        <v>21.129708977606306</v>
      </c>
    </row>
    <row r="116" spans="1:14" x14ac:dyDescent="0.25">
      <c r="J116" s="36">
        <f ca="1">B113*J113</f>
        <v>1200.0002606173146</v>
      </c>
      <c r="K116" t="s">
        <v>20</v>
      </c>
    </row>
    <row r="117" spans="1:14" x14ac:dyDescent="0.25">
      <c r="A117" s="26" t="s">
        <v>74</v>
      </c>
      <c r="I117" t="s">
        <v>83</v>
      </c>
      <c r="J117" s="1">
        <f ca="1">0.65*((0.85*B2*B5*B6)+((B10-0.85*B2)*SUM(C13:C24)))</f>
        <v>1933.6297500000001</v>
      </c>
      <c r="K117" t="s">
        <v>20</v>
      </c>
    </row>
    <row r="118" spans="1:14" x14ac:dyDescent="0.25">
      <c r="A118" s="2" t="s">
        <v>75</v>
      </c>
      <c r="B118" s="4">
        <v>1200</v>
      </c>
      <c r="C118" t="s">
        <v>20</v>
      </c>
      <c r="I118" t="s">
        <v>84</v>
      </c>
      <c r="J118" s="1">
        <f ca="1">-1*0.9*B10*SUM(C13:C24)</f>
        <v>-411.47999999999996</v>
      </c>
      <c r="K118" t="s">
        <v>20</v>
      </c>
    </row>
    <row r="119" spans="1:14" x14ac:dyDescent="0.25">
      <c r="A119" s="2" t="s">
        <v>76</v>
      </c>
      <c r="B119" s="4">
        <v>438.23</v>
      </c>
      <c r="C119" t="s">
        <v>72</v>
      </c>
      <c r="G119" s="2" t="s">
        <v>80</v>
      </c>
      <c r="H119" s="35">
        <v>50</v>
      </c>
    </row>
    <row r="120" spans="1:14" x14ac:dyDescent="0.25">
      <c r="A120" s="2" t="s">
        <v>77</v>
      </c>
      <c r="B120" s="4">
        <v>169.36</v>
      </c>
      <c r="C120" t="s">
        <v>72</v>
      </c>
      <c r="G120" s="2" t="s">
        <v>81</v>
      </c>
      <c r="H120" s="1">
        <v>14</v>
      </c>
    </row>
    <row r="121" spans="1:14" x14ac:dyDescent="0.25">
      <c r="A121" s="2" t="s">
        <v>78</v>
      </c>
      <c r="B121" s="15">
        <f>IF(B120=0,90,DEGREES(ATAN2(B119,B120)))</f>
        <v>21.12970897760631</v>
      </c>
    </row>
    <row r="123" spans="1:14" x14ac:dyDescent="0.25">
      <c r="A123" s="17"/>
      <c r="B123" s="18"/>
      <c r="C123" s="18"/>
      <c r="D123" s="18"/>
      <c r="E123" s="18"/>
      <c r="F123" s="18"/>
      <c r="G123" s="18"/>
      <c r="H123" s="18"/>
      <c r="I123" s="18"/>
    </row>
    <row r="124" spans="1:14" x14ac:dyDescent="0.25">
      <c r="A124" s="19"/>
      <c r="B124" s="18"/>
      <c r="C124" s="18"/>
      <c r="D124" s="18"/>
      <c r="E124" s="18"/>
      <c r="F124" s="18"/>
      <c r="G124" s="18"/>
      <c r="H124" s="18"/>
      <c r="I124" s="16"/>
      <c r="J124" s="18"/>
      <c r="K124" s="18"/>
      <c r="L124" s="16"/>
      <c r="M124" s="18"/>
      <c r="N124" s="18"/>
    </row>
    <row r="125" spans="1:14" x14ac:dyDescent="0.25">
      <c r="A125" s="19"/>
      <c r="B125" s="25"/>
      <c r="C125" s="18"/>
      <c r="D125" s="19"/>
      <c r="E125" s="20"/>
      <c r="F125" s="20"/>
      <c r="G125" s="19"/>
      <c r="H125" s="20"/>
      <c r="I125" s="16"/>
      <c r="J125" s="19"/>
      <c r="K125" s="20"/>
      <c r="L125" s="16"/>
      <c r="M125" s="19"/>
      <c r="N125" s="20"/>
    </row>
    <row r="126" spans="1:14" x14ac:dyDescent="0.25">
      <c r="A126" s="19"/>
      <c r="B126" s="21"/>
      <c r="C126" s="20"/>
      <c r="D126" s="19"/>
      <c r="E126" s="25"/>
      <c r="F126" s="18"/>
      <c r="G126" s="19"/>
      <c r="H126" s="20"/>
      <c r="I126" s="16"/>
      <c r="J126" s="19"/>
      <c r="K126" s="20"/>
      <c r="L126" s="16"/>
      <c r="M126" s="19"/>
      <c r="N126" s="20"/>
    </row>
    <row r="127" spans="1:14" x14ac:dyDescent="0.25">
      <c r="A127" s="19"/>
      <c r="B127" s="20"/>
      <c r="C127" s="21"/>
      <c r="D127" s="19"/>
      <c r="E127" s="20"/>
      <c r="F127" s="18"/>
      <c r="G127" s="19"/>
      <c r="H127" s="20"/>
      <c r="I127" s="16"/>
      <c r="J127" s="19"/>
      <c r="K127" s="20"/>
      <c r="L127" s="16"/>
      <c r="M127" s="19"/>
      <c r="N127" s="20"/>
    </row>
    <row r="128" spans="1:14" x14ac:dyDescent="0.25">
      <c r="A128" s="19"/>
      <c r="B128" s="20"/>
      <c r="C128" s="21"/>
      <c r="D128" s="19"/>
      <c r="E128" s="20"/>
      <c r="F128" s="18"/>
      <c r="G128" s="19"/>
      <c r="H128" s="20"/>
      <c r="I128" s="16"/>
      <c r="J128" s="19"/>
      <c r="K128" s="20"/>
      <c r="L128" s="16"/>
      <c r="M128" s="19"/>
      <c r="N128" s="20"/>
    </row>
    <row r="129" spans="1:14" x14ac:dyDescent="0.25">
      <c r="A129" s="18"/>
      <c r="B129" s="20"/>
      <c r="C129" s="18"/>
      <c r="D129" s="19"/>
      <c r="E129" s="20"/>
      <c r="F129" s="18"/>
      <c r="G129" s="19"/>
      <c r="H129" s="20"/>
      <c r="I129" s="16"/>
      <c r="J129" s="19"/>
      <c r="K129" s="20"/>
      <c r="L129" s="16"/>
      <c r="M129" s="19"/>
      <c r="N129" s="20"/>
    </row>
    <row r="130" spans="1:14" x14ac:dyDescent="0.25">
      <c r="A130" s="19"/>
      <c r="B130" s="20"/>
      <c r="C130" s="18"/>
      <c r="D130" s="19"/>
      <c r="E130" s="20"/>
      <c r="F130" s="18"/>
      <c r="G130" s="19"/>
      <c r="H130" s="20"/>
      <c r="I130" s="16"/>
      <c r="J130" s="19"/>
      <c r="K130" s="20"/>
      <c r="L130" s="16"/>
      <c r="M130" s="19"/>
      <c r="N130" s="20"/>
    </row>
    <row r="131" spans="1:14" x14ac:dyDescent="0.25">
      <c r="A131" s="19"/>
      <c r="B131" s="20"/>
      <c r="C131" s="18"/>
      <c r="D131" s="18"/>
      <c r="E131" s="18"/>
      <c r="F131" s="18"/>
      <c r="G131" s="18"/>
      <c r="H131" s="18"/>
      <c r="I131" s="18"/>
    </row>
    <row r="132" spans="1:14" x14ac:dyDescent="0.25">
      <c r="A132" s="18"/>
      <c r="B132" s="18"/>
      <c r="C132" s="18"/>
      <c r="D132" s="18"/>
      <c r="E132" s="18"/>
      <c r="F132" s="18"/>
      <c r="G132" s="18"/>
      <c r="H132" s="18"/>
      <c r="I132" s="18"/>
    </row>
    <row r="133" spans="1:14" x14ac:dyDescent="0.25">
      <c r="A133" s="19"/>
      <c r="B133" s="18"/>
      <c r="C133" s="18"/>
      <c r="D133" s="18"/>
      <c r="E133" s="18"/>
      <c r="F133" s="18"/>
      <c r="G133" s="18"/>
      <c r="H133" s="18"/>
      <c r="I133" s="18"/>
    </row>
    <row r="134" spans="1:14" x14ac:dyDescent="0.25">
      <c r="A134" s="19"/>
      <c r="B134" s="20"/>
      <c r="C134" s="21"/>
      <c r="D134" s="21"/>
      <c r="E134" s="18"/>
      <c r="F134" s="18"/>
      <c r="G134" s="18"/>
      <c r="H134" s="18"/>
      <c r="I134" s="18"/>
    </row>
    <row r="135" spans="1:14" x14ac:dyDescent="0.25">
      <c r="A135" s="19"/>
      <c r="B135" s="20"/>
      <c r="C135" s="21"/>
      <c r="D135" s="21"/>
      <c r="E135" s="18"/>
      <c r="F135" s="18"/>
      <c r="G135" s="18"/>
      <c r="H135" s="18"/>
      <c r="I135" s="18"/>
    </row>
    <row r="136" spans="1:14" x14ac:dyDescent="0.25">
      <c r="A136" s="18"/>
      <c r="B136" s="18"/>
      <c r="C136" s="18"/>
      <c r="D136" s="18"/>
      <c r="E136" s="18"/>
      <c r="F136" s="18"/>
      <c r="G136" s="18"/>
      <c r="H136" s="18"/>
      <c r="I136" s="18"/>
    </row>
    <row r="137" spans="1:14" x14ac:dyDescent="0.25">
      <c r="A137" s="19"/>
      <c r="B137" s="20"/>
      <c r="C137" s="18"/>
      <c r="D137" s="18"/>
      <c r="E137" s="18"/>
      <c r="F137" s="18"/>
      <c r="G137" s="18"/>
      <c r="H137" s="18"/>
      <c r="I137" s="18"/>
    </row>
    <row r="138" spans="1:14" x14ac:dyDescent="0.25">
      <c r="A138" s="19"/>
      <c r="B138" s="20"/>
      <c r="C138" s="18"/>
      <c r="D138" s="18"/>
      <c r="E138" s="18"/>
      <c r="F138" s="18"/>
      <c r="G138" s="18"/>
      <c r="H138" s="18"/>
      <c r="I138" s="18"/>
    </row>
    <row r="139" spans="1:14" x14ac:dyDescent="0.25">
      <c r="A139" s="18"/>
      <c r="B139" s="18"/>
      <c r="C139" s="18"/>
      <c r="D139" s="18"/>
      <c r="E139" s="18"/>
      <c r="F139" s="18"/>
      <c r="G139" s="18"/>
      <c r="H139" s="18"/>
      <c r="I139" s="18"/>
    </row>
    <row r="140" spans="1:14" x14ac:dyDescent="0.25">
      <c r="A140" s="18"/>
      <c r="B140" s="18"/>
      <c r="C140" s="18"/>
      <c r="D140" s="18"/>
      <c r="E140" s="18"/>
      <c r="F140" s="18"/>
      <c r="G140" s="18"/>
      <c r="H140" s="18"/>
      <c r="I140" s="18"/>
    </row>
    <row r="141" spans="1:14" x14ac:dyDescent="0.25">
      <c r="A141" s="18"/>
      <c r="B141" s="18"/>
      <c r="C141" s="18"/>
      <c r="D141" s="18"/>
      <c r="E141" s="18"/>
      <c r="F141" s="18"/>
      <c r="G141" s="18"/>
      <c r="H141" s="18"/>
      <c r="I141" s="18"/>
    </row>
    <row r="142" spans="1:14" x14ac:dyDescent="0.25">
      <c r="A142" s="18"/>
      <c r="B142" s="18"/>
      <c r="C142" s="18"/>
      <c r="D142" s="18"/>
      <c r="E142" s="18"/>
      <c r="F142" s="18"/>
      <c r="G142" s="18"/>
      <c r="H142" s="18"/>
      <c r="I142" s="18"/>
    </row>
    <row r="143" spans="1:14" x14ac:dyDescent="0.25">
      <c r="A143" s="18"/>
      <c r="B143" s="18"/>
      <c r="C143" s="18"/>
      <c r="D143" s="18"/>
      <c r="E143" s="18"/>
      <c r="F143" s="18"/>
      <c r="G143" s="18"/>
      <c r="H143" s="18"/>
      <c r="I143" s="18"/>
    </row>
    <row r="144" spans="1:14" x14ac:dyDescent="0.25">
      <c r="A144" s="18"/>
      <c r="B144" s="18"/>
      <c r="C144" s="18"/>
      <c r="D144" s="22"/>
      <c r="E144" s="18"/>
      <c r="F144" s="18"/>
      <c r="G144" s="18"/>
      <c r="H144" s="19"/>
      <c r="I144" s="23"/>
    </row>
    <row r="145" spans="1:9" x14ac:dyDescent="0.25">
      <c r="A145" s="18"/>
      <c r="B145" s="18"/>
      <c r="C145" s="18"/>
      <c r="D145" s="24"/>
      <c r="E145" s="18"/>
      <c r="F145" s="18"/>
      <c r="G145" s="18"/>
      <c r="H145" s="19"/>
      <c r="I145" s="23"/>
    </row>
    <row r="146" spans="1:9" x14ac:dyDescent="0.25">
      <c r="A146" s="18"/>
      <c r="B146" s="18"/>
      <c r="C146" s="18"/>
      <c r="D146" s="18"/>
      <c r="E146" s="18"/>
      <c r="F146" s="18"/>
      <c r="G146" s="18"/>
      <c r="H146" s="18"/>
      <c r="I146" s="1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152400</xdr:colOff>
                <xdr:row>118</xdr:row>
                <xdr:rowOff>85725</xdr:rowOff>
              </from>
              <to>
                <xdr:col>5</xdr:col>
                <xdr:colOff>819150</xdr:colOff>
                <xdr:row>121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C2" sqref="C2"/>
    </sheetView>
  </sheetViews>
  <sheetFormatPr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2020-01-15T23:46:06Z</dcterms:modified>
</cp:coreProperties>
</file>