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6C33FAA8-6989-4164-AB00-B8E42D2E7BC5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1" i="1" l="1"/>
  <c r="E25" i="1" l="1"/>
  <c r="S6" i="1"/>
  <c r="S13" i="1" s="1"/>
  <c r="S4" i="1"/>
  <c r="S14" i="1" s="1"/>
  <c r="S11" i="1"/>
  <c r="S15" i="1" l="1"/>
  <c r="S16" i="1" s="1"/>
  <c r="V131" i="1"/>
  <c r="S19" i="1" l="1"/>
  <c r="S20" i="1"/>
  <c r="S17" i="1"/>
  <c r="S18" i="1"/>
  <c r="F53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D120" i="1" l="1"/>
  <c r="V130" i="1" l="1"/>
  <c r="E120" i="1"/>
  <c r="W130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J117" i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75" i="1" l="1"/>
  <c r="C109" i="1" s="1"/>
  <c r="G75" i="1"/>
  <c r="D109" i="1" s="1"/>
  <c r="F74" i="1"/>
  <c r="C108" i="1" s="1"/>
  <c r="G74" i="1"/>
  <c r="D108" i="1" s="1"/>
  <c r="G67" i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F103" i="1" s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F10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F109" i="1" s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U117" i="1" s="1"/>
  <c r="B114" i="1"/>
  <c r="D115" i="1"/>
  <c r="B115" i="1"/>
  <c r="L119" i="1" l="1"/>
  <c r="F114" i="1"/>
  <c r="H114" i="1" s="1"/>
  <c r="J114" i="1" s="1"/>
  <c r="F115" i="1"/>
  <c r="H115" i="1" s="1"/>
  <c r="J115" i="1" s="1"/>
  <c r="N115" i="1" l="1"/>
  <c r="W131" i="1"/>
  <c r="M113" i="1"/>
  <c r="M117" i="1"/>
  <c r="I125" i="1"/>
  <c r="H125" i="1"/>
  <c r="M119" i="1" l="1"/>
  <c r="U118" i="1"/>
  <c r="O117" i="1"/>
  <c r="O121" i="1" s="1"/>
  <c r="O113" i="1"/>
  <c r="P113" i="1"/>
  <c r="N113" i="1"/>
  <c r="P117" i="1"/>
  <c r="Q113" i="1" l="1"/>
  <c r="P118" i="1"/>
  <c r="P121" i="1"/>
  <c r="O118" i="1"/>
  <c r="Q118" i="1" l="1"/>
</calcChain>
</file>

<file path=xl/sharedStrings.xml><?xml version="1.0" encoding="utf-8"?>
<sst xmlns="http://schemas.openxmlformats.org/spreadsheetml/2006/main" count="173" uniqueCount="125">
  <si>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</si>
  <si>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</si>
  <si>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</si>
  <si>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</si>
  <si>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</si>
  <si>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</si>
  <si>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</si>
  <si>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</si>
  <si>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</si>
  <si>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</si>
  <si>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</si>
  <si>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</si>
  <si>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</si>
  <si>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</si>
  <si>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</si>
  <si>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</si>
  <si>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</si>
  <si>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</si>
  <si>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</si>
  <si>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</si>
  <si>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</si>
  <si>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</si>
  <si>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</si>
  <si>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</si>
  <si>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</si>
  <si>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</si>
  <si>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</si>
  <si>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</si>
  <si>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</si>
  <si>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</si>
  <si>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</si>
  <si>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</si>
  <si>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</si>
  <si>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</si>
  <si>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</si>
  <si>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</si>
  <si>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</si>
  <si>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</si>
  <si>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</si>
  <si>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</si>
  <si>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</si>
  <si>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</si>
  <si>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</si>
  <si>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</si>
  <si>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</si>
  <si>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</si>
  <si>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</si>
  <si>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</si>
  <si>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</si>
  <si>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</si>
  <si>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</si>
  <si>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</si>
  <si>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</si>
  <si>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</si>
  <si>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</si>
  <si>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</si>
  <si>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</si>
  <si>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</si>
  <si>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</si>
  <si>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</si>
  <si>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</si>
  <si>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</si>
  <si>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</si>
  <si>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</si>
  <si>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</si>
  <si>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</si>
  <si>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</si>
  <si>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</si>
  <si>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</si>
  <si>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</si>
  <si>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</si>
  <si>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</si>
  <si>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</si>
  <si>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</si>
  <si>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</si>
  <si>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</si>
  <si>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</si>
  <si>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</si>
  <si>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</si>
  <si>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</si>
  <si>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</si>
  <si>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</si>
  <si>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</si>
  <si>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</si>
  <si>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</si>
  <si>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</si>
  <si>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</si>
  <si>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</si>
  <si>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</si>
  <si>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</si>
  <si>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</si>
  <si>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</si>
  <si>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</si>
  <si>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</si>
  <si>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</si>
  <si>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t>3D 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</si>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</sst>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2" fontId="0" fillId="0" borderId="7" xfId="0" applyNumberFormat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9</c:v>
                </c:pt>
                <c:pt idx="2">
                  <c:v>14.875</c:v>
                </c:pt>
                <c:pt idx="3">
                  <c:v>3.125</c:v>
                </c:pt>
                <c:pt idx="4">
                  <c:v>14.875</c:v>
                </c:pt>
                <c:pt idx="5">
                  <c:v>3.125</c:v>
                </c:pt>
                <c:pt idx="6">
                  <c:v>14.875</c:v>
                </c:pt>
                <c:pt idx="7">
                  <c:v>3.125</c:v>
                </c:pt>
                <c:pt idx="8">
                  <c:v>14.875</c:v>
                </c:pt>
                <c:pt idx="9">
                  <c:v>3.125</c:v>
                </c:pt>
                <c:pt idx="10">
                  <c:v>9</c:v>
                </c:pt>
                <c:pt idx="11">
                  <c:v>14.875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7.5625</c:v>
                </c:pt>
                <c:pt idx="4">
                  <c:v>7.5625</c:v>
                </c:pt>
                <c:pt idx="5">
                  <c:v>12</c:v>
                </c:pt>
                <c:pt idx="6">
                  <c:v>12</c:v>
                </c:pt>
                <c:pt idx="7">
                  <c:v>16.4375</c:v>
                </c:pt>
                <c:pt idx="8">
                  <c:v>16.4375</c:v>
                </c:pt>
                <c:pt idx="9">
                  <c:v>20.875</c:v>
                </c:pt>
                <c:pt idx="10">
                  <c:v>20.875</c:v>
                </c:pt>
                <c:pt idx="11">
                  <c:v>20.875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-12.881487768411223</c:v>
                </c:pt>
                <c:pt idx="1">
                  <c:v>-10.984919222793351</c:v>
                </c:pt>
                <c:pt idx="2">
                  <c:v>12.881487768411223</c:v>
                </c:pt>
                <c:pt idx="3">
                  <c:v>10.984919222793351</c:v>
                </c:pt>
                <c:pt idx="4">
                  <c:v>-12.881487768411223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7.6855235912898019</c:v>
                </c:pt>
                <c:pt idx="1">
                  <c:v>-10.21428165211363</c:v>
                </c:pt>
                <c:pt idx="2">
                  <c:v>-7.6855235912898019</c:v>
                </c:pt>
                <c:pt idx="3">
                  <c:v>10.21428165211363</c:v>
                </c:pt>
                <c:pt idx="4">
                  <c:v>7.6855235912898019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-9.4446173189283567</c:v>
                </c:pt>
                <c:pt idx="1">
                  <c:v>-8.8255984186225245</c:v>
                </c:pt>
                <c:pt idx="2">
                  <c:v>-8.2065795183166923</c:v>
                </c:pt>
                <c:pt idx="3">
                  <c:v>-5.0318181096170953</c:v>
                </c:pt>
                <c:pt idx="4">
                  <c:v>-3.7937803090054296</c:v>
                </c:pt>
                <c:pt idx="5">
                  <c:v>-0.61901890030583273</c:v>
                </c:pt>
                <c:pt idx="6">
                  <c:v>0.61901890030583273</c:v>
                </c:pt>
                <c:pt idx="7">
                  <c:v>3.7937803090054296</c:v>
                </c:pt>
                <c:pt idx="8">
                  <c:v>5.0318181096170953</c:v>
                </c:pt>
                <c:pt idx="9">
                  <c:v>8.2065795183166923</c:v>
                </c:pt>
                <c:pt idx="10">
                  <c:v>8.8255984186225245</c:v>
                </c:pt>
                <c:pt idx="11">
                  <c:v>9.4446173189283567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4.9071838868131419</c:v>
                </c:pt>
                <c:pt idx="1">
                  <c:v>-0.93511365790881118</c:v>
                </c:pt>
                <c:pt idx="2">
                  <c:v>-6.7774112026307645</c:v>
                </c:pt>
                <c:pt idx="3">
                  <c:v>5.3747407157675475</c:v>
                </c:pt>
                <c:pt idx="4">
                  <c:v>-6.3098543736763588</c:v>
                </c:pt>
                <c:pt idx="5">
                  <c:v>5.8422975447219532</c:v>
                </c:pt>
                <c:pt idx="6">
                  <c:v>-5.8422975447219532</c:v>
                </c:pt>
                <c:pt idx="7">
                  <c:v>6.3098543736763588</c:v>
                </c:pt>
                <c:pt idx="8">
                  <c:v>-5.3747407157675475</c:v>
                </c:pt>
                <c:pt idx="9">
                  <c:v>6.7774112026307645</c:v>
                </c:pt>
                <c:pt idx="10">
                  <c:v>0.93511365790881118</c:v>
                </c:pt>
                <c:pt idx="11">
                  <c:v>-4.9071838868131419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-12.881487768411223</c:v>
                </c:pt>
                <c:pt idx="1">
                  <c:v>12.881487768411223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3.3733409826569902</c:v>
                </c:pt>
                <c:pt idx="1">
                  <c:v>3.3733409826569902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-12.881487768411223</c:v>
                </c:pt>
                <c:pt idx="1">
                  <c:v>12.881487768411223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4.7415291165483184</c:v>
                </c:pt>
                <c:pt idx="1">
                  <c:v>4.7415291165483184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-12.569557708651205</c:v>
                </c:pt>
                <c:pt idx="1">
                  <c:v>#N/A</c:v>
                </c:pt>
                <c:pt idx="2">
                  <c:v>11.564783091464701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4.7415291165483184</c:v>
                </c:pt>
                <c:pt idx="1">
                  <c:v>#N/A</c:v>
                </c:pt>
                <c:pt idx="2">
                  <c:v>4.7415291165483184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12.881487768411223</c:v>
                </c:pt>
                <c:pt idx="1">
                  <c:v>-12.881487768411223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12.881487768411223</c:v>
                </c:pt>
                <c:pt idx="1">
                  <c:v>-12.881487768411223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499.916689038968</c:v>
                </c:pt>
                <c:pt idx="1">
                  <c:v>498.17250938439616</c:v>
                </c:pt>
                <c:pt idx="2">
                  <c:v>496.45854236450191</c:v>
                </c:pt>
                <c:pt idx="3">
                  <c:v>494.76456994119161</c:v>
                </c:pt>
                <c:pt idx="4">
                  <c:v>493.09153172247693</c:v>
                </c:pt>
                <c:pt idx="5">
                  <c:v>491.42508766362567</c:v>
                </c:pt>
                <c:pt idx="6">
                  <c:v>489.76191622483236</c:v>
                </c:pt>
                <c:pt idx="7">
                  <c:v>485.97966737507744</c:v>
                </c:pt>
                <c:pt idx="8">
                  <c:v>480.80142410940675</c:v>
                </c:pt>
                <c:pt idx="9">
                  <c:v>475.7912981787963</c:v>
                </c:pt>
                <c:pt idx="10">
                  <c:v>470.9336759971759</c:v>
                </c:pt>
                <c:pt idx="11">
                  <c:v>466.21434567773173</c:v>
                </c:pt>
                <c:pt idx="12">
                  <c:v>461.61982417583602</c:v>
                </c:pt>
                <c:pt idx="13">
                  <c:v>457.13799659620582</c:v>
                </c:pt>
                <c:pt idx="14">
                  <c:v>452.75704135502258</c:v>
                </c:pt>
                <c:pt idx="15">
                  <c:v>448.37963274988738</c:v>
                </c:pt>
                <c:pt idx="16">
                  <c:v>443.47989856619705</c:v>
                </c:pt>
                <c:pt idx="17">
                  <c:v>437.75460958795867</c:v>
                </c:pt>
                <c:pt idx="18">
                  <c:v>433.0159720371708</c:v>
                </c:pt>
                <c:pt idx="19">
                  <c:v>428.32789169509715</c:v>
                </c:pt>
                <c:pt idx="20">
                  <c:v>423.68235337111247</c:v>
                </c:pt>
                <c:pt idx="21">
                  <c:v>419.07242139714435</c:v>
                </c:pt>
                <c:pt idx="22">
                  <c:v>414.48990774821237</c:v>
                </c:pt>
                <c:pt idx="23">
                  <c:v>409.92886932230749</c:v>
                </c:pt>
                <c:pt idx="24">
                  <c:v>407.04702298635664</c:v>
                </c:pt>
                <c:pt idx="25">
                  <c:v>402.47229847444589</c:v>
                </c:pt>
                <c:pt idx="26">
                  <c:v>397.89541494064582</c:v>
                </c:pt>
                <c:pt idx="27">
                  <c:v>393.31319641996163</c:v>
                </c:pt>
                <c:pt idx="28">
                  <c:v>388.7145787024844</c:v>
                </c:pt>
                <c:pt idx="29">
                  <c:v>384.09304660833408</c:v>
                </c:pt>
                <c:pt idx="30">
                  <c:v>378.82511627355979</c:v>
                </c:pt>
                <c:pt idx="31">
                  <c:v>372.98243218300928</c:v>
                </c:pt>
                <c:pt idx="32">
                  <c:v>367.09527093151615</c:v>
                </c:pt>
                <c:pt idx="33">
                  <c:v>361.33124876338576</c:v>
                </c:pt>
                <c:pt idx="34">
                  <c:v>355.75825572938595</c:v>
                </c:pt>
                <c:pt idx="35">
                  <c:v>350.35716833071029</c:v>
                </c:pt>
                <c:pt idx="36">
                  <c:v>345.11196685818749</c:v>
                </c:pt>
                <c:pt idx="37">
                  <c:v>340.00806413751189</c:v>
                </c:pt>
                <c:pt idx="38">
                  <c:v>335.03083746757483</c:v>
                </c:pt>
                <c:pt idx="39">
                  <c:v>330.16927665010871</c:v>
                </c:pt>
                <c:pt idx="40">
                  <c:v>325.40831829260446</c:v>
                </c:pt>
                <c:pt idx="41">
                  <c:v>320.7386710935254</c:v>
                </c:pt>
                <c:pt idx="42">
                  <c:v>316.14807974423729</c:v>
                </c:pt>
                <c:pt idx="43">
                  <c:v>311.62837437606612</c:v>
                </c:pt>
                <c:pt idx="44">
                  <c:v>307.16724436507081</c:v>
                </c:pt>
                <c:pt idx="45">
                  <c:v>302.75728209481122</c:v>
                </c:pt>
                <c:pt idx="46">
                  <c:v>298.38799849360697</c:v>
                </c:pt>
                <c:pt idx="47">
                  <c:v>294.05022508771452</c:v>
                </c:pt>
                <c:pt idx="48">
                  <c:v>289.44458749462211</c:v>
                </c:pt>
                <c:pt idx="49">
                  <c:v>284.75660570348708</c:v>
                </c:pt>
                <c:pt idx="50">
                  <c:v>280.08654597400431</c:v>
                </c:pt>
                <c:pt idx="51">
                  <c:v>275.42406256891093</c:v>
                </c:pt>
                <c:pt idx="52">
                  <c:v>270.7588772421787</c:v>
                </c:pt>
                <c:pt idx="53">
                  <c:v>266.08088538251718</c:v>
                </c:pt>
                <c:pt idx="54">
                  <c:v>261.40702686992438</c:v>
                </c:pt>
                <c:pt idx="55">
                  <c:v>256.66330514692987</c:v>
                </c:pt>
                <c:pt idx="56">
                  <c:v>251.87064281098884</c:v>
                </c:pt>
                <c:pt idx="57">
                  <c:v>247.01561613384942</c:v>
                </c:pt>
                <c:pt idx="58">
                  <c:v>242.08332093506695</c:v>
                </c:pt>
                <c:pt idx="59">
                  <c:v>238.90348944054656</c:v>
                </c:pt>
                <c:pt idx="60">
                  <c:v>233.77574986838073</c:v>
                </c:pt>
                <c:pt idx="61">
                  <c:v>228.517092987307</c:v>
                </c:pt>
                <c:pt idx="62">
                  <c:v>223.10478296385247</c:v>
                </c:pt>
                <c:pt idx="63">
                  <c:v>217.51251049948704</c:v>
                </c:pt>
                <c:pt idx="64">
                  <c:v>211.71562266810358</c:v>
                </c:pt>
                <c:pt idx="65">
                  <c:v>205.69201498889655</c:v>
                </c:pt>
                <c:pt idx="66">
                  <c:v>199.39375987133715</c:v>
                </c:pt>
                <c:pt idx="67">
                  <c:v>192.77470907231466</c:v>
                </c:pt>
                <c:pt idx="68">
                  <c:v>185.78122187965172</c:v>
                </c:pt>
                <c:pt idx="69">
                  <c:v>178.34760947880713</c:v>
                </c:pt>
                <c:pt idx="70">
                  <c:v>170.39549182451887</c:v>
                </c:pt>
                <c:pt idx="71">
                  <c:v>161.85118673044221</c:v>
                </c:pt>
                <c:pt idx="72">
                  <c:v>153.44070595847637</c:v>
                </c:pt>
                <c:pt idx="73">
                  <c:v>145.21144639054526</c:v>
                </c:pt>
                <c:pt idx="74">
                  <c:v>136.82597521231318</c:v>
                </c:pt>
                <c:pt idx="75">
                  <c:v>128.26236135269897</c:v>
                </c:pt>
                <c:pt idx="76">
                  <c:v>121.71473363318039</c:v>
                </c:pt>
                <c:pt idx="77">
                  <c:v>114.91610300931291</c:v>
                </c:pt>
                <c:pt idx="78">
                  <c:v>107.96789993102914</c:v>
                </c:pt>
                <c:pt idx="79">
                  <c:v>100.84289912900562</c:v>
                </c:pt>
                <c:pt idx="80">
                  <c:v>93.514528406547583</c:v>
                </c:pt>
                <c:pt idx="81">
                  <c:v>85.948533922823074</c:v>
                </c:pt>
                <c:pt idx="82">
                  <c:v>78.104033291557954</c:v>
                </c:pt>
                <c:pt idx="83">
                  <c:v>71.709696111806807</c:v>
                </c:pt>
                <c:pt idx="84">
                  <c:v>63.223678742212599</c:v>
                </c:pt>
                <c:pt idx="85">
                  <c:v>54.305407515909359</c:v>
                </c:pt>
                <c:pt idx="86">
                  <c:v>44.87947145124631</c:v>
                </c:pt>
                <c:pt idx="87">
                  <c:v>34.857812511190247</c:v>
                </c:pt>
                <c:pt idx="88">
                  <c:v>23.852760894744296</c:v>
                </c:pt>
                <c:pt idx="89">
                  <c:v>12.089135012772218</c:v>
                </c:pt>
                <c:pt idx="90">
                  <c:v>2.3357156714104008E-14</c:v>
                </c:pt>
                <c:pt idx="91">
                  <c:v>-12.089135012772099</c:v>
                </c:pt>
                <c:pt idx="92">
                  <c:v>-23.852760894744289</c:v>
                </c:pt>
                <c:pt idx="93">
                  <c:v>-34.857812511190176</c:v>
                </c:pt>
                <c:pt idx="94">
                  <c:v>-44.879471451246374</c:v>
                </c:pt>
                <c:pt idx="95">
                  <c:v>-54.305407515909373</c:v>
                </c:pt>
                <c:pt idx="96">
                  <c:v>-63.22367874221267</c:v>
                </c:pt>
                <c:pt idx="97">
                  <c:v>-71.709696111806807</c:v>
                </c:pt>
                <c:pt idx="98">
                  <c:v>-78.104033291557911</c:v>
                </c:pt>
                <c:pt idx="99">
                  <c:v>-85.94853392282306</c:v>
                </c:pt>
                <c:pt idx="100">
                  <c:v>-93.514528406547541</c:v>
                </c:pt>
                <c:pt idx="101">
                  <c:v>-100.84289912900556</c:v>
                </c:pt>
                <c:pt idx="102">
                  <c:v>-107.96789993102908</c:v>
                </c:pt>
                <c:pt idx="103">
                  <c:v>-114.91610300931292</c:v>
                </c:pt>
                <c:pt idx="104">
                  <c:v>-121.71473363318049</c:v>
                </c:pt>
                <c:pt idx="105">
                  <c:v>-128.26236135269906</c:v>
                </c:pt>
                <c:pt idx="106">
                  <c:v>-136.82597521231312</c:v>
                </c:pt>
                <c:pt idx="107">
                  <c:v>-145.21144639054515</c:v>
                </c:pt>
                <c:pt idx="108">
                  <c:v>-153.44070595847637</c:v>
                </c:pt>
                <c:pt idx="109">
                  <c:v>-161.85118673044212</c:v>
                </c:pt>
                <c:pt idx="110">
                  <c:v>-170.39549182451884</c:v>
                </c:pt>
                <c:pt idx="111">
                  <c:v>-178.3476094788071</c:v>
                </c:pt>
                <c:pt idx="112">
                  <c:v>-185.78122187965172</c:v>
                </c:pt>
                <c:pt idx="113">
                  <c:v>-192.77470907231458</c:v>
                </c:pt>
                <c:pt idx="114">
                  <c:v>-199.39375987133718</c:v>
                </c:pt>
                <c:pt idx="115">
                  <c:v>-205.69201498889649</c:v>
                </c:pt>
                <c:pt idx="116">
                  <c:v>-211.71562266810355</c:v>
                </c:pt>
                <c:pt idx="117">
                  <c:v>-217.51251049948698</c:v>
                </c:pt>
                <c:pt idx="118">
                  <c:v>-223.1047829638525</c:v>
                </c:pt>
                <c:pt idx="119">
                  <c:v>-228.51709298730702</c:v>
                </c:pt>
                <c:pt idx="120">
                  <c:v>-233.77574986838047</c:v>
                </c:pt>
                <c:pt idx="121">
                  <c:v>-238.90348944054662</c:v>
                </c:pt>
                <c:pt idx="122">
                  <c:v>-242.08332093506684</c:v>
                </c:pt>
                <c:pt idx="123">
                  <c:v>-247.01561613384925</c:v>
                </c:pt>
                <c:pt idx="124">
                  <c:v>-251.87064281098876</c:v>
                </c:pt>
                <c:pt idx="125">
                  <c:v>-256.66330514692982</c:v>
                </c:pt>
                <c:pt idx="126">
                  <c:v>-261.40702686992421</c:v>
                </c:pt>
                <c:pt idx="127">
                  <c:v>-266.08088538251707</c:v>
                </c:pt>
                <c:pt idx="128">
                  <c:v>-270.75887724217876</c:v>
                </c:pt>
                <c:pt idx="129">
                  <c:v>-275.42406256891087</c:v>
                </c:pt>
                <c:pt idx="130">
                  <c:v>-280.08654597400431</c:v>
                </c:pt>
                <c:pt idx="131">
                  <c:v>-284.75660570348708</c:v>
                </c:pt>
                <c:pt idx="132">
                  <c:v>-289.44458749462217</c:v>
                </c:pt>
                <c:pt idx="133">
                  <c:v>-294.05022508771452</c:v>
                </c:pt>
                <c:pt idx="134">
                  <c:v>-298.38799849360709</c:v>
                </c:pt>
                <c:pt idx="135">
                  <c:v>-302.75728209481122</c:v>
                </c:pt>
                <c:pt idx="136">
                  <c:v>-307.1672443650707</c:v>
                </c:pt>
                <c:pt idx="137">
                  <c:v>-311.62837437606606</c:v>
                </c:pt>
                <c:pt idx="138">
                  <c:v>-316.14807974423718</c:v>
                </c:pt>
                <c:pt idx="139">
                  <c:v>-320.73867109352528</c:v>
                </c:pt>
                <c:pt idx="140">
                  <c:v>-325.40831829260446</c:v>
                </c:pt>
                <c:pt idx="141">
                  <c:v>-330.16927665010877</c:v>
                </c:pt>
                <c:pt idx="142">
                  <c:v>-335.03083746757488</c:v>
                </c:pt>
                <c:pt idx="143">
                  <c:v>-340.00806413751201</c:v>
                </c:pt>
                <c:pt idx="144">
                  <c:v>-345.11196685818726</c:v>
                </c:pt>
                <c:pt idx="145">
                  <c:v>-350.35716833071041</c:v>
                </c:pt>
                <c:pt idx="146">
                  <c:v>-355.75825572938584</c:v>
                </c:pt>
                <c:pt idx="147">
                  <c:v>-361.33124876338564</c:v>
                </c:pt>
                <c:pt idx="148">
                  <c:v>-367.09527093151627</c:v>
                </c:pt>
                <c:pt idx="149">
                  <c:v>-372.98243218300922</c:v>
                </c:pt>
                <c:pt idx="150">
                  <c:v>-378.82511627355979</c:v>
                </c:pt>
                <c:pt idx="151">
                  <c:v>-384.09304660833408</c:v>
                </c:pt>
                <c:pt idx="152">
                  <c:v>-388.7145787024844</c:v>
                </c:pt>
                <c:pt idx="153">
                  <c:v>-393.31319641996151</c:v>
                </c:pt>
                <c:pt idx="154">
                  <c:v>-397.89541494064582</c:v>
                </c:pt>
                <c:pt idx="155">
                  <c:v>-402.47229847444589</c:v>
                </c:pt>
                <c:pt idx="156">
                  <c:v>-407.04702298635652</c:v>
                </c:pt>
                <c:pt idx="157">
                  <c:v>-409.92886932230749</c:v>
                </c:pt>
                <c:pt idx="158">
                  <c:v>-414.48990774821209</c:v>
                </c:pt>
                <c:pt idx="159">
                  <c:v>-419.07242139714447</c:v>
                </c:pt>
                <c:pt idx="160">
                  <c:v>-423.6823533711123</c:v>
                </c:pt>
                <c:pt idx="161">
                  <c:v>-428.32789169509704</c:v>
                </c:pt>
                <c:pt idx="162">
                  <c:v>-433.01597203717085</c:v>
                </c:pt>
                <c:pt idx="163">
                  <c:v>-437.7546095879589</c:v>
                </c:pt>
                <c:pt idx="164">
                  <c:v>-443.47989856619711</c:v>
                </c:pt>
                <c:pt idx="165">
                  <c:v>-448.37963274988704</c:v>
                </c:pt>
                <c:pt idx="166">
                  <c:v>-452.75704135502258</c:v>
                </c:pt>
                <c:pt idx="167">
                  <c:v>-457.13799659620582</c:v>
                </c:pt>
                <c:pt idx="168">
                  <c:v>-461.61982417583613</c:v>
                </c:pt>
                <c:pt idx="169">
                  <c:v>-466.21434567773173</c:v>
                </c:pt>
                <c:pt idx="170">
                  <c:v>-470.93367599717584</c:v>
                </c:pt>
                <c:pt idx="171">
                  <c:v>-475.79129817879596</c:v>
                </c:pt>
                <c:pt idx="172">
                  <c:v>-480.80142410940675</c:v>
                </c:pt>
                <c:pt idx="173">
                  <c:v>-485.97966737507744</c:v>
                </c:pt>
                <c:pt idx="174">
                  <c:v>-489.76191622483248</c:v>
                </c:pt>
                <c:pt idx="175">
                  <c:v>-491.42508766362567</c:v>
                </c:pt>
                <c:pt idx="176">
                  <c:v>-493.09153172247693</c:v>
                </c:pt>
                <c:pt idx="177">
                  <c:v>-494.76456994119172</c:v>
                </c:pt>
                <c:pt idx="178">
                  <c:v>-496.4585423645018</c:v>
                </c:pt>
                <c:pt idx="179">
                  <c:v>-498.17250938439616</c:v>
                </c:pt>
                <c:pt idx="180">
                  <c:v>-499.91668903896789</c:v>
                </c:pt>
                <c:pt idx="181">
                  <c:v>-498.17250938439599</c:v>
                </c:pt>
                <c:pt idx="182">
                  <c:v>-496.4585423645018</c:v>
                </c:pt>
                <c:pt idx="183">
                  <c:v>-494.76456994119178</c:v>
                </c:pt>
                <c:pt idx="184">
                  <c:v>-493.09153172247693</c:v>
                </c:pt>
                <c:pt idx="185">
                  <c:v>-491.42508766362567</c:v>
                </c:pt>
                <c:pt idx="186">
                  <c:v>-489.76191622483225</c:v>
                </c:pt>
                <c:pt idx="187">
                  <c:v>-485.97966737507772</c:v>
                </c:pt>
                <c:pt idx="188">
                  <c:v>-480.8014241094067</c:v>
                </c:pt>
                <c:pt idx="189">
                  <c:v>-475.79129817879641</c:v>
                </c:pt>
                <c:pt idx="190">
                  <c:v>-470.93367599717584</c:v>
                </c:pt>
                <c:pt idx="191">
                  <c:v>-466.21434567773173</c:v>
                </c:pt>
                <c:pt idx="192">
                  <c:v>-461.6198241758359</c:v>
                </c:pt>
                <c:pt idx="193">
                  <c:v>-457.13799659620599</c:v>
                </c:pt>
                <c:pt idx="194">
                  <c:v>-452.75704135502252</c:v>
                </c:pt>
                <c:pt idx="195">
                  <c:v>-448.37963274988743</c:v>
                </c:pt>
                <c:pt idx="196">
                  <c:v>-443.47989856619699</c:v>
                </c:pt>
                <c:pt idx="197">
                  <c:v>-437.75460958795867</c:v>
                </c:pt>
                <c:pt idx="198">
                  <c:v>-433.01597203717097</c:v>
                </c:pt>
                <c:pt idx="199">
                  <c:v>-428.32789169509709</c:v>
                </c:pt>
                <c:pt idx="200">
                  <c:v>-423.68235337111247</c:v>
                </c:pt>
                <c:pt idx="201">
                  <c:v>-419.0724213971443</c:v>
                </c:pt>
                <c:pt idx="202">
                  <c:v>-414.48990774821232</c:v>
                </c:pt>
                <c:pt idx="203">
                  <c:v>-409.92886932230761</c:v>
                </c:pt>
                <c:pt idx="204">
                  <c:v>-407.04702298635664</c:v>
                </c:pt>
                <c:pt idx="205">
                  <c:v>-402.47229847444601</c:v>
                </c:pt>
                <c:pt idx="206">
                  <c:v>-397.89541494064571</c:v>
                </c:pt>
                <c:pt idx="207">
                  <c:v>-393.31319641996151</c:v>
                </c:pt>
                <c:pt idx="208">
                  <c:v>-388.71457870248429</c:v>
                </c:pt>
                <c:pt idx="209">
                  <c:v>-384.09304660833425</c:v>
                </c:pt>
                <c:pt idx="210">
                  <c:v>-378.82511627355973</c:v>
                </c:pt>
                <c:pt idx="211">
                  <c:v>-372.98243218300928</c:v>
                </c:pt>
                <c:pt idx="212">
                  <c:v>-367.09527093151621</c:v>
                </c:pt>
                <c:pt idx="213">
                  <c:v>-361.33124876338576</c:v>
                </c:pt>
                <c:pt idx="214">
                  <c:v>-355.75825572938606</c:v>
                </c:pt>
                <c:pt idx="215">
                  <c:v>-350.35716833071029</c:v>
                </c:pt>
                <c:pt idx="216">
                  <c:v>-345.11196685818737</c:v>
                </c:pt>
                <c:pt idx="217">
                  <c:v>-340.00806413751195</c:v>
                </c:pt>
                <c:pt idx="218">
                  <c:v>-335.03083746757494</c:v>
                </c:pt>
                <c:pt idx="219">
                  <c:v>-330.1692766501086</c:v>
                </c:pt>
                <c:pt idx="220">
                  <c:v>-325.40831829260446</c:v>
                </c:pt>
                <c:pt idx="221">
                  <c:v>-320.7386710935254</c:v>
                </c:pt>
                <c:pt idx="222">
                  <c:v>-316.14807974423729</c:v>
                </c:pt>
                <c:pt idx="223">
                  <c:v>-311.62837437606612</c:v>
                </c:pt>
                <c:pt idx="224">
                  <c:v>-307.1672443650707</c:v>
                </c:pt>
                <c:pt idx="225">
                  <c:v>-302.75728209481144</c:v>
                </c:pt>
                <c:pt idx="226">
                  <c:v>-298.38799849360709</c:v>
                </c:pt>
                <c:pt idx="227">
                  <c:v>-294.05022508771452</c:v>
                </c:pt>
                <c:pt idx="228">
                  <c:v>-289.44458749462211</c:v>
                </c:pt>
                <c:pt idx="229">
                  <c:v>-284.75660570348714</c:v>
                </c:pt>
                <c:pt idx="230">
                  <c:v>-280.08654597400425</c:v>
                </c:pt>
                <c:pt idx="231">
                  <c:v>-275.42406256891098</c:v>
                </c:pt>
                <c:pt idx="232">
                  <c:v>-270.7588772421787</c:v>
                </c:pt>
                <c:pt idx="233">
                  <c:v>-266.08088538251707</c:v>
                </c:pt>
                <c:pt idx="234">
                  <c:v>-261.40702686992432</c:v>
                </c:pt>
                <c:pt idx="235">
                  <c:v>-256.66330514692993</c:v>
                </c:pt>
                <c:pt idx="236">
                  <c:v>-251.87064281098873</c:v>
                </c:pt>
                <c:pt idx="237">
                  <c:v>-247.01561613384933</c:v>
                </c:pt>
                <c:pt idx="238">
                  <c:v>-242.08332093506695</c:v>
                </c:pt>
                <c:pt idx="239">
                  <c:v>-238.90348944054674</c:v>
                </c:pt>
                <c:pt idx="240">
                  <c:v>-233.77574986838079</c:v>
                </c:pt>
                <c:pt idx="241">
                  <c:v>-228.517092987307</c:v>
                </c:pt>
                <c:pt idx="242">
                  <c:v>-223.10478296385247</c:v>
                </c:pt>
                <c:pt idx="243">
                  <c:v>-217.51251049948709</c:v>
                </c:pt>
                <c:pt idx="244">
                  <c:v>-211.71562266810366</c:v>
                </c:pt>
                <c:pt idx="245">
                  <c:v>-205.69201498889646</c:v>
                </c:pt>
                <c:pt idx="246">
                  <c:v>-199.39375987133715</c:v>
                </c:pt>
                <c:pt idx="247">
                  <c:v>-192.77470907231461</c:v>
                </c:pt>
                <c:pt idx="248">
                  <c:v>-185.78122187965175</c:v>
                </c:pt>
                <c:pt idx="249">
                  <c:v>-178.34760947880733</c:v>
                </c:pt>
                <c:pt idx="250">
                  <c:v>-170.39549182451873</c:v>
                </c:pt>
                <c:pt idx="251">
                  <c:v>-161.85118673044215</c:v>
                </c:pt>
                <c:pt idx="252">
                  <c:v>-153.44070595847646</c:v>
                </c:pt>
                <c:pt idx="253">
                  <c:v>-145.21144639054535</c:v>
                </c:pt>
                <c:pt idx="254">
                  <c:v>-136.82597521231304</c:v>
                </c:pt>
                <c:pt idx="255">
                  <c:v>-128.26236135269892</c:v>
                </c:pt>
                <c:pt idx="256">
                  <c:v>-121.71473363318049</c:v>
                </c:pt>
                <c:pt idx="257">
                  <c:v>-114.91610300931306</c:v>
                </c:pt>
                <c:pt idx="258">
                  <c:v>-107.96789993102932</c:v>
                </c:pt>
                <c:pt idx="259">
                  <c:v>-100.84289912900545</c:v>
                </c:pt>
                <c:pt idx="260">
                  <c:v>-93.514528406547583</c:v>
                </c:pt>
                <c:pt idx="261">
                  <c:v>-85.948533922823117</c:v>
                </c:pt>
                <c:pt idx="262">
                  <c:v>-78.104033291558153</c:v>
                </c:pt>
                <c:pt idx="263">
                  <c:v>-71.709696111806736</c:v>
                </c:pt>
                <c:pt idx="264">
                  <c:v>-63.22367874221257</c:v>
                </c:pt>
                <c:pt idx="265">
                  <c:v>-54.305407515909359</c:v>
                </c:pt>
                <c:pt idx="266">
                  <c:v>-44.879471451246545</c:v>
                </c:pt>
                <c:pt idx="267">
                  <c:v>-34.857812511190424</c:v>
                </c:pt>
                <c:pt idx="268">
                  <c:v>-23.852760894744119</c:v>
                </c:pt>
                <c:pt idx="269">
                  <c:v>-12.089135012772122</c:v>
                </c:pt>
                <c:pt idx="270">
                  <c:v>-5.3018444484069626E-14</c:v>
                </c:pt>
                <c:pt idx="271">
                  <c:v>12.089135012771898</c:v>
                </c:pt>
                <c:pt idx="272">
                  <c:v>23.852760894744428</c:v>
                </c:pt>
                <c:pt idx="273">
                  <c:v>34.857812511190218</c:v>
                </c:pt>
                <c:pt idx="274">
                  <c:v>44.879471451246303</c:v>
                </c:pt>
                <c:pt idx="275">
                  <c:v>54.305407515909152</c:v>
                </c:pt>
                <c:pt idx="276">
                  <c:v>63.223678742212329</c:v>
                </c:pt>
                <c:pt idx="277">
                  <c:v>71.709696111806949</c:v>
                </c:pt>
                <c:pt idx="278">
                  <c:v>78.104033291557954</c:v>
                </c:pt>
                <c:pt idx="279">
                  <c:v>85.948533922823017</c:v>
                </c:pt>
                <c:pt idx="280">
                  <c:v>93.51452840654737</c:v>
                </c:pt>
                <c:pt idx="281">
                  <c:v>100.84289912900572</c:v>
                </c:pt>
                <c:pt idx="282">
                  <c:v>107.96789993102912</c:v>
                </c:pt>
                <c:pt idx="283">
                  <c:v>114.91610300931293</c:v>
                </c:pt>
                <c:pt idx="284">
                  <c:v>121.71473363318029</c:v>
                </c:pt>
                <c:pt idx="285">
                  <c:v>128.26236135269869</c:v>
                </c:pt>
                <c:pt idx="286">
                  <c:v>136.8259752123133</c:v>
                </c:pt>
                <c:pt idx="287">
                  <c:v>145.21144639054518</c:v>
                </c:pt>
                <c:pt idx="288">
                  <c:v>153.4407059584762</c:v>
                </c:pt>
                <c:pt idx="289">
                  <c:v>161.85118673044195</c:v>
                </c:pt>
                <c:pt idx="290">
                  <c:v>170.39549182451896</c:v>
                </c:pt>
                <c:pt idx="291">
                  <c:v>178.34760947880713</c:v>
                </c:pt>
                <c:pt idx="292">
                  <c:v>185.7812218796517</c:v>
                </c:pt>
                <c:pt idx="293">
                  <c:v>192.77470907231452</c:v>
                </c:pt>
                <c:pt idx="294">
                  <c:v>199.39375987133693</c:v>
                </c:pt>
                <c:pt idx="295">
                  <c:v>205.69201498889666</c:v>
                </c:pt>
                <c:pt idx="296">
                  <c:v>211.71562266810349</c:v>
                </c:pt>
                <c:pt idx="297">
                  <c:v>217.51251049948695</c:v>
                </c:pt>
                <c:pt idx="298">
                  <c:v>223.10478296385227</c:v>
                </c:pt>
                <c:pt idx="299">
                  <c:v>228.51709298730711</c:v>
                </c:pt>
                <c:pt idx="300">
                  <c:v>233.77574986838073</c:v>
                </c:pt>
                <c:pt idx="301">
                  <c:v>238.90348944054656</c:v>
                </c:pt>
                <c:pt idx="302">
                  <c:v>242.08332093506684</c:v>
                </c:pt>
                <c:pt idx="303">
                  <c:v>247.01561613384922</c:v>
                </c:pt>
                <c:pt idx="304">
                  <c:v>251.87064281098898</c:v>
                </c:pt>
                <c:pt idx="305">
                  <c:v>256.6633051469297</c:v>
                </c:pt>
                <c:pt idx="306">
                  <c:v>261.40702686992421</c:v>
                </c:pt>
                <c:pt idx="307">
                  <c:v>266.08088538251701</c:v>
                </c:pt>
                <c:pt idx="308">
                  <c:v>270.75887724217881</c:v>
                </c:pt>
                <c:pt idx="309">
                  <c:v>275.42406256891087</c:v>
                </c:pt>
                <c:pt idx="310">
                  <c:v>280.08654597400425</c:v>
                </c:pt>
                <c:pt idx="311">
                  <c:v>284.75660570348708</c:v>
                </c:pt>
                <c:pt idx="312">
                  <c:v>289.44458749462194</c:v>
                </c:pt>
                <c:pt idx="313">
                  <c:v>294.05022508771452</c:v>
                </c:pt>
                <c:pt idx="314">
                  <c:v>298.38799849360709</c:v>
                </c:pt>
                <c:pt idx="315">
                  <c:v>302.75728209481116</c:v>
                </c:pt>
                <c:pt idx="316">
                  <c:v>307.1672443650707</c:v>
                </c:pt>
                <c:pt idx="317">
                  <c:v>311.62837437606618</c:v>
                </c:pt>
                <c:pt idx="318">
                  <c:v>316.14807974423724</c:v>
                </c:pt>
                <c:pt idx="319">
                  <c:v>320.73867109352523</c:v>
                </c:pt>
                <c:pt idx="320">
                  <c:v>325.40831829260446</c:v>
                </c:pt>
                <c:pt idx="321">
                  <c:v>330.1692766501086</c:v>
                </c:pt>
                <c:pt idx="322">
                  <c:v>335.03083746757494</c:v>
                </c:pt>
                <c:pt idx="323">
                  <c:v>340.00806413751195</c:v>
                </c:pt>
                <c:pt idx="324">
                  <c:v>345.11196685818737</c:v>
                </c:pt>
                <c:pt idx="325">
                  <c:v>350.35716833071024</c:v>
                </c:pt>
                <c:pt idx="326">
                  <c:v>355.75825572938606</c:v>
                </c:pt>
                <c:pt idx="327">
                  <c:v>361.33124876338564</c:v>
                </c:pt>
                <c:pt idx="328">
                  <c:v>367.09527093151627</c:v>
                </c:pt>
                <c:pt idx="329">
                  <c:v>372.98243218300922</c:v>
                </c:pt>
                <c:pt idx="330">
                  <c:v>378.82511627355944</c:v>
                </c:pt>
                <c:pt idx="331">
                  <c:v>384.09304660833425</c:v>
                </c:pt>
                <c:pt idx="332">
                  <c:v>388.71457870248429</c:v>
                </c:pt>
                <c:pt idx="333">
                  <c:v>393.31319641996151</c:v>
                </c:pt>
                <c:pt idx="334">
                  <c:v>397.89541494064565</c:v>
                </c:pt>
                <c:pt idx="335">
                  <c:v>402.47229847444601</c:v>
                </c:pt>
                <c:pt idx="336">
                  <c:v>407.04702298635669</c:v>
                </c:pt>
                <c:pt idx="337">
                  <c:v>409.92886932230743</c:v>
                </c:pt>
                <c:pt idx="338">
                  <c:v>414.48990774821209</c:v>
                </c:pt>
                <c:pt idx="339">
                  <c:v>419.07242139714424</c:v>
                </c:pt>
                <c:pt idx="340">
                  <c:v>423.68235337111236</c:v>
                </c:pt>
                <c:pt idx="341">
                  <c:v>428.32789169509715</c:v>
                </c:pt>
                <c:pt idx="342">
                  <c:v>433.0159720371708</c:v>
                </c:pt>
                <c:pt idx="343">
                  <c:v>437.75460958795861</c:v>
                </c:pt>
                <c:pt idx="344">
                  <c:v>443.47989856619716</c:v>
                </c:pt>
                <c:pt idx="345">
                  <c:v>448.37963274988738</c:v>
                </c:pt>
                <c:pt idx="346">
                  <c:v>452.75704135502258</c:v>
                </c:pt>
                <c:pt idx="347">
                  <c:v>457.13799659620588</c:v>
                </c:pt>
                <c:pt idx="348">
                  <c:v>461.61982417583579</c:v>
                </c:pt>
                <c:pt idx="349">
                  <c:v>466.21434567773167</c:v>
                </c:pt>
                <c:pt idx="350">
                  <c:v>470.9336759971759</c:v>
                </c:pt>
                <c:pt idx="351">
                  <c:v>475.79129817879613</c:v>
                </c:pt>
                <c:pt idx="352">
                  <c:v>480.80142410940647</c:v>
                </c:pt>
                <c:pt idx="353">
                  <c:v>485.97966737507772</c:v>
                </c:pt>
                <c:pt idx="354">
                  <c:v>489.76191622483248</c:v>
                </c:pt>
                <c:pt idx="355">
                  <c:v>491.42508766362567</c:v>
                </c:pt>
                <c:pt idx="356">
                  <c:v>493.09153172247693</c:v>
                </c:pt>
                <c:pt idx="357">
                  <c:v>494.76456994119161</c:v>
                </c:pt>
                <c:pt idx="358">
                  <c:v>496.45854236450191</c:v>
                </c:pt>
                <c:pt idx="359">
                  <c:v>498.17250938439616</c:v>
                </c:pt>
                <c:pt idx="360">
                  <c:v>499.91668903896789</c:v>
                </c:pt>
                <c:pt idx="361">
                  <c:v>499.916689038968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5.2001306805183525</c:v>
                </c:pt>
                <c:pt idx="2">
                  <c:v>10.285054767992465</c:v>
                </c:pt>
                <c:pt idx="3">
                  <c:v>15.265491508584136</c:v>
                </c:pt>
                <c:pt idx="4">
                  <c:v>20.151106564984119</c:v>
                </c:pt>
                <c:pt idx="5">
                  <c:v>24.951171562326163</c:v>
                </c:pt>
                <c:pt idx="6">
                  <c:v>29.674081350235113</c:v>
                </c:pt>
                <c:pt idx="7">
                  <c:v>34.129539572702157</c:v>
                </c:pt>
                <c:pt idx="8">
                  <c:v>38.321277167206482</c:v>
                </c:pt>
                <c:pt idx="9">
                  <c:v>42.388491788931418</c:v>
                </c:pt>
                <c:pt idx="10">
                  <c:v>46.343537999175467</c:v>
                </c:pt>
                <c:pt idx="11">
                  <c:v>50.19698644234893</c:v>
                </c:pt>
                <c:pt idx="12">
                  <c:v>53.959264459636117</c:v>
                </c:pt>
                <c:pt idx="13">
                  <c:v>57.639142640574896</c:v>
                </c:pt>
                <c:pt idx="14">
                  <c:v>61.245550287716974</c:v>
                </c:pt>
                <c:pt idx="15">
                  <c:v>64.899324860291628</c:v>
                </c:pt>
                <c:pt idx="16">
                  <c:v>69.266724330209541</c:v>
                </c:pt>
                <c:pt idx="17">
                  <c:v>72.083766148349198</c:v>
                </c:pt>
                <c:pt idx="18">
                  <c:v>76.305861128707491</c:v>
                </c:pt>
                <c:pt idx="19">
                  <c:v>80.469632445100274</c:v>
                </c:pt>
                <c:pt idx="20">
                  <c:v>84.581429916445629</c:v>
                </c:pt>
                <c:pt idx="21">
                  <c:v>88.646699665936424</c:v>
                </c:pt>
                <c:pt idx="22">
                  <c:v>92.671643316383637</c:v>
                </c:pt>
                <c:pt idx="23">
                  <c:v>96.660809551098822</c:v>
                </c:pt>
                <c:pt idx="24">
                  <c:v>99.50768560287581</c:v>
                </c:pt>
                <c:pt idx="25">
                  <c:v>103.45900745473942</c:v>
                </c:pt>
                <c:pt idx="26">
                  <c:v>107.3910507487643</c:v>
                </c:pt>
                <c:pt idx="27">
                  <c:v>111.30625954958883</c:v>
                </c:pt>
                <c:pt idx="28">
                  <c:v>115.2117211794834</c:v>
                </c:pt>
                <c:pt idx="29">
                  <c:v>119.1116424978222</c:v>
                </c:pt>
                <c:pt idx="30">
                  <c:v>123.40680296418056</c:v>
                </c:pt>
                <c:pt idx="31">
                  <c:v>128.04598165537175</c:v>
                </c:pt>
                <c:pt idx="32">
                  <c:v>132.6854063398772</c:v>
                </c:pt>
                <c:pt idx="33">
                  <c:v>137.19439591426155</c:v>
                </c:pt>
                <c:pt idx="34">
                  <c:v>141.5265054851566</c:v>
                </c:pt>
                <c:pt idx="35">
                  <c:v>145.70287895640098</c:v>
                </c:pt>
                <c:pt idx="36">
                  <c:v>149.74178121354069</c:v>
                </c:pt>
                <c:pt idx="37">
                  <c:v>153.65963189534196</c:v>
                </c:pt>
                <c:pt idx="38">
                  <c:v>157.47164657045565</c:v>
                </c:pt>
                <c:pt idx="39">
                  <c:v>161.19097167611412</c:v>
                </c:pt>
                <c:pt idx="40">
                  <c:v>164.8308927335421</c:v>
                </c:pt>
                <c:pt idx="41">
                  <c:v>168.40244503436332</c:v>
                </c:pt>
                <c:pt idx="42">
                  <c:v>171.91667145973668</c:v>
                </c:pt>
                <c:pt idx="43">
                  <c:v>175.3832829137807</c:v>
                </c:pt>
                <c:pt idx="44">
                  <c:v>178.81218981009849</c:v>
                </c:pt>
                <c:pt idx="45">
                  <c:v>182.21218629343988</c:v>
                </c:pt>
                <c:pt idx="46">
                  <c:v>185.59217348225073</c:v>
                </c:pt>
                <c:pt idx="47">
                  <c:v>188.96063908917955</c:v>
                </c:pt>
                <c:pt idx="48">
                  <c:v>192.32699122565205</c:v>
                </c:pt>
                <c:pt idx="49">
                  <c:v>195.69717148575921</c:v>
                </c:pt>
                <c:pt idx="50">
                  <c:v>199.07897296553173</c:v>
                </c:pt>
                <c:pt idx="51">
                  <c:v>202.48099805971964</c:v>
                </c:pt>
                <c:pt idx="52">
                  <c:v>205.9119137670757</c:v>
                </c:pt>
                <c:pt idx="53">
                  <c:v>209.38078044974634</c:v>
                </c:pt>
                <c:pt idx="54">
                  <c:v>211.69854886829327</c:v>
                </c:pt>
                <c:pt idx="55">
                  <c:v>215.27494973316306</c:v>
                </c:pt>
                <c:pt idx="56">
                  <c:v>218.91810788141746</c:v>
                </c:pt>
                <c:pt idx="57">
                  <c:v>222.63918014170682</c:v>
                </c:pt>
                <c:pt idx="58">
                  <c:v>226.44981679792451</c:v>
                </c:pt>
                <c:pt idx="59">
                  <c:v>230.32974077379782</c:v>
                </c:pt>
                <c:pt idx="60">
                  <c:v>234.35684689448559</c:v>
                </c:pt>
                <c:pt idx="61">
                  <c:v>238.51571439729901</c:v>
                </c:pt>
                <c:pt idx="62">
                  <c:v>242.82318554009768</c:v>
                </c:pt>
                <c:pt idx="63">
                  <c:v>247.2984749164973</c:v>
                </c:pt>
                <c:pt idx="64">
                  <c:v>251.84886781157019</c:v>
                </c:pt>
                <c:pt idx="65">
                  <c:v>256.33611646975828</c:v>
                </c:pt>
                <c:pt idx="66">
                  <c:v>261.03459805417424</c:v>
                </c:pt>
                <c:pt idx="67">
                  <c:v>265.97357408214049</c:v>
                </c:pt>
                <c:pt idx="68">
                  <c:v>271.18473668066531</c:v>
                </c:pt>
                <c:pt idx="69">
                  <c:v>276.70699001014736</c:v>
                </c:pt>
                <c:pt idx="70">
                  <c:v>282.58430817739924</c:v>
                </c:pt>
                <c:pt idx="71">
                  <c:v>288.85293712148814</c:v>
                </c:pt>
                <c:pt idx="72">
                  <c:v>294.75722025910841</c:v>
                </c:pt>
                <c:pt idx="73">
                  <c:v>300.30778781160711</c:v>
                </c:pt>
                <c:pt idx="74">
                  <c:v>305.92063364704097</c:v>
                </c:pt>
                <c:pt idx="75">
                  <c:v>311.61406471677941</c:v>
                </c:pt>
                <c:pt idx="76">
                  <c:v>315.30400213904352</c:v>
                </c:pt>
                <c:pt idx="77">
                  <c:v>319.73544570088012</c:v>
                </c:pt>
                <c:pt idx="78">
                  <c:v>324.26854473895906</c:v>
                </c:pt>
                <c:pt idx="79">
                  <c:v>328.92789754438809</c:v>
                </c:pt>
                <c:pt idx="80">
                  <c:v>333.73803488264616</c:v>
                </c:pt>
                <c:pt idx="81">
                  <c:v>338.72909463189688</c:v>
                </c:pt>
                <c:pt idx="82">
                  <c:v>343.93577173000301</c:v>
                </c:pt>
                <c:pt idx="83">
                  <c:v>348.14627413756961</c:v>
                </c:pt>
                <c:pt idx="84">
                  <c:v>353.84858338006012</c:v>
                </c:pt>
                <c:pt idx="85">
                  <c:v>359.89505401196664</c:v>
                </c:pt>
                <c:pt idx="86">
                  <c:v>366.34532181224142</c:v>
                </c:pt>
                <c:pt idx="87">
                  <c:v>373.26912211149317</c:v>
                </c:pt>
                <c:pt idx="88">
                  <c:v>377.46924428331056</c:v>
                </c:pt>
                <c:pt idx="89">
                  <c:v>379.61563112134507</c:v>
                </c:pt>
                <c:pt idx="90">
                  <c:v>381.2951258359322</c:v>
                </c:pt>
                <c:pt idx="91">
                  <c:v>379.61563112134507</c:v>
                </c:pt>
                <c:pt idx="92">
                  <c:v>377.46924428331062</c:v>
                </c:pt>
                <c:pt idx="93">
                  <c:v>373.26912211149323</c:v>
                </c:pt>
                <c:pt idx="94">
                  <c:v>366.34532181224142</c:v>
                </c:pt>
                <c:pt idx="95">
                  <c:v>359.89505401196652</c:v>
                </c:pt>
                <c:pt idx="96">
                  <c:v>353.84858338006006</c:v>
                </c:pt>
                <c:pt idx="97">
                  <c:v>348.14627413756983</c:v>
                </c:pt>
                <c:pt idx="98">
                  <c:v>343.93577173000307</c:v>
                </c:pt>
                <c:pt idx="99">
                  <c:v>338.72909463189688</c:v>
                </c:pt>
                <c:pt idx="100">
                  <c:v>333.73803488264616</c:v>
                </c:pt>
                <c:pt idx="101">
                  <c:v>328.92789754438803</c:v>
                </c:pt>
                <c:pt idx="102">
                  <c:v>324.26854473895924</c:v>
                </c:pt>
                <c:pt idx="103">
                  <c:v>319.73544570088012</c:v>
                </c:pt>
                <c:pt idx="104">
                  <c:v>315.30400213904329</c:v>
                </c:pt>
                <c:pt idx="105">
                  <c:v>311.61406471677935</c:v>
                </c:pt>
                <c:pt idx="106">
                  <c:v>305.92063364704092</c:v>
                </c:pt>
                <c:pt idx="107">
                  <c:v>300.30778781160728</c:v>
                </c:pt>
                <c:pt idx="108">
                  <c:v>294.75722025910864</c:v>
                </c:pt>
                <c:pt idx="109">
                  <c:v>288.8529371214882</c:v>
                </c:pt>
                <c:pt idx="110">
                  <c:v>282.58430817739935</c:v>
                </c:pt>
                <c:pt idx="111">
                  <c:v>276.70699001014731</c:v>
                </c:pt>
                <c:pt idx="112">
                  <c:v>271.18473668066531</c:v>
                </c:pt>
                <c:pt idx="113">
                  <c:v>265.97357408214032</c:v>
                </c:pt>
                <c:pt idx="114">
                  <c:v>261.0345980541743</c:v>
                </c:pt>
                <c:pt idx="115">
                  <c:v>256.33611646975822</c:v>
                </c:pt>
                <c:pt idx="116">
                  <c:v>251.84886781157013</c:v>
                </c:pt>
                <c:pt idx="117">
                  <c:v>247.2984749164973</c:v>
                </c:pt>
                <c:pt idx="118">
                  <c:v>242.82318554009777</c:v>
                </c:pt>
                <c:pt idx="119">
                  <c:v>238.51571439729909</c:v>
                </c:pt>
                <c:pt idx="120">
                  <c:v>234.35684689448553</c:v>
                </c:pt>
                <c:pt idx="121">
                  <c:v>230.32974077379779</c:v>
                </c:pt>
                <c:pt idx="122">
                  <c:v>226.44981679792448</c:v>
                </c:pt>
                <c:pt idx="123">
                  <c:v>222.63918014170662</c:v>
                </c:pt>
                <c:pt idx="124">
                  <c:v>218.9181078814174</c:v>
                </c:pt>
                <c:pt idx="125">
                  <c:v>215.27494973316288</c:v>
                </c:pt>
                <c:pt idx="126">
                  <c:v>211.69854886829324</c:v>
                </c:pt>
                <c:pt idx="127">
                  <c:v>209.38078044974631</c:v>
                </c:pt>
                <c:pt idx="128">
                  <c:v>205.9119137670757</c:v>
                </c:pt>
                <c:pt idx="129">
                  <c:v>202.48099805971978</c:v>
                </c:pt>
                <c:pt idx="130">
                  <c:v>199.07897296553179</c:v>
                </c:pt>
                <c:pt idx="131">
                  <c:v>195.69717148575921</c:v>
                </c:pt>
                <c:pt idx="132">
                  <c:v>192.32699122565208</c:v>
                </c:pt>
                <c:pt idx="133">
                  <c:v>188.96063908917955</c:v>
                </c:pt>
                <c:pt idx="134">
                  <c:v>185.59217348225081</c:v>
                </c:pt>
                <c:pt idx="135">
                  <c:v>182.21218629343994</c:v>
                </c:pt>
                <c:pt idx="136">
                  <c:v>178.81218981009846</c:v>
                </c:pt>
                <c:pt idx="137">
                  <c:v>175.3832829137807</c:v>
                </c:pt>
                <c:pt idx="138">
                  <c:v>171.91667145973665</c:v>
                </c:pt>
                <c:pt idx="139">
                  <c:v>168.40244503436338</c:v>
                </c:pt>
                <c:pt idx="140">
                  <c:v>164.83089273354216</c:v>
                </c:pt>
                <c:pt idx="141">
                  <c:v>161.19097167611417</c:v>
                </c:pt>
                <c:pt idx="142">
                  <c:v>157.47164657045565</c:v>
                </c:pt>
                <c:pt idx="143">
                  <c:v>153.65963189534193</c:v>
                </c:pt>
                <c:pt idx="144">
                  <c:v>149.74178121354072</c:v>
                </c:pt>
                <c:pt idx="145">
                  <c:v>145.70287895640101</c:v>
                </c:pt>
                <c:pt idx="146">
                  <c:v>141.52650548515655</c:v>
                </c:pt>
                <c:pt idx="147">
                  <c:v>137.19439591426161</c:v>
                </c:pt>
                <c:pt idx="148">
                  <c:v>132.68540633987726</c:v>
                </c:pt>
                <c:pt idx="149">
                  <c:v>128.04598165537183</c:v>
                </c:pt>
                <c:pt idx="150">
                  <c:v>123.40680296418056</c:v>
                </c:pt>
                <c:pt idx="151">
                  <c:v>119.1116424978222</c:v>
                </c:pt>
                <c:pt idx="152">
                  <c:v>115.21172117948345</c:v>
                </c:pt>
                <c:pt idx="153">
                  <c:v>111.30625954958887</c:v>
                </c:pt>
                <c:pt idx="154">
                  <c:v>107.39105074876427</c:v>
                </c:pt>
                <c:pt idx="155">
                  <c:v>103.45900745473942</c:v>
                </c:pt>
                <c:pt idx="156">
                  <c:v>99.50768560287581</c:v>
                </c:pt>
                <c:pt idx="157">
                  <c:v>96.660809551098822</c:v>
                </c:pt>
                <c:pt idx="158">
                  <c:v>92.671643316383623</c:v>
                </c:pt>
                <c:pt idx="159">
                  <c:v>88.646699665936424</c:v>
                </c:pt>
                <c:pt idx="160">
                  <c:v>84.581429916445671</c:v>
                </c:pt>
                <c:pt idx="161">
                  <c:v>80.469632445100189</c:v>
                </c:pt>
                <c:pt idx="162">
                  <c:v>76.305861128707548</c:v>
                </c:pt>
                <c:pt idx="163">
                  <c:v>72.08376614834917</c:v>
                </c:pt>
                <c:pt idx="164">
                  <c:v>69.266724330209584</c:v>
                </c:pt>
                <c:pt idx="165">
                  <c:v>64.899324860291642</c:v>
                </c:pt>
                <c:pt idx="166">
                  <c:v>61.245550287716974</c:v>
                </c:pt>
                <c:pt idx="167">
                  <c:v>57.639142640574946</c:v>
                </c:pt>
                <c:pt idx="168">
                  <c:v>53.959264459636024</c:v>
                </c:pt>
                <c:pt idx="169">
                  <c:v>50.196986442349008</c:v>
                </c:pt>
                <c:pt idx="170">
                  <c:v>46.343537999175439</c:v>
                </c:pt>
                <c:pt idx="171">
                  <c:v>42.388491788931418</c:v>
                </c:pt>
                <c:pt idx="172">
                  <c:v>38.321277167206475</c:v>
                </c:pt>
                <c:pt idx="173">
                  <c:v>34.129539572702186</c:v>
                </c:pt>
                <c:pt idx="174">
                  <c:v>29.674081350235166</c:v>
                </c:pt>
                <c:pt idx="175">
                  <c:v>24.951171562326177</c:v>
                </c:pt>
                <c:pt idx="176">
                  <c:v>20.151106564984168</c:v>
                </c:pt>
                <c:pt idx="177">
                  <c:v>15.265491508584157</c:v>
                </c:pt>
                <c:pt idx="178">
                  <c:v>10.285054767992523</c:v>
                </c:pt>
                <c:pt idx="179">
                  <c:v>5.2001306805183409</c:v>
                </c:pt>
                <c:pt idx="180">
                  <c:v>6.1247215915912464E-14</c:v>
                </c:pt>
                <c:pt idx="181">
                  <c:v>-5.2001306805183525</c:v>
                </c:pt>
                <c:pt idx="182">
                  <c:v>-10.285054767992449</c:v>
                </c:pt>
                <c:pt idx="183">
                  <c:v>-15.265491508584036</c:v>
                </c:pt>
                <c:pt idx="184">
                  <c:v>-20.151106564984079</c:v>
                </c:pt>
                <c:pt idx="185">
                  <c:v>-24.951171562326074</c:v>
                </c:pt>
                <c:pt idx="186">
                  <c:v>-29.674081350235113</c:v>
                </c:pt>
                <c:pt idx="187">
                  <c:v>-34.129539572702129</c:v>
                </c:pt>
                <c:pt idx="188">
                  <c:v>-38.321277167206546</c:v>
                </c:pt>
                <c:pt idx="189">
                  <c:v>-42.388491788931383</c:v>
                </c:pt>
                <c:pt idx="190">
                  <c:v>-46.343537999175496</c:v>
                </c:pt>
                <c:pt idx="191">
                  <c:v>-50.19698644234893</c:v>
                </c:pt>
                <c:pt idx="192">
                  <c:v>-53.959264459636088</c:v>
                </c:pt>
                <c:pt idx="193">
                  <c:v>-57.639142640574832</c:v>
                </c:pt>
                <c:pt idx="194">
                  <c:v>-61.245550287716881</c:v>
                </c:pt>
                <c:pt idx="195">
                  <c:v>-64.899324860291642</c:v>
                </c:pt>
                <c:pt idx="196">
                  <c:v>-69.266724330209541</c:v>
                </c:pt>
                <c:pt idx="197">
                  <c:v>-72.083766148349198</c:v>
                </c:pt>
                <c:pt idx="198">
                  <c:v>-76.305861128707548</c:v>
                </c:pt>
                <c:pt idx="199">
                  <c:v>-80.469632445100302</c:v>
                </c:pt>
                <c:pt idx="200">
                  <c:v>-84.581429916445629</c:v>
                </c:pt>
                <c:pt idx="201">
                  <c:v>-88.646699665936524</c:v>
                </c:pt>
                <c:pt idx="202">
                  <c:v>-92.671643316383609</c:v>
                </c:pt>
                <c:pt idx="203">
                  <c:v>-96.660809551098808</c:v>
                </c:pt>
                <c:pt idx="204">
                  <c:v>-99.507685602875824</c:v>
                </c:pt>
                <c:pt idx="205">
                  <c:v>-103.45900745473932</c:v>
                </c:pt>
                <c:pt idx="206">
                  <c:v>-107.39105074876431</c:v>
                </c:pt>
                <c:pt idx="207">
                  <c:v>-111.3062595495888</c:v>
                </c:pt>
                <c:pt idx="208">
                  <c:v>-115.21172117948349</c:v>
                </c:pt>
                <c:pt idx="209">
                  <c:v>-119.11164249782217</c:v>
                </c:pt>
                <c:pt idx="210">
                  <c:v>-123.4068029641806</c:v>
                </c:pt>
                <c:pt idx="211">
                  <c:v>-128.04598165537175</c:v>
                </c:pt>
                <c:pt idx="212">
                  <c:v>-132.68540633987723</c:v>
                </c:pt>
                <c:pt idx="213">
                  <c:v>-137.19439591426155</c:v>
                </c:pt>
                <c:pt idx="214">
                  <c:v>-141.52650548515655</c:v>
                </c:pt>
                <c:pt idx="215">
                  <c:v>-145.70287895640101</c:v>
                </c:pt>
                <c:pt idx="216">
                  <c:v>-149.74178121354063</c:v>
                </c:pt>
                <c:pt idx="217">
                  <c:v>-153.65963189534196</c:v>
                </c:pt>
                <c:pt idx="218">
                  <c:v>-157.47164657045565</c:v>
                </c:pt>
                <c:pt idx="219">
                  <c:v>-161.1909716761142</c:v>
                </c:pt>
                <c:pt idx="220">
                  <c:v>-164.83089273354207</c:v>
                </c:pt>
                <c:pt idx="221">
                  <c:v>-168.4024450343633</c:v>
                </c:pt>
                <c:pt idx="222">
                  <c:v>-171.91667145973668</c:v>
                </c:pt>
                <c:pt idx="223">
                  <c:v>-175.38328291378068</c:v>
                </c:pt>
                <c:pt idx="224">
                  <c:v>-178.81218981009854</c:v>
                </c:pt>
                <c:pt idx="225">
                  <c:v>-182.21218629343994</c:v>
                </c:pt>
                <c:pt idx="226">
                  <c:v>-185.59217348225081</c:v>
                </c:pt>
                <c:pt idx="227">
                  <c:v>-188.96063908917955</c:v>
                </c:pt>
                <c:pt idx="228">
                  <c:v>-192.32699122565216</c:v>
                </c:pt>
                <c:pt idx="229">
                  <c:v>-195.69717148575921</c:v>
                </c:pt>
                <c:pt idx="230">
                  <c:v>-199.0789729655317</c:v>
                </c:pt>
                <c:pt idx="231">
                  <c:v>-202.48099805971952</c:v>
                </c:pt>
                <c:pt idx="232">
                  <c:v>-205.91191376707576</c:v>
                </c:pt>
                <c:pt idx="233">
                  <c:v>-209.38078044974631</c:v>
                </c:pt>
                <c:pt idx="234">
                  <c:v>-211.69854886829324</c:v>
                </c:pt>
                <c:pt idx="235">
                  <c:v>-215.27494973316291</c:v>
                </c:pt>
                <c:pt idx="236">
                  <c:v>-218.91810788141748</c:v>
                </c:pt>
                <c:pt idx="237">
                  <c:v>-222.63918014170673</c:v>
                </c:pt>
                <c:pt idx="238">
                  <c:v>-226.44981679792451</c:v>
                </c:pt>
                <c:pt idx="239">
                  <c:v>-230.32974077379774</c:v>
                </c:pt>
                <c:pt idx="240">
                  <c:v>-234.35684689448541</c:v>
                </c:pt>
                <c:pt idx="241">
                  <c:v>-238.51571439729909</c:v>
                </c:pt>
                <c:pt idx="242">
                  <c:v>-242.82318554009785</c:v>
                </c:pt>
                <c:pt idx="243">
                  <c:v>-247.29847491649727</c:v>
                </c:pt>
                <c:pt idx="244">
                  <c:v>-251.84886781157005</c:v>
                </c:pt>
                <c:pt idx="245">
                  <c:v>-256.33611646975828</c:v>
                </c:pt>
                <c:pt idx="246">
                  <c:v>-261.03459805417435</c:v>
                </c:pt>
                <c:pt idx="247">
                  <c:v>-265.97357408214032</c:v>
                </c:pt>
                <c:pt idx="248">
                  <c:v>-271.1847366806652</c:v>
                </c:pt>
                <c:pt idx="249">
                  <c:v>-276.70699001014714</c:v>
                </c:pt>
                <c:pt idx="250">
                  <c:v>-282.58430817739941</c:v>
                </c:pt>
                <c:pt idx="251">
                  <c:v>-288.8529371214882</c:v>
                </c:pt>
                <c:pt idx="252">
                  <c:v>-294.75722025910841</c:v>
                </c:pt>
                <c:pt idx="253">
                  <c:v>-300.30778781160694</c:v>
                </c:pt>
                <c:pt idx="254">
                  <c:v>-305.92063364704103</c:v>
                </c:pt>
                <c:pt idx="255">
                  <c:v>-311.61406471677941</c:v>
                </c:pt>
                <c:pt idx="256">
                  <c:v>-315.30400213904329</c:v>
                </c:pt>
                <c:pt idx="257">
                  <c:v>-319.73544570088001</c:v>
                </c:pt>
                <c:pt idx="258">
                  <c:v>-324.26854473895901</c:v>
                </c:pt>
                <c:pt idx="259">
                  <c:v>-328.92789754438809</c:v>
                </c:pt>
                <c:pt idx="260">
                  <c:v>-333.73803488264605</c:v>
                </c:pt>
                <c:pt idx="261">
                  <c:v>-338.72909463189666</c:v>
                </c:pt>
                <c:pt idx="262">
                  <c:v>-343.93577173000273</c:v>
                </c:pt>
                <c:pt idx="263">
                  <c:v>-348.14627413756966</c:v>
                </c:pt>
                <c:pt idx="264">
                  <c:v>-353.84858338006035</c:v>
                </c:pt>
                <c:pt idx="265">
                  <c:v>-359.89505401196652</c:v>
                </c:pt>
                <c:pt idx="266">
                  <c:v>-366.34532181224131</c:v>
                </c:pt>
                <c:pt idx="267">
                  <c:v>-373.269122111493</c:v>
                </c:pt>
                <c:pt idx="268">
                  <c:v>-377.46924428331062</c:v>
                </c:pt>
                <c:pt idx="269">
                  <c:v>-379.61563112134502</c:v>
                </c:pt>
                <c:pt idx="270">
                  <c:v>-381.2951258359322</c:v>
                </c:pt>
                <c:pt idx="271">
                  <c:v>-379.61563112134525</c:v>
                </c:pt>
                <c:pt idx="272">
                  <c:v>-377.46924428331056</c:v>
                </c:pt>
                <c:pt idx="273">
                  <c:v>-373.26912211149329</c:v>
                </c:pt>
                <c:pt idx="274">
                  <c:v>-366.34532181224148</c:v>
                </c:pt>
                <c:pt idx="275">
                  <c:v>-359.89505401196658</c:v>
                </c:pt>
                <c:pt idx="276">
                  <c:v>-353.84858338006052</c:v>
                </c:pt>
                <c:pt idx="277">
                  <c:v>-348.14627413756949</c:v>
                </c:pt>
                <c:pt idx="278">
                  <c:v>-343.93577173000301</c:v>
                </c:pt>
                <c:pt idx="279">
                  <c:v>-338.72909463189688</c:v>
                </c:pt>
                <c:pt idx="280">
                  <c:v>-333.73803488264639</c:v>
                </c:pt>
                <c:pt idx="281">
                  <c:v>-328.92789754438803</c:v>
                </c:pt>
                <c:pt idx="282">
                  <c:v>-324.26854473895901</c:v>
                </c:pt>
                <c:pt idx="283">
                  <c:v>-319.73544570088006</c:v>
                </c:pt>
                <c:pt idx="284">
                  <c:v>-315.30400213904352</c:v>
                </c:pt>
                <c:pt idx="285">
                  <c:v>-311.61406471677947</c:v>
                </c:pt>
                <c:pt idx="286">
                  <c:v>-305.92063364704069</c:v>
                </c:pt>
                <c:pt idx="287">
                  <c:v>-300.30778781160711</c:v>
                </c:pt>
                <c:pt idx="288">
                  <c:v>-294.75722025910858</c:v>
                </c:pt>
                <c:pt idx="289">
                  <c:v>-288.85293712148842</c:v>
                </c:pt>
                <c:pt idx="290">
                  <c:v>-282.58430817739924</c:v>
                </c:pt>
                <c:pt idx="291">
                  <c:v>-276.70699001014731</c:v>
                </c:pt>
                <c:pt idx="292">
                  <c:v>-271.18473668066531</c:v>
                </c:pt>
                <c:pt idx="293">
                  <c:v>-265.97357408214049</c:v>
                </c:pt>
                <c:pt idx="294">
                  <c:v>-261.03459805417447</c:v>
                </c:pt>
                <c:pt idx="295">
                  <c:v>-256.33611646975822</c:v>
                </c:pt>
                <c:pt idx="296">
                  <c:v>-251.84886781157005</c:v>
                </c:pt>
                <c:pt idx="297">
                  <c:v>-247.2984749164973</c:v>
                </c:pt>
                <c:pt idx="298">
                  <c:v>-242.82318554009777</c:v>
                </c:pt>
                <c:pt idx="299">
                  <c:v>-238.51571439729895</c:v>
                </c:pt>
                <c:pt idx="300">
                  <c:v>-234.35684689448561</c:v>
                </c:pt>
                <c:pt idx="301">
                  <c:v>-230.32974077379774</c:v>
                </c:pt>
                <c:pt idx="302">
                  <c:v>-226.44981679792448</c:v>
                </c:pt>
                <c:pt idx="303">
                  <c:v>-222.63918014170682</c:v>
                </c:pt>
                <c:pt idx="304">
                  <c:v>-218.9181078814174</c:v>
                </c:pt>
                <c:pt idx="305">
                  <c:v>-215.27494973316297</c:v>
                </c:pt>
                <c:pt idx="306">
                  <c:v>-211.69854886829327</c:v>
                </c:pt>
                <c:pt idx="307">
                  <c:v>-209.38078044974642</c:v>
                </c:pt>
                <c:pt idx="308">
                  <c:v>-205.91191376707556</c:v>
                </c:pt>
                <c:pt idx="309">
                  <c:v>-202.4809980597197</c:v>
                </c:pt>
                <c:pt idx="310">
                  <c:v>-199.07897296553173</c:v>
                </c:pt>
                <c:pt idx="311">
                  <c:v>-195.69717148575927</c:v>
                </c:pt>
                <c:pt idx="312">
                  <c:v>-192.32699122565214</c:v>
                </c:pt>
                <c:pt idx="313">
                  <c:v>-188.96063908917949</c:v>
                </c:pt>
                <c:pt idx="314">
                  <c:v>-185.59217348225081</c:v>
                </c:pt>
                <c:pt idx="315">
                  <c:v>-182.21218629343988</c:v>
                </c:pt>
                <c:pt idx="316">
                  <c:v>-178.81218981009857</c:v>
                </c:pt>
                <c:pt idx="317">
                  <c:v>-175.38328291378065</c:v>
                </c:pt>
                <c:pt idx="318">
                  <c:v>-171.91667145973662</c:v>
                </c:pt>
                <c:pt idx="319">
                  <c:v>-168.40244503436332</c:v>
                </c:pt>
                <c:pt idx="320">
                  <c:v>-164.83089273354216</c:v>
                </c:pt>
                <c:pt idx="321">
                  <c:v>-161.19097167611423</c:v>
                </c:pt>
                <c:pt idx="322">
                  <c:v>-157.47164657045565</c:v>
                </c:pt>
                <c:pt idx="323">
                  <c:v>-153.65963189534196</c:v>
                </c:pt>
                <c:pt idx="324">
                  <c:v>-149.74178121354072</c:v>
                </c:pt>
                <c:pt idx="325">
                  <c:v>-145.70287895640121</c:v>
                </c:pt>
                <c:pt idx="326">
                  <c:v>-141.52650548515643</c:v>
                </c:pt>
                <c:pt idx="327">
                  <c:v>-137.19439591426146</c:v>
                </c:pt>
                <c:pt idx="328">
                  <c:v>-132.68540633987729</c:v>
                </c:pt>
                <c:pt idx="329">
                  <c:v>-128.04598165537192</c:v>
                </c:pt>
                <c:pt idx="330">
                  <c:v>-123.4068029641807</c:v>
                </c:pt>
                <c:pt idx="331">
                  <c:v>-119.11164249782216</c:v>
                </c:pt>
                <c:pt idx="332">
                  <c:v>-115.21172117948342</c:v>
                </c:pt>
                <c:pt idx="333">
                  <c:v>-111.30625954958894</c:v>
                </c:pt>
                <c:pt idx="334">
                  <c:v>-107.39105074876434</c:v>
                </c:pt>
                <c:pt idx="335">
                  <c:v>-103.45900745473934</c:v>
                </c:pt>
                <c:pt idx="336">
                  <c:v>-99.507685602875782</c:v>
                </c:pt>
                <c:pt idx="337">
                  <c:v>-96.660809551098865</c:v>
                </c:pt>
                <c:pt idx="338">
                  <c:v>-92.67164331638368</c:v>
                </c:pt>
                <c:pt idx="339">
                  <c:v>-88.646699665936623</c:v>
                </c:pt>
                <c:pt idx="340">
                  <c:v>-84.581429916445543</c:v>
                </c:pt>
                <c:pt idx="341">
                  <c:v>-80.469632445100274</c:v>
                </c:pt>
                <c:pt idx="342">
                  <c:v>-76.305861128707548</c:v>
                </c:pt>
                <c:pt idx="343">
                  <c:v>-72.083766148349341</c:v>
                </c:pt>
                <c:pt idx="344">
                  <c:v>-69.26672433020947</c:v>
                </c:pt>
                <c:pt idx="345">
                  <c:v>-64.8993248602916</c:v>
                </c:pt>
                <c:pt idx="346">
                  <c:v>-61.245550287717023</c:v>
                </c:pt>
                <c:pt idx="347">
                  <c:v>-57.639142640574924</c:v>
                </c:pt>
                <c:pt idx="348">
                  <c:v>-53.959264459636195</c:v>
                </c:pt>
                <c:pt idx="349">
                  <c:v>-50.196986442348866</c:v>
                </c:pt>
                <c:pt idx="350">
                  <c:v>-46.343537999175489</c:v>
                </c:pt>
                <c:pt idx="351">
                  <c:v>-42.388491788931468</c:v>
                </c:pt>
                <c:pt idx="352">
                  <c:v>-38.321277167206624</c:v>
                </c:pt>
                <c:pt idx="353">
                  <c:v>-34.129539572702072</c:v>
                </c:pt>
                <c:pt idx="354">
                  <c:v>-29.67408135023507</c:v>
                </c:pt>
                <c:pt idx="355">
                  <c:v>-24.951171562326227</c:v>
                </c:pt>
                <c:pt idx="356">
                  <c:v>-20.15110656498419</c:v>
                </c:pt>
                <c:pt idx="357">
                  <c:v>-15.265491508584324</c:v>
                </c:pt>
                <c:pt idx="358">
                  <c:v>-10.285054767992468</c:v>
                </c:pt>
                <c:pt idx="359">
                  <c:v>-5.2001306805183711</c:v>
                </c:pt>
                <c:pt idx="360">
                  <c:v>-1.2249443183182493E-13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36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63.642094704270534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353.56629452013647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42.60415221272801</c:v>
                </c:pt>
                <c:pt idx="3">
                  <c:v>81.411126545375197</c:v>
                </c:pt>
                <c:pt idx="4">
                  <c:v>113.70835309218617</c:v>
                </c:pt>
                <c:pt idx="5">
                  <c:v>144.18921381625708</c:v>
                </c:pt>
                <c:pt idx="6">
                  <c:v>174.83439837452968</c:v>
                </c:pt>
                <c:pt idx="7">
                  <c:v>205.54943719211965</c:v>
                </c:pt>
                <c:pt idx="8">
                  <c:v>236.1635186735169</c:v>
                </c:pt>
                <c:pt idx="9">
                  <c:v>266.35879124320854</c:v>
                </c:pt>
                <c:pt idx="10">
                  <c:v>295.84228129299817</c:v>
                </c:pt>
                <c:pt idx="11">
                  <c:v>322.80338533155117</c:v>
                </c:pt>
                <c:pt idx="12">
                  <c:v>346.98489074442574</c:v>
                </c:pt>
                <c:pt idx="13">
                  <c:v>359.6873834866268</c:v>
                </c:pt>
                <c:pt idx="14">
                  <c:v>357.61979445514658</c:v>
                </c:pt>
                <c:pt idx="15">
                  <c:v>354.21045623584376</c:v>
                </c:pt>
                <c:pt idx="16">
                  <c:v>348.8855502078502</c:v>
                </c:pt>
                <c:pt idx="17">
                  <c:v>338.90655767340058</c:v>
                </c:pt>
                <c:pt idx="18">
                  <c:v>330.3440948576519</c:v>
                </c:pt>
                <c:pt idx="19">
                  <c:v>328.0523541824287</c:v>
                </c:pt>
                <c:pt idx="20">
                  <c:v>323.81436901061716</c:v>
                </c:pt>
                <c:pt idx="21">
                  <c:v>319.52453023299489</c:v>
                </c:pt>
                <c:pt idx="22">
                  <c:v>314.11895373942525</c:v>
                </c:pt>
                <c:pt idx="23">
                  <c:v>306.99008173312751</c:v>
                </c:pt>
                <c:pt idx="24">
                  <c:v>298.49945664926611</c:v>
                </c:pt>
                <c:pt idx="25">
                  <c:v>287.83804464240029</c:v>
                </c:pt>
                <c:pt idx="26">
                  <c:v>274.99018480983301</c:v>
                </c:pt>
                <c:pt idx="27">
                  <c:v>259.87330863973523</c:v>
                </c:pt>
                <c:pt idx="28">
                  <c:v>242.02056666362679</c:v>
                </c:pt>
                <c:pt idx="29">
                  <c:v>221.20120433655299</c:v>
                </c:pt>
                <c:pt idx="30">
                  <c:v>197.32143842736866</c:v>
                </c:pt>
                <c:pt idx="31">
                  <c:v>170.41245675867393</c:v>
                </c:pt>
                <c:pt idx="32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-511.92</c:v>
                </c:pt>
                <c:pt idx="1">
                  <c:v>-511.91900000000004</c:v>
                </c:pt>
                <c:pt idx="2">
                  <c:v>-453.87019333333336</c:v>
                </c:pt>
                <c:pt idx="3">
                  <c:v>-395.82138666666668</c:v>
                </c:pt>
                <c:pt idx="4">
                  <c:v>-337.77258</c:v>
                </c:pt>
                <c:pt idx="5">
                  <c:v>-279.72377333333333</c:v>
                </c:pt>
                <c:pt idx="6">
                  <c:v>-221.67496666666665</c:v>
                </c:pt>
                <c:pt idx="7">
                  <c:v>-163.62615999999997</c:v>
                </c:pt>
                <c:pt idx="8">
                  <c:v>-105.57735333333329</c:v>
                </c:pt>
                <c:pt idx="9">
                  <c:v>-47.528546666666614</c:v>
                </c:pt>
                <c:pt idx="10">
                  <c:v>10.520260000000064</c:v>
                </c:pt>
                <c:pt idx="11">
                  <c:v>68.569066666666743</c:v>
                </c:pt>
                <c:pt idx="12">
                  <c:v>126.61787333333342</c:v>
                </c:pt>
                <c:pt idx="13">
                  <c:v>184.6666800000001</c:v>
                </c:pt>
                <c:pt idx="14">
                  <c:v>242.71548666666678</c:v>
                </c:pt>
                <c:pt idx="15">
                  <c:v>300.76429333333346</c:v>
                </c:pt>
                <c:pt idx="16">
                  <c:v>358.81310000000013</c:v>
                </c:pt>
                <c:pt idx="17">
                  <c:v>416.86190666666681</c:v>
                </c:pt>
                <c:pt idx="18">
                  <c:v>474.91071333333349</c:v>
                </c:pt>
                <c:pt idx="19">
                  <c:v>532.95952000000011</c:v>
                </c:pt>
                <c:pt idx="20">
                  <c:v>591.00832666666679</c:v>
                </c:pt>
                <c:pt idx="21">
                  <c:v>649.05713333333347</c:v>
                </c:pt>
                <c:pt idx="22">
                  <c:v>707.10594000000015</c:v>
                </c:pt>
                <c:pt idx="23">
                  <c:v>765.15474666666682</c:v>
                </c:pt>
                <c:pt idx="24">
                  <c:v>823.2035533333335</c:v>
                </c:pt>
                <c:pt idx="25">
                  <c:v>881.25236000000018</c:v>
                </c:pt>
                <c:pt idx="26">
                  <c:v>939.30116666666686</c:v>
                </c:pt>
                <c:pt idx="27">
                  <c:v>997.34997333333354</c:v>
                </c:pt>
                <c:pt idx="28">
                  <c:v>1055.3987800000002</c:v>
                </c:pt>
                <c:pt idx="29">
                  <c:v>1113.4475866666669</c:v>
                </c:pt>
                <c:pt idx="30">
                  <c:v>1171.4963933333336</c:v>
                </c:pt>
                <c:pt idx="31">
                  <c:v>1229.5452000000002</c:v>
                </c:pt>
                <c:pt idx="32">
                  <c:v>1229.5452000000002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203.21417273408861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Analysis'!$W$130:$W$131</c:f>
              <c:numCache>
                <c:formatCode>General</c:formatCode>
                <c:ptCount val="2"/>
                <c:pt idx="0">
                  <c:v>203.21417273408861</c:v>
                </c:pt>
                <c:pt idx="1">
                  <c:v>359.24843888185126</c:v>
                </c:pt>
              </c:numCache>
            </c:numRef>
          </c:xVal>
          <c:yVal>
            <c:numRef>
              <c:f>'Cross Section Analysis'!$V$130:$V$131</c:f>
              <c:numCache>
                <c:formatCode>General</c:formatCode>
                <c:ptCount val="2"/>
                <c:pt idx="0">
                  <c:v>200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0.5980553213509745</c:v>
                </c:pt>
                <c:pt idx="2">
                  <c:v>1.1868180247151534</c:v>
                </c:pt>
                <c:pt idx="3">
                  <c:v>1.7672462826933619</c:v>
                </c:pt>
                <c:pt idx="4">
                  <c:v>2.340196852768003</c:v>
                </c:pt>
                <c:pt idx="5">
                  <c:v>2.9065880050438895</c:v>
                </c:pt>
                <c:pt idx="6">
                  <c:v>3.4672432832338971</c:v>
                </c:pt>
                <c:pt idx="7">
                  <c:v>4.0171911844874595</c:v>
                </c:pt>
                <c:pt idx="8">
                  <c:v>4.5570076426831436</c:v>
                </c:pt>
                <c:pt idx="9">
                  <c:v>5.091069419380335</c:v>
                </c:pt>
                <c:pt idx="10">
                  <c:v>5.6202547775339946</c:v>
                </c:pt>
                <c:pt idx="11">
                  <c:v>6.1453242503219823</c:v>
                </c:pt>
                <c:pt idx="12">
                  <c:v>6.6671130141103276</c:v>
                </c:pt>
                <c:pt idx="13">
                  <c:v>7.1863285070831004</c:v>
                </c:pt>
                <c:pt idx="14">
                  <c:v>7.7037775554837378</c:v>
                </c:pt>
                <c:pt idx="15">
                  <c:v>8.2359037863685902</c:v>
                </c:pt>
                <c:pt idx="16">
                  <c:v>8.8772527250030002</c:v>
                </c:pt>
                <c:pt idx="17">
                  <c:v>9.3508138304309831</c:v>
                </c:pt>
                <c:pt idx="18">
                  <c:v>9.9940277821323438</c:v>
                </c:pt>
                <c:pt idx="19">
                  <c:v>10.640090907495358</c:v>
                </c:pt>
                <c:pt idx="20">
                  <c:v>11.28977085772587</c:v>
                </c:pt>
                <c:pt idx="21">
                  <c:v>11.943753758795332</c:v>
                </c:pt>
                <c:pt idx="22">
                  <c:v>12.602919005778032</c:v>
                </c:pt>
                <c:pt idx="23">
                  <c:v>13.26792589426953</c:v>
                </c:pt>
                <c:pt idx="24">
                  <c:v>13.73723820271068</c:v>
                </c:pt>
                <c:pt idx="25">
                  <c:v>14.416250461347774</c:v>
                </c:pt>
                <c:pt idx="26">
                  <c:v>15.104110999598511</c:v>
                </c:pt>
                <c:pt idx="27">
                  <c:v>15.801327611500119</c:v>
                </c:pt>
                <c:pt idx="28">
                  <c:v>16.509379057400395</c:v>
                </c:pt>
                <c:pt idx="29">
                  <c:v>17.22926052545721</c:v>
                </c:pt>
                <c:pt idx="30">
                  <c:v>18.043637817580528</c:v>
                </c:pt>
                <c:pt idx="31">
                  <c:v>18.947499100524741</c:v>
                </c:pt>
                <c:pt idx="32">
                  <c:v>19.872226709763332</c:v>
                </c:pt>
                <c:pt idx="33">
                  <c:v>20.791342904173916</c:v>
                </c:pt>
                <c:pt idx="34">
                  <c:v>21.69347911028715</c:v>
                </c:pt>
                <c:pt idx="35">
                  <c:v>22.580938787128471</c:v>
                </c:pt>
                <c:pt idx="36">
                  <c:v>23.455700389282704</c:v>
                </c:pt>
                <c:pt idx="37">
                  <c:v>24.319608260564326</c:v>
                </c:pt>
                <c:pt idx="38">
                  <c:v>25.174526460630826</c:v>
                </c:pt>
                <c:pt idx="39">
                  <c:v>26.021956917830551</c:v>
                </c:pt>
                <c:pt idx="40">
                  <c:v>26.863836497353269</c:v>
                </c:pt>
                <c:pt idx="41">
                  <c:v>27.701523316648736</c:v>
                </c:pt>
                <c:pt idx="42">
                  <c:v>28.536696613752401</c:v>
                </c:pt>
                <c:pt idx="43">
                  <c:v>29.370646349291921</c:v>
                </c:pt>
                <c:pt idx="44">
                  <c:v>30.205097135253585</c:v>
                </c:pt>
                <c:pt idx="45">
                  <c:v>31.041314739512703</c:v>
                </c:pt>
                <c:pt idx="46">
                  <c:v>31.880897499868784</c:v>
                </c:pt>
                <c:pt idx="47">
                  <c:v>32.725346829202749</c:v>
                </c:pt>
                <c:pt idx="48">
                  <c:v>33.602810649307656</c:v>
                </c:pt>
                <c:pt idx="49">
                  <c:v>34.498548464582683</c:v>
                </c:pt>
                <c:pt idx="50">
                  <c:v>35.404325449237227</c:v>
                </c:pt>
                <c:pt idx="51">
                  <c:v>36.321870888433139</c:v>
                </c:pt>
                <c:pt idx="52">
                  <c:v>37.252960293961223</c:v>
                </c:pt>
                <c:pt idx="53">
                  <c:v>38.199437549759502</c:v>
                </c:pt>
                <c:pt idx="54">
                  <c:v>39.002026934900293</c:v>
                </c:pt>
                <c:pt idx="55">
                  <c:v>39.988059357753869</c:v>
                </c:pt>
                <c:pt idx="56">
                  <c:v>40.996151341143324</c:v>
                </c:pt>
                <c:pt idx="57">
                  <c:v>42.028850185663742</c:v>
                </c:pt>
                <c:pt idx="58">
                  <c:v>43.088925768877338</c:v>
                </c:pt>
                <c:pt idx="59">
                  <c:v>43.953217879374165</c:v>
                </c:pt>
                <c:pt idx="60">
                  <c:v>45.071121708279087</c:v>
                </c:pt>
                <c:pt idx="61">
                  <c:v>46.226447690148433</c:v>
                </c:pt>
                <c:pt idx="62">
                  <c:v>47.423352001106934</c:v>
                </c:pt>
                <c:pt idx="63">
                  <c:v>48.666608114538647</c:v>
                </c:pt>
                <c:pt idx="64">
                  <c:v>49.94806280451548</c:v>
                </c:pt>
                <c:pt idx="65">
                  <c:v>51.255366145488118</c:v>
                </c:pt>
                <c:pt idx="66">
                  <c:v>52.625255558612793</c:v>
                </c:pt>
                <c:pt idx="67">
                  <c:v>54.065814811428872</c:v>
                </c:pt>
                <c:pt idx="68">
                  <c:v>55.586027056326451</c:v>
                </c:pt>
                <c:pt idx="69">
                  <c:v>57.196763477766055</c:v>
                </c:pt>
                <c:pt idx="70">
                  <c:v>58.910446157462147</c:v>
                </c:pt>
                <c:pt idx="71">
                  <c:v>60.737050592952386</c:v>
                </c:pt>
                <c:pt idx="72">
                  <c:v>62.500029183776412</c:v>
                </c:pt>
                <c:pt idx="73">
                  <c:v>64.19427986203705</c:v>
                </c:pt>
                <c:pt idx="74">
                  <c:v>65.902955473854675</c:v>
                </c:pt>
                <c:pt idx="75">
                  <c:v>67.627617892176858</c:v>
                </c:pt>
                <c:pt idx="76">
                  <c:v>68.892243166581011</c:v>
                </c:pt>
                <c:pt idx="77">
                  <c:v>70.231057506836535</c:v>
                </c:pt>
                <c:pt idx="78">
                  <c:v>71.584392948615289</c:v>
                </c:pt>
                <c:pt idx="79">
                  <c:v>72.955478579786131</c:v>
                </c:pt>
                <c:pt idx="80">
                  <c:v>74.34694798380967</c:v>
                </c:pt>
                <c:pt idx="81">
                  <c:v>75.762346755285165</c:v>
                </c:pt>
                <c:pt idx="82">
                  <c:v>77.205743648550381</c:v>
                </c:pt>
                <c:pt idx="83">
                  <c:v>78.36123146475849</c:v>
                </c:pt>
                <c:pt idx="84">
                  <c:v>79.869611656082085</c:v>
                </c:pt>
                <c:pt idx="85">
                  <c:v>81.419238579546587</c:v>
                </c:pt>
                <c:pt idx="86">
                  <c:v>83.01572824600494</c:v>
                </c:pt>
                <c:pt idx="87">
                  <c:v>84.664894919715522</c:v>
                </c:pt>
                <c:pt idx="88">
                  <c:v>86.384214593492402</c:v>
                </c:pt>
                <c:pt idx="89">
                  <c:v>88.175990798959376</c:v>
                </c:pt>
                <c:pt idx="90">
                  <c:v>90</c:v>
                </c:pt>
                <c:pt idx="91">
                  <c:v>91.824009201040596</c:v>
                </c:pt>
                <c:pt idx="92">
                  <c:v>93.615785406507598</c:v>
                </c:pt>
                <c:pt idx="93">
                  <c:v>95.335105080284478</c:v>
                </c:pt>
                <c:pt idx="94">
                  <c:v>96.984271753995074</c:v>
                </c:pt>
                <c:pt idx="95">
                  <c:v>98.580761420453413</c:v>
                </c:pt>
                <c:pt idx="96">
                  <c:v>100.13038834391791</c:v>
                </c:pt>
                <c:pt idx="97">
                  <c:v>101.63876853524151</c:v>
                </c:pt>
                <c:pt idx="98">
                  <c:v>102.79425635144962</c:v>
                </c:pt>
                <c:pt idx="99">
                  <c:v>104.23765324471483</c:v>
                </c:pt>
                <c:pt idx="100">
                  <c:v>105.65305201619032</c:v>
                </c:pt>
                <c:pt idx="101">
                  <c:v>107.04452142021385</c:v>
                </c:pt>
                <c:pt idx="102">
                  <c:v>108.41560705138468</c:v>
                </c:pt>
                <c:pt idx="103">
                  <c:v>109.76894249316346</c:v>
                </c:pt>
                <c:pt idx="104">
                  <c:v>111.10775683341903</c:v>
                </c:pt>
                <c:pt idx="105">
                  <c:v>112.37238210782316</c:v>
                </c:pt>
                <c:pt idx="106">
                  <c:v>114.09704452614532</c:v>
                </c:pt>
                <c:pt idx="107">
                  <c:v>115.80572013796292</c:v>
                </c:pt>
                <c:pt idx="108">
                  <c:v>117.49997081622357</c:v>
                </c:pt>
                <c:pt idx="109">
                  <c:v>119.26294940704759</c:v>
                </c:pt>
                <c:pt idx="110">
                  <c:v>121.08955384253782</c:v>
                </c:pt>
                <c:pt idx="111">
                  <c:v>122.80323652223395</c:v>
                </c:pt>
                <c:pt idx="112">
                  <c:v>124.41397294367356</c:v>
                </c:pt>
                <c:pt idx="113">
                  <c:v>125.93418518857113</c:v>
                </c:pt>
                <c:pt idx="114">
                  <c:v>127.37474444138719</c:v>
                </c:pt>
                <c:pt idx="115">
                  <c:v>128.7446338545119</c:v>
                </c:pt>
                <c:pt idx="116">
                  <c:v>130.05193719548453</c:v>
                </c:pt>
                <c:pt idx="117">
                  <c:v>131.33339188546137</c:v>
                </c:pt>
                <c:pt idx="118">
                  <c:v>132.57664799889304</c:v>
                </c:pt>
                <c:pt idx="119">
                  <c:v>133.77355230985154</c:v>
                </c:pt>
                <c:pt idx="120">
                  <c:v>134.92887829172088</c:v>
                </c:pt>
                <c:pt idx="121">
                  <c:v>136.04678212062586</c:v>
                </c:pt>
                <c:pt idx="122">
                  <c:v>136.91107423112268</c:v>
                </c:pt>
                <c:pt idx="123">
                  <c:v>137.97114981433626</c:v>
                </c:pt>
                <c:pt idx="124">
                  <c:v>139.0038486588567</c:v>
                </c:pt>
                <c:pt idx="125">
                  <c:v>140.01194064224615</c:v>
                </c:pt>
                <c:pt idx="126">
                  <c:v>140.9979730650997</c:v>
                </c:pt>
                <c:pt idx="127">
                  <c:v>141.80056245024048</c:v>
                </c:pt>
                <c:pt idx="128">
                  <c:v>142.74703970603878</c:v>
                </c:pt>
                <c:pt idx="129">
                  <c:v>143.67812911156685</c:v>
                </c:pt>
                <c:pt idx="130">
                  <c:v>144.59567455076277</c:v>
                </c:pt>
                <c:pt idx="131">
                  <c:v>145.50145153541732</c:v>
                </c:pt>
                <c:pt idx="132">
                  <c:v>146.39718935069234</c:v>
                </c:pt>
                <c:pt idx="133">
                  <c:v>147.27465317079725</c:v>
                </c:pt>
                <c:pt idx="134">
                  <c:v>148.11910250013122</c:v>
                </c:pt>
                <c:pt idx="135">
                  <c:v>148.9586852604873</c:v>
                </c:pt>
                <c:pt idx="136">
                  <c:v>149.79490286474643</c:v>
                </c:pt>
                <c:pt idx="137">
                  <c:v>150.62935365070805</c:v>
                </c:pt>
                <c:pt idx="138">
                  <c:v>151.46330338624759</c:v>
                </c:pt>
                <c:pt idx="139">
                  <c:v>152.29847668335125</c:v>
                </c:pt>
                <c:pt idx="140">
                  <c:v>153.13616350264672</c:v>
                </c:pt>
                <c:pt idx="141">
                  <c:v>153.97804308216945</c:v>
                </c:pt>
                <c:pt idx="142">
                  <c:v>154.82547353936917</c:v>
                </c:pt>
                <c:pt idx="143">
                  <c:v>155.68039173943569</c:v>
                </c:pt>
                <c:pt idx="144">
                  <c:v>156.54429961071727</c:v>
                </c:pt>
                <c:pt idx="145">
                  <c:v>157.41906121287153</c:v>
                </c:pt>
                <c:pt idx="146">
                  <c:v>158.30652088971286</c:v>
                </c:pt>
                <c:pt idx="147">
                  <c:v>159.20865709582606</c:v>
                </c:pt>
                <c:pt idx="148">
                  <c:v>160.12777329023666</c:v>
                </c:pt>
                <c:pt idx="149">
                  <c:v>161.05250089947523</c:v>
                </c:pt>
                <c:pt idx="150">
                  <c:v>161.95636218241947</c:v>
                </c:pt>
                <c:pt idx="151">
                  <c:v>162.77073947454278</c:v>
                </c:pt>
                <c:pt idx="152">
                  <c:v>163.49062094259961</c:v>
                </c:pt>
                <c:pt idx="153">
                  <c:v>164.19867238849989</c:v>
                </c:pt>
                <c:pt idx="154">
                  <c:v>164.8958890004015</c:v>
                </c:pt>
                <c:pt idx="155">
                  <c:v>165.58374953865223</c:v>
                </c:pt>
                <c:pt idx="156">
                  <c:v>166.26276179728933</c:v>
                </c:pt>
                <c:pt idx="157">
                  <c:v>166.73207410573045</c:v>
                </c:pt>
                <c:pt idx="158">
                  <c:v>167.39708099422197</c:v>
                </c:pt>
                <c:pt idx="159">
                  <c:v>168.05624624120466</c:v>
                </c:pt>
                <c:pt idx="160">
                  <c:v>168.71022914227413</c:v>
                </c:pt>
                <c:pt idx="161">
                  <c:v>169.35990909250464</c:v>
                </c:pt>
                <c:pt idx="162">
                  <c:v>170.00597221786765</c:v>
                </c:pt>
                <c:pt idx="163">
                  <c:v>170.64918616956902</c:v>
                </c:pt>
                <c:pt idx="164">
                  <c:v>171.12274727499701</c:v>
                </c:pt>
                <c:pt idx="165">
                  <c:v>171.7640962136314</c:v>
                </c:pt>
                <c:pt idx="166">
                  <c:v>172.29622244451625</c:v>
                </c:pt>
                <c:pt idx="167">
                  <c:v>172.81367149291688</c:v>
                </c:pt>
                <c:pt idx="168">
                  <c:v>173.33288698588967</c:v>
                </c:pt>
                <c:pt idx="169">
                  <c:v>173.85467574967799</c:v>
                </c:pt>
                <c:pt idx="170">
                  <c:v>174.379745222466</c:v>
                </c:pt>
                <c:pt idx="171">
                  <c:v>174.90893058061965</c:v>
                </c:pt>
                <c:pt idx="172">
                  <c:v>175.44299235731685</c:v>
                </c:pt>
                <c:pt idx="173">
                  <c:v>175.98280881551256</c:v>
                </c:pt>
                <c:pt idx="174">
                  <c:v>176.5327567167661</c:v>
                </c:pt>
                <c:pt idx="175">
                  <c:v>177.09341199495611</c:v>
                </c:pt>
                <c:pt idx="176">
                  <c:v>177.659803147232</c:v>
                </c:pt>
                <c:pt idx="177">
                  <c:v>178.23275371730662</c:v>
                </c:pt>
                <c:pt idx="178">
                  <c:v>178.81318197528483</c:v>
                </c:pt>
                <c:pt idx="179">
                  <c:v>179.40194467864904</c:v>
                </c:pt>
                <c:pt idx="180">
                  <c:v>180</c:v>
                </c:pt>
                <c:pt idx="181">
                  <c:v>180.59805532135096</c:v>
                </c:pt>
                <c:pt idx="182">
                  <c:v>181.18681802471514</c:v>
                </c:pt>
                <c:pt idx="183">
                  <c:v>181.76724628269335</c:v>
                </c:pt>
                <c:pt idx="184">
                  <c:v>182.340196852768</c:v>
                </c:pt>
                <c:pt idx="185">
                  <c:v>182.90658800504386</c:v>
                </c:pt>
                <c:pt idx="186">
                  <c:v>183.4672432832339</c:v>
                </c:pt>
                <c:pt idx="187">
                  <c:v>184.01719118448744</c:v>
                </c:pt>
                <c:pt idx="188">
                  <c:v>184.55700764268315</c:v>
                </c:pt>
                <c:pt idx="189">
                  <c:v>185.09106941938032</c:v>
                </c:pt>
                <c:pt idx="190">
                  <c:v>185.620254777534</c:v>
                </c:pt>
                <c:pt idx="191">
                  <c:v>186.14532425032198</c:v>
                </c:pt>
                <c:pt idx="192">
                  <c:v>186.66711301411033</c:v>
                </c:pt>
                <c:pt idx="193">
                  <c:v>187.18632850708309</c:v>
                </c:pt>
                <c:pt idx="194">
                  <c:v>187.70377755548373</c:v>
                </c:pt>
                <c:pt idx="195">
                  <c:v>188.2359037863686</c:v>
                </c:pt>
                <c:pt idx="196">
                  <c:v>188.87725272500299</c:v>
                </c:pt>
                <c:pt idx="197">
                  <c:v>189.35081383043098</c:v>
                </c:pt>
                <c:pt idx="198">
                  <c:v>189.99402778213235</c:v>
                </c:pt>
                <c:pt idx="199">
                  <c:v>190.64009090749536</c:v>
                </c:pt>
                <c:pt idx="200">
                  <c:v>191.28977085772587</c:v>
                </c:pt>
                <c:pt idx="201">
                  <c:v>191.94375375879534</c:v>
                </c:pt>
                <c:pt idx="202">
                  <c:v>192.60291900577803</c:v>
                </c:pt>
                <c:pt idx="203">
                  <c:v>193.26792589426952</c:v>
                </c:pt>
                <c:pt idx="204">
                  <c:v>193.73723820271067</c:v>
                </c:pt>
                <c:pt idx="205">
                  <c:v>194.41625046134774</c:v>
                </c:pt>
                <c:pt idx="206">
                  <c:v>195.1041109995985</c:v>
                </c:pt>
                <c:pt idx="207">
                  <c:v>195.80132761150011</c:v>
                </c:pt>
                <c:pt idx="208">
                  <c:v>196.50937905740042</c:v>
                </c:pt>
                <c:pt idx="209">
                  <c:v>197.22926052545719</c:v>
                </c:pt>
                <c:pt idx="210">
                  <c:v>198.04363781758053</c:v>
                </c:pt>
                <c:pt idx="211">
                  <c:v>198.94749910052474</c:v>
                </c:pt>
                <c:pt idx="212">
                  <c:v>199.87222670976334</c:v>
                </c:pt>
                <c:pt idx="213">
                  <c:v>200.79134290417394</c:v>
                </c:pt>
                <c:pt idx="214">
                  <c:v>201.69347911028714</c:v>
                </c:pt>
                <c:pt idx="215">
                  <c:v>202.58093878712847</c:v>
                </c:pt>
                <c:pt idx="216">
                  <c:v>203.4557003892827</c:v>
                </c:pt>
                <c:pt idx="217">
                  <c:v>204.31960826056431</c:v>
                </c:pt>
                <c:pt idx="218">
                  <c:v>205.17452646063083</c:v>
                </c:pt>
                <c:pt idx="219">
                  <c:v>206.02195691783055</c:v>
                </c:pt>
                <c:pt idx="220">
                  <c:v>206.86383649735328</c:v>
                </c:pt>
                <c:pt idx="221">
                  <c:v>207.70152331664872</c:v>
                </c:pt>
                <c:pt idx="222">
                  <c:v>208.53669661375238</c:v>
                </c:pt>
                <c:pt idx="223">
                  <c:v>209.37064634929192</c:v>
                </c:pt>
                <c:pt idx="224">
                  <c:v>210.2050971352536</c:v>
                </c:pt>
                <c:pt idx="225">
                  <c:v>211.0413147395127</c:v>
                </c:pt>
                <c:pt idx="226">
                  <c:v>211.88089749986878</c:v>
                </c:pt>
                <c:pt idx="227">
                  <c:v>212.72534682920275</c:v>
                </c:pt>
                <c:pt idx="228">
                  <c:v>213.60281064930768</c:v>
                </c:pt>
                <c:pt idx="229">
                  <c:v>214.49854846458268</c:v>
                </c:pt>
                <c:pt idx="230">
                  <c:v>215.40432544923723</c:v>
                </c:pt>
                <c:pt idx="231">
                  <c:v>216.32187088843312</c:v>
                </c:pt>
                <c:pt idx="232">
                  <c:v>217.25296029396125</c:v>
                </c:pt>
                <c:pt idx="233">
                  <c:v>218.19943754975952</c:v>
                </c:pt>
                <c:pt idx="234">
                  <c:v>219.0020269349003</c:v>
                </c:pt>
                <c:pt idx="235">
                  <c:v>219.98805935775385</c:v>
                </c:pt>
                <c:pt idx="236">
                  <c:v>220.99615134114333</c:v>
                </c:pt>
                <c:pt idx="237">
                  <c:v>222.02885018566374</c:v>
                </c:pt>
                <c:pt idx="238">
                  <c:v>223.08892576887732</c:v>
                </c:pt>
                <c:pt idx="239">
                  <c:v>223.95321787937414</c:v>
                </c:pt>
                <c:pt idx="240">
                  <c:v>225.07112170827904</c:v>
                </c:pt>
                <c:pt idx="241">
                  <c:v>226.22644769014846</c:v>
                </c:pt>
                <c:pt idx="242">
                  <c:v>227.42335200110696</c:v>
                </c:pt>
                <c:pt idx="243">
                  <c:v>228.66660811453863</c:v>
                </c:pt>
                <c:pt idx="244">
                  <c:v>229.94806280451544</c:v>
                </c:pt>
                <c:pt idx="245">
                  <c:v>231.25536614548813</c:v>
                </c:pt>
                <c:pt idx="246">
                  <c:v>232.62525555861282</c:v>
                </c:pt>
                <c:pt idx="247">
                  <c:v>234.06581481142885</c:v>
                </c:pt>
                <c:pt idx="248">
                  <c:v>235.58602705632643</c:v>
                </c:pt>
                <c:pt idx="249">
                  <c:v>237.19676347776601</c:v>
                </c:pt>
                <c:pt idx="250">
                  <c:v>238.91044615746216</c:v>
                </c:pt>
                <c:pt idx="251">
                  <c:v>240.73705059295241</c:v>
                </c:pt>
                <c:pt idx="252">
                  <c:v>242.50002918377641</c:v>
                </c:pt>
                <c:pt idx="253">
                  <c:v>244.19427986203704</c:v>
                </c:pt>
                <c:pt idx="254">
                  <c:v>245.90295547385472</c:v>
                </c:pt>
                <c:pt idx="255">
                  <c:v>247.62761789217689</c:v>
                </c:pt>
                <c:pt idx="256">
                  <c:v>248.89224316658095</c:v>
                </c:pt>
                <c:pt idx="257">
                  <c:v>250.23105750683649</c:v>
                </c:pt>
                <c:pt idx="258">
                  <c:v>251.58439294861529</c:v>
                </c:pt>
                <c:pt idx="259">
                  <c:v>252.95547857978619</c:v>
                </c:pt>
                <c:pt idx="260">
                  <c:v>254.34694798380968</c:v>
                </c:pt>
                <c:pt idx="261">
                  <c:v>255.76234675528514</c:v>
                </c:pt>
                <c:pt idx="262">
                  <c:v>257.20574364855037</c:v>
                </c:pt>
                <c:pt idx="263">
                  <c:v>258.36123146475848</c:v>
                </c:pt>
                <c:pt idx="264">
                  <c:v>259.8696116560821</c:v>
                </c:pt>
                <c:pt idx="265">
                  <c:v>261.41923857954657</c:v>
                </c:pt>
                <c:pt idx="266">
                  <c:v>263.01572824600493</c:v>
                </c:pt>
                <c:pt idx="267">
                  <c:v>264.66489491971549</c:v>
                </c:pt>
                <c:pt idx="268">
                  <c:v>266.3842145934924</c:v>
                </c:pt>
                <c:pt idx="269">
                  <c:v>268.17599079895939</c:v>
                </c:pt>
                <c:pt idx="270">
                  <c:v>270</c:v>
                </c:pt>
                <c:pt idx="271">
                  <c:v>271.82400920104055</c:v>
                </c:pt>
                <c:pt idx="272">
                  <c:v>273.6157854065076</c:v>
                </c:pt>
                <c:pt idx="273">
                  <c:v>275.33510508028451</c:v>
                </c:pt>
                <c:pt idx="274">
                  <c:v>276.98427175399507</c:v>
                </c:pt>
                <c:pt idx="275">
                  <c:v>278.58076142045337</c:v>
                </c:pt>
                <c:pt idx="276">
                  <c:v>280.13038834391784</c:v>
                </c:pt>
                <c:pt idx="277">
                  <c:v>281.63876853524152</c:v>
                </c:pt>
                <c:pt idx="278">
                  <c:v>282.79425635144963</c:v>
                </c:pt>
                <c:pt idx="279">
                  <c:v>284.23765324471481</c:v>
                </c:pt>
                <c:pt idx="280">
                  <c:v>285.65305201619026</c:v>
                </c:pt>
                <c:pt idx="281">
                  <c:v>287.04452142021387</c:v>
                </c:pt>
                <c:pt idx="282">
                  <c:v>288.41560705138471</c:v>
                </c:pt>
                <c:pt idx="283">
                  <c:v>289.76894249316348</c:v>
                </c:pt>
                <c:pt idx="284">
                  <c:v>291.10775683341899</c:v>
                </c:pt>
                <c:pt idx="285">
                  <c:v>292.37238210782311</c:v>
                </c:pt>
                <c:pt idx="286">
                  <c:v>294.0970445261454</c:v>
                </c:pt>
                <c:pt idx="287">
                  <c:v>295.80572013796291</c:v>
                </c:pt>
                <c:pt idx="288">
                  <c:v>297.49997081622354</c:v>
                </c:pt>
                <c:pt idx="289">
                  <c:v>299.26294940704753</c:v>
                </c:pt>
                <c:pt idx="290">
                  <c:v>301.08955384253784</c:v>
                </c:pt>
                <c:pt idx="291">
                  <c:v>302.80323652223393</c:v>
                </c:pt>
                <c:pt idx="292">
                  <c:v>304.41397294367357</c:v>
                </c:pt>
                <c:pt idx="293">
                  <c:v>305.93418518857112</c:v>
                </c:pt>
                <c:pt idx="294">
                  <c:v>307.37474444138712</c:v>
                </c:pt>
                <c:pt idx="295">
                  <c:v>308.7446338545119</c:v>
                </c:pt>
                <c:pt idx="296">
                  <c:v>310.05193719548453</c:v>
                </c:pt>
                <c:pt idx="297">
                  <c:v>311.33339188546131</c:v>
                </c:pt>
                <c:pt idx="298">
                  <c:v>312.57664799889301</c:v>
                </c:pt>
                <c:pt idx="299">
                  <c:v>313.7735523098516</c:v>
                </c:pt>
                <c:pt idx="300">
                  <c:v>314.92887829172093</c:v>
                </c:pt>
                <c:pt idx="301">
                  <c:v>316.04678212062583</c:v>
                </c:pt>
                <c:pt idx="302">
                  <c:v>316.91107423112265</c:v>
                </c:pt>
                <c:pt idx="303">
                  <c:v>317.97114981433623</c:v>
                </c:pt>
                <c:pt idx="304">
                  <c:v>319.00384865885673</c:v>
                </c:pt>
                <c:pt idx="305">
                  <c:v>320.01194064224615</c:v>
                </c:pt>
                <c:pt idx="306">
                  <c:v>320.9979730650997</c:v>
                </c:pt>
                <c:pt idx="307">
                  <c:v>321.80056245024048</c:v>
                </c:pt>
                <c:pt idx="308">
                  <c:v>322.74703970603878</c:v>
                </c:pt>
                <c:pt idx="309">
                  <c:v>323.67812911156682</c:v>
                </c:pt>
                <c:pt idx="310">
                  <c:v>324.59567455076274</c:v>
                </c:pt>
                <c:pt idx="311">
                  <c:v>325.50145153541729</c:v>
                </c:pt>
                <c:pt idx="312">
                  <c:v>326.39718935069232</c:v>
                </c:pt>
                <c:pt idx="313">
                  <c:v>327.27465317079725</c:v>
                </c:pt>
                <c:pt idx="314">
                  <c:v>328.11910250013119</c:v>
                </c:pt>
                <c:pt idx="315">
                  <c:v>328.9586852604873</c:v>
                </c:pt>
                <c:pt idx="316">
                  <c:v>329.7949028647464</c:v>
                </c:pt>
                <c:pt idx="317">
                  <c:v>330.62935365070808</c:v>
                </c:pt>
                <c:pt idx="318">
                  <c:v>331.46330338624762</c:v>
                </c:pt>
                <c:pt idx="319">
                  <c:v>332.29847668335123</c:v>
                </c:pt>
                <c:pt idx="320">
                  <c:v>333.13616350264675</c:v>
                </c:pt>
                <c:pt idx="321">
                  <c:v>333.97804308216945</c:v>
                </c:pt>
                <c:pt idx="322">
                  <c:v>334.82547353936917</c:v>
                </c:pt>
                <c:pt idx="323">
                  <c:v>335.68039173943566</c:v>
                </c:pt>
                <c:pt idx="324">
                  <c:v>336.5442996107173</c:v>
                </c:pt>
                <c:pt idx="325">
                  <c:v>337.4190612128715</c:v>
                </c:pt>
                <c:pt idx="326">
                  <c:v>338.30652088971289</c:v>
                </c:pt>
                <c:pt idx="327">
                  <c:v>339.20865709582608</c:v>
                </c:pt>
                <c:pt idx="328">
                  <c:v>340.12777329023663</c:v>
                </c:pt>
                <c:pt idx="329">
                  <c:v>341.05250089947521</c:v>
                </c:pt>
                <c:pt idx="330">
                  <c:v>341.95636218241941</c:v>
                </c:pt>
                <c:pt idx="331">
                  <c:v>342.77073947454278</c:v>
                </c:pt>
                <c:pt idx="332">
                  <c:v>343.49062094259961</c:v>
                </c:pt>
                <c:pt idx="333">
                  <c:v>344.19867238849986</c:v>
                </c:pt>
                <c:pt idx="334">
                  <c:v>344.8958890004015</c:v>
                </c:pt>
                <c:pt idx="335">
                  <c:v>345.58374953865223</c:v>
                </c:pt>
                <c:pt idx="336">
                  <c:v>346.26276179728933</c:v>
                </c:pt>
                <c:pt idx="337">
                  <c:v>346.73207410573048</c:v>
                </c:pt>
                <c:pt idx="338">
                  <c:v>347.39708099422194</c:v>
                </c:pt>
                <c:pt idx="339">
                  <c:v>348.05624624120463</c:v>
                </c:pt>
                <c:pt idx="340">
                  <c:v>348.71022914227416</c:v>
                </c:pt>
                <c:pt idx="341">
                  <c:v>349.35990909250467</c:v>
                </c:pt>
                <c:pt idx="342">
                  <c:v>350.00597221786762</c:v>
                </c:pt>
                <c:pt idx="343">
                  <c:v>350.64918616956902</c:v>
                </c:pt>
                <c:pt idx="344">
                  <c:v>351.12274727499698</c:v>
                </c:pt>
                <c:pt idx="345">
                  <c:v>351.76409621363143</c:v>
                </c:pt>
                <c:pt idx="346">
                  <c:v>352.29622244451627</c:v>
                </c:pt>
                <c:pt idx="347">
                  <c:v>352.81367149291691</c:v>
                </c:pt>
                <c:pt idx="348">
                  <c:v>353.33288698588967</c:v>
                </c:pt>
                <c:pt idx="349">
                  <c:v>353.85467574967805</c:v>
                </c:pt>
                <c:pt idx="350">
                  <c:v>354.379745222466</c:v>
                </c:pt>
                <c:pt idx="351">
                  <c:v>354.90893058061965</c:v>
                </c:pt>
                <c:pt idx="352">
                  <c:v>355.44299235731683</c:v>
                </c:pt>
                <c:pt idx="353">
                  <c:v>355.98280881551256</c:v>
                </c:pt>
                <c:pt idx="354">
                  <c:v>356.53275671676613</c:v>
                </c:pt>
                <c:pt idx="355">
                  <c:v>357.09341199495611</c:v>
                </c:pt>
                <c:pt idx="356">
                  <c:v>357.65980314723197</c:v>
                </c:pt>
                <c:pt idx="357">
                  <c:v>358.23275371730659</c:v>
                </c:pt>
                <c:pt idx="358">
                  <c:v>358.81318197528486</c:v>
                </c:pt>
                <c:pt idx="359">
                  <c:v>359.40194467864904</c:v>
                </c:pt>
                <c:pt idx="360">
                  <c:v>360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79.796000898442287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-83.951808482973433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0</c:v>
                </c:pt>
                <c:pt idx="1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4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4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0.70598135294117648</c:v>
                </c:pt>
                <c:pt idx="2">
                  <c:v>1.411862705882353</c:v>
                </c:pt>
                <c:pt idx="3">
                  <c:v>2.1177440588235297</c:v>
                </c:pt>
                <c:pt idx="4">
                  <c:v>2.8236254117647062</c:v>
                </c:pt>
                <c:pt idx="5">
                  <c:v>3.5295067647058826</c:v>
                </c:pt>
                <c:pt idx="6">
                  <c:v>4.2353881176470587</c:v>
                </c:pt>
                <c:pt idx="7">
                  <c:v>4.9412694705882352</c:v>
                </c:pt>
                <c:pt idx="8">
                  <c:v>5.6471508235294117</c:v>
                </c:pt>
                <c:pt idx="9">
                  <c:v>6.3530321764705882</c:v>
                </c:pt>
                <c:pt idx="10">
                  <c:v>7.0589135294117646</c:v>
                </c:pt>
                <c:pt idx="11">
                  <c:v>7.7647948823529411</c:v>
                </c:pt>
                <c:pt idx="12">
                  <c:v>8.4706762352941176</c:v>
                </c:pt>
                <c:pt idx="13">
                  <c:v>9.1765575882352941</c:v>
                </c:pt>
                <c:pt idx="14">
                  <c:v>9.8824389411764706</c:v>
                </c:pt>
                <c:pt idx="15">
                  <c:v>10.588320294117647</c:v>
                </c:pt>
                <c:pt idx="16">
                  <c:v>11.294201647058824</c:v>
                </c:pt>
                <c:pt idx="17">
                  <c:v>12.000083</c:v>
                </c:pt>
                <c:pt idx="18">
                  <c:v>12.705964352941177</c:v>
                </c:pt>
                <c:pt idx="19">
                  <c:v>13.411845705882353</c:v>
                </c:pt>
                <c:pt idx="20">
                  <c:v>14.11772705882353</c:v>
                </c:pt>
                <c:pt idx="21">
                  <c:v>14.823608411764706</c:v>
                </c:pt>
                <c:pt idx="22">
                  <c:v>15.529489764705882</c:v>
                </c:pt>
                <c:pt idx="23">
                  <c:v>16.235371117647059</c:v>
                </c:pt>
                <c:pt idx="24">
                  <c:v>16.941252470588235</c:v>
                </c:pt>
                <c:pt idx="25">
                  <c:v>17.647133823529412</c:v>
                </c:pt>
                <c:pt idx="26">
                  <c:v>18.353015176470588</c:v>
                </c:pt>
                <c:pt idx="27">
                  <c:v>19.058896529411765</c:v>
                </c:pt>
                <c:pt idx="28">
                  <c:v>19.764777882352941</c:v>
                </c:pt>
                <c:pt idx="29">
                  <c:v>20.470659235294118</c:v>
                </c:pt>
                <c:pt idx="30">
                  <c:v>21.176540588235294</c:v>
                </c:pt>
                <c:pt idx="31">
                  <c:v>21.882421941176471</c:v>
                </c:pt>
                <c:pt idx="32">
                  <c:v>22.588303294117647</c:v>
                </c:pt>
                <c:pt idx="33">
                  <c:v>23.294184647058824</c:v>
                </c:pt>
                <c:pt idx="34">
                  <c:v>24.000066</c:v>
                </c:pt>
                <c:pt idx="35">
                  <c:v>24.705947352941177</c:v>
                </c:pt>
                <c:pt idx="36">
                  <c:v>25.411828705882353</c:v>
                </c:pt>
                <c:pt idx="37">
                  <c:v>26.11771005882353</c:v>
                </c:pt>
                <c:pt idx="38">
                  <c:v>26.823591411764706</c:v>
                </c:pt>
                <c:pt idx="39">
                  <c:v>27.529472764705883</c:v>
                </c:pt>
                <c:pt idx="40">
                  <c:v>28.235354117647059</c:v>
                </c:pt>
                <c:pt idx="41">
                  <c:v>28.941235470588236</c:v>
                </c:pt>
                <c:pt idx="42">
                  <c:v>29.647116823529412</c:v>
                </c:pt>
                <c:pt idx="43">
                  <c:v>30.352998176470589</c:v>
                </c:pt>
                <c:pt idx="44">
                  <c:v>31.058879529411765</c:v>
                </c:pt>
                <c:pt idx="45">
                  <c:v>31.764760882352942</c:v>
                </c:pt>
                <c:pt idx="46">
                  <c:v>32.470642235294122</c:v>
                </c:pt>
                <c:pt idx="47">
                  <c:v>33.176523588235298</c:v>
                </c:pt>
                <c:pt idx="48">
                  <c:v>33.882404941176475</c:v>
                </c:pt>
                <c:pt idx="49">
                  <c:v>34.588286294117651</c:v>
                </c:pt>
                <c:pt idx="50">
                  <c:v>35.294167647058828</c:v>
                </c:pt>
                <c:pt idx="51">
                  <c:v>36.000049000000004</c:v>
                </c:pt>
                <c:pt idx="52">
                  <c:v>36.705930352941181</c:v>
                </c:pt>
                <c:pt idx="53">
                  <c:v>37.411811705882357</c:v>
                </c:pt>
                <c:pt idx="54">
                  <c:v>38.117693058823534</c:v>
                </c:pt>
                <c:pt idx="55">
                  <c:v>38.82357441176471</c:v>
                </c:pt>
                <c:pt idx="56">
                  <c:v>39.529455764705887</c:v>
                </c:pt>
                <c:pt idx="57">
                  <c:v>40.235337117647063</c:v>
                </c:pt>
                <c:pt idx="58">
                  <c:v>40.94121847058824</c:v>
                </c:pt>
                <c:pt idx="59">
                  <c:v>41.647099823529416</c:v>
                </c:pt>
                <c:pt idx="60">
                  <c:v>42.352981176470593</c:v>
                </c:pt>
                <c:pt idx="61">
                  <c:v>43.058862529411769</c:v>
                </c:pt>
                <c:pt idx="62">
                  <c:v>43.764743882352946</c:v>
                </c:pt>
                <c:pt idx="63">
                  <c:v>44.470625235294122</c:v>
                </c:pt>
                <c:pt idx="64">
                  <c:v>45.176506588235299</c:v>
                </c:pt>
                <c:pt idx="65">
                  <c:v>45.882387941176475</c:v>
                </c:pt>
                <c:pt idx="66">
                  <c:v>46.588269294117651</c:v>
                </c:pt>
                <c:pt idx="67">
                  <c:v>47.294150647058828</c:v>
                </c:pt>
                <c:pt idx="68">
                  <c:v>48.000032000000004</c:v>
                </c:pt>
                <c:pt idx="69">
                  <c:v>48.705913352941181</c:v>
                </c:pt>
                <c:pt idx="70">
                  <c:v>49.411794705882357</c:v>
                </c:pt>
                <c:pt idx="71">
                  <c:v>50.117676058823534</c:v>
                </c:pt>
                <c:pt idx="72">
                  <c:v>50.82355741176471</c:v>
                </c:pt>
                <c:pt idx="73">
                  <c:v>51.529438764705887</c:v>
                </c:pt>
                <c:pt idx="74">
                  <c:v>52.235320117647063</c:v>
                </c:pt>
                <c:pt idx="75">
                  <c:v>52.94120147058824</c:v>
                </c:pt>
                <c:pt idx="76">
                  <c:v>53.647082823529416</c:v>
                </c:pt>
                <c:pt idx="77">
                  <c:v>54.352964176470593</c:v>
                </c:pt>
                <c:pt idx="78">
                  <c:v>55.058845529411769</c:v>
                </c:pt>
                <c:pt idx="79">
                  <c:v>55.764726882352946</c:v>
                </c:pt>
                <c:pt idx="80">
                  <c:v>56.470608235294122</c:v>
                </c:pt>
                <c:pt idx="81">
                  <c:v>57.176489588235299</c:v>
                </c:pt>
                <c:pt idx="82">
                  <c:v>57.882370941176475</c:v>
                </c:pt>
                <c:pt idx="83">
                  <c:v>58.588252294117652</c:v>
                </c:pt>
                <c:pt idx="84">
                  <c:v>59.294133647058828</c:v>
                </c:pt>
                <c:pt idx="85">
                  <c:v>60.000015000000005</c:v>
                </c:pt>
                <c:pt idx="86">
                  <c:v>60.705896352941181</c:v>
                </c:pt>
                <c:pt idx="87">
                  <c:v>61.411777705882358</c:v>
                </c:pt>
                <c:pt idx="88">
                  <c:v>62.117659058823534</c:v>
                </c:pt>
                <c:pt idx="89">
                  <c:v>62.823540411764711</c:v>
                </c:pt>
                <c:pt idx="90">
                  <c:v>63.529421764705887</c:v>
                </c:pt>
                <c:pt idx="91">
                  <c:v>64.235303117647064</c:v>
                </c:pt>
                <c:pt idx="92">
                  <c:v>64.94118447058824</c:v>
                </c:pt>
                <c:pt idx="93">
                  <c:v>65.647065823529417</c:v>
                </c:pt>
                <c:pt idx="94">
                  <c:v>66.352947176470593</c:v>
                </c:pt>
                <c:pt idx="95">
                  <c:v>67.05882852941177</c:v>
                </c:pt>
                <c:pt idx="96">
                  <c:v>67.764709882352946</c:v>
                </c:pt>
                <c:pt idx="97">
                  <c:v>68.470591235294123</c:v>
                </c:pt>
                <c:pt idx="98">
                  <c:v>69.176472588235299</c:v>
                </c:pt>
                <c:pt idx="99">
                  <c:v>69.882353941176476</c:v>
                </c:pt>
                <c:pt idx="100">
                  <c:v>70.588235294117652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-568.79387999999994</c:v>
                </c:pt>
                <c:pt idx="1">
                  <c:v>-525.59394120000002</c:v>
                </c:pt>
                <c:pt idx="2">
                  <c:v>-482.39400240000003</c:v>
                </c:pt>
                <c:pt idx="3">
                  <c:v>-395.06356432453617</c:v>
                </c:pt>
                <c:pt idx="4">
                  <c:v>-275.80144421613977</c:v>
                </c:pt>
                <c:pt idx="5">
                  <c:v>-186.96333461624971</c:v>
                </c:pt>
                <c:pt idx="6">
                  <c:v>-123.4100894349877</c:v>
                </c:pt>
                <c:pt idx="7">
                  <c:v>-36.596644436657527</c:v>
                </c:pt>
                <c:pt idx="8">
                  <c:v>49.200019549847525</c:v>
                </c:pt>
                <c:pt idx="9">
                  <c:v>125.53089360477435</c:v>
                </c:pt>
                <c:pt idx="10">
                  <c:v>195.23567447850229</c:v>
                </c:pt>
                <c:pt idx="11">
                  <c:v>279.94570836607386</c:v>
                </c:pt>
                <c:pt idx="12">
                  <c:v>358.91999469892198</c:v>
                </c:pt>
                <c:pt idx="13">
                  <c:v>432.39059523363414</c:v>
                </c:pt>
                <c:pt idx="14">
                  <c:v>498.44409450740255</c:v>
                </c:pt>
                <c:pt idx="15">
                  <c:v>576.2374538642141</c:v>
                </c:pt>
                <c:pt idx="16">
                  <c:v>648.6471495442787</c:v>
                </c:pt>
                <c:pt idx="17">
                  <c:v>717.62043187527161</c:v>
                </c:pt>
                <c:pt idx="18">
                  <c:v>793.36445771919716</c:v>
                </c:pt>
                <c:pt idx="19">
                  <c:v>874.89164025499974</c:v>
                </c:pt>
                <c:pt idx="20">
                  <c:v>952.58612556553237</c:v>
                </c:pt>
                <c:pt idx="21">
                  <c:v>1026.9954381322111</c:v>
                </c:pt>
                <c:pt idx="22">
                  <c:v>1091.8525531717776</c:v>
                </c:pt>
                <c:pt idx="23">
                  <c:v>1160.9575376474972</c:v>
                </c:pt>
                <c:pt idx="24">
                  <c:v>1227.9037810594939</c:v>
                </c:pt>
                <c:pt idx="25">
                  <c:v>1292.9503308674764</c:v>
                </c:pt>
                <c:pt idx="26">
                  <c:v>1356.3163812929633</c:v>
                </c:pt>
                <c:pt idx="27">
                  <c:v>1418.1886535098542</c:v>
                </c:pt>
                <c:pt idx="28">
                  <c:v>1478.7271943735939</c:v>
                </c:pt>
                <c:pt idx="29">
                  <c:v>1538.0699754191287</c:v>
                </c:pt>
                <c:pt idx="30">
                  <c:v>1589.6215720636171</c:v>
                </c:pt>
                <c:pt idx="31">
                  <c:v>1646.9161307086413</c:v>
                </c:pt>
                <c:pt idx="32">
                  <c:v>1703.329779513218</c:v>
                </c:pt>
                <c:pt idx="33">
                  <c:v>1758.942600846327</c:v>
                </c:pt>
                <c:pt idx="34">
                  <c:v>1813.8252556610296</c:v>
                </c:pt>
                <c:pt idx="35">
                  <c:v>1867.4568883470156</c:v>
                </c:pt>
                <c:pt idx="36">
                  <c:v>1919.8912238538196</c:v>
                </c:pt>
                <c:pt idx="37">
                  <c:v>1961.7539046930574</c:v>
                </c:pt>
                <c:pt idx="38">
                  <c:v>2013.2293376652574</c:v>
                </c:pt>
                <c:pt idx="39">
                  <c:v>2064.2803878624982</c:v>
                </c:pt>
                <c:pt idx="40">
                  <c:v>2114.9388838801747</c:v>
                </c:pt>
                <c:pt idx="41">
                  <c:v>2165.2335490955929</c:v>
                </c:pt>
                <c:pt idx="42">
                  <c:v>2215.1903713355432</c:v>
                </c:pt>
                <c:pt idx="43">
                  <c:v>2243.2294325625194</c:v>
                </c:pt>
                <c:pt idx="44">
                  <c:v>2249.3791983856877</c:v>
                </c:pt>
                <c:pt idx="45">
                  <c:v>2255.2556421438421</c:v>
                </c:pt>
                <c:pt idx="46">
                  <c:v>2260.8765891341509</c:v>
                </c:pt>
                <c:pt idx="47">
                  <c:v>2266.2583476117888</c:v>
                </c:pt>
                <c:pt idx="48">
                  <c:v>2271.4158668146765</c:v>
                </c:pt>
                <c:pt idx="49">
                  <c:v>2276.3628756383109</c:v>
                </c:pt>
                <c:pt idx="50">
                  <c:v>2281.1120046696601</c:v>
                </c:pt>
                <c:pt idx="51">
                  <c:v>2285.6748938641722</c:v>
                </c:pt>
                <c:pt idx="52">
                  <c:v>2290.062287798547</c:v>
                </c:pt>
                <c:pt idx="53">
                  <c:v>2294.2841201402016</c:v>
                </c:pt>
                <c:pt idx="54">
                  <c:v>2298.3495887312679</c:v>
                </c:pt>
                <c:pt idx="55">
                  <c:v>2302.094809598289</c:v>
                </c:pt>
                <c:pt idx="56">
                  <c:v>2305.113823218066</c:v>
                </c:pt>
                <c:pt idx="57">
                  <c:v>2308.0269067986715</c:v>
                </c:pt>
                <c:pt idx="58">
                  <c:v>2310.8395394666795</c:v>
                </c:pt>
                <c:pt idx="59">
                  <c:v>2313.5568288833479</c:v>
                </c:pt>
                <c:pt idx="60">
                  <c:v>2316.1835421999881</c:v>
                </c:pt>
                <c:pt idx="61">
                  <c:v>2318.7241339685511</c:v>
                </c:pt>
                <c:pt idx="62">
                  <c:v>2321.1827713511962</c:v>
                </c:pt>
                <c:pt idx="63">
                  <c:v>2323.563356928953</c:v>
                </c:pt>
                <c:pt idx="64">
                  <c:v>2325.8695493720779</c:v>
                </c:pt>
                <c:pt idx="65">
                  <c:v>2328.1047822023779</c:v>
                </c:pt>
                <c:pt idx="66">
                  <c:v>2330.2722808498761</c:v>
                </c:pt>
                <c:pt idx="67">
                  <c:v>2332.3750781820163</c:v>
                </c:pt>
                <c:pt idx="68">
                  <c:v>2334.4160286626475</c:v>
                </c:pt>
                <c:pt idx="69">
                  <c:v>2336.3978212797924</c:v>
                </c:pt>
                <c:pt idx="70">
                  <c:v>2338.3229913653267</c:v>
                </c:pt>
                <c:pt idx="71">
                  <c:v>2340.1939314158121</c:v>
                </c:pt>
                <c:pt idx="72">
                  <c:v>2342.0129010115961</c:v>
                </c:pt>
                <c:pt idx="73">
                  <c:v>2343.7820359206457</c:v>
                </c:pt>
                <c:pt idx="74">
                  <c:v>2345.5033564642304</c:v>
                </c:pt>
                <c:pt idx="75">
                  <c:v>2347.1787752133564</c:v>
                </c:pt>
                <c:pt idx="76">
                  <c:v>2348.2679347419767</c:v>
                </c:pt>
                <c:pt idx="77">
                  <c:v>2349.3099076984049</c:v>
                </c:pt>
                <c:pt idx="78">
                  <c:v>2350.3251634480653</c:v>
                </c:pt>
                <c:pt idx="79">
                  <c:v>2351.3147165666101</c:v>
                </c:pt>
                <c:pt idx="80">
                  <c:v>2352.2795309009998</c:v>
                </c:pt>
                <c:pt idx="81">
                  <c:v>2353.2205227008963</c:v>
                </c:pt>
                <c:pt idx="82">
                  <c:v>2354.1385635209344</c:v>
                </c:pt>
                <c:pt idx="83">
                  <c:v>2355.0344829131873</c:v>
                </c:pt>
                <c:pt idx="84">
                  <c:v>2355.9090709273141</c:v>
                </c:pt>
                <c:pt idx="85">
                  <c:v>2356.7630804342298</c:v>
                </c:pt>
                <c:pt idx="86">
                  <c:v>2357.5972292876545</c:v>
                </c:pt>
                <c:pt idx="87">
                  <c:v>2358.4122023365935</c:v>
                </c:pt>
                <c:pt idx="88">
                  <c:v>2359.2086533006013</c:v>
                </c:pt>
                <c:pt idx="89">
                  <c:v>2359.987206518626</c:v>
                </c:pt>
                <c:pt idx="90">
                  <c:v>2360.7484585812613</c:v>
                </c:pt>
                <c:pt idx="91">
                  <c:v>2361.4929798553794</c:v>
                </c:pt>
                <c:pt idx="92">
                  <c:v>2362.2213159093308</c:v>
                </c:pt>
                <c:pt idx="93">
                  <c:v>2362.9339888461968</c:v>
                </c:pt>
                <c:pt idx="94">
                  <c:v>2363.6314985519393</c:v>
                </c:pt>
                <c:pt idx="95">
                  <c:v>2364.3143238647217</c:v>
                </c:pt>
                <c:pt idx="96">
                  <c:v>2364.5100000000002</c:v>
                </c:pt>
                <c:pt idx="97">
                  <c:v>2364.5100000000002</c:v>
                </c:pt>
                <c:pt idx="98">
                  <c:v>2364.5100000000002</c:v>
                </c:pt>
                <c:pt idx="99">
                  <c:v>2364.5100000000002</c:v>
                </c:pt>
                <c:pt idx="100">
                  <c:v>2364.5100000000002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abSelected="1" topLeftCell="A88" zoomScale="85" zoomScaleNormal="85" workbookViewId="0">
      <selection activeCell="B119" sqref="B119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8" width="9" bestFit="1" customWidth="1"/>
    <col min="19" max="19" width="21.28515625" customWidth="1"/>
    <col min="20" max="20" width="20.28515625" bestFit="1" customWidth="1"/>
    <col min="21" max="21" width="11.42578125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8" t="s">
        <v>100</v>
      </c>
      <c r="T2" s="61" t="s">
        <v>101</v>
      </c>
      <c r="U2" s="41"/>
    </row>
    <row r="3" spans="1:21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2">
        <v>8</v>
      </c>
      <c r="T3" s="47" t="s">
        <v>104</v>
      </c>
      <c r="U3" s="45"/>
    </row>
    <row r="4" spans="1:21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18</v>
      </c>
      <c r="E4" s="5">
        <v>0</v>
      </c>
      <c r="G4">
        <v>-1</v>
      </c>
      <c r="H4">
        <v>-1</v>
      </c>
      <c r="S4" s="46">
        <f ca="1">OFFSET(Reference!A$1,MATCH('Cross Section Analysis'!S3,Reference!A$1:A$12,0)-1,1)</f>
        <v>1</v>
      </c>
      <c r="T4" s="47" t="s">
        <v>107</v>
      </c>
      <c r="U4" s="45"/>
    </row>
    <row r="5" spans="1:21" x14ac:dyDescent="0.25">
      <c r="A5" s="2" t="s">
        <v>2</v>
      </c>
      <c r="B5" s="36">
        <v>18</v>
      </c>
      <c r="C5" t="s">
        <v>6</v>
      </c>
      <c r="D5" s="5">
        <f>B5</f>
        <v>18</v>
      </c>
      <c r="E5" s="5">
        <f>B6</f>
        <v>24</v>
      </c>
      <c r="G5" t="s">
        <v>33</v>
      </c>
      <c r="S5" s="62">
        <v>3</v>
      </c>
      <c r="T5" s="47" t="s">
        <v>105</v>
      </c>
      <c r="U5" s="45"/>
    </row>
    <row r="6" spans="1:21" x14ac:dyDescent="0.25">
      <c r="A6" s="2" t="s">
        <v>3</v>
      </c>
      <c r="B6" s="36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6">
        <f ca="1">OFFSET(Reference!A$1,MATCH('Cross Section Analysis'!S5,Reference!A$1:A$12,0)-1,1)</f>
        <v>0.375</v>
      </c>
      <c r="T6" s="47" t="s">
        <v>109</v>
      </c>
      <c r="U6" s="45"/>
    </row>
    <row r="7" spans="1:21" x14ac:dyDescent="0.25">
      <c r="D7" s="5">
        <v>0</v>
      </c>
      <c r="E7" s="5">
        <v>0</v>
      </c>
      <c r="G7">
        <f>B5/2</f>
        <v>9</v>
      </c>
      <c r="H7">
        <f>B6/2</f>
        <v>12</v>
      </c>
      <c r="S7" s="59">
        <v>2</v>
      </c>
      <c r="T7" s="47" t="s">
        <v>110</v>
      </c>
      <c r="U7" s="45"/>
    </row>
    <row r="8" spans="1:21" x14ac:dyDescent="0.25">
      <c r="S8" s="46" t="s">
        <v>119</v>
      </c>
      <c r="T8" s="47"/>
      <c r="U8" s="45"/>
    </row>
    <row r="9" spans="1:21" x14ac:dyDescent="0.25">
      <c r="A9" t="s">
        <v>8</v>
      </c>
      <c r="S9" s="59">
        <v>5</v>
      </c>
      <c r="T9" s="47" t="s">
        <v>102</v>
      </c>
      <c r="U9" s="45"/>
    </row>
    <row r="10" spans="1:21" x14ac:dyDescent="0.25">
      <c r="A10" t="s">
        <v>9</v>
      </c>
      <c r="B10" s="36">
        <v>60</v>
      </c>
      <c r="C10" t="s">
        <v>5</v>
      </c>
      <c r="F10" s="27" t="s">
        <v>88</v>
      </c>
      <c r="S10" s="59">
        <v>3</v>
      </c>
      <c r="T10" s="47" t="s">
        <v>103</v>
      </c>
      <c r="U10" s="45"/>
    </row>
    <row r="11" spans="1:21" x14ac:dyDescent="0.25">
      <c r="A11" t="s">
        <v>12</v>
      </c>
      <c r="B11" s="3">
        <v>29000</v>
      </c>
      <c r="C11" t="s">
        <v>5</v>
      </c>
      <c r="F11" s="27" t="s">
        <v>89</v>
      </c>
      <c r="S11" s="46">
        <f>(2*S9)+((2*S10)-4)</f>
        <v>12</v>
      </c>
      <c r="T11" s="47" t="s">
        <v>108</v>
      </c>
      <c r="U11" s="45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  <c r="S12" s="46" t="s">
        <v>117</v>
      </c>
      <c r="T12" s="60" t="s">
        <v>118</v>
      </c>
      <c r="U12" s="45"/>
    </row>
    <row r="13" spans="1:21" x14ac:dyDescent="0.25">
      <c r="A13">
        <v>1</v>
      </c>
      <c r="B13" s="35">
        <v>8</v>
      </c>
      <c r="C13" s="4">
        <f ca="1">OFFSET(Reference!A$1,MATCH('Cross Section Analysis'!B13,Reference!A$1:A$12,0)-1,2)</f>
        <v>0.79</v>
      </c>
      <c r="D13" s="36">
        <v>3.125</v>
      </c>
      <c r="E13" s="36">
        <v>3.125</v>
      </c>
      <c r="F13" s="27" t="s">
        <v>91</v>
      </c>
      <c r="S13" s="46">
        <f ca="1">2*S6</f>
        <v>0.75</v>
      </c>
      <c r="T13" s="60" t="s">
        <v>124</v>
      </c>
      <c r="U13" s="45"/>
    </row>
    <row r="14" spans="1:21" x14ac:dyDescent="0.25">
      <c r="A14">
        <v>2</v>
      </c>
      <c r="B14" s="35">
        <v>8</v>
      </c>
      <c r="C14" s="4">
        <f ca="1">OFFSET(Reference!A$1,MATCH('Cross Section Analysis'!B14,Reference!A$1:A$12,0)-1,2)</f>
        <v>0.79</v>
      </c>
      <c r="D14" s="36">
        <v>9</v>
      </c>
      <c r="E14" s="36">
        <v>3.125</v>
      </c>
      <c r="F14" s="27" t="s">
        <v>92</v>
      </c>
      <c r="S14" s="46">
        <f ca="1">0.5*S4</f>
        <v>0.5</v>
      </c>
      <c r="T14" s="60" t="s">
        <v>106</v>
      </c>
      <c r="U14" s="45"/>
    </row>
    <row r="15" spans="1:21" x14ac:dyDescent="0.25">
      <c r="A15">
        <v>3</v>
      </c>
      <c r="B15" s="35">
        <v>8</v>
      </c>
      <c r="C15" s="4">
        <f ca="1">OFFSET(Reference!A$1,MATCH('Cross Section Analysis'!B15,Reference!A$1:A$12,0)-1,2)</f>
        <v>0.79</v>
      </c>
      <c r="D15" s="36">
        <v>14.875</v>
      </c>
      <c r="E15" s="36">
        <v>3.125</v>
      </c>
      <c r="S15" s="46">
        <f ca="1">MAX(S13:S14)</f>
        <v>0.75</v>
      </c>
      <c r="T15" s="60" t="s">
        <v>111</v>
      </c>
      <c r="U15" s="45"/>
    </row>
    <row r="16" spans="1:21" x14ac:dyDescent="0.25">
      <c r="A16">
        <v>4</v>
      </c>
      <c r="B16" s="35">
        <v>8</v>
      </c>
      <c r="C16" s="4">
        <f ca="1">OFFSET(Reference!A$1,MATCH('Cross Section Analysis'!B16,Reference!A$1:A$12,0)-1,2)</f>
        <v>0.79</v>
      </c>
      <c r="D16" s="36">
        <v>3.125</v>
      </c>
      <c r="E16" s="36">
        <v>7.5625</v>
      </c>
      <c r="S16" s="46">
        <f ca="1">S7+S6+S15</f>
        <v>3.125</v>
      </c>
      <c r="T16" s="60" t="s">
        <v>113</v>
      </c>
      <c r="U16" s="45"/>
    </row>
    <row r="17" spans="1:21" x14ac:dyDescent="0.25">
      <c r="A17">
        <v>5</v>
      </c>
      <c r="B17" s="35">
        <v>8</v>
      </c>
      <c r="C17" s="4">
        <f ca="1">OFFSET(Reference!A$1,MATCH('Cross Section Analysis'!B17,Reference!A$1:A$12,0)-1,2)</f>
        <v>0.79</v>
      </c>
      <c r="D17" s="36">
        <v>14.875</v>
      </c>
      <c r="E17" s="36">
        <v>7.5625</v>
      </c>
      <c r="S17" s="63">
        <f ca="1">B5-S16</f>
        <v>14.875</v>
      </c>
      <c r="T17" s="60" t="s">
        <v>112</v>
      </c>
      <c r="U17" s="45"/>
    </row>
    <row r="18" spans="1:21" x14ac:dyDescent="0.25">
      <c r="A18">
        <v>6</v>
      </c>
      <c r="B18" s="35">
        <v>8</v>
      </c>
      <c r="C18" s="4">
        <f ca="1">OFFSET(Reference!A$1,MATCH('Cross Section Analysis'!B18,Reference!A$1:A$12,0)-1,2)</f>
        <v>0.79</v>
      </c>
      <c r="D18" s="36">
        <v>3.125</v>
      </c>
      <c r="E18" s="36">
        <v>12</v>
      </c>
      <c r="S18" s="63">
        <f ca="1">B6-S16</f>
        <v>20.875</v>
      </c>
      <c r="T18" s="60" t="s">
        <v>114</v>
      </c>
      <c r="U18" s="45"/>
    </row>
    <row r="19" spans="1:21" x14ac:dyDescent="0.25">
      <c r="A19">
        <v>7</v>
      </c>
      <c r="B19" s="35">
        <v>8</v>
      </c>
      <c r="C19" s="4">
        <f ca="1">OFFSET(Reference!A$1,MATCH('Cross Section Analysis'!B19,Reference!A$1:A$12,0)-1,2)</f>
        <v>0.79</v>
      </c>
      <c r="D19" s="36">
        <v>14.875</v>
      </c>
      <c r="E19" s="36">
        <v>12</v>
      </c>
      <c r="S19" s="46">
        <f ca="1">(B5-(2*S16))/(S10-1)</f>
        <v>5.875</v>
      </c>
      <c r="T19" s="60" t="s">
        <v>115</v>
      </c>
      <c r="U19" s="45"/>
    </row>
    <row r="20" spans="1:21" x14ac:dyDescent="0.25">
      <c r="A20">
        <v>8</v>
      </c>
      <c r="B20" s="35">
        <v>8</v>
      </c>
      <c r="C20" s="4">
        <f ca="1">OFFSET(Reference!A$1,MATCH('Cross Section Analysis'!B20,Reference!A$1:A$12,0)-1,2)</f>
        <v>0.79</v>
      </c>
      <c r="D20" s="36">
        <v>3.125</v>
      </c>
      <c r="E20" s="36">
        <v>16.4375</v>
      </c>
      <c r="S20" s="46">
        <f ca="1">(B6 - (2*S16))/(S9-1)</f>
        <v>4.4375</v>
      </c>
      <c r="T20" s="60" t="s">
        <v>116</v>
      </c>
      <c r="U20" s="45"/>
    </row>
    <row r="21" spans="1:21" x14ac:dyDescent="0.25">
      <c r="A21">
        <v>9</v>
      </c>
      <c r="B21" s="35">
        <v>8</v>
      </c>
      <c r="C21" s="4">
        <f ca="1">OFFSET(Reference!A$1,MATCH('Cross Section Analysis'!B21,Reference!A$1:A$12,0)-1,2)</f>
        <v>0.79</v>
      </c>
      <c r="D21" s="36">
        <v>14.875</v>
      </c>
      <c r="E21" s="36">
        <v>16.4375</v>
      </c>
      <c r="S21" s="46"/>
      <c r="T21" s="47"/>
      <c r="U21" s="45"/>
    </row>
    <row r="22" spans="1:21" x14ac:dyDescent="0.25">
      <c r="A22">
        <v>10</v>
      </c>
      <c r="B22" s="35">
        <v>8</v>
      </c>
      <c r="C22" s="4">
        <f ca="1">OFFSET(Reference!A$1,MATCH('Cross Section Analysis'!B22,Reference!A$1:A$12,0)-1,2)</f>
        <v>0.79</v>
      </c>
      <c r="D22" s="36">
        <v>3.125</v>
      </c>
      <c r="E22" s="36">
        <v>20.875</v>
      </c>
      <c r="S22" s="46"/>
      <c r="T22" s="47"/>
      <c r="U22" s="45"/>
    </row>
    <row r="23" spans="1:21" x14ac:dyDescent="0.25">
      <c r="A23">
        <v>11</v>
      </c>
      <c r="B23" s="35">
        <v>8</v>
      </c>
      <c r="C23" s="4">
        <f ca="1">OFFSET(Reference!A$1,MATCH('Cross Section Analysis'!B23,Reference!A$1:A$12,0)-1,2)</f>
        <v>0.79</v>
      </c>
      <c r="D23" s="36">
        <v>9</v>
      </c>
      <c r="E23" s="36">
        <v>20.875</v>
      </c>
      <c r="S23" s="46"/>
      <c r="T23" s="47"/>
      <c r="U23" s="45"/>
    </row>
    <row r="24" spans="1:21" x14ac:dyDescent="0.25">
      <c r="A24">
        <v>12</v>
      </c>
      <c r="B24" s="35">
        <v>8</v>
      </c>
      <c r="C24" s="4">
        <f ca="1">OFFSET(Reference!A$1,MATCH('Cross Section Analysis'!B24,Reference!A$1:A$12,0)-1,2)</f>
        <v>0.79</v>
      </c>
      <c r="D24" s="36">
        <v>14.875</v>
      </c>
      <c r="E24" s="36">
        <v>20.875</v>
      </c>
      <c r="S24" s="46"/>
      <c r="T24" s="47"/>
      <c r="U24" s="45"/>
    </row>
    <row r="25" spans="1:21" ht="15.75" thickBot="1" x14ac:dyDescent="0.3">
      <c r="C25" s="4">
        <f ca="1">SUM(C13:C24)</f>
        <v>9.48</v>
      </c>
      <c r="D25" s="4">
        <f ca="1">(C25/(B5*B6))*100</f>
        <v>2.1944444444444446</v>
      </c>
      <c r="E25" t="str">
        <f>"=%As"</f>
        <v>=%As</v>
      </c>
      <c r="S25" s="42"/>
      <c r="T25" s="64"/>
      <c r="U25" s="43"/>
    </row>
    <row r="26" spans="1:21" x14ac:dyDescent="0.25">
      <c r="A26" s="26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432</v>
      </c>
      <c r="C28" t="s">
        <v>18</v>
      </c>
      <c r="D28">
        <v>1</v>
      </c>
    </row>
    <row r="29" spans="1:21" x14ac:dyDescent="0.25">
      <c r="A29" s="2" t="s">
        <v>19</v>
      </c>
      <c r="B29">
        <f>B28*B2*D28</f>
        <v>2160</v>
      </c>
      <c r="C29" t="s">
        <v>20</v>
      </c>
    </row>
    <row r="30" spans="1:21" x14ac:dyDescent="0.25">
      <c r="A30" s="2" t="s">
        <v>21</v>
      </c>
      <c r="B30">
        <f>B29*(B6/2)</f>
        <v>25920</v>
      </c>
      <c r="C30" t="s">
        <v>23</v>
      </c>
    </row>
    <row r="31" spans="1:21" x14ac:dyDescent="0.25">
      <c r="A31" s="2" t="s">
        <v>22</v>
      </c>
      <c r="B31">
        <f>B29*(B5/2)</f>
        <v>19440</v>
      </c>
      <c r="C31" t="s">
        <v>23</v>
      </c>
    </row>
    <row r="33" spans="1:30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($B$10-($B$2*$D$28))</f>
        <v>55</v>
      </c>
      <c r="D34" s="6">
        <f ca="1">B34*C34</f>
        <v>43.45</v>
      </c>
      <c r="E34" s="6">
        <f ca="1">D34*E13</f>
        <v>135.78125</v>
      </c>
      <c r="F34" s="6">
        <f ca="1">D34*D13</f>
        <v>135.78125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($B$10-($B$2*$D$28))</f>
        <v>55</v>
      </c>
      <c r="D35" s="6">
        <f t="shared" ref="D35:D45" ca="1" si="3">B35*C35</f>
        <v>43.45</v>
      </c>
      <c r="E35" s="6">
        <f t="shared" ref="E35:E45" ca="1" si="4">D35*E14</f>
        <v>135.78125</v>
      </c>
      <c r="F35" s="6">
        <f t="shared" ref="F35:F45" ca="1" si="5">D35*D14</f>
        <v>391.05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55</v>
      </c>
      <c r="D36" s="6">
        <f t="shared" ca="1" si="3"/>
        <v>43.45</v>
      </c>
      <c r="E36" s="6">
        <f t="shared" ca="1" si="4"/>
        <v>135.78125</v>
      </c>
      <c r="F36" s="6">
        <f t="shared" ca="1" si="5"/>
        <v>646.31875000000002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55</v>
      </c>
      <c r="D37" s="6">
        <f t="shared" ca="1" si="3"/>
        <v>43.45</v>
      </c>
      <c r="E37" s="6">
        <f t="shared" ca="1" si="4"/>
        <v>328.59062500000005</v>
      </c>
      <c r="F37" s="6">
        <f t="shared" ca="1" si="5"/>
        <v>135.78125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55</v>
      </c>
      <c r="D38" s="6">
        <f t="shared" ca="1" si="3"/>
        <v>43.45</v>
      </c>
      <c r="E38" s="6">
        <f t="shared" ca="1" si="4"/>
        <v>328.59062500000005</v>
      </c>
      <c r="F38" s="6">
        <f t="shared" ca="1" si="5"/>
        <v>646.31875000000002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55</v>
      </c>
      <c r="D39" s="6">
        <f t="shared" ca="1" si="3"/>
        <v>43.45</v>
      </c>
      <c r="E39" s="6">
        <f t="shared" ca="1" si="4"/>
        <v>521.40000000000009</v>
      </c>
      <c r="F39" s="6">
        <f t="shared" ca="1" si="5"/>
        <v>135.78125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55</v>
      </c>
      <c r="D40" s="6">
        <f t="shared" ca="1" si="3"/>
        <v>43.45</v>
      </c>
      <c r="E40" s="6">
        <f ca="1">D40*E19</f>
        <v>521.40000000000009</v>
      </c>
      <c r="F40" s="6">
        <f t="shared" ca="1" si="5"/>
        <v>646.31875000000002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55</v>
      </c>
      <c r="D41" s="6">
        <f t="shared" ca="1" si="3"/>
        <v>43.45</v>
      </c>
      <c r="E41" s="6">
        <f t="shared" ca="1" si="4"/>
        <v>714.20937500000002</v>
      </c>
      <c r="F41" s="6">
        <f t="shared" ca="1" si="5"/>
        <v>135.78125</v>
      </c>
    </row>
    <row r="42" spans="1:30" x14ac:dyDescent="0.25">
      <c r="A42">
        <f t="shared" si="0"/>
        <v>9</v>
      </c>
      <c r="B42" s="7">
        <f t="shared" ca="1" si="1"/>
        <v>0.79</v>
      </c>
      <c r="C42" s="6">
        <f t="shared" si="2"/>
        <v>55</v>
      </c>
      <c r="D42" s="6">
        <f t="shared" ca="1" si="3"/>
        <v>43.45</v>
      </c>
      <c r="E42" s="6">
        <f t="shared" ca="1" si="4"/>
        <v>714.20937500000002</v>
      </c>
      <c r="F42" s="6">
        <f t="shared" ca="1" si="5"/>
        <v>646.31875000000002</v>
      </c>
    </row>
    <row r="43" spans="1:30" x14ac:dyDescent="0.25">
      <c r="A43">
        <f t="shared" si="0"/>
        <v>10</v>
      </c>
      <c r="B43" s="7">
        <f t="shared" ca="1" si="1"/>
        <v>0.79</v>
      </c>
      <c r="C43" s="6">
        <f t="shared" si="2"/>
        <v>55</v>
      </c>
      <c r="D43" s="6">
        <f t="shared" ca="1" si="3"/>
        <v>43.45</v>
      </c>
      <c r="E43" s="6">
        <f t="shared" ca="1" si="4"/>
        <v>907.01875000000007</v>
      </c>
      <c r="F43" s="6">
        <f t="shared" ca="1" si="5"/>
        <v>135.78125</v>
      </c>
    </row>
    <row r="44" spans="1:30" x14ac:dyDescent="0.25">
      <c r="A44">
        <f t="shared" si="0"/>
        <v>11</v>
      </c>
      <c r="B44" s="7">
        <f t="shared" ca="1" si="1"/>
        <v>0.79</v>
      </c>
      <c r="C44" s="6">
        <f t="shared" si="2"/>
        <v>55</v>
      </c>
      <c r="D44" s="6">
        <f t="shared" ca="1" si="3"/>
        <v>43.45</v>
      </c>
      <c r="E44" s="6">
        <f t="shared" ca="1" si="4"/>
        <v>907.01875000000007</v>
      </c>
      <c r="F44" s="6">
        <f t="shared" ca="1" si="5"/>
        <v>391.05</v>
      </c>
    </row>
    <row r="45" spans="1:30" ht="15.75" thickBot="1" x14ac:dyDescent="0.3">
      <c r="A45">
        <f t="shared" si="0"/>
        <v>12</v>
      </c>
      <c r="B45" s="7">
        <f t="shared" ca="1" si="1"/>
        <v>0.79</v>
      </c>
      <c r="C45" s="6">
        <f t="shared" si="2"/>
        <v>55</v>
      </c>
      <c r="D45" s="25">
        <f t="shared" ca="1" si="3"/>
        <v>43.45</v>
      </c>
      <c r="E45" s="25">
        <f t="shared" ca="1" si="4"/>
        <v>907.01875000000007</v>
      </c>
      <c r="F45" s="25">
        <f t="shared" ca="1" si="5"/>
        <v>646.31875000000002</v>
      </c>
    </row>
    <row r="46" spans="1:30" ht="15.75" thickTop="1" x14ac:dyDescent="0.25">
      <c r="C46" s="6"/>
      <c r="D46" s="6">
        <f ca="1">SUM(D34:D45)</f>
        <v>521.4</v>
      </c>
      <c r="E46" s="6">
        <f t="shared" ref="E46:F46" ca="1" si="6">SUM(E34:E45)</f>
        <v>6256.8</v>
      </c>
      <c r="F46" s="6">
        <f t="shared" ca="1" si="6"/>
        <v>4692.6000000000004</v>
      </c>
    </row>
    <row r="47" spans="1:30" x14ac:dyDescent="0.25">
      <c r="AC47" s="1" t="s">
        <v>123</v>
      </c>
      <c r="AD47" s="1" t="s">
        <v>75</v>
      </c>
    </row>
    <row r="48" spans="1:30" x14ac:dyDescent="0.25">
      <c r="A48" s="2" t="s">
        <v>28</v>
      </c>
      <c r="B48" s="6">
        <f ca="1">B29+D46</f>
        <v>2681.4</v>
      </c>
      <c r="D48" t="s">
        <v>31</v>
      </c>
      <c r="E48" t="s">
        <v>32</v>
      </c>
      <c r="AC48">
        <v>1E-4</v>
      </c>
      <c r="AD48">
        <v>-568.79387999999994</v>
      </c>
    </row>
    <row r="49" spans="1:30" x14ac:dyDescent="0.25">
      <c r="A49" s="2" t="s">
        <v>29</v>
      </c>
      <c r="B49" s="6">
        <f ca="1">E46+B30</f>
        <v>32176.799999999999</v>
      </c>
      <c r="D49" s="1">
        <f ca="1">B50/B48</f>
        <v>9</v>
      </c>
      <c r="E49" s="4">
        <f ca="1">B49/B48</f>
        <v>12</v>
      </c>
      <c r="AC49">
        <v>0.70598135294117648</v>
      </c>
      <c r="AD49">
        <v>-525.59394120000002</v>
      </c>
    </row>
    <row r="50" spans="1:30" x14ac:dyDescent="0.25">
      <c r="A50" s="2" t="s">
        <v>30</v>
      </c>
      <c r="B50" s="6">
        <f ca="1">F46+B31</f>
        <v>24132.6</v>
      </c>
      <c r="AC50">
        <v>1.411862705882353</v>
      </c>
      <c r="AD50">
        <v>-482.39400240000003</v>
      </c>
    </row>
    <row r="51" spans="1:30" x14ac:dyDescent="0.25">
      <c r="AC51">
        <v>2.1177440588235297</v>
      </c>
      <c r="AD51">
        <v>-395.06356432453617</v>
      </c>
    </row>
    <row r="52" spans="1:30" x14ac:dyDescent="0.25">
      <c r="A52" s="27" t="s">
        <v>34</v>
      </c>
      <c r="AC52">
        <v>2.8236254117647062</v>
      </c>
      <c r="AD52">
        <v>-275.80144421613977</v>
      </c>
    </row>
    <row r="53" spans="1:30" x14ac:dyDescent="0.25">
      <c r="A53" s="2" t="s">
        <v>36</v>
      </c>
      <c r="B53" s="34">
        <v>276.04819151702657</v>
      </c>
      <c r="C53" t="s">
        <v>39</v>
      </c>
      <c r="F53">
        <f>B53-360</f>
        <v>-83.951808482973433</v>
      </c>
      <c r="AC53">
        <v>3.5295067647058826</v>
      </c>
      <c r="AD53">
        <v>-186.96333461624971</v>
      </c>
    </row>
    <row r="54" spans="1:30" x14ac:dyDescent="0.25">
      <c r="AC54">
        <v>4.2353881176470587</v>
      </c>
      <c r="AD54">
        <v>-123.4100894349877</v>
      </c>
    </row>
    <row r="55" spans="1:30" x14ac:dyDescent="0.25">
      <c r="A55" s="2" t="s">
        <v>16</v>
      </c>
      <c r="AC55">
        <v>4.9412694705882352</v>
      </c>
      <c r="AD55">
        <v>-36.596644436657527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5.6471508235294117</v>
      </c>
      <c r="AD56">
        <v>49.200019549847525</v>
      </c>
    </row>
    <row r="57" spans="1:30" x14ac:dyDescent="0.25">
      <c r="A57" s="6">
        <f ca="1">D3-$D$49</f>
        <v>-9</v>
      </c>
      <c r="B57" s="7">
        <f ca="1">E3-$E$49</f>
        <v>-12</v>
      </c>
      <c r="C57" s="4">
        <f ca="1">A57*COS(RADIANS(-1*$B$53))+B57*SIN(RADIANS(-1*$B$53))</f>
        <v>-12.881487768411223</v>
      </c>
      <c r="D57" s="4">
        <f ca="1">-1*A57*SIN(RADIANS(-1*$B$53))+B57*COS(RADIANS(-1*$B$53))</f>
        <v>7.6855235912898019</v>
      </c>
      <c r="F57" t="s">
        <v>40</v>
      </c>
      <c r="G57">
        <f ca="1">MAX(D57:D61)-MIN(D57:D61)</f>
        <v>20.428563304227261</v>
      </c>
      <c r="H57" t="s">
        <v>6</v>
      </c>
      <c r="T57" t="s">
        <v>82</v>
      </c>
      <c r="AC57">
        <v>6.3530321764705882</v>
      </c>
      <c r="AD57">
        <v>125.53089360477435</v>
      </c>
    </row>
    <row r="58" spans="1:30" x14ac:dyDescent="0.25">
      <c r="A58" s="6">
        <f ca="1">D4-$D$49</f>
        <v>9</v>
      </c>
      <c r="B58" s="7">
        <f t="shared" ref="B58:B61" ca="1" si="7">E4-$E$49</f>
        <v>-12</v>
      </c>
      <c r="C58" s="4">
        <f t="shared" ref="C58:C61" ca="1" si="8">A58*COS(RADIANS(-1*$B$53))+B58*SIN(RADIANS(-1*$B$53))</f>
        <v>-10.984919222793351</v>
      </c>
      <c r="D58" s="4">
        <f t="shared" ref="D58:D61" ca="1" si="9">-1*A58*SIN(RADIANS(-1*$B$53))+B58*COS(RADIANS(-1*$B$53))</f>
        <v>-10.21428165211363</v>
      </c>
      <c r="F58" t="s">
        <v>62</v>
      </c>
      <c r="G58" s="7">
        <f ca="1">MAX(D57:D61)</f>
        <v>10.21428165211363</v>
      </c>
      <c r="T58" t="s">
        <v>0</v>
      </c>
      <c r="U58" t="s">
        <v>1</v>
      </c>
      <c r="AC58">
        <v>7.0589135294117646</v>
      </c>
      <c r="AD58">
        <v>195.23567447850229</v>
      </c>
    </row>
    <row r="59" spans="1:30" x14ac:dyDescent="0.25">
      <c r="A59" s="6">
        <f ca="1">D5-$D$49</f>
        <v>9</v>
      </c>
      <c r="B59" s="7">
        <f t="shared" ca="1" si="7"/>
        <v>12</v>
      </c>
      <c r="C59" s="4">
        <f t="shared" ca="1" si="8"/>
        <v>12.881487768411223</v>
      </c>
      <c r="D59" s="4">
        <f t="shared" ca="1" si="9"/>
        <v>-7.6855235912898019</v>
      </c>
      <c r="T59">
        <f ca="1">MAX(MAX(C57:C61),MAX(D57:D61))</f>
        <v>12.881487768411223</v>
      </c>
      <c r="U59">
        <f ca="1">T59</f>
        <v>12.881487768411223</v>
      </c>
      <c r="AC59">
        <v>7.7647948823529411</v>
      </c>
      <c r="AD59">
        <v>279.94570836607386</v>
      </c>
    </row>
    <row r="60" spans="1:30" x14ac:dyDescent="0.25">
      <c r="A60" s="6">
        <f ca="1">D6-$D$49</f>
        <v>-9</v>
      </c>
      <c r="B60" s="7">
        <f t="shared" ca="1" si="7"/>
        <v>12</v>
      </c>
      <c r="C60" s="4">
        <f t="shared" ca="1" si="8"/>
        <v>10.984919222793351</v>
      </c>
      <c r="D60" s="4">
        <f t="shared" ca="1" si="9"/>
        <v>10.21428165211363</v>
      </c>
      <c r="T60">
        <f ca="1">-1*T59</f>
        <v>-12.881487768411223</v>
      </c>
      <c r="U60">
        <f ca="1">-1*U59</f>
        <v>-12.881487768411223</v>
      </c>
      <c r="AC60">
        <v>8.4706762352941176</v>
      </c>
      <c r="AD60">
        <v>358.91999469892198</v>
      </c>
    </row>
    <row r="61" spans="1:30" x14ac:dyDescent="0.25">
      <c r="A61" s="6">
        <f ca="1">D7-$D$49</f>
        <v>-9</v>
      </c>
      <c r="B61" s="7">
        <f t="shared" ca="1" si="7"/>
        <v>-12</v>
      </c>
      <c r="C61" s="4">
        <f t="shared" ca="1" si="8"/>
        <v>-12.881487768411223</v>
      </c>
      <c r="D61" s="4">
        <f t="shared" ca="1" si="9"/>
        <v>7.6855235912898019</v>
      </c>
      <c r="AC61">
        <v>9.1765575882352941</v>
      </c>
      <c r="AD61">
        <v>432.39059523363414</v>
      </c>
    </row>
    <row r="62" spans="1:30" x14ac:dyDescent="0.25">
      <c r="A62" s="6"/>
      <c r="AC62">
        <v>9.8824389411764706</v>
      </c>
      <c r="AD62">
        <v>498.44409450740255</v>
      </c>
    </row>
    <row r="63" spans="1:30" x14ac:dyDescent="0.25">
      <c r="A63" s="28" t="s">
        <v>24</v>
      </c>
      <c r="F63" s="1" t="s">
        <v>37</v>
      </c>
      <c r="G63" s="1" t="s">
        <v>38</v>
      </c>
      <c r="AC63">
        <v>10.588320294117647</v>
      </c>
      <c r="AD63">
        <v>576.2374538642141</v>
      </c>
    </row>
    <row r="64" spans="1:30" x14ac:dyDescent="0.25">
      <c r="A64" s="8">
        <f t="shared" ref="A64:C75" si="10">A13</f>
        <v>1</v>
      </c>
      <c r="B64" s="6">
        <f t="shared" si="10"/>
        <v>8</v>
      </c>
      <c r="C64" s="6">
        <f t="shared" ca="1" si="10"/>
        <v>0.79</v>
      </c>
      <c r="D64" s="6">
        <f ca="1">D13-$D$49</f>
        <v>-5.875</v>
      </c>
      <c r="E64" s="6">
        <f ca="1">E13-$E$49</f>
        <v>-8.875</v>
      </c>
      <c r="F64" s="4">
        <f ca="1">IF(C64&gt;0,D64*COS(RADIANS(-1*$B$53))+E64*SIN(RADIANS(-1*$B$53)),0)</f>
        <v>-9.4446173189283567</v>
      </c>
      <c r="G64" s="4">
        <f ca="1">IF(C64&gt;0,-1*D64*SIN(RADIANS(-1*$B$53))+E64*COS(RADIANS(-1*$B$53)),0)</f>
        <v>4.9071838868131419</v>
      </c>
      <c r="AC64">
        <v>11.294201647058824</v>
      </c>
      <c r="AD64">
        <v>648.6471495442787</v>
      </c>
    </row>
    <row r="65" spans="1:30" x14ac:dyDescent="0.25">
      <c r="A65" s="8">
        <f t="shared" si="10"/>
        <v>2</v>
      </c>
      <c r="B65" s="6">
        <f t="shared" si="10"/>
        <v>8</v>
      </c>
      <c r="C65" s="6">
        <f t="shared" ca="1" si="10"/>
        <v>0.79</v>
      </c>
      <c r="D65" s="6">
        <f t="shared" ref="D65:D75" ca="1" si="11">D14-$D$49</f>
        <v>0</v>
      </c>
      <c r="E65" s="6">
        <f t="shared" ref="E65:E75" ca="1" si="12">E14-$E$49</f>
        <v>-8.875</v>
      </c>
      <c r="F65" s="4">
        <f t="shared" ref="F65:F75" ca="1" si="13">IF(C65&gt;0,D65*COS(RADIANS(-1*$B$53))+E65*SIN(RADIANS(-1*$B$53)),0)</f>
        <v>-8.8255984186225245</v>
      </c>
      <c r="G65" s="4">
        <f t="shared" ref="G65:G75" ca="1" si="14">IF(C65&gt;0,-1*D65*SIN(RADIANS(-1*$B$53))+E65*COS(RADIANS(-1*$B$53)),0)</f>
        <v>-0.93511365790881118</v>
      </c>
      <c r="AC65">
        <v>12.000083</v>
      </c>
      <c r="AD65">
        <v>717.62043187527161</v>
      </c>
    </row>
    <row r="66" spans="1:30" x14ac:dyDescent="0.25">
      <c r="A66" s="8">
        <f t="shared" si="10"/>
        <v>3</v>
      </c>
      <c r="B66" s="6">
        <f t="shared" si="10"/>
        <v>8</v>
      </c>
      <c r="C66" s="6">
        <f t="shared" ca="1" si="10"/>
        <v>0.79</v>
      </c>
      <c r="D66" s="6">
        <f t="shared" ca="1" si="11"/>
        <v>5.875</v>
      </c>
      <c r="E66" s="6">
        <f t="shared" ca="1" si="12"/>
        <v>-8.875</v>
      </c>
      <c r="F66" s="4">
        <f t="shared" ca="1" si="13"/>
        <v>-8.2065795183166923</v>
      </c>
      <c r="G66" s="4">
        <f t="shared" ca="1" si="14"/>
        <v>-6.7774112026307645</v>
      </c>
      <c r="AC66">
        <v>12.705964352941177</v>
      </c>
      <c r="AD66">
        <v>793.36445771919716</v>
      </c>
    </row>
    <row r="67" spans="1:30" x14ac:dyDescent="0.25">
      <c r="A67" s="8">
        <f t="shared" si="10"/>
        <v>4</v>
      </c>
      <c r="B67" s="6">
        <f t="shared" si="10"/>
        <v>8</v>
      </c>
      <c r="C67" s="6">
        <f t="shared" ca="1" si="10"/>
        <v>0.79</v>
      </c>
      <c r="D67" s="6">
        <f t="shared" ca="1" si="11"/>
        <v>-5.875</v>
      </c>
      <c r="E67" s="6">
        <f t="shared" ca="1" si="12"/>
        <v>-4.4375</v>
      </c>
      <c r="F67" s="4">
        <f t="shared" ca="1" si="13"/>
        <v>-5.0318181096170953</v>
      </c>
      <c r="G67" s="4">
        <f t="shared" ca="1" si="14"/>
        <v>5.3747407157675475</v>
      </c>
      <c r="AC67">
        <v>13.411845705882353</v>
      </c>
      <c r="AD67">
        <v>874.89164025499974</v>
      </c>
    </row>
    <row r="68" spans="1:30" x14ac:dyDescent="0.25">
      <c r="A68" s="8">
        <f t="shared" si="10"/>
        <v>5</v>
      </c>
      <c r="B68" s="6">
        <f t="shared" si="10"/>
        <v>8</v>
      </c>
      <c r="C68" s="6">
        <f t="shared" ca="1" si="10"/>
        <v>0.79</v>
      </c>
      <c r="D68" s="6">
        <f t="shared" ca="1" si="11"/>
        <v>5.875</v>
      </c>
      <c r="E68" s="6">
        <f t="shared" ca="1" si="12"/>
        <v>-4.4375</v>
      </c>
      <c r="F68" s="4">
        <f t="shared" ca="1" si="13"/>
        <v>-3.7937803090054296</v>
      </c>
      <c r="G68" s="4">
        <f t="shared" ca="1" si="14"/>
        <v>-6.3098543736763588</v>
      </c>
      <c r="AC68">
        <v>14.11772705882353</v>
      </c>
      <c r="AD68">
        <v>952.58612556553237</v>
      </c>
    </row>
    <row r="69" spans="1:30" x14ac:dyDescent="0.25">
      <c r="A69" s="8">
        <f t="shared" si="10"/>
        <v>6</v>
      </c>
      <c r="B69" s="6">
        <f t="shared" si="10"/>
        <v>8</v>
      </c>
      <c r="C69" s="6">
        <f t="shared" ca="1" si="10"/>
        <v>0.79</v>
      </c>
      <c r="D69" s="6">
        <f t="shared" ca="1" si="11"/>
        <v>-5.875</v>
      </c>
      <c r="E69" s="6">
        <f t="shared" ca="1" si="12"/>
        <v>0</v>
      </c>
      <c r="F69" s="4">
        <f t="shared" ca="1" si="13"/>
        <v>-0.61901890030583273</v>
      </c>
      <c r="G69" s="4">
        <f t="shared" ca="1" si="14"/>
        <v>5.8422975447219532</v>
      </c>
      <c r="AC69">
        <v>14.823608411764706</v>
      </c>
      <c r="AD69">
        <v>1026.9954381322111</v>
      </c>
    </row>
    <row r="70" spans="1:30" x14ac:dyDescent="0.25">
      <c r="A70" s="8">
        <f t="shared" si="10"/>
        <v>7</v>
      </c>
      <c r="B70" s="6">
        <f t="shared" si="10"/>
        <v>8</v>
      </c>
      <c r="C70" s="6">
        <f t="shared" ca="1" si="10"/>
        <v>0.79</v>
      </c>
      <c r="D70" s="6">
        <f t="shared" ca="1" si="11"/>
        <v>5.875</v>
      </c>
      <c r="E70" s="6">
        <f t="shared" ca="1" si="12"/>
        <v>0</v>
      </c>
      <c r="F70" s="4">
        <f t="shared" ca="1" si="13"/>
        <v>0.61901890030583273</v>
      </c>
      <c r="G70" s="4">
        <f t="shared" ca="1" si="14"/>
        <v>-5.8422975447219532</v>
      </c>
      <c r="AC70">
        <v>15.529489764705882</v>
      </c>
      <c r="AD70">
        <v>1091.8525531717776</v>
      </c>
    </row>
    <row r="71" spans="1:30" x14ac:dyDescent="0.25">
      <c r="A71" s="8">
        <f t="shared" si="10"/>
        <v>8</v>
      </c>
      <c r="B71" s="6">
        <f t="shared" si="10"/>
        <v>8</v>
      </c>
      <c r="C71" s="6">
        <f t="shared" ca="1" si="10"/>
        <v>0.79</v>
      </c>
      <c r="D71" s="6">
        <f t="shared" ca="1" si="11"/>
        <v>-5.875</v>
      </c>
      <c r="E71" s="6">
        <f t="shared" ca="1" si="12"/>
        <v>4.4375</v>
      </c>
      <c r="F71" s="4">
        <f t="shared" ca="1" si="13"/>
        <v>3.7937803090054296</v>
      </c>
      <c r="G71" s="4">
        <f t="shared" ca="1" si="14"/>
        <v>6.3098543736763588</v>
      </c>
      <c r="AC71">
        <v>16.235371117647059</v>
      </c>
      <c r="AD71">
        <v>1160.9575376474972</v>
      </c>
    </row>
    <row r="72" spans="1:30" x14ac:dyDescent="0.25">
      <c r="A72" s="8">
        <f t="shared" si="10"/>
        <v>9</v>
      </c>
      <c r="B72" s="6">
        <f t="shared" si="10"/>
        <v>8</v>
      </c>
      <c r="C72" s="6">
        <f t="shared" ca="1" si="10"/>
        <v>0.79</v>
      </c>
      <c r="D72" s="6">
        <f t="shared" ca="1" si="11"/>
        <v>5.875</v>
      </c>
      <c r="E72" s="6">
        <f t="shared" ca="1" si="12"/>
        <v>4.4375</v>
      </c>
      <c r="F72" s="4">
        <f t="shared" ca="1" si="13"/>
        <v>5.0318181096170953</v>
      </c>
      <c r="G72" s="4">
        <f t="shared" ca="1" si="14"/>
        <v>-5.3747407157675475</v>
      </c>
      <c r="AC72">
        <v>16.941252470588235</v>
      </c>
      <c r="AD72">
        <v>1227.9037810594939</v>
      </c>
    </row>
    <row r="73" spans="1:30" x14ac:dyDescent="0.25">
      <c r="A73" s="8">
        <f t="shared" si="10"/>
        <v>10</v>
      </c>
      <c r="B73" s="6">
        <f t="shared" si="10"/>
        <v>8</v>
      </c>
      <c r="C73" s="6">
        <f t="shared" ca="1" si="10"/>
        <v>0.79</v>
      </c>
      <c r="D73" s="6">
        <f t="shared" ca="1" si="11"/>
        <v>-5.875</v>
      </c>
      <c r="E73" s="6">
        <f t="shared" ca="1" si="12"/>
        <v>8.875</v>
      </c>
      <c r="F73" s="4">
        <f t="shared" ca="1" si="13"/>
        <v>8.2065795183166923</v>
      </c>
      <c r="G73" s="4">
        <f t="shared" ca="1" si="14"/>
        <v>6.7774112026307645</v>
      </c>
      <c r="AC73">
        <v>17.647133823529412</v>
      </c>
      <c r="AD73">
        <v>1292.9503308674764</v>
      </c>
    </row>
    <row r="74" spans="1:30" x14ac:dyDescent="0.25">
      <c r="A74" s="8">
        <f t="shared" si="10"/>
        <v>11</v>
      </c>
      <c r="B74" s="6">
        <f t="shared" si="10"/>
        <v>8</v>
      </c>
      <c r="C74" s="6">
        <f t="shared" ca="1" si="10"/>
        <v>0.79</v>
      </c>
      <c r="D74" s="6">
        <f t="shared" ca="1" si="11"/>
        <v>0</v>
      </c>
      <c r="E74" s="6">
        <f t="shared" ca="1" si="12"/>
        <v>8.875</v>
      </c>
      <c r="F74" s="4">
        <f t="shared" ca="1" si="13"/>
        <v>8.8255984186225245</v>
      </c>
      <c r="G74" s="4">
        <f t="shared" ca="1" si="14"/>
        <v>0.93511365790881118</v>
      </c>
      <c r="AC74">
        <v>18.353015176470588</v>
      </c>
      <c r="AD74">
        <v>1356.3163812929633</v>
      </c>
    </row>
    <row r="75" spans="1:30" x14ac:dyDescent="0.25">
      <c r="A75" s="8">
        <f t="shared" si="10"/>
        <v>12</v>
      </c>
      <c r="B75" s="6">
        <f t="shared" si="10"/>
        <v>8</v>
      </c>
      <c r="C75" s="6">
        <f t="shared" ca="1" si="10"/>
        <v>0.79</v>
      </c>
      <c r="D75" s="6">
        <f t="shared" ca="1" si="11"/>
        <v>5.875</v>
      </c>
      <c r="E75" s="6">
        <f t="shared" ca="1" si="12"/>
        <v>8.875</v>
      </c>
      <c r="F75" s="4">
        <f t="shared" ca="1" si="13"/>
        <v>9.4446173189283567</v>
      </c>
      <c r="G75" s="4">
        <f t="shared" ca="1" si="14"/>
        <v>-4.9071838868131419</v>
      </c>
      <c r="AC75">
        <v>19.058896529411765</v>
      </c>
      <c r="AD75">
        <v>1418.1886535098542</v>
      </c>
    </row>
    <row r="76" spans="1:30" x14ac:dyDescent="0.25">
      <c r="G76" s="7">
        <f ca="1">MIN(G64:G75)</f>
        <v>-6.7774112026307645</v>
      </c>
      <c r="AC76">
        <v>19.764777882352941</v>
      </c>
      <c r="AD76">
        <v>1478.7271943735939</v>
      </c>
    </row>
    <row r="77" spans="1:30" x14ac:dyDescent="0.25">
      <c r="D77" t="s">
        <v>0</v>
      </c>
      <c r="E77" t="s">
        <v>1</v>
      </c>
      <c r="AC77">
        <v>20.470659235294118</v>
      </c>
      <c r="AD77">
        <v>1538.0699754191287</v>
      </c>
    </row>
    <row r="78" spans="1:30" x14ac:dyDescent="0.25">
      <c r="A78" s="2" t="s">
        <v>41</v>
      </c>
      <c r="B78" s="34">
        <v>6.8409406694566401</v>
      </c>
      <c r="C78" t="s">
        <v>6</v>
      </c>
      <c r="D78" s="4">
        <f ca="1">MIN(C57:C61)</f>
        <v>-12.881487768411223</v>
      </c>
      <c r="E78" s="4">
        <f ca="1">MAX(D57:D61)-B78</f>
        <v>3.3733409826569902</v>
      </c>
      <c r="AC78">
        <v>21.176540588235294</v>
      </c>
      <c r="AD78">
        <v>1589.6215720636171</v>
      </c>
    </row>
    <row r="79" spans="1:30" x14ac:dyDescent="0.25">
      <c r="A79" s="2"/>
      <c r="D79" s="4">
        <f ca="1">MAX(C57:C61)</f>
        <v>12.881487768411223</v>
      </c>
      <c r="E79" s="4">
        <f ca="1">E78</f>
        <v>3.3733409826569902</v>
      </c>
      <c r="AC79">
        <v>21.882421941176471</v>
      </c>
      <c r="AD79">
        <v>1646.9161307086413</v>
      </c>
    </row>
    <row r="80" spans="1:30" x14ac:dyDescent="0.25">
      <c r="A80" s="2"/>
      <c r="AC80">
        <v>22.588303294117647</v>
      </c>
      <c r="AD80">
        <v>1703.329779513218</v>
      </c>
    </row>
    <row r="81" spans="1:30" x14ac:dyDescent="0.25">
      <c r="A81" s="2" t="s">
        <v>42</v>
      </c>
      <c r="B81" s="1">
        <f>B78*B4</f>
        <v>5.4727525355653119</v>
      </c>
      <c r="C81" t="s">
        <v>6</v>
      </c>
      <c r="D81" t="s">
        <v>0</v>
      </c>
      <c r="E81" t="s">
        <v>1</v>
      </c>
      <c r="AC81">
        <v>23.294184647058824</v>
      </c>
      <c r="AD81">
        <v>1758.942600846327</v>
      </c>
    </row>
    <row r="82" spans="1:30" x14ac:dyDescent="0.25">
      <c r="D82" s="4">
        <f ca="1">MIN(C57:C61)</f>
        <v>-12.881487768411223</v>
      </c>
      <c r="E82" s="4">
        <f ca="1">MAX(D57:D61)-B81</f>
        <v>4.7415291165483184</v>
      </c>
      <c r="AC82">
        <v>24.000066</v>
      </c>
      <c r="AD82">
        <v>1813.8252556610296</v>
      </c>
    </row>
    <row r="83" spans="1:30" x14ac:dyDescent="0.25">
      <c r="D83" s="4">
        <f ca="1">MAX(C57:C61)</f>
        <v>12.881487768411223</v>
      </c>
      <c r="E83" s="4">
        <f ca="1">E82</f>
        <v>4.7415291165483184</v>
      </c>
      <c r="AC83">
        <v>24.705947352941177</v>
      </c>
      <c r="AD83">
        <v>1867.4568883470156</v>
      </c>
    </row>
    <row r="84" spans="1:30" x14ac:dyDescent="0.25">
      <c r="A84" t="s">
        <v>47</v>
      </c>
      <c r="AC84">
        <v>25.411828705882353</v>
      </c>
      <c r="AD84">
        <v>1919.8912238538196</v>
      </c>
    </row>
    <row r="85" spans="1:30" x14ac:dyDescent="0.25">
      <c r="A85" s="2" t="s">
        <v>55</v>
      </c>
      <c r="B85" s="1">
        <f>0.85*B2</f>
        <v>4.25</v>
      </c>
      <c r="C85" t="s">
        <v>5</v>
      </c>
      <c r="AC85">
        <v>26.11771005882353</v>
      </c>
      <c r="AD85">
        <v>1961.7539046930574</v>
      </c>
    </row>
    <row r="86" spans="1:30" x14ac:dyDescent="0.25">
      <c r="AC86">
        <v>26.823591411764706</v>
      </c>
      <c r="AD86">
        <v>2013.2293376652574</v>
      </c>
    </row>
    <row r="87" spans="1:30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  <c r="AC87">
        <v>27.529472764705883</v>
      </c>
      <c r="AD87">
        <v>2064.2803878624982</v>
      </c>
    </row>
    <row r="88" spans="1:30" x14ac:dyDescent="0.25">
      <c r="A88">
        <v>1</v>
      </c>
      <c r="B88" s="4">
        <f t="shared" ref="B88:C91" ca="1" si="15">C57</f>
        <v>-12.881487768411223</v>
      </c>
      <c r="C88" s="4">
        <f t="shared" ca="1" si="15"/>
        <v>7.6855235912898019</v>
      </c>
      <c r="D88" s="4">
        <f t="shared" ref="D88:E91" ca="1" si="16">C58</f>
        <v>-10.984919222793351</v>
      </c>
      <c r="E88" s="4">
        <f t="shared" ca="1" si="16"/>
        <v>-10.21428165211363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-9.4379954179678567</v>
      </c>
      <c r="H88" s="4">
        <f ca="1">IF(OR(F88=1,F88=2),IF(G88="V",B88,(E$82-C88+(G88*B88))/G88),NA())</f>
        <v>-12.569557708651205</v>
      </c>
      <c r="I88" s="4">
        <f ca="1">IF(OR(F88=1,F88=2),E$82,NA())</f>
        <v>4.7415291165483184</v>
      </c>
      <c r="J88" s="5">
        <f ca="1">IF(F88=0,0,IF(F88=1,-0.5*B$85*(H88+D88)*(I88-E88),IF(F88=2,-0.5*B$85*(B88+H88)*(C88-I88),IF(F88=3,-0.5*B$85*(B88+D88)*(C88-E88),0))))</f>
        <v>159.2214416793403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990.28412422820418</v>
      </c>
      <c r="L88" s="5">
        <f ca="1">IF(F88=1,(1/6)*B$85*(POWER(H88,2)+H88*D88+POWER(D88,2))*(E88-I88),IF(F88=2,(1/6)*B$85*(POWER(B88,2)+B88*H88+POWER(H88,2))*(I88-C88),IF(F88=3,(1/6)*B$85*(POWER(B88,2)+B88*D88+POWER(D88,2))*(E88-C88),0)))</f>
        <v>-1013.138764103032</v>
      </c>
      <c r="AC88">
        <v>28.235354117647059</v>
      </c>
      <c r="AD88">
        <v>2114.9388838801747</v>
      </c>
    </row>
    <row r="89" spans="1:30" x14ac:dyDescent="0.25">
      <c r="A89">
        <v>2</v>
      </c>
      <c r="B89" s="4">
        <f t="shared" ca="1" si="15"/>
        <v>-10.984919222793351</v>
      </c>
      <c r="C89" s="4">
        <f t="shared" ca="1" si="15"/>
        <v>-10.21428165211363</v>
      </c>
      <c r="D89" s="4">
        <f t="shared" ca="1" si="16"/>
        <v>12.881487768411223</v>
      </c>
      <c r="E89" s="4">
        <f t="shared" ca="1" si="16"/>
        <v>-7.6855235912898019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0.10595470284889323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  <c r="AC89">
        <v>28.941235470588236</v>
      </c>
      <c r="AD89">
        <v>2165.2335490955929</v>
      </c>
    </row>
    <row r="90" spans="1:30" x14ac:dyDescent="0.25">
      <c r="A90">
        <v>3</v>
      </c>
      <c r="B90" s="4">
        <f t="shared" ca="1" si="15"/>
        <v>12.881487768411223</v>
      </c>
      <c r="C90" s="4">
        <f t="shared" ca="1" si="15"/>
        <v>-7.6855235912898019</v>
      </c>
      <c r="D90" s="4">
        <f t="shared" ca="1" si="16"/>
        <v>10.984919222793351</v>
      </c>
      <c r="E90" s="4">
        <f t="shared" ca="1" si="16"/>
        <v>10.21428165211363</v>
      </c>
      <c r="F90" s="1">
        <f t="shared" ca="1" si="17"/>
        <v>1</v>
      </c>
      <c r="G90" s="1">
        <f t="shared" ca="1" si="18"/>
        <v>-9.4379954179678567</v>
      </c>
      <c r="H90" s="4">
        <f t="shared" ca="1" si="19"/>
        <v>11.564783091464701</v>
      </c>
      <c r="I90" s="4">
        <f t="shared" ca="1" si="20"/>
        <v>4.7415291165483184</v>
      </c>
      <c r="J90" s="5">
        <f t="shared" ref="J90:J91" ca="1" si="23">IF(F90=0,0,IF(F90=1,-0.5*B$85*(H90+D90)*(I90-E90),IF(F90=2,-0.5*B$85*(B90+H90)*(C90-I90),IF(F90=3,-0.5*B$85*(B90+D90)*(C90-E90),0))))</f>
        <v>262.2439985977723</v>
      </c>
      <c r="K90" s="5">
        <f t="shared" ca="1" si="21"/>
        <v>1954.8848144001836</v>
      </c>
      <c r="L90" s="5">
        <f t="shared" ca="1" si="22"/>
        <v>1478.7068889291461</v>
      </c>
      <c r="AC90">
        <v>29.647116823529412</v>
      </c>
      <c r="AD90">
        <v>2215.1903713355432</v>
      </c>
    </row>
    <row r="91" spans="1:30" ht="15.75" thickBot="1" x14ac:dyDescent="0.3">
      <c r="A91">
        <v>4</v>
      </c>
      <c r="B91" s="4">
        <f t="shared" ca="1" si="15"/>
        <v>10.984919222793351</v>
      </c>
      <c r="C91" s="4">
        <f t="shared" ca="1" si="15"/>
        <v>10.21428165211363</v>
      </c>
      <c r="D91" s="4">
        <f t="shared" ca="1" si="16"/>
        <v>-12.881487768411223</v>
      </c>
      <c r="E91" s="4">
        <f t="shared" ca="1" si="16"/>
        <v>7.6855235912898019</v>
      </c>
      <c r="F91" s="1">
        <f t="shared" ca="1" si="17"/>
        <v>3</v>
      </c>
      <c r="G91" s="1">
        <f t="shared" ca="1" si="18"/>
        <v>0.10595470284889323</v>
      </c>
      <c r="H91" s="4" t="e">
        <f t="shared" ca="1" si="19"/>
        <v>#N/A</v>
      </c>
      <c r="I91" s="4" t="e">
        <f t="shared" ca="1" si="20"/>
        <v>#N/A</v>
      </c>
      <c r="J91" s="24">
        <f t="shared" ca="1" si="23"/>
        <v>10.191421369976746</v>
      </c>
      <c r="K91" s="24">
        <f t="shared" ca="1" si="21"/>
        <v>37.160537674749655</v>
      </c>
      <c r="L91" s="24">
        <f t="shared" ca="1" si="22"/>
        <v>-259.90198906754705</v>
      </c>
      <c r="AC91">
        <v>30.352998176470589</v>
      </c>
      <c r="AD91">
        <v>2243.2294325625194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431.65686164708939</v>
      </c>
      <c r="K92" s="5">
        <f ca="1">SUM(K88:K91)</f>
        <v>2982.3294763031377</v>
      </c>
      <c r="L92" s="5">
        <f ca="1">SUM(L88:L91)*-1</f>
        <v>-205.66613575856701</v>
      </c>
      <c r="AC92">
        <v>31.058879529411765</v>
      </c>
      <c r="AD92">
        <v>2249.3791983856877</v>
      </c>
    </row>
    <row r="93" spans="1:30" x14ac:dyDescent="0.25">
      <c r="AC93">
        <v>31.764760882352942</v>
      </c>
      <c r="AD93">
        <v>2255.2556421438421</v>
      </c>
    </row>
    <row r="94" spans="1:30" x14ac:dyDescent="0.25">
      <c r="AC94">
        <v>32.470642235294122</v>
      </c>
      <c r="AD94">
        <v>2260.8765891341509</v>
      </c>
    </row>
    <row r="95" spans="1:30" x14ac:dyDescent="0.25">
      <c r="A95" t="s">
        <v>56</v>
      </c>
      <c r="AC95">
        <v>33.176523588235298</v>
      </c>
      <c r="AD95">
        <v>2266.2583476117888</v>
      </c>
    </row>
    <row r="96" spans="1:30" x14ac:dyDescent="0.25">
      <c r="A96" s="2" t="s">
        <v>58</v>
      </c>
      <c r="B96" s="1">
        <v>3.0000000000000001E-3</v>
      </c>
      <c r="AC96">
        <v>33.882404941176475</v>
      </c>
      <c r="AD96">
        <v>2271.4158668146765</v>
      </c>
    </row>
    <row r="97" spans="1:3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  <c r="AC97">
        <v>34.588286294117651</v>
      </c>
      <c r="AD97">
        <v>2276.3628756383109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4"/>
        <v>-9.4446173189283567</v>
      </c>
      <c r="D98">
        <f t="shared" ca="1" si="25"/>
        <v>4.9071838868131419</v>
      </c>
      <c r="E98" s="7">
        <f ca="1">G$58-D98</f>
        <v>5.3070977653004885</v>
      </c>
      <c r="F98" s="11">
        <f ca="1">IF(B98=0,0,((B$78-E98)/B$78)*B$96)</f>
        <v>6.7264561042216196E-4</v>
      </c>
      <c r="G98" s="4">
        <f ca="1">IF(AND(F98&gt;0,E98&lt;=B$81),MIN((F98*B$11),B$10)-B$85,MAX(F98*B$11,-1*B$10))</f>
        <v>15.256722702242698</v>
      </c>
      <c r="H98" s="4">
        <f ca="1">G98*B98</f>
        <v>12.052810934771731</v>
      </c>
      <c r="I98" s="4">
        <f ca="1">H98*D98</f>
        <v>59.14535960991708</v>
      </c>
      <c r="J98" s="4">
        <f ca="1">H98*C98</f>
        <v>-113.83418689631416</v>
      </c>
      <c r="AC98">
        <v>35.294167647058828</v>
      </c>
      <c r="AD98">
        <v>2281.1120046696601</v>
      </c>
    </row>
    <row r="99" spans="1:30" x14ac:dyDescent="0.25">
      <c r="A99" s="8">
        <f t="shared" ref="A99:A108" si="26">A65</f>
        <v>2</v>
      </c>
      <c r="B99" s="7">
        <f t="shared" ref="B99:B109" ca="1" si="27">C14</f>
        <v>0.79</v>
      </c>
      <c r="C99">
        <f t="shared" ca="1" si="24"/>
        <v>-8.8255984186225245</v>
      </c>
      <c r="D99">
        <f t="shared" ca="1" si="25"/>
        <v>-0.93511365790881118</v>
      </c>
      <c r="E99" s="7">
        <f t="shared" ref="E99:E109" ca="1" si="28">G$58-D99</f>
        <v>11.149395310022442</v>
      </c>
      <c r="F99" s="11">
        <f t="shared" ref="F99:F109" ca="1" si="29">IF(B99=0,0,((B$78-E99)/B$78)*B$96)</f>
        <v>-1.8894132468370078E-3</v>
      </c>
      <c r="G99" s="4">
        <f t="shared" ref="G99:G109" ca="1" si="30">IF(AND(F99&gt;0,E99&lt;=B$81),MIN((F99*B$11),B$10)-B$85,MAX(F99*B$11,-1*B$10))</f>
        <v>-54.792984158273228</v>
      </c>
      <c r="H99" s="4">
        <f t="shared" ref="H99:H109" ca="1" si="31">G99*B99</f>
        <v>-43.286457485035854</v>
      </c>
      <c r="I99" s="4">
        <f t="shared" ref="I99:I109" ca="1" si="32">H99*D99</f>
        <v>40.477757596746116</v>
      </c>
      <c r="J99" s="4">
        <f t="shared" ref="J99:J109" ca="1" si="33">H99*C99</f>
        <v>382.02889072770358</v>
      </c>
      <c r="AC99">
        <v>36.000049000000004</v>
      </c>
      <c r="AD99">
        <v>2285.6748938641722</v>
      </c>
    </row>
    <row r="100" spans="1:30" x14ac:dyDescent="0.25">
      <c r="A100" s="8">
        <f t="shared" si="26"/>
        <v>3</v>
      </c>
      <c r="B100" s="7">
        <f t="shared" ca="1" si="27"/>
        <v>0.79</v>
      </c>
      <c r="C100">
        <f t="shared" ca="1" si="24"/>
        <v>-8.2065795183166923</v>
      </c>
      <c r="D100">
        <f t="shared" ca="1" si="25"/>
        <v>-6.7774112026307645</v>
      </c>
      <c r="E100" s="7">
        <f t="shared" ca="1" si="28"/>
        <v>16.991692854744393</v>
      </c>
      <c r="F100" s="11">
        <f t="shared" ca="1" si="29"/>
        <v>-4.4514721040961776E-3</v>
      </c>
      <c r="G100" s="4">
        <f t="shared" ca="1" si="30"/>
        <v>-60</v>
      </c>
      <c r="H100" s="4">
        <f t="shared" ca="1" si="31"/>
        <v>-47.400000000000006</v>
      </c>
      <c r="I100" s="4">
        <f t="shared" ca="1" si="32"/>
        <v>321.24929100469825</v>
      </c>
      <c r="J100" s="4">
        <f t="shared" ca="1" si="33"/>
        <v>388.99186916821128</v>
      </c>
      <c r="AC100">
        <v>36.705930352941181</v>
      </c>
      <c r="AD100">
        <v>2290.062287798547</v>
      </c>
    </row>
    <row r="101" spans="1:30" x14ac:dyDescent="0.25">
      <c r="A101" s="8">
        <f t="shared" si="26"/>
        <v>4</v>
      </c>
      <c r="B101" s="7">
        <f t="shared" ca="1" si="27"/>
        <v>0.79</v>
      </c>
      <c r="C101">
        <f t="shared" ca="1" si="24"/>
        <v>-5.0318181096170953</v>
      </c>
      <c r="D101">
        <f t="shared" ca="1" si="25"/>
        <v>5.3747407157675475</v>
      </c>
      <c r="E101" s="7">
        <f t="shared" ca="1" si="28"/>
        <v>4.8395409363460828</v>
      </c>
      <c r="F101" s="11">
        <f t="shared" ca="1" si="29"/>
        <v>8.7768619689089793E-4</v>
      </c>
      <c r="G101" s="4">
        <f t="shared" ca="1" si="30"/>
        <v>21.202899709836039</v>
      </c>
      <c r="H101" s="4">
        <f t="shared" ca="1" si="31"/>
        <v>16.750290770770473</v>
      </c>
      <c r="I101" s="4">
        <f t="shared" ca="1" si="32"/>
        <v>90.028469806605443</v>
      </c>
      <c r="J101" s="4">
        <f t="shared" ca="1" si="33"/>
        <v>-84.284416441714953</v>
      </c>
      <c r="AC101">
        <v>37.411811705882357</v>
      </c>
      <c r="AD101">
        <v>2294.2841201402016</v>
      </c>
    </row>
    <row r="102" spans="1:30" x14ac:dyDescent="0.25">
      <c r="A102" s="8">
        <f t="shared" si="26"/>
        <v>5</v>
      </c>
      <c r="B102" s="7">
        <f t="shared" ca="1" si="27"/>
        <v>0.79</v>
      </c>
      <c r="C102">
        <f t="shared" ca="1" si="24"/>
        <v>-3.7937803090054296</v>
      </c>
      <c r="D102">
        <f t="shared" ca="1" si="25"/>
        <v>-6.3098543736763588</v>
      </c>
      <c r="E102" s="7">
        <f t="shared" ca="1" si="28"/>
        <v>16.524136025789989</v>
      </c>
      <c r="F102" s="11">
        <f t="shared" ca="1" si="29"/>
        <v>-4.2464315176274419E-3</v>
      </c>
      <c r="G102" s="4">
        <f t="shared" ca="1" si="30"/>
        <v>-60</v>
      </c>
      <c r="H102" s="4">
        <f t="shared" ca="1" si="31"/>
        <v>-47.400000000000006</v>
      </c>
      <c r="I102" s="4">
        <f t="shared" ca="1" si="32"/>
        <v>299.08709731225946</v>
      </c>
      <c r="J102" s="4">
        <f t="shared" ca="1" si="33"/>
        <v>179.82518664685739</v>
      </c>
      <c r="AC102">
        <v>38.117693058823534</v>
      </c>
      <c r="AD102">
        <v>2298.3495887312679</v>
      </c>
    </row>
    <row r="103" spans="1:30" x14ac:dyDescent="0.25">
      <c r="A103" s="8">
        <f t="shared" si="26"/>
        <v>6</v>
      </c>
      <c r="B103" s="7">
        <f t="shared" ca="1" si="27"/>
        <v>0.79</v>
      </c>
      <c r="C103">
        <f t="shared" ca="1" si="24"/>
        <v>-0.61901890030583273</v>
      </c>
      <c r="D103">
        <f t="shared" ca="1" si="25"/>
        <v>5.8422975447219532</v>
      </c>
      <c r="E103" s="7">
        <f t="shared" ca="1" si="28"/>
        <v>4.3719841073916772</v>
      </c>
      <c r="F103" s="11">
        <f t="shared" ca="1" si="29"/>
        <v>1.0827267833596339E-3</v>
      </c>
      <c r="G103" s="4">
        <f t="shared" ca="1" si="30"/>
        <v>27.149076717429384</v>
      </c>
      <c r="H103" s="4">
        <f t="shared" ca="1" si="31"/>
        <v>21.447770606769215</v>
      </c>
      <c r="I103" s="4">
        <f t="shared" ca="1" si="32"/>
        <v>125.30425755568746</v>
      </c>
      <c r="J103" s="4">
        <f t="shared" ca="1" si="33"/>
        <v>-13.276575375014042</v>
      </c>
      <c r="AC103">
        <v>38.82357441176471</v>
      </c>
      <c r="AD103">
        <v>2302.094809598289</v>
      </c>
    </row>
    <row r="104" spans="1:30" x14ac:dyDescent="0.25">
      <c r="A104" s="8">
        <f t="shared" si="26"/>
        <v>7</v>
      </c>
      <c r="B104" s="7">
        <f t="shared" ca="1" si="27"/>
        <v>0.79</v>
      </c>
      <c r="C104">
        <f t="shared" ca="1" si="24"/>
        <v>0.61901890030583273</v>
      </c>
      <c r="D104">
        <f t="shared" ca="1" si="25"/>
        <v>-5.8422975447219532</v>
      </c>
      <c r="E104" s="7">
        <f t="shared" ca="1" si="28"/>
        <v>16.056579196835585</v>
      </c>
      <c r="F104" s="11">
        <f t="shared" ca="1" si="29"/>
        <v>-4.0413909311587063E-3</v>
      </c>
      <c r="G104" s="4">
        <f t="shared" ca="1" si="30"/>
        <v>-60</v>
      </c>
      <c r="H104" s="4">
        <f t="shared" ca="1" si="31"/>
        <v>-47.400000000000006</v>
      </c>
      <c r="I104" s="4">
        <f t="shared" ca="1" si="32"/>
        <v>276.92490361982061</v>
      </c>
      <c r="J104" s="4">
        <f t="shared" ca="1" si="33"/>
        <v>-29.341495874496474</v>
      </c>
      <c r="AC104">
        <v>39.529455764705887</v>
      </c>
      <c r="AD104">
        <v>2305.113823218066</v>
      </c>
    </row>
    <row r="105" spans="1:30" x14ac:dyDescent="0.25">
      <c r="A105" s="8">
        <f t="shared" si="26"/>
        <v>8</v>
      </c>
      <c r="B105" s="7">
        <f t="shared" ca="1" si="27"/>
        <v>0.79</v>
      </c>
      <c r="C105">
        <f t="shared" ca="1" si="24"/>
        <v>3.7937803090054296</v>
      </c>
      <c r="D105">
        <f t="shared" ca="1" si="25"/>
        <v>6.3098543736763588</v>
      </c>
      <c r="E105" s="7">
        <f t="shared" ca="1" si="28"/>
        <v>3.9044272784372716</v>
      </c>
      <c r="F105" s="11">
        <f t="shared" ca="1" si="29"/>
        <v>1.28776736982837E-3</v>
      </c>
      <c r="G105" s="4">
        <f t="shared" ca="1" si="30"/>
        <v>33.095253725022729</v>
      </c>
      <c r="H105" s="4">
        <f t="shared" ca="1" si="31"/>
        <v>26.145250442767956</v>
      </c>
      <c r="I105" s="4">
        <f t="shared" ca="1" si="32"/>
        <v>164.97272285716315</v>
      </c>
      <c r="J105" s="4">
        <f t="shared" ca="1" si="33"/>
        <v>99.189336303788565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C105">
        <v>40.235337117647063</v>
      </c>
      <c r="AD105">
        <v>2308.0269067986715</v>
      </c>
    </row>
    <row r="106" spans="1:30" x14ac:dyDescent="0.25">
      <c r="A106" s="8">
        <f t="shared" si="26"/>
        <v>9</v>
      </c>
      <c r="B106" s="7">
        <f t="shared" ca="1" si="27"/>
        <v>0.79</v>
      </c>
      <c r="C106">
        <f t="shared" ca="1" si="24"/>
        <v>5.0318181096170953</v>
      </c>
      <c r="D106">
        <f t="shared" ca="1" si="25"/>
        <v>-5.3747407157675475</v>
      </c>
      <c r="E106" s="7">
        <f t="shared" ca="1" si="28"/>
        <v>15.589022367881178</v>
      </c>
      <c r="F106" s="11">
        <f t="shared" ca="1" si="29"/>
        <v>-3.8363503446899702E-3</v>
      </c>
      <c r="G106" s="4">
        <f t="shared" ca="1" si="30"/>
        <v>-60</v>
      </c>
      <c r="H106" s="4">
        <f t="shared" ca="1" si="31"/>
        <v>-47.400000000000006</v>
      </c>
      <c r="I106" s="4">
        <f t="shared" ca="1" si="32"/>
        <v>254.76270992738179</v>
      </c>
      <c r="J106" s="4">
        <f t="shared" ca="1" si="33"/>
        <v>-238.50817839585034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C106">
        <v>40.94121847058824</v>
      </c>
      <c r="AD106">
        <v>2310.8395394666795</v>
      </c>
    </row>
    <row r="107" spans="1:30" x14ac:dyDescent="0.25">
      <c r="A107" s="8">
        <f t="shared" si="26"/>
        <v>10</v>
      </c>
      <c r="B107" s="7">
        <f t="shared" ca="1" si="27"/>
        <v>0.79</v>
      </c>
      <c r="C107">
        <f t="shared" ca="1" si="24"/>
        <v>8.2065795183166923</v>
      </c>
      <c r="D107">
        <f t="shared" ca="1" si="25"/>
        <v>6.7774112026307645</v>
      </c>
      <c r="E107" s="7">
        <f t="shared" ca="1" si="28"/>
        <v>3.4368704494828659</v>
      </c>
      <c r="F107" s="11">
        <f t="shared" ca="1" si="29"/>
        <v>1.492807956297106E-3</v>
      </c>
      <c r="G107" s="4">
        <f t="shared" ca="1" si="30"/>
        <v>39.041430732616078</v>
      </c>
      <c r="H107" s="4">
        <f t="shared" ca="1" si="31"/>
        <v>30.842730278766702</v>
      </c>
      <c r="I107" s="4">
        <f t="shared" ca="1" si="32"/>
        <v>209.03386571103252</v>
      </c>
      <c r="J107" s="4">
        <f t="shared" ca="1" si="33"/>
        <v>253.11331859469291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C107">
        <v>41.647099823529416</v>
      </c>
      <c r="AD107">
        <v>2313.5568288833479</v>
      </c>
    </row>
    <row r="108" spans="1:30" x14ac:dyDescent="0.25">
      <c r="A108" s="8">
        <f t="shared" si="26"/>
        <v>11</v>
      </c>
      <c r="B108" s="7">
        <f t="shared" ca="1" si="27"/>
        <v>0.79</v>
      </c>
      <c r="C108">
        <f t="shared" ca="1" si="24"/>
        <v>8.8255984186225245</v>
      </c>
      <c r="D108">
        <f t="shared" ca="1" si="25"/>
        <v>0.93511365790881118</v>
      </c>
      <c r="E108" s="7">
        <f t="shared" ca="1" si="28"/>
        <v>9.2791679942048191</v>
      </c>
      <c r="F108" s="11">
        <f t="shared" ca="1" si="29"/>
        <v>-1.069250900962064E-3</v>
      </c>
      <c r="G108" s="4">
        <f t="shared" ca="1" si="30"/>
        <v>-31.008276127899855</v>
      </c>
      <c r="H108" s="4">
        <f t="shared" ca="1" si="31"/>
        <v>-24.496538141040887</v>
      </c>
      <c r="I108" s="4">
        <f t="shared" ca="1" si="32"/>
        <v>-22.907047387171453</v>
      </c>
      <c r="J108" s="4">
        <f t="shared" ca="1" si="33"/>
        <v>-216.19660827929681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C108">
        <v>42.352981176470593</v>
      </c>
      <c r="AD108">
        <v>2316.1835421999881</v>
      </c>
    </row>
    <row r="109" spans="1:30" ht="15.75" thickBot="1" x14ac:dyDescent="0.3">
      <c r="A109" s="8">
        <f>A75</f>
        <v>12</v>
      </c>
      <c r="B109" s="7">
        <f t="shared" ca="1" si="27"/>
        <v>0.79</v>
      </c>
      <c r="C109">
        <f t="shared" ca="1" si="24"/>
        <v>9.4446173189283567</v>
      </c>
      <c r="D109">
        <f t="shared" ca="1" si="25"/>
        <v>-4.9071838868131419</v>
      </c>
      <c r="E109" s="7">
        <f t="shared" ca="1" si="28"/>
        <v>15.121465538926772</v>
      </c>
      <c r="F109" s="23">
        <f t="shared" ca="1" si="29"/>
        <v>-3.6313097582212337E-3</v>
      </c>
      <c r="G109" s="4">
        <f t="shared" ca="1" si="30"/>
        <v>-60</v>
      </c>
      <c r="H109" s="22">
        <f t="shared" ca="1" si="31"/>
        <v>-47.400000000000006</v>
      </c>
      <c r="I109" s="22">
        <f t="shared" ca="1" si="32"/>
        <v>232.60051623494294</v>
      </c>
      <c r="J109" s="22">
        <f t="shared" ca="1" si="33"/>
        <v>-447.67486091720417</v>
      </c>
      <c r="AC109">
        <v>43.058862529411769</v>
      </c>
      <c r="AD109">
        <v>2318.7241339685511</v>
      </c>
    </row>
    <row r="110" spans="1:30" ht="15.75" thickTop="1" x14ac:dyDescent="0.25">
      <c r="F110" s="11">
        <f ca="1">MIN(F98:F109)</f>
        <v>-4.4514721040961776E-3</v>
      </c>
      <c r="H110" s="4">
        <f ca="1">SUM(H98:H109)</f>
        <v>-197.54414259223066</v>
      </c>
      <c r="I110" s="4">
        <f ca="1">SUM(I98:I109)</f>
        <v>2050.6799038490835</v>
      </c>
      <c r="J110" s="4">
        <f ca="1">SUM(J98:J109)*-1</f>
        <v>-160.03227926136282</v>
      </c>
      <c r="AC110">
        <v>43.764743882352946</v>
      </c>
      <c r="AD110">
        <v>2321.1827713511962</v>
      </c>
    </row>
    <row r="111" spans="1:30" x14ac:dyDescent="0.25">
      <c r="AC111">
        <v>44.470625235294122</v>
      </c>
      <c r="AD111">
        <v>2323.563356928953</v>
      </c>
    </row>
    <row r="112" spans="1:30" x14ac:dyDescent="0.25">
      <c r="M112" t="s">
        <v>95</v>
      </c>
      <c r="AC112">
        <v>45.176506588235299</v>
      </c>
      <c r="AD112">
        <v>2325.8695493720779</v>
      </c>
    </row>
    <row r="113" spans="1:30" x14ac:dyDescent="0.25">
      <c r="A113" s="2" t="s">
        <v>67</v>
      </c>
      <c r="B113" s="31">
        <f ca="1">J92+H110</f>
        <v>234.11271905485873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0.85428934200801487</v>
      </c>
      <c r="M113">
        <f ca="1">SQRT((J114*J114)+(J115*J115)+(J116*J116))</f>
        <v>411.16838536769853</v>
      </c>
      <c r="N113" s="48">
        <f ca="1">J114/M113</f>
        <v>0.15478353144139925</v>
      </c>
      <c r="O113" s="48">
        <f ca="1">J115/M113</f>
        <v>0.8599063233034081</v>
      </c>
      <c r="P113" s="48">
        <f ca="1">J116/M113</f>
        <v>0.48641872243710338</v>
      </c>
      <c r="Q113">
        <f ca="1">SQRT((N113*N113)+(O113*O113)+(P113*P113))</f>
        <v>1</v>
      </c>
      <c r="AC113">
        <v>45.882387941176475</v>
      </c>
      <c r="AD113">
        <v>2328.1047822023779</v>
      </c>
    </row>
    <row r="114" spans="1:30" x14ac:dyDescent="0.25">
      <c r="A114" s="2" t="s">
        <v>69</v>
      </c>
      <c r="B114" s="4">
        <f ca="1">(((K92+I110)*COS(RADIANS(B53)))+((L92+J110)*SIN(RADIANS(B53))))</f>
        <v>893.9654270485812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893.9654270485812</v>
      </c>
      <c r="G114" s="10" t="str">
        <f>"= Mnx,gc"</f>
        <v>= Mnx,gc</v>
      </c>
      <c r="H114" s="4">
        <f ca="1">F114/12</f>
        <v>74.497118920715096</v>
      </c>
      <c r="I114" t="s">
        <v>72</v>
      </c>
      <c r="J114" s="29">
        <f ca="1">H114*J113</f>
        <v>63.642094704270534</v>
      </c>
      <c r="K114" t="s">
        <v>72</v>
      </c>
      <c r="P114" t="s">
        <v>87</v>
      </c>
      <c r="V114">
        <v>-5.5079816399137829E-3</v>
      </c>
      <c r="W114" s="6"/>
      <c r="AC114">
        <v>46.588269294117651</v>
      </c>
      <c r="AD114">
        <v>2330.2722808498761</v>
      </c>
    </row>
    <row r="115" spans="1:30" ht="15.75" thickBot="1" x14ac:dyDescent="0.3">
      <c r="A115" s="2" t="s">
        <v>70</v>
      </c>
      <c r="B115" s="4">
        <f ca="1">(-1*(K92+I110)*SIN(RADIANS(B53)))+((L92+J110)*COS(RADIANS(B53)))</f>
        <v>4966.4619767687936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4966.4619767687936</v>
      </c>
      <c r="G115" s="10" t="str">
        <f>"= Mny,gc"</f>
        <v>= Mny,gc</v>
      </c>
      <c r="H115" s="4">
        <f ca="1">F115/12</f>
        <v>413.87183139739949</v>
      </c>
      <c r="I115" t="s">
        <v>72</v>
      </c>
      <c r="J115" s="29">
        <f ca="1">H115*J113</f>
        <v>353.56629452013647</v>
      </c>
      <c r="K115" t="s">
        <v>72</v>
      </c>
      <c r="M115" t="s">
        <v>79</v>
      </c>
      <c r="N115" s="9">
        <f ca="1">IF(AND(J115=0,J114=0),0,IF(DEGREES(ATAN2(J114,J115))&lt;0,DEGREES(ATAN2(J114,J115))+360,DEGREES(ATAN2(J114,J115))))</f>
        <v>79.796000898442287</v>
      </c>
      <c r="P115">
        <f ca="1">(-1*0.003*MAX(E98:E109))/(0.002-0.003)</f>
        <v>50.975078564233179</v>
      </c>
      <c r="V115">
        <v>3.0576111091651779E-14</v>
      </c>
      <c r="W115" s="6"/>
      <c r="X115" s="6"/>
      <c r="AC115">
        <v>47.294150647058828</v>
      </c>
      <c r="AD115">
        <v>2332.3750781820163</v>
      </c>
    </row>
    <row r="116" spans="1:30" ht="15.75" thickBot="1" x14ac:dyDescent="0.3">
      <c r="J116" s="30">
        <f ca="1">B113*J113</f>
        <v>200.00000071708251</v>
      </c>
      <c r="K116" t="s">
        <v>20</v>
      </c>
      <c r="T116" s="2" t="s">
        <v>122</v>
      </c>
      <c r="U116" s="53">
        <v>1E-4</v>
      </c>
      <c r="AC116">
        <v>48.000032000000004</v>
      </c>
      <c r="AD116">
        <v>2334.4160286626475</v>
      </c>
    </row>
    <row r="117" spans="1:30" ht="15.75" thickBot="1" x14ac:dyDescent="0.3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1229.5452000000002</v>
      </c>
      <c r="K117" t="s">
        <v>20</v>
      </c>
      <c r="M117">
        <f ca="1">SQRT((J114*J114)+(J115*J115))</f>
        <v>359.24843888185126</v>
      </c>
      <c r="N117" t="s">
        <v>94</v>
      </c>
      <c r="O117">
        <f ca="1">J114/M117</f>
        <v>0.17715343427059677</v>
      </c>
      <c r="P117">
        <f ca="1">J115/M117</f>
        <v>0.98418324550163594</v>
      </c>
      <c r="T117" s="2" t="s">
        <v>97</v>
      </c>
      <c r="U117" s="53">
        <f ca="1">B118-J116</f>
        <v>-7.1708251425661729E-7</v>
      </c>
      <c r="AC117">
        <v>48.705913352941181</v>
      </c>
      <c r="AD117">
        <v>2336.3978212797924</v>
      </c>
    </row>
    <row r="118" spans="1:30" ht="15.75" thickBot="1" x14ac:dyDescent="0.3">
      <c r="A118" s="2" t="s">
        <v>75</v>
      </c>
      <c r="B118" s="34">
        <v>200</v>
      </c>
      <c r="C118" t="s">
        <v>20</v>
      </c>
      <c r="I118" t="s">
        <v>84</v>
      </c>
      <c r="J118" s="1">
        <f ca="1">-1*0.9*B10*SUM(C13:C24)</f>
        <v>-511.92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99</v>
      </c>
      <c r="U118" s="56">
        <f ca="1">B121-N115</f>
        <v>2.5379826027460695E-5</v>
      </c>
      <c r="AC118">
        <v>49.411794705882357</v>
      </c>
      <c r="AD118">
        <v>2338.3229913653267</v>
      </c>
    </row>
    <row r="119" spans="1:30" x14ac:dyDescent="0.25">
      <c r="A119" s="2" t="s">
        <v>76</v>
      </c>
      <c r="B119" s="34">
        <v>36</v>
      </c>
      <c r="C119" t="s">
        <v>72</v>
      </c>
      <c r="G119" s="2" t="s">
        <v>80</v>
      </c>
      <c r="H119" s="33">
        <v>20</v>
      </c>
      <c r="L119">
        <f ca="1">B118-J116</f>
        <v>-7.1708251425661729E-7</v>
      </c>
      <c r="M119" s="44">
        <f ca="1">N115-B121</f>
        <v>-2.5379826027460695E-5</v>
      </c>
      <c r="O119">
        <f>B119/E120</f>
        <v>0.17715299831526515</v>
      </c>
      <c r="P119">
        <f>B120/E120</f>
        <v>0.98418332397369523</v>
      </c>
      <c r="AC119">
        <v>50.117676058823534</v>
      </c>
      <c r="AD119">
        <v>2340.1939314158121</v>
      </c>
    </row>
    <row r="120" spans="1:30" x14ac:dyDescent="0.25">
      <c r="A120" s="2" t="s">
        <v>77</v>
      </c>
      <c r="B120" s="34">
        <v>200</v>
      </c>
      <c r="C120" t="s">
        <v>72</v>
      </c>
      <c r="D120">
        <f>B118</f>
        <v>200</v>
      </c>
      <c r="E120">
        <f>SQRT((B119*B119)+(B120*B120))</f>
        <v>203.21417273408861</v>
      </c>
      <c r="G120" s="2" t="s">
        <v>81</v>
      </c>
      <c r="H120" s="52">
        <v>5</v>
      </c>
      <c r="I120" s="52">
        <v>16</v>
      </c>
      <c r="O120">
        <f>ABS(O119)/O119</f>
        <v>1</v>
      </c>
      <c r="P120">
        <f>ABS(P119)/P119</f>
        <v>1</v>
      </c>
      <c r="Q120">
        <f>P120*O120</f>
        <v>1</v>
      </c>
      <c r="AC120">
        <v>50.82355741176471</v>
      </c>
      <c r="AD120">
        <v>2342.0129010115961</v>
      </c>
    </row>
    <row r="121" spans="1:30" x14ac:dyDescent="0.25">
      <c r="A121" s="2" t="s">
        <v>78</v>
      </c>
      <c r="B121" s="12">
        <f>IF(AND(B119=0,B120=0),0,IF(DEGREES(ATAN2(B119,B120))&lt;0,DEGREES(ATAN2(B119,B120))+360,DEGREES(ATAN2(B119,B120))))</f>
        <v>79.796026278268315</v>
      </c>
      <c r="G121" s="2" t="s">
        <v>121</v>
      </c>
      <c r="H121" s="1">
        <v>1</v>
      </c>
      <c r="O121">
        <f ca="1">O117-O119</f>
        <v>4.3595533161244759E-7</v>
      </c>
      <c r="P121">
        <f ca="1">P117-P119</f>
        <v>-7.8472059295009444E-8</v>
      </c>
      <c r="AC121">
        <v>51.529438764705887</v>
      </c>
      <c r="AD121">
        <v>2343.7820359206457</v>
      </c>
    </row>
    <row r="122" spans="1:30" x14ac:dyDescent="0.25">
      <c r="G122" s="2" t="s">
        <v>120</v>
      </c>
      <c r="H122" s="1">
        <v>111</v>
      </c>
      <c r="AC122">
        <v>52.235320117647063</v>
      </c>
      <c r="AD122">
        <v>2345.5033564642304</v>
      </c>
    </row>
    <row r="123" spans="1:30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AC123">
        <v>52.94120147058824</v>
      </c>
      <c r="AD123">
        <v>2347.1787752133564</v>
      </c>
    </row>
    <row r="124" spans="1:30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  <c r="AC124">
        <v>53.647082823529416</v>
      </c>
      <c r="AD124">
        <v>2348.2679347419767</v>
      </c>
    </row>
    <row r="125" spans="1:30" x14ac:dyDescent="0.25">
      <c r="A125" s="16"/>
      <c r="B125" s="20"/>
      <c r="C125" s="15"/>
      <c r="D125" s="16"/>
      <c r="E125" s="17"/>
      <c r="F125" s="17"/>
      <c r="G125" s="16"/>
      <c r="H125" s="20">
        <f ca="1">J114</f>
        <v>63.642094704270534</v>
      </c>
      <c r="I125" s="3">
        <f ca="1">J115</f>
        <v>353.56629452013647</v>
      </c>
      <c r="J125" s="16"/>
      <c r="K125" s="17"/>
      <c r="L125" s="13"/>
      <c r="M125" s="16"/>
      <c r="N125" s="17"/>
      <c r="AC125">
        <v>54.352964176470593</v>
      </c>
      <c r="AD125">
        <v>2349.3099076984049</v>
      </c>
    </row>
    <row r="126" spans="1:30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AC126">
        <v>55.058845529411769</v>
      </c>
      <c r="AD126">
        <v>2350.3251634480653</v>
      </c>
    </row>
    <row r="127" spans="1:30" ht="15.75" thickBot="1" x14ac:dyDescent="0.3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 s="57">
        <v>30</v>
      </c>
      <c r="AC127">
        <v>55.764726882352946</v>
      </c>
      <c r="AD127">
        <v>2351.3147165666101</v>
      </c>
    </row>
    <row r="128" spans="1:30" ht="17.25" x14ac:dyDescent="0.25">
      <c r="A128" s="16" t="s">
        <v>85</v>
      </c>
      <c r="B128" s="17" t="s">
        <v>76</v>
      </c>
      <c r="C128" s="18" t="s">
        <v>77</v>
      </c>
      <c r="D128" s="16" t="s">
        <v>96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98</v>
      </c>
      <c r="W128" s="41"/>
      <c r="AC128">
        <v>56.470608235294122</v>
      </c>
      <c r="AD128">
        <v>2352.2795309009998</v>
      </c>
    </row>
    <row r="129" spans="1:30" x14ac:dyDescent="0.25">
      <c r="A129" s="37">
        <v>0</v>
      </c>
      <c r="B129" s="49">
        <v>499.916689038968</v>
      </c>
      <c r="C129" s="49">
        <v>0</v>
      </c>
      <c r="D129" s="50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-511.92</v>
      </c>
      <c r="R129" s="39" t="e">
        <v>#N/A</v>
      </c>
      <c r="S129" s="39">
        <v>37.098852868897808</v>
      </c>
      <c r="V129" s="54" t="s">
        <v>75</v>
      </c>
      <c r="W129" s="55" t="s">
        <v>49</v>
      </c>
      <c r="AC129">
        <v>57.176489588235299</v>
      </c>
      <c r="AD129">
        <v>2353.2205227008963</v>
      </c>
    </row>
    <row r="130" spans="1:30" x14ac:dyDescent="0.25">
      <c r="A130" s="38">
        <v>-1</v>
      </c>
      <c r="B130" s="49">
        <v>498.17250938439616</v>
      </c>
      <c r="C130" s="49">
        <v>5.2001306805183525</v>
      </c>
      <c r="D130" s="50">
        <f t="shared" ref="D130:D193" si="34">IF(DEGREES(ATAN2(B130,C130))&lt;0,DEGREES(ATAN2(B130,C130))+360,DEGREES(ATAN2(B130,C130)))</f>
        <v>0.5980553213509745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-511.91900000000004</v>
      </c>
      <c r="R130" t="e">
        <v>#N/A</v>
      </c>
      <c r="S130" s="39">
        <v>44.965238825962452</v>
      </c>
      <c r="V130" s="46">
        <f>D120</f>
        <v>200</v>
      </c>
      <c r="W130" s="45">
        <f>E120</f>
        <v>203.21417273408861</v>
      </c>
      <c r="AC130">
        <v>57.882370941176475</v>
      </c>
      <c r="AD130">
        <v>2354.1385635209344</v>
      </c>
    </row>
    <row r="131" spans="1:30" ht="15.75" thickBot="1" x14ac:dyDescent="0.3">
      <c r="A131" s="38">
        <v>-2</v>
      </c>
      <c r="B131" s="49">
        <v>496.45854236450191</v>
      </c>
      <c r="C131" s="49">
        <v>10.285054767992465</v>
      </c>
      <c r="D131" s="50">
        <f t="shared" si="34"/>
        <v>1.1868180247151534</v>
      </c>
      <c r="E131" s="15"/>
      <c r="F131" s="15"/>
      <c r="G131" s="15"/>
      <c r="H131" s="15"/>
      <c r="I131" s="15"/>
      <c r="P131" s="39">
        <v>2</v>
      </c>
      <c r="Q131">
        <v>-453.87019333333336</v>
      </c>
      <c r="R131">
        <v>42.60415221272801</v>
      </c>
      <c r="S131" s="39">
        <v>79.796025782573182</v>
      </c>
      <c r="V131" s="42">
        <f>B118</f>
        <v>200</v>
      </c>
      <c r="W131" s="43">
        <f ca="1">SQRT((J114*J114)+(J115*J115))</f>
        <v>359.24843888185126</v>
      </c>
      <c r="AC131">
        <v>58.588252294117652</v>
      </c>
      <c r="AD131">
        <v>2355.0344829131873</v>
      </c>
    </row>
    <row r="132" spans="1:30" x14ac:dyDescent="0.25">
      <c r="A132" s="37">
        <v>-3</v>
      </c>
      <c r="B132" s="49">
        <v>494.76456994119161</v>
      </c>
      <c r="C132" s="49">
        <v>15.265491508584136</v>
      </c>
      <c r="D132" s="50">
        <f t="shared" si="34"/>
        <v>1.7672462826933619</v>
      </c>
      <c r="E132" s="15"/>
      <c r="F132" s="15"/>
      <c r="G132" s="15"/>
      <c r="H132" s="15"/>
      <c r="I132" s="15"/>
      <c r="P132" s="39">
        <v>3</v>
      </c>
      <c r="Q132">
        <v>-395.82138666666668</v>
      </c>
      <c r="R132">
        <v>81.411126545375197</v>
      </c>
      <c r="S132" s="39">
        <v>79.796026278268414</v>
      </c>
      <c r="AC132">
        <v>59.294133647058828</v>
      </c>
      <c r="AD132">
        <v>2355.9090709273141</v>
      </c>
    </row>
    <row r="133" spans="1:30" x14ac:dyDescent="0.25">
      <c r="A133" s="37">
        <v>-4</v>
      </c>
      <c r="B133" s="49">
        <v>493.09153172247693</v>
      </c>
      <c r="C133" s="49">
        <v>20.151106564984119</v>
      </c>
      <c r="D133" s="50">
        <f t="shared" si="34"/>
        <v>2.340196852768003</v>
      </c>
      <c r="E133" s="15"/>
      <c r="F133" s="15"/>
      <c r="G133" s="15"/>
      <c r="H133" s="15"/>
      <c r="I133" s="15"/>
      <c r="P133" s="39">
        <v>4</v>
      </c>
      <c r="Q133">
        <v>-337.77258</v>
      </c>
      <c r="R133">
        <v>113.70835309218617</v>
      </c>
      <c r="S133" s="39">
        <v>79.795997242981684</v>
      </c>
      <c r="AC133">
        <v>60.000015000000005</v>
      </c>
      <c r="AD133">
        <v>2356.7630804342298</v>
      </c>
    </row>
    <row r="134" spans="1:30" x14ac:dyDescent="0.25">
      <c r="A134" s="38">
        <v>-5</v>
      </c>
      <c r="B134" s="49">
        <v>491.42508766362567</v>
      </c>
      <c r="C134" s="49">
        <v>24.951171562326163</v>
      </c>
      <c r="D134" s="50">
        <f t="shared" si="34"/>
        <v>2.9065880050438895</v>
      </c>
      <c r="E134" s="15"/>
      <c r="F134" s="15"/>
      <c r="G134" s="15"/>
      <c r="H134" s="15"/>
      <c r="I134" s="15"/>
      <c r="P134" s="39">
        <v>5</v>
      </c>
      <c r="Q134">
        <v>-279.72377333333333</v>
      </c>
      <c r="R134">
        <v>144.18921381625708</v>
      </c>
      <c r="S134" s="39">
        <v>79.796026181758933</v>
      </c>
      <c r="AC134">
        <v>60.705896352941181</v>
      </c>
      <c r="AD134">
        <v>2357.5972292876545</v>
      </c>
    </row>
    <row r="135" spans="1:30" x14ac:dyDescent="0.25">
      <c r="A135" s="38">
        <v>-6</v>
      </c>
      <c r="B135" s="49">
        <v>489.76191622483236</v>
      </c>
      <c r="C135" s="49">
        <v>29.674081350235113</v>
      </c>
      <c r="D135" s="50">
        <f t="shared" si="34"/>
        <v>3.4672432832338971</v>
      </c>
      <c r="E135" s="15"/>
      <c r="F135" s="15"/>
      <c r="G135" s="15"/>
      <c r="H135" s="15"/>
      <c r="I135" s="15"/>
      <c r="P135" s="39">
        <v>6</v>
      </c>
      <c r="Q135">
        <v>-221.67496666666665</v>
      </c>
      <c r="R135">
        <v>174.83439837452968</v>
      </c>
      <c r="S135" s="39">
        <v>79.796026177367494</v>
      </c>
      <c r="AC135">
        <v>61.411777705882358</v>
      </c>
      <c r="AD135">
        <v>2358.4122023365935</v>
      </c>
    </row>
    <row r="136" spans="1:30" x14ac:dyDescent="0.25">
      <c r="A136" s="37">
        <v>-7</v>
      </c>
      <c r="B136" s="49">
        <v>485.97966737507744</v>
      </c>
      <c r="C136" s="49">
        <v>34.129539572702157</v>
      </c>
      <c r="D136" s="50">
        <f t="shared" si="34"/>
        <v>4.0171911844874595</v>
      </c>
      <c r="E136" s="15"/>
      <c r="F136" s="15"/>
      <c r="G136" s="15"/>
      <c r="H136" s="15"/>
      <c r="I136" s="15"/>
      <c r="P136" s="39">
        <v>7</v>
      </c>
      <c r="Q136">
        <v>-163.62615999999997</v>
      </c>
      <c r="R136">
        <v>205.54943719211965</v>
      </c>
      <c r="S136" s="39">
        <v>79.796026103276773</v>
      </c>
      <c r="AC136">
        <v>62.117659058823534</v>
      </c>
      <c r="AD136">
        <v>2359.2086533006013</v>
      </c>
    </row>
    <row r="137" spans="1:30" x14ac:dyDescent="0.25">
      <c r="A137" s="37">
        <v>-8</v>
      </c>
      <c r="B137" s="49">
        <v>480.80142410940675</v>
      </c>
      <c r="C137" s="49">
        <v>38.321277167206482</v>
      </c>
      <c r="D137" s="50">
        <f t="shared" si="34"/>
        <v>4.5570076426831436</v>
      </c>
      <c r="E137" s="15"/>
      <c r="F137" s="15"/>
      <c r="G137" s="15"/>
      <c r="H137" s="15"/>
      <c r="I137" s="15"/>
      <c r="P137" s="39">
        <v>8</v>
      </c>
      <c r="Q137">
        <v>-105.57735333333329</v>
      </c>
      <c r="R137">
        <v>236.1635186735169</v>
      </c>
      <c r="S137" s="39">
        <v>79.796022734714441</v>
      </c>
      <c r="AC137">
        <v>62.823540411764711</v>
      </c>
      <c r="AD137">
        <v>2359.987206518626</v>
      </c>
    </row>
    <row r="138" spans="1:30" x14ac:dyDescent="0.25">
      <c r="A138" s="38">
        <v>-9</v>
      </c>
      <c r="B138" s="49">
        <v>475.7912981787963</v>
      </c>
      <c r="C138" s="49">
        <v>42.388491788931418</v>
      </c>
      <c r="D138" s="50">
        <f t="shared" si="34"/>
        <v>5.091069419380335</v>
      </c>
      <c r="E138" s="15"/>
      <c r="F138" s="15"/>
      <c r="G138" s="15"/>
      <c r="H138" s="15"/>
      <c r="I138" s="15"/>
      <c r="P138" s="39">
        <v>9</v>
      </c>
      <c r="Q138">
        <v>-47.528546666666614</v>
      </c>
      <c r="R138">
        <v>266.35879124320854</v>
      </c>
      <c r="S138" s="39">
        <v>79.796053697269784</v>
      </c>
      <c r="AC138">
        <v>63.529421764705887</v>
      </c>
      <c r="AD138">
        <v>2360.7484585812613</v>
      </c>
    </row>
    <row r="139" spans="1:30" x14ac:dyDescent="0.25">
      <c r="A139" s="38">
        <v>-10</v>
      </c>
      <c r="B139" s="49">
        <v>470.9336759971759</v>
      </c>
      <c r="C139" s="49">
        <v>46.343537999175467</v>
      </c>
      <c r="D139" s="50">
        <f t="shared" si="34"/>
        <v>5.6202547775339946</v>
      </c>
      <c r="E139" s="15"/>
      <c r="F139" s="15"/>
      <c r="G139" s="15"/>
      <c r="H139" s="15"/>
      <c r="I139" s="15"/>
      <c r="P139" s="39">
        <v>10</v>
      </c>
      <c r="Q139">
        <v>10.520260000000064</v>
      </c>
      <c r="R139">
        <v>295.84228129299817</v>
      </c>
      <c r="S139" s="39">
        <v>79.796032643355247</v>
      </c>
      <c r="AC139">
        <v>64.235303117647064</v>
      </c>
      <c r="AD139">
        <v>2361.4929798553794</v>
      </c>
    </row>
    <row r="140" spans="1:30" x14ac:dyDescent="0.25">
      <c r="A140" s="37">
        <v>-11</v>
      </c>
      <c r="B140" s="49">
        <v>466.21434567773173</v>
      </c>
      <c r="C140" s="49">
        <v>50.19698644234893</v>
      </c>
      <c r="D140" s="50">
        <f t="shared" si="34"/>
        <v>6.1453242503219823</v>
      </c>
      <c r="E140" s="15"/>
      <c r="F140" s="15"/>
      <c r="G140" s="15"/>
      <c r="H140" s="15"/>
      <c r="I140" s="15"/>
      <c r="P140" s="39">
        <v>11</v>
      </c>
      <c r="Q140">
        <v>68.569066666666743</v>
      </c>
      <c r="R140">
        <v>322.80338533155117</v>
      </c>
      <c r="S140" s="39">
        <v>79.796068389640084</v>
      </c>
      <c r="AC140">
        <v>64.94118447058824</v>
      </c>
      <c r="AD140">
        <v>2362.2213159093308</v>
      </c>
    </row>
    <row r="141" spans="1:30" x14ac:dyDescent="0.25">
      <c r="A141" s="37">
        <v>-12</v>
      </c>
      <c r="B141" s="49">
        <v>461.61982417583602</v>
      </c>
      <c r="C141" s="49">
        <v>53.959264459636117</v>
      </c>
      <c r="D141" s="50">
        <f t="shared" si="34"/>
        <v>6.6671130141103276</v>
      </c>
      <c r="E141" s="15"/>
      <c r="F141" s="15"/>
      <c r="G141" s="15"/>
      <c r="H141" s="15"/>
      <c r="I141" s="15"/>
      <c r="P141" s="39">
        <v>12</v>
      </c>
      <c r="Q141">
        <v>126.61787333333342</v>
      </c>
      <c r="R141">
        <v>346.98489074442574</v>
      </c>
      <c r="S141" s="39">
        <v>79.796029764569809</v>
      </c>
      <c r="AC141">
        <v>65.647065823529417</v>
      </c>
      <c r="AD141">
        <v>2362.9339888461968</v>
      </c>
    </row>
    <row r="142" spans="1:30" x14ac:dyDescent="0.25">
      <c r="A142" s="38">
        <v>-13</v>
      </c>
      <c r="B142" s="49">
        <v>457.13799659620582</v>
      </c>
      <c r="C142" s="49">
        <v>57.639142640574896</v>
      </c>
      <c r="D142" s="50">
        <f t="shared" si="34"/>
        <v>7.1863285070831004</v>
      </c>
      <c r="E142" s="15"/>
      <c r="F142" s="15"/>
      <c r="G142" s="15"/>
      <c r="H142" s="15"/>
      <c r="I142" s="15"/>
      <c r="P142" s="39">
        <v>13</v>
      </c>
      <c r="Q142">
        <v>184.6666800000001</v>
      </c>
      <c r="R142">
        <v>359.6873834866268</v>
      </c>
      <c r="S142" s="39">
        <v>79.796011746617992</v>
      </c>
      <c r="AC142">
        <v>66.352947176470593</v>
      </c>
      <c r="AD142">
        <v>2363.6314985519393</v>
      </c>
    </row>
    <row r="143" spans="1:30" x14ac:dyDescent="0.25">
      <c r="A143" s="38">
        <v>-14</v>
      </c>
      <c r="B143" s="49">
        <v>452.75704135502258</v>
      </c>
      <c r="C143" s="49">
        <v>61.245550287716974</v>
      </c>
      <c r="D143" s="50">
        <f t="shared" si="34"/>
        <v>7.7037775554837378</v>
      </c>
      <c r="E143" s="15"/>
      <c r="F143" s="15"/>
      <c r="G143" s="15"/>
      <c r="H143" s="15"/>
      <c r="I143" s="15"/>
      <c r="P143" s="39">
        <v>14</v>
      </c>
      <c r="Q143">
        <v>242.71548666666678</v>
      </c>
      <c r="R143">
        <v>357.61979445514658</v>
      </c>
      <c r="S143" s="39">
        <v>79.796072956686615</v>
      </c>
      <c r="AC143">
        <v>67.05882852941177</v>
      </c>
      <c r="AD143">
        <v>2364.3143238647217</v>
      </c>
    </row>
    <row r="144" spans="1:30" x14ac:dyDescent="0.25">
      <c r="A144" s="37">
        <v>-15</v>
      </c>
      <c r="B144" s="49">
        <v>448.37963274988738</v>
      </c>
      <c r="C144" s="49">
        <v>64.899324860291628</v>
      </c>
      <c r="D144" s="50">
        <f t="shared" si="34"/>
        <v>8.2359037863685902</v>
      </c>
      <c r="E144" s="15"/>
      <c r="F144" s="15"/>
      <c r="G144" s="15"/>
      <c r="H144" s="16"/>
      <c r="I144" s="19"/>
      <c r="P144" s="39">
        <v>15</v>
      </c>
      <c r="Q144">
        <v>300.76429333333346</v>
      </c>
      <c r="R144">
        <v>354.21045623584376</v>
      </c>
      <c r="S144" s="39">
        <v>79.796027834169749</v>
      </c>
      <c r="AC144">
        <v>67.764709882352946</v>
      </c>
      <c r="AD144">
        <v>2364.5100000000002</v>
      </c>
    </row>
    <row r="145" spans="1:30" x14ac:dyDescent="0.25">
      <c r="A145" s="37">
        <v>-16</v>
      </c>
      <c r="B145" s="49">
        <v>443.47989856619705</v>
      </c>
      <c r="C145" s="49">
        <v>69.266724330209541</v>
      </c>
      <c r="D145" s="50">
        <f t="shared" si="34"/>
        <v>8.8772527250030002</v>
      </c>
      <c r="E145" s="15"/>
      <c r="F145" s="15"/>
      <c r="G145" s="15"/>
      <c r="H145" s="16"/>
      <c r="I145" s="19"/>
      <c r="P145" s="39">
        <v>16</v>
      </c>
      <c r="Q145">
        <v>358.81310000000013</v>
      </c>
      <c r="R145">
        <v>348.8855502078502</v>
      </c>
      <c r="S145" s="39">
        <v>79.796026273515849</v>
      </c>
      <c r="AC145">
        <v>68.470591235294123</v>
      </c>
      <c r="AD145">
        <v>2364.5100000000002</v>
      </c>
    </row>
    <row r="146" spans="1:30" x14ac:dyDescent="0.25">
      <c r="A146" s="38">
        <v>-17</v>
      </c>
      <c r="B146" s="49">
        <v>437.75460958795867</v>
      </c>
      <c r="C146" s="49">
        <v>72.083766148349198</v>
      </c>
      <c r="D146" s="50">
        <f t="shared" si="34"/>
        <v>9.3508138304309831</v>
      </c>
      <c r="E146" s="15"/>
      <c r="F146" s="15"/>
      <c r="G146" s="15"/>
      <c r="H146" s="15"/>
      <c r="I146" s="15"/>
      <c r="P146" s="39">
        <v>17</v>
      </c>
      <c r="Q146">
        <v>416.86190666666681</v>
      </c>
      <c r="R146">
        <v>338.90655767340058</v>
      </c>
      <c r="S146" s="39">
        <v>79.796026582926629</v>
      </c>
      <c r="AC146">
        <v>69.176472588235299</v>
      </c>
      <c r="AD146">
        <v>2364.5100000000002</v>
      </c>
    </row>
    <row r="147" spans="1:30" x14ac:dyDescent="0.25">
      <c r="A147" s="38">
        <v>-18</v>
      </c>
      <c r="B147" s="51">
        <v>433.0159720371708</v>
      </c>
      <c r="C147" s="51">
        <v>76.305861128707491</v>
      </c>
      <c r="D147" s="50">
        <f t="shared" si="34"/>
        <v>9.9940277821323438</v>
      </c>
      <c r="P147" s="39">
        <v>18</v>
      </c>
      <c r="Q147">
        <v>474.91071333333349</v>
      </c>
      <c r="R147">
        <v>330.3440948576519</v>
      </c>
      <c r="S147" s="39">
        <v>79.796026160375703</v>
      </c>
      <c r="AC147">
        <v>69.882353941176476</v>
      </c>
      <c r="AD147">
        <v>2364.5100000000002</v>
      </c>
    </row>
    <row r="148" spans="1:30" x14ac:dyDescent="0.25">
      <c r="A148" s="37">
        <v>-19</v>
      </c>
      <c r="B148" s="51">
        <v>428.32789169509715</v>
      </c>
      <c r="C148" s="51">
        <v>80.469632445100274</v>
      </c>
      <c r="D148" s="50">
        <f t="shared" si="34"/>
        <v>10.640090907495358</v>
      </c>
      <c r="P148" s="39">
        <v>19</v>
      </c>
      <c r="Q148">
        <v>532.95952000000011</v>
      </c>
      <c r="R148">
        <v>328.0523541824287</v>
      </c>
      <c r="S148" s="39">
        <v>79.796026065646984</v>
      </c>
      <c r="AC148">
        <v>70.588235294117652</v>
      </c>
      <c r="AD148">
        <v>2364.5100000000002</v>
      </c>
    </row>
    <row r="149" spans="1:30" x14ac:dyDescent="0.25">
      <c r="A149" s="37">
        <v>-20</v>
      </c>
      <c r="B149" s="51">
        <v>423.68235337111247</v>
      </c>
      <c r="C149" s="51">
        <v>84.581429916445629</v>
      </c>
      <c r="D149" s="50">
        <f t="shared" si="34"/>
        <v>11.28977085772587</v>
      </c>
      <c r="P149" s="39">
        <v>20</v>
      </c>
      <c r="Q149">
        <v>591.00832666666679</v>
      </c>
      <c r="R149">
        <v>323.81436901061716</v>
      </c>
      <c r="S149" s="39">
        <v>79.796024770774892</v>
      </c>
    </row>
    <row r="150" spans="1:30" x14ac:dyDescent="0.25">
      <c r="A150" s="38">
        <v>-21</v>
      </c>
      <c r="B150" s="51">
        <v>419.07242139714435</v>
      </c>
      <c r="C150" s="51">
        <v>88.646699665936424</v>
      </c>
      <c r="D150" s="50">
        <f t="shared" si="34"/>
        <v>11.943753758795332</v>
      </c>
      <c r="P150" s="39">
        <v>21</v>
      </c>
      <c r="Q150">
        <v>649.05713333333347</v>
      </c>
      <c r="R150">
        <v>319.52453023299489</v>
      </c>
      <c r="S150" s="39">
        <v>79.796024212799523</v>
      </c>
    </row>
    <row r="151" spans="1:30" x14ac:dyDescent="0.25">
      <c r="A151" s="38">
        <v>-22</v>
      </c>
      <c r="B151" s="51">
        <v>414.48990774821237</v>
      </c>
      <c r="C151" s="51">
        <v>92.671643316383637</v>
      </c>
      <c r="D151" s="50">
        <f t="shared" si="34"/>
        <v>12.602919005778032</v>
      </c>
      <c r="P151" s="39">
        <v>22</v>
      </c>
      <c r="Q151">
        <v>707.10594000000015</v>
      </c>
      <c r="R151">
        <v>314.11895373942525</v>
      </c>
      <c r="S151" s="39">
        <v>79.796024663817192</v>
      </c>
    </row>
    <row r="152" spans="1:30" x14ac:dyDescent="0.25">
      <c r="A152" s="37">
        <v>-23</v>
      </c>
      <c r="B152" s="51">
        <v>409.92886932230749</v>
      </c>
      <c r="C152" s="51">
        <v>96.660809551098822</v>
      </c>
      <c r="D152" s="50">
        <f t="shared" si="34"/>
        <v>13.26792589426953</v>
      </c>
      <c r="P152" s="39">
        <v>23</v>
      </c>
      <c r="Q152">
        <v>765.15474666666682</v>
      </c>
      <c r="R152">
        <v>306.99008173312751</v>
      </c>
      <c r="S152" s="39">
        <v>79.796020641466711</v>
      </c>
    </row>
    <row r="153" spans="1:30" x14ac:dyDescent="0.25">
      <c r="A153" s="37">
        <v>-24</v>
      </c>
      <c r="B153" s="51">
        <v>407.04702298635664</v>
      </c>
      <c r="C153" s="51">
        <v>99.50768560287581</v>
      </c>
      <c r="D153" s="50">
        <f t="shared" si="34"/>
        <v>13.73723820271068</v>
      </c>
      <c r="P153" s="39">
        <v>24</v>
      </c>
      <c r="Q153">
        <v>823.2035533333335</v>
      </c>
      <c r="R153">
        <v>298.49945664926611</v>
      </c>
      <c r="S153" s="39">
        <v>79.796025072075096</v>
      </c>
    </row>
    <row r="154" spans="1:30" x14ac:dyDescent="0.25">
      <c r="A154" s="38">
        <v>-25</v>
      </c>
      <c r="B154" s="51">
        <v>402.47229847444589</v>
      </c>
      <c r="C154" s="51">
        <v>103.45900745473942</v>
      </c>
      <c r="D154" s="50">
        <f t="shared" si="34"/>
        <v>14.416250461347774</v>
      </c>
      <c r="P154" s="39">
        <v>25</v>
      </c>
      <c r="Q154">
        <v>881.25236000000018</v>
      </c>
      <c r="R154">
        <v>287.83804464240029</v>
      </c>
      <c r="S154" s="39">
        <v>79.796023905631927</v>
      </c>
    </row>
    <row r="155" spans="1:30" x14ac:dyDescent="0.25">
      <c r="A155" s="38">
        <v>-26</v>
      </c>
      <c r="B155" s="51">
        <v>397.89541494064582</v>
      </c>
      <c r="C155" s="51">
        <v>107.3910507487643</v>
      </c>
      <c r="D155" s="50">
        <f t="shared" si="34"/>
        <v>15.104110999598511</v>
      </c>
      <c r="P155" s="39">
        <v>26</v>
      </c>
      <c r="Q155">
        <v>939.30116666666686</v>
      </c>
      <c r="R155">
        <v>274.99018480983301</v>
      </c>
      <c r="S155" s="39">
        <v>79.796012423779217</v>
      </c>
    </row>
    <row r="156" spans="1:30" x14ac:dyDescent="0.25">
      <c r="A156" s="37">
        <v>-27</v>
      </c>
      <c r="B156" s="51">
        <v>393.31319641996163</v>
      </c>
      <c r="C156" s="51">
        <v>111.30625954958883</v>
      </c>
      <c r="D156" s="50">
        <f t="shared" si="34"/>
        <v>15.801327611500119</v>
      </c>
      <c r="P156" s="39">
        <v>27</v>
      </c>
      <c r="Q156">
        <v>997.34997333333354</v>
      </c>
      <c r="R156">
        <v>259.87330863973523</v>
      </c>
      <c r="S156" s="39">
        <v>79.796035417437437</v>
      </c>
    </row>
    <row r="157" spans="1:30" x14ac:dyDescent="0.25">
      <c r="A157" s="37">
        <v>-28</v>
      </c>
      <c r="B157" s="51">
        <v>388.7145787024844</v>
      </c>
      <c r="C157" s="51">
        <v>115.2117211794834</v>
      </c>
      <c r="D157" s="50">
        <f t="shared" si="34"/>
        <v>16.509379057400395</v>
      </c>
      <c r="P157" s="39">
        <v>28</v>
      </c>
      <c r="Q157">
        <v>1055.3987800000002</v>
      </c>
      <c r="R157">
        <v>242.02056666362679</v>
      </c>
      <c r="S157" s="39">
        <v>79.796026276496264</v>
      </c>
    </row>
    <row r="158" spans="1:30" x14ac:dyDescent="0.25">
      <c r="A158" s="38">
        <v>-29</v>
      </c>
      <c r="B158" s="51">
        <v>384.09304660833408</v>
      </c>
      <c r="C158" s="51">
        <v>119.1116424978222</v>
      </c>
      <c r="D158" s="50">
        <f t="shared" si="34"/>
        <v>17.22926052545721</v>
      </c>
      <c r="P158" s="39">
        <v>29</v>
      </c>
      <c r="Q158">
        <v>1113.4475866666669</v>
      </c>
      <c r="R158">
        <v>221.20120433655299</v>
      </c>
      <c r="S158" s="39">
        <v>79.796034378777762</v>
      </c>
    </row>
    <row r="159" spans="1:30" x14ac:dyDescent="0.25">
      <c r="A159" s="38">
        <v>-30</v>
      </c>
      <c r="B159" s="51">
        <v>378.82511627355979</v>
      </c>
      <c r="C159" s="51">
        <v>123.40680296418056</v>
      </c>
      <c r="D159" s="50">
        <f t="shared" si="34"/>
        <v>18.043637817580528</v>
      </c>
      <c r="P159" s="39">
        <v>30</v>
      </c>
      <c r="Q159">
        <v>1171.4963933333336</v>
      </c>
      <c r="R159">
        <v>197.32143842736866</v>
      </c>
      <c r="S159" s="39">
        <v>79.796025410084837</v>
      </c>
    </row>
    <row r="160" spans="1:30" x14ac:dyDescent="0.25">
      <c r="A160" s="37">
        <v>-31</v>
      </c>
      <c r="B160" s="51">
        <v>372.98243218300928</v>
      </c>
      <c r="C160" s="51">
        <v>128.04598165537175</v>
      </c>
      <c r="D160" s="50">
        <f t="shared" si="34"/>
        <v>18.947499100524741</v>
      </c>
      <c r="P160" s="39">
        <v>31</v>
      </c>
      <c r="Q160">
        <v>1229.5452000000002</v>
      </c>
      <c r="R160">
        <v>170.41245675867393</v>
      </c>
      <c r="S160" s="39">
        <v>79.796027132612153</v>
      </c>
    </row>
    <row r="161" spans="1:19" x14ac:dyDescent="0.25">
      <c r="A161" s="37">
        <v>-32</v>
      </c>
      <c r="B161" s="51">
        <v>367.09527093151615</v>
      </c>
      <c r="C161" s="51">
        <v>132.6854063398772</v>
      </c>
      <c r="D161" s="50">
        <f t="shared" si="34"/>
        <v>19.872226709763332</v>
      </c>
      <c r="P161" s="39">
        <v>32</v>
      </c>
      <c r="Q161">
        <v>1229.5452000000002</v>
      </c>
      <c r="R161">
        <v>0</v>
      </c>
      <c r="S161" s="39">
        <v>79.793666210928052</v>
      </c>
    </row>
    <row r="162" spans="1:19" x14ac:dyDescent="0.25">
      <c r="A162" s="38">
        <v>-33</v>
      </c>
      <c r="B162" s="51">
        <v>361.33124876338576</v>
      </c>
      <c r="C162" s="51">
        <v>137.19439591426155</v>
      </c>
      <c r="D162" s="50">
        <f t="shared" si="34"/>
        <v>20.791342904173916</v>
      </c>
      <c r="P162" s="39">
        <v>33</v>
      </c>
      <c r="S162" s="39">
        <v>79.795937966627392</v>
      </c>
    </row>
    <row r="163" spans="1:19" x14ac:dyDescent="0.25">
      <c r="A163" s="38">
        <v>-34</v>
      </c>
      <c r="B163" s="51">
        <v>355.75825572938595</v>
      </c>
      <c r="C163" s="51">
        <v>141.5265054851566</v>
      </c>
      <c r="D163" s="50">
        <f t="shared" si="34"/>
        <v>21.69347911028715</v>
      </c>
      <c r="P163" s="39">
        <v>34</v>
      </c>
      <c r="S163" s="39">
        <v>79.795932542732857</v>
      </c>
    </row>
    <row r="164" spans="1:19" x14ac:dyDescent="0.25">
      <c r="A164" s="37">
        <v>-35</v>
      </c>
      <c r="B164" s="51">
        <v>350.35716833071029</v>
      </c>
      <c r="C164" s="51">
        <v>145.70287895640098</v>
      </c>
      <c r="D164" s="50">
        <f t="shared" si="34"/>
        <v>22.580938787128471</v>
      </c>
      <c r="P164" s="39">
        <v>35</v>
      </c>
      <c r="S164" s="39">
        <v>79.789539684720808</v>
      </c>
    </row>
    <row r="165" spans="1:19" x14ac:dyDescent="0.25">
      <c r="A165" s="37">
        <v>-36</v>
      </c>
      <c r="B165" s="51">
        <v>345.11196685818749</v>
      </c>
      <c r="C165" s="51">
        <v>149.74178121354069</v>
      </c>
      <c r="D165" s="50">
        <f t="shared" si="34"/>
        <v>23.455700389282704</v>
      </c>
      <c r="P165" s="39">
        <v>36</v>
      </c>
      <c r="S165" s="39">
        <v>79.791392737607154</v>
      </c>
    </row>
    <row r="166" spans="1:19" x14ac:dyDescent="0.25">
      <c r="A166" s="38">
        <v>-37</v>
      </c>
      <c r="B166" s="51">
        <v>340.00806413751189</v>
      </c>
      <c r="C166" s="51">
        <v>153.65963189534196</v>
      </c>
      <c r="D166" s="50">
        <f t="shared" si="34"/>
        <v>24.319608260564326</v>
      </c>
      <c r="P166" s="39">
        <v>37</v>
      </c>
      <c r="S166" s="39">
        <v>79.796017297695954</v>
      </c>
    </row>
    <row r="167" spans="1:19" x14ac:dyDescent="0.25">
      <c r="A167" s="38">
        <v>-38</v>
      </c>
      <c r="B167" s="51">
        <v>335.03083746757483</v>
      </c>
      <c r="C167" s="51">
        <v>157.47164657045565</v>
      </c>
      <c r="D167" s="50">
        <f t="shared" si="34"/>
        <v>25.174526460630826</v>
      </c>
      <c r="P167" s="39">
        <v>38</v>
      </c>
      <c r="S167" s="39">
        <v>79.794376484134958</v>
      </c>
    </row>
    <row r="168" spans="1:19" x14ac:dyDescent="0.25">
      <c r="A168" s="37">
        <v>-39</v>
      </c>
      <c r="B168" s="51">
        <v>330.16927665010871</v>
      </c>
      <c r="C168" s="51">
        <v>161.19097167611412</v>
      </c>
      <c r="D168" s="50">
        <f t="shared" si="34"/>
        <v>26.021956917830551</v>
      </c>
      <c r="P168" s="39">
        <v>39</v>
      </c>
      <c r="S168" s="39">
        <v>79.794724011950692</v>
      </c>
    </row>
    <row r="169" spans="1:19" x14ac:dyDescent="0.25">
      <c r="A169" s="37">
        <v>-40</v>
      </c>
      <c r="B169" s="51">
        <v>325.40831829260446</v>
      </c>
      <c r="C169" s="51">
        <v>164.8308927335421</v>
      </c>
      <c r="D169" s="50">
        <f t="shared" si="34"/>
        <v>26.863836497353269</v>
      </c>
      <c r="P169" s="39">
        <v>40</v>
      </c>
      <c r="S169" s="39">
        <v>79.795347155181389</v>
      </c>
    </row>
    <row r="170" spans="1:19" x14ac:dyDescent="0.25">
      <c r="A170" s="38">
        <v>-41</v>
      </c>
      <c r="B170" s="51">
        <v>320.7386710935254</v>
      </c>
      <c r="C170" s="51">
        <v>168.40244503436332</v>
      </c>
      <c r="D170" s="50">
        <f t="shared" si="34"/>
        <v>27.701523316648736</v>
      </c>
      <c r="P170" s="39">
        <v>41</v>
      </c>
      <c r="S170" s="39">
        <v>79.796012385298596</v>
      </c>
    </row>
    <row r="171" spans="1:19" x14ac:dyDescent="0.25">
      <c r="A171" s="38">
        <v>-42</v>
      </c>
      <c r="B171" s="51">
        <v>316.14807974423729</v>
      </c>
      <c r="C171" s="51">
        <v>171.91667145973668</v>
      </c>
      <c r="D171" s="50">
        <f t="shared" si="34"/>
        <v>28.536696613752401</v>
      </c>
      <c r="P171" s="39">
        <v>42</v>
      </c>
      <c r="S171" s="39">
        <v>79.789290412250722</v>
      </c>
    </row>
    <row r="172" spans="1:19" x14ac:dyDescent="0.25">
      <c r="A172" s="37">
        <v>-43</v>
      </c>
      <c r="B172" s="51">
        <v>311.62837437606612</v>
      </c>
      <c r="C172" s="51">
        <v>175.3832829137807</v>
      </c>
      <c r="D172" s="50">
        <f t="shared" si="34"/>
        <v>29.370646349291921</v>
      </c>
      <c r="P172" s="39">
        <v>43</v>
      </c>
      <c r="S172" s="39">
        <v>79.795536187412836</v>
      </c>
    </row>
    <row r="173" spans="1:19" x14ac:dyDescent="0.25">
      <c r="A173" s="37">
        <v>-44</v>
      </c>
      <c r="B173" s="51">
        <v>307.16724436507081</v>
      </c>
      <c r="C173" s="51">
        <v>178.81218981009849</v>
      </c>
      <c r="D173" s="50">
        <f t="shared" si="34"/>
        <v>30.205097135253585</v>
      </c>
      <c r="P173" s="39">
        <v>44</v>
      </c>
      <c r="S173" s="39">
        <v>79.805557912968766</v>
      </c>
    </row>
    <row r="174" spans="1:19" x14ac:dyDescent="0.25">
      <c r="A174" s="38">
        <v>-45</v>
      </c>
      <c r="B174" s="51">
        <v>302.75728209481122</v>
      </c>
      <c r="C174" s="51">
        <v>182.21218629343988</v>
      </c>
      <c r="D174" s="50">
        <f t="shared" si="34"/>
        <v>31.041314739512703</v>
      </c>
      <c r="P174" s="39">
        <v>45</v>
      </c>
      <c r="S174" s="39">
        <v>79.796182055422619</v>
      </c>
    </row>
    <row r="175" spans="1:19" x14ac:dyDescent="0.25">
      <c r="A175" s="38">
        <v>-46</v>
      </c>
      <c r="B175" s="51">
        <v>298.38799849360697</v>
      </c>
      <c r="C175" s="51">
        <v>185.59217348225073</v>
      </c>
      <c r="D175" s="50">
        <f t="shared" si="34"/>
        <v>31.880897499868784</v>
      </c>
      <c r="P175" s="39">
        <v>46</v>
      </c>
      <c r="S175" s="39">
        <v>79.796076174729691</v>
      </c>
    </row>
    <row r="176" spans="1:19" x14ac:dyDescent="0.25">
      <c r="A176" s="37">
        <v>-47</v>
      </c>
      <c r="B176" s="51">
        <v>294.05022508771452</v>
      </c>
      <c r="C176" s="51">
        <v>188.96063908917955</v>
      </c>
      <c r="D176" s="50">
        <f t="shared" si="34"/>
        <v>32.725346829202749</v>
      </c>
      <c r="P176" s="39">
        <v>47</v>
      </c>
      <c r="S176" s="39">
        <v>79.796747779997517</v>
      </c>
    </row>
    <row r="177" spans="1:19" x14ac:dyDescent="0.25">
      <c r="A177" s="37">
        <v>-48</v>
      </c>
      <c r="B177" s="51">
        <v>289.44458749462211</v>
      </c>
      <c r="C177" s="51">
        <v>192.32699122565205</v>
      </c>
      <c r="D177" s="50">
        <f t="shared" si="34"/>
        <v>33.602810649307656</v>
      </c>
      <c r="P177" s="39">
        <v>48</v>
      </c>
      <c r="S177" s="39">
        <v>79.797721152340898</v>
      </c>
    </row>
    <row r="178" spans="1:19" x14ac:dyDescent="0.25">
      <c r="A178" s="38">
        <v>-49</v>
      </c>
      <c r="B178" s="51">
        <v>284.75660570348708</v>
      </c>
      <c r="C178" s="51">
        <v>195.69717148575921</v>
      </c>
      <c r="D178" s="50">
        <f t="shared" si="34"/>
        <v>34.498548464582683</v>
      </c>
      <c r="P178" s="39">
        <v>49</v>
      </c>
      <c r="S178" s="39">
        <v>79.798166655433263</v>
      </c>
    </row>
    <row r="179" spans="1:19" x14ac:dyDescent="0.25">
      <c r="A179" s="38">
        <v>-50</v>
      </c>
      <c r="B179" s="51">
        <v>280.08654597400431</v>
      </c>
      <c r="C179" s="51">
        <v>199.07897296553173</v>
      </c>
      <c r="D179" s="50">
        <f t="shared" si="34"/>
        <v>35.404325449237227</v>
      </c>
      <c r="P179" s="39">
        <v>50</v>
      </c>
      <c r="S179" s="39">
        <v>79.796015261632618</v>
      </c>
    </row>
    <row r="180" spans="1:19" x14ac:dyDescent="0.25">
      <c r="A180" s="37">
        <v>-51</v>
      </c>
      <c r="B180" s="51">
        <v>275.42406256891093</v>
      </c>
      <c r="C180" s="51">
        <v>202.48099805971964</v>
      </c>
      <c r="D180" s="50">
        <f t="shared" si="34"/>
        <v>36.321870888433139</v>
      </c>
      <c r="P180" s="39">
        <v>51</v>
      </c>
      <c r="S180" s="39">
        <v>79.802280842729189</v>
      </c>
    </row>
    <row r="181" spans="1:19" x14ac:dyDescent="0.25">
      <c r="A181" s="37">
        <v>-52</v>
      </c>
      <c r="B181" s="51">
        <v>270.7588772421787</v>
      </c>
      <c r="C181" s="51">
        <v>205.9119137670757</v>
      </c>
      <c r="D181" s="50">
        <f t="shared" si="34"/>
        <v>37.252960293961223</v>
      </c>
      <c r="P181" s="39">
        <v>52</v>
      </c>
      <c r="S181" s="39">
        <v>79.795883430087997</v>
      </c>
    </row>
    <row r="182" spans="1:19" x14ac:dyDescent="0.25">
      <c r="A182" s="38">
        <v>-53</v>
      </c>
      <c r="B182" s="51">
        <v>266.08088538251718</v>
      </c>
      <c r="C182" s="51">
        <v>209.38078044974634</v>
      </c>
      <c r="D182" s="50">
        <f t="shared" si="34"/>
        <v>38.199437549759502</v>
      </c>
      <c r="P182" s="39">
        <v>53</v>
      </c>
      <c r="S182" s="39">
        <v>79.795984990634366</v>
      </c>
    </row>
    <row r="183" spans="1:19" x14ac:dyDescent="0.25">
      <c r="A183" s="38">
        <v>-54</v>
      </c>
      <c r="B183" s="51">
        <v>261.40702686992438</v>
      </c>
      <c r="C183" s="51">
        <v>211.69854886829327</v>
      </c>
      <c r="D183" s="50">
        <f t="shared" si="34"/>
        <v>39.002026934900293</v>
      </c>
      <c r="P183" s="39">
        <v>54</v>
      </c>
      <c r="S183" s="39">
        <v>79.800407675686515</v>
      </c>
    </row>
    <row r="184" spans="1:19" x14ac:dyDescent="0.25">
      <c r="A184" s="37">
        <v>-55</v>
      </c>
      <c r="B184" s="51">
        <v>256.66330514692987</v>
      </c>
      <c r="C184" s="51">
        <v>215.27494973316306</v>
      </c>
      <c r="D184" s="50">
        <f t="shared" si="34"/>
        <v>39.988059357753869</v>
      </c>
      <c r="P184" s="39">
        <v>55</v>
      </c>
      <c r="S184" s="39">
        <v>79.801950009186669</v>
      </c>
    </row>
    <row r="185" spans="1:19" x14ac:dyDescent="0.25">
      <c r="A185" s="37">
        <v>-56</v>
      </c>
      <c r="B185" s="51">
        <v>251.87064281098884</v>
      </c>
      <c r="C185" s="51">
        <v>218.91810788141746</v>
      </c>
      <c r="D185" s="50">
        <f t="shared" si="34"/>
        <v>40.996151341143324</v>
      </c>
      <c r="P185" s="39">
        <v>56</v>
      </c>
      <c r="S185" s="39">
        <v>79.805234093351316</v>
      </c>
    </row>
    <row r="186" spans="1:19" x14ac:dyDescent="0.25">
      <c r="A186" s="38">
        <v>-57</v>
      </c>
      <c r="B186" s="51">
        <v>247.01561613384942</v>
      </c>
      <c r="C186" s="51">
        <v>222.63918014170682</v>
      </c>
      <c r="D186" s="50">
        <f t="shared" si="34"/>
        <v>42.028850185663742</v>
      </c>
      <c r="P186" s="39">
        <v>57</v>
      </c>
      <c r="S186" s="39">
        <v>79.801997048140805</v>
      </c>
    </row>
    <row r="187" spans="1:19" x14ac:dyDescent="0.25">
      <c r="A187" s="38">
        <v>-58</v>
      </c>
      <c r="B187" s="51">
        <v>242.08332093506695</v>
      </c>
      <c r="C187" s="51">
        <v>226.44981679792451</v>
      </c>
      <c r="D187" s="50">
        <f t="shared" si="34"/>
        <v>43.088925768877338</v>
      </c>
      <c r="P187" s="39">
        <v>58</v>
      </c>
      <c r="S187" s="39">
        <v>79.798935028433348</v>
      </c>
    </row>
    <row r="188" spans="1:19" x14ac:dyDescent="0.25">
      <c r="A188" s="37">
        <v>-59</v>
      </c>
      <c r="B188" s="51">
        <v>238.90348944054656</v>
      </c>
      <c r="C188" s="51">
        <v>230.32974077379782</v>
      </c>
      <c r="D188" s="50">
        <f t="shared" si="34"/>
        <v>43.953217879374165</v>
      </c>
      <c r="P188" s="39">
        <v>59</v>
      </c>
      <c r="S188" s="39">
        <v>79.800804788945442</v>
      </c>
    </row>
    <row r="189" spans="1:19" x14ac:dyDescent="0.25">
      <c r="A189" s="37">
        <v>-60</v>
      </c>
      <c r="B189" s="51">
        <v>233.77574986838073</v>
      </c>
      <c r="C189" s="51">
        <v>234.35684689448559</v>
      </c>
      <c r="D189" s="50">
        <f t="shared" si="34"/>
        <v>45.071121708279087</v>
      </c>
      <c r="P189" s="39">
        <v>60</v>
      </c>
      <c r="S189" s="39">
        <v>79.793752692274055</v>
      </c>
    </row>
    <row r="190" spans="1:19" x14ac:dyDescent="0.25">
      <c r="A190" s="38">
        <v>-61</v>
      </c>
      <c r="B190" s="51">
        <v>228.517092987307</v>
      </c>
      <c r="C190" s="51">
        <v>238.51571439729901</v>
      </c>
      <c r="D190" s="50">
        <f t="shared" si="34"/>
        <v>46.226447690148433</v>
      </c>
      <c r="P190" s="39">
        <v>61</v>
      </c>
      <c r="S190" s="39">
        <v>79.791252829481351</v>
      </c>
    </row>
    <row r="191" spans="1:19" x14ac:dyDescent="0.25">
      <c r="A191" s="38">
        <v>-62</v>
      </c>
      <c r="B191" s="51">
        <v>223.10478296385247</v>
      </c>
      <c r="C191" s="51">
        <v>242.82318554009768</v>
      </c>
      <c r="D191" s="50">
        <f t="shared" si="34"/>
        <v>47.423352001106934</v>
      </c>
      <c r="P191" s="39">
        <v>62</v>
      </c>
      <c r="S191" s="39">
        <v>79.790355143936864</v>
      </c>
    </row>
    <row r="192" spans="1:19" x14ac:dyDescent="0.25">
      <c r="A192" s="37">
        <v>-63</v>
      </c>
      <c r="B192" s="51">
        <v>217.51251049948704</v>
      </c>
      <c r="C192" s="51">
        <v>247.2984749164973</v>
      </c>
      <c r="D192" s="50">
        <f t="shared" si="34"/>
        <v>48.666608114538647</v>
      </c>
      <c r="P192" s="39">
        <v>63</v>
      </c>
      <c r="S192" s="39">
        <v>79.799281022740217</v>
      </c>
    </row>
    <row r="193" spans="1:19" x14ac:dyDescent="0.25">
      <c r="A193" s="37">
        <v>-64</v>
      </c>
      <c r="B193" s="51">
        <v>211.71562266810358</v>
      </c>
      <c r="C193" s="51">
        <v>251.84886781157019</v>
      </c>
      <c r="D193" s="50">
        <f t="shared" si="34"/>
        <v>49.94806280451548</v>
      </c>
      <c r="P193" s="39">
        <v>64</v>
      </c>
      <c r="S193" s="39">
        <v>79.79873572892474</v>
      </c>
    </row>
    <row r="194" spans="1:19" x14ac:dyDescent="0.25">
      <c r="A194" s="38">
        <v>-65</v>
      </c>
      <c r="B194" s="51">
        <v>205.69201498889655</v>
      </c>
      <c r="C194" s="51">
        <v>256.33611646975828</v>
      </c>
      <c r="D194" s="50">
        <f t="shared" ref="D194:D257" si="35">IF(DEGREES(ATAN2(B194,C194))&lt;0,DEGREES(ATAN2(B194,C194))+360,DEGREES(ATAN2(B194,C194)))</f>
        <v>51.255366145488118</v>
      </c>
      <c r="P194" s="39">
        <v>65</v>
      </c>
      <c r="S194" s="39">
        <v>79.796024731208419</v>
      </c>
    </row>
    <row r="195" spans="1:19" x14ac:dyDescent="0.25">
      <c r="A195" s="38">
        <v>-66</v>
      </c>
      <c r="B195" s="51">
        <v>199.39375987133715</v>
      </c>
      <c r="C195" s="51">
        <v>261.03459805417424</v>
      </c>
      <c r="D195" s="50">
        <f t="shared" si="35"/>
        <v>52.625255558612793</v>
      </c>
      <c r="P195" s="39">
        <v>66</v>
      </c>
      <c r="S195" s="39">
        <v>79.796024608327969</v>
      </c>
    </row>
    <row r="196" spans="1:19" x14ac:dyDescent="0.25">
      <c r="A196" s="37">
        <v>-67</v>
      </c>
      <c r="B196" s="51">
        <v>192.77470907231466</v>
      </c>
      <c r="C196" s="51">
        <v>265.97357408214049</v>
      </c>
      <c r="D196" s="50">
        <f t="shared" si="35"/>
        <v>54.065814811428872</v>
      </c>
      <c r="P196" s="39">
        <v>67</v>
      </c>
      <c r="S196" s="39">
        <v>79.796024398828592</v>
      </c>
    </row>
    <row r="197" spans="1:19" x14ac:dyDescent="0.25">
      <c r="A197" s="37">
        <v>-68</v>
      </c>
      <c r="B197" s="51">
        <v>185.78122187965172</v>
      </c>
      <c r="C197" s="51">
        <v>271.18473668066531</v>
      </c>
      <c r="D197" s="50">
        <f t="shared" si="35"/>
        <v>55.586027056326451</v>
      </c>
      <c r="P197" s="39">
        <v>68</v>
      </c>
      <c r="S197" s="39">
        <v>79.796024088516859</v>
      </c>
    </row>
    <row r="198" spans="1:19" x14ac:dyDescent="0.25">
      <c r="A198" s="38">
        <v>-69</v>
      </c>
      <c r="B198" s="51">
        <v>178.34760947880713</v>
      </c>
      <c r="C198" s="51">
        <v>276.70699001014736</v>
      </c>
      <c r="D198" s="50">
        <f t="shared" si="35"/>
        <v>57.196763477766055</v>
      </c>
      <c r="P198" s="39">
        <v>69</v>
      </c>
      <c r="S198" s="39">
        <v>79.796046876507106</v>
      </c>
    </row>
    <row r="199" spans="1:19" x14ac:dyDescent="0.25">
      <c r="A199" s="38">
        <v>-70</v>
      </c>
      <c r="B199" s="51">
        <v>170.39549182451887</v>
      </c>
      <c r="C199" s="51">
        <v>282.58430817739924</v>
      </c>
      <c r="D199" s="50">
        <f t="shared" si="35"/>
        <v>58.910446157462147</v>
      </c>
      <c r="P199" s="39">
        <v>70</v>
      </c>
      <c r="S199" s="39">
        <v>79.796044591182749</v>
      </c>
    </row>
    <row r="200" spans="1:19" x14ac:dyDescent="0.25">
      <c r="A200" s="37">
        <v>-71</v>
      </c>
      <c r="B200" s="51">
        <v>161.85118673044221</v>
      </c>
      <c r="C200" s="51">
        <v>288.85293712148814</v>
      </c>
      <c r="D200" s="50">
        <f t="shared" si="35"/>
        <v>60.737050592952386</v>
      </c>
      <c r="P200" s="39">
        <v>71</v>
      </c>
      <c r="S200" s="39">
        <v>79.796024664487405</v>
      </c>
    </row>
    <row r="201" spans="1:19" x14ac:dyDescent="0.25">
      <c r="A201" s="37">
        <v>-72</v>
      </c>
      <c r="B201" s="51">
        <v>153.44070595847637</v>
      </c>
      <c r="C201" s="51">
        <v>294.75722025910841</v>
      </c>
      <c r="D201" s="50">
        <f t="shared" si="35"/>
        <v>62.500029183776412</v>
      </c>
      <c r="P201" s="39">
        <v>72</v>
      </c>
      <c r="S201" s="39">
        <v>79.796023917917111</v>
      </c>
    </row>
    <row r="202" spans="1:19" x14ac:dyDescent="0.25">
      <c r="A202" s="38">
        <v>-73</v>
      </c>
      <c r="B202" s="51">
        <v>145.21144639054526</v>
      </c>
      <c r="C202" s="51">
        <v>300.30778781160711</v>
      </c>
      <c r="D202" s="50">
        <f t="shared" si="35"/>
        <v>64.19427986203705</v>
      </c>
      <c r="P202" s="39">
        <v>73</v>
      </c>
      <c r="S202" s="39">
        <v>79.796022839235093</v>
      </c>
    </row>
    <row r="203" spans="1:19" x14ac:dyDescent="0.25">
      <c r="A203" s="38">
        <v>-74</v>
      </c>
      <c r="B203" s="51">
        <v>136.82597521231318</v>
      </c>
      <c r="C203" s="51">
        <v>305.92063364704097</v>
      </c>
      <c r="D203" s="50">
        <f t="shared" si="35"/>
        <v>65.902955473854675</v>
      </c>
      <c r="P203" s="39">
        <v>74</v>
      </c>
      <c r="S203" s="39">
        <v>79.796021291289463</v>
      </c>
    </row>
    <row r="204" spans="1:19" x14ac:dyDescent="0.25">
      <c r="A204" s="37">
        <v>-75</v>
      </c>
      <c r="B204" s="51">
        <v>128.26236135269897</v>
      </c>
      <c r="C204" s="51">
        <v>311.61406471677941</v>
      </c>
      <c r="D204" s="50">
        <f t="shared" si="35"/>
        <v>67.627617892176858</v>
      </c>
      <c r="P204" s="39">
        <v>75</v>
      </c>
      <c r="S204" s="39">
        <v>79.796019079369941</v>
      </c>
    </row>
    <row r="205" spans="1:19" x14ac:dyDescent="0.25">
      <c r="A205" s="37">
        <v>-76</v>
      </c>
      <c r="B205" s="51">
        <v>121.71473363318039</v>
      </c>
      <c r="C205" s="51">
        <v>315.30400213904352</v>
      </c>
      <c r="D205" s="50">
        <f t="shared" si="35"/>
        <v>68.892243166581011</v>
      </c>
      <c r="P205" s="39">
        <v>76</v>
      </c>
      <c r="S205" s="39">
        <v>79.796022642203468</v>
      </c>
    </row>
    <row r="206" spans="1:19" x14ac:dyDescent="0.25">
      <c r="A206" s="38">
        <v>-77</v>
      </c>
      <c r="B206" s="51">
        <v>114.91610300931291</v>
      </c>
      <c r="C206" s="51">
        <v>319.73544570088012</v>
      </c>
      <c r="D206" s="50">
        <f t="shared" si="35"/>
        <v>70.231057506836535</v>
      </c>
      <c r="P206" s="39">
        <v>77</v>
      </c>
      <c r="S206" s="39">
        <v>79.796032527510476</v>
      </c>
    </row>
    <row r="207" spans="1:19" x14ac:dyDescent="0.25">
      <c r="A207" s="38">
        <v>-78</v>
      </c>
      <c r="B207" s="51">
        <v>107.96789993102914</v>
      </c>
      <c r="C207" s="51">
        <v>324.26854473895906</v>
      </c>
      <c r="D207" s="50">
        <f t="shared" si="35"/>
        <v>71.584392948615289</v>
      </c>
      <c r="P207">
        <v>78</v>
      </c>
      <c r="S207">
        <v>79.796024684424083</v>
      </c>
    </row>
    <row r="208" spans="1:19" x14ac:dyDescent="0.25">
      <c r="A208" s="37">
        <v>-79</v>
      </c>
      <c r="B208" s="51">
        <v>100.84289912900562</v>
      </c>
      <c r="C208" s="51">
        <v>328.92789754438809</v>
      </c>
      <c r="D208" s="50">
        <f t="shared" si="35"/>
        <v>72.955478579786131</v>
      </c>
      <c r="P208">
        <v>79</v>
      </c>
      <c r="S208">
        <v>79.796001417562323</v>
      </c>
    </row>
    <row r="209" spans="1:19" x14ac:dyDescent="0.25">
      <c r="A209" s="37">
        <v>-80</v>
      </c>
      <c r="B209" s="51">
        <v>93.514528406547583</v>
      </c>
      <c r="C209" s="51">
        <v>333.73803488264616</v>
      </c>
      <c r="D209" s="50">
        <f t="shared" si="35"/>
        <v>74.34694798380967</v>
      </c>
      <c r="P209">
        <v>80</v>
      </c>
      <c r="S209">
        <v>79.796024915781032</v>
      </c>
    </row>
    <row r="210" spans="1:19" x14ac:dyDescent="0.25">
      <c r="A210" s="38">
        <v>-81</v>
      </c>
      <c r="B210" s="51">
        <v>85.948533922823074</v>
      </c>
      <c r="C210" s="51">
        <v>338.72909463189688</v>
      </c>
      <c r="D210" s="50">
        <f t="shared" si="35"/>
        <v>75.762346755285165</v>
      </c>
      <c r="P210">
        <v>81</v>
      </c>
      <c r="S210">
        <v>79.796024375789329</v>
      </c>
    </row>
    <row r="211" spans="1:19" x14ac:dyDescent="0.25">
      <c r="A211" s="38">
        <v>-82</v>
      </c>
      <c r="B211" s="51">
        <v>78.104033291557954</v>
      </c>
      <c r="C211" s="51">
        <v>343.93577173000301</v>
      </c>
      <c r="D211" s="50">
        <f t="shared" si="35"/>
        <v>77.205743648550381</v>
      </c>
      <c r="P211">
        <v>82</v>
      </c>
      <c r="S211">
        <v>79.796021300631352</v>
      </c>
    </row>
    <row r="212" spans="1:19" x14ac:dyDescent="0.25">
      <c r="A212" s="37">
        <v>-83</v>
      </c>
      <c r="B212" s="51">
        <v>71.709696111806807</v>
      </c>
      <c r="C212" s="51">
        <v>348.14627413756961</v>
      </c>
      <c r="D212" s="50">
        <f t="shared" si="35"/>
        <v>78.36123146475849</v>
      </c>
      <c r="P212">
        <v>83</v>
      </c>
      <c r="S212">
        <v>79.796018037533642</v>
      </c>
    </row>
    <row r="213" spans="1:19" x14ac:dyDescent="0.25">
      <c r="A213" s="37">
        <v>-84</v>
      </c>
      <c r="B213" s="51">
        <v>63.223678742212599</v>
      </c>
      <c r="C213" s="51">
        <v>353.84858338006012</v>
      </c>
      <c r="D213" s="50">
        <f t="shared" si="35"/>
        <v>79.869611656082085</v>
      </c>
      <c r="P213">
        <v>84</v>
      </c>
      <c r="S213">
        <v>79.796013568309874</v>
      </c>
    </row>
    <row r="214" spans="1:19" x14ac:dyDescent="0.25">
      <c r="A214" s="38">
        <v>-85</v>
      </c>
      <c r="B214" s="51">
        <v>54.305407515909359</v>
      </c>
      <c r="C214" s="51">
        <v>359.89505401196664</v>
      </c>
      <c r="D214" s="50">
        <f t="shared" si="35"/>
        <v>81.419238579546587</v>
      </c>
      <c r="P214">
        <v>85</v>
      </c>
      <c r="S214">
        <v>79.795774471000286</v>
      </c>
    </row>
    <row r="215" spans="1:19" x14ac:dyDescent="0.25">
      <c r="A215" s="38">
        <v>-86</v>
      </c>
      <c r="B215" s="51">
        <v>44.87947145124631</v>
      </c>
      <c r="C215" s="51">
        <v>366.34532181224142</v>
      </c>
      <c r="D215" s="50">
        <f t="shared" si="35"/>
        <v>83.01572824600494</v>
      </c>
      <c r="P215">
        <v>86</v>
      </c>
      <c r="S215">
        <v>79.794402645571822</v>
      </c>
    </row>
    <row r="216" spans="1:19" x14ac:dyDescent="0.25">
      <c r="A216" s="37">
        <v>-87</v>
      </c>
      <c r="B216" s="51">
        <v>34.857812511190247</v>
      </c>
      <c r="C216" s="51">
        <v>373.26912211149317</v>
      </c>
      <c r="D216" s="50">
        <f t="shared" si="35"/>
        <v>84.664894919715522</v>
      </c>
      <c r="P216">
        <v>87</v>
      </c>
      <c r="S216">
        <v>79.796115005270764</v>
      </c>
    </row>
    <row r="217" spans="1:19" x14ac:dyDescent="0.25">
      <c r="A217" s="37">
        <v>-88</v>
      </c>
      <c r="B217" s="51">
        <v>23.852760894744296</v>
      </c>
      <c r="C217" s="51">
        <v>377.46924428331056</v>
      </c>
      <c r="D217" s="50">
        <f t="shared" si="35"/>
        <v>86.384214593492402</v>
      </c>
      <c r="P217">
        <v>88</v>
      </c>
      <c r="S217">
        <v>79.79604267311295</v>
      </c>
    </row>
    <row r="218" spans="1:19" x14ac:dyDescent="0.25">
      <c r="A218" s="38">
        <v>-89</v>
      </c>
      <c r="B218" s="51">
        <v>12.089135012772218</v>
      </c>
      <c r="C218" s="51">
        <v>379.61563112134507</v>
      </c>
      <c r="D218" s="50">
        <f t="shared" si="35"/>
        <v>88.175990798959376</v>
      </c>
      <c r="P218">
        <v>89</v>
      </c>
      <c r="S218">
        <v>79.796032836112175</v>
      </c>
    </row>
    <row r="219" spans="1:19" x14ac:dyDescent="0.25">
      <c r="A219" s="38">
        <v>-90</v>
      </c>
      <c r="B219" s="51">
        <v>2.3357156714104008E-14</v>
      </c>
      <c r="C219" s="51">
        <v>381.2951258359322</v>
      </c>
      <c r="D219" s="50">
        <f t="shared" si="35"/>
        <v>90</v>
      </c>
      <c r="P219">
        <v>90</v>
      </c>
      <c r="S219">
        <v>79.800315046451928</v>
      </c>
    </row>
    <row r="220" spans="1:19" x14ac:dyDescent="0.25">
      <c r="A220" s="37">
        <v>-91</v>
      </c>
      <c r="B220" s="51">
        <v>-12.089135012772099</v>
      </c>
      <c r="C220" s="51">
        <v>379.61563112134507</v>
      </c>
      <c r="D220" s="50">
        <f t="shared" si="35"/>
        <v>91.824009201040596</v>
      </c>
      <c r="P220">
        <v>91</v>
      </c>
      <c r="S220">
        <v>79.794854443486997</v>
      </c>
    </row>
    <row r="221" spans="1:19" x14ac:dyDescent="0.25">
      <c r="A221" s="37">
        <v>-92</v>
      </c>
      <c r="B221" s="51">
        <v>-23.852760894744289</v>
      </c>
      <c r="C221" s="51">
        <v>377.46924428331062</v>
      </c>
      <c r="D221" s="50">
        <f t="shared" si="35"/>
        <v>93.615785406507598</v>
      </c>
      <c r="P221">
        <v>92</v>
      </c>
      <c r="S221">
        <v>79.790360744459818</v>
      </c>
    </row>
    <row r="222" spans="1:19" x14ac:dyDescent="0.25">
      <c r="A222" s="38">
        <v>-93</v>
      </c>
      <c r="B222" s="51">
        <v>-34.857812511190176</v>
      </c>
      <c r="C222" s="51">
        <v>373.26912211149323</v>
      </c>
      <c r="D222" s="50">
        <f t="shared" si="35"/>
        <v>95.335105080284478</v>
      </c>
      <c r="P222">
        <v>93</v>
      </c>
      <c r="S222">
        <v>79.796052394988749</v>
      </c>
    </row>
    <row r="223" spans="1:19" x14ac:dyDescent="0.25">
      <c r="A223" s="38">
        <v>-94</v>
      </c>
      <c r="B223" s="51">
        <v>-44.879471451246374</v>
      </c>
      <c r="C223" s="51">
        <v>366.34532181224142</v>
      </c>
      <c r="D223" s="50">
        <f t="shared" si="35"/>
        <v>96.984271753995074</v>
      </c>
      <c r="P223">
        <v>94</v>
      </c>
      <c r="S223">
        <v>79.796044048302932</v>
      </c>
    </row>
    <row r="224" spans="1:19" x14ac:dyDescent="0.25">
      <c r="A224" s="37">
        <v>-95</v>
      </c>
      <c r="B224" s="51">
        <v>-54.305407515909373</v>
      </c>
      <c r="C224" s="51">
        <v>359.89505401196652</v>
      </c>
      <c r="D224" s="50">
        <f t="shared" si="35"/>
        <v>98.580761420453413</v>
      </c>
      <c r="P224">
        <v>95</v>
      </c>
      <c r="S224">
        <v>79.796014809379415</v>
      </c>
    </row>
    <row r="225" spans="1:19" x14ac:dyDescent="0.25">
      <c r="A225" s="37">
        <v>-96</v>
      </c>
      <c r="B225" s="51">
        <v>-63.22367874221267</v>
      </c>
      <c r="C225" s="51">
        <v>353.84858338006006</v>
      </c>
      <c r="D225" s="50">
        <f t="shared" si="35"/>
        <v>100.13038834391791</v>
      </c>
      <c r="P225">
        <v>96</v>
      </c>
      <c r="S225">
        <v>79.795984599405656</v>
      </c>
    </row>
    <row r="226" spans="1:19" x14ac:dyDescent="0.25">
      <c r="A226" s="38">
        <v>-97</v>
      </c>
      <c r="B226" s="51">
        <v>-71.709696111806807</v>
      </c>
      <c r="C226" s="51">
        <v>348.14627413756983</v>
      </c>
      <c r="D226" s="50">
        <f t="shared" si="35"/>
        <v>101.63876853524151</v>
      </c>
      <c r="P226">
        <v>97</v>
      </c>
      <c r="S226">
        <v>79.795904241288866</v>
      </c>
    </row>
    <row r="227" spans="1:19" x14ac:dyDescent="0.25">
      <c r="A227" s="38">
        <v>-98</v>
      </c>
      <c r="B227" s="51">
        <v>-78.104033291557911</v>
      </c>
      <c r="C227" s="51">
        <v>343.93577173000307</v>
      </c>
      <c r="D227" s="50">
        <f t="shared" si="35"/>
        <v>102.79425635144962</v>
      </c>
      <c r="P227">
        <v>98</v>
      </c>
      <c r="S227">
        <v>79.796025773794653</v>
      </c>
    </row>
    <row r="228" spans="1:19" x14ac:dyDescent="0.25">
      <c r="A228" s="37">
        <v>-99</v>
      </c>
      <c r="B228" s="51">
        <v>-85.94853392282306</v>
      </c>
      <c r="C228" s="51">
        <v>338.72909463189688</v>
      </c>
      <c r="D228" s="50">
        <f t="shared" si="35"/>
        <v>104.23765324471483</v>
      </c>
      <c r="P228">
        <v>99</v>
      </c>
      <c r="S228">
        <v>79.795544163328614</v>
      </c>
    </row>
    <row r="229" spans="1:19" x14ac:dyDescent="0.25">
      <c r="A229" s="37">
        <v>-100</v>
      </c>
      <c r="B229" s="51">
        <v>-93.514528406547541</v>
      </c>
      <c r="C229" s="51">
        <v>333.73803488264616</v>
      </c>
      <c r="D229" s="50">
        <f t="shared" si="35"/>
        <v>105.65305201619032</v>
      </c>
      <c r="P229">
        <v>100</v>
      </c>
      <c r="S229">
        <v>79.795334970560603</v>
      </c>
    </row>
    <row r="230" spans="1:19" x14ac:dyDescent="0.25">
      <c r="A230" s="38">
        <v>-101</v>
      </c>
      <c r="B230" s="51">
        <v>-100.84289912900556</v>
      </c>
      <c r="C230" s="51">
        <v>328.92789754438803</v>
      </c>
      <c r="D230" s="50">
        <f t="shared" si="35"/>
        <v>107.04452142021385</v>
      </c>
      <c r="P230">
        <v>101</v>
      </c>
      <c r="S230">
        <v>79.794236717096751</v>
      </c>
    </row>
    <row r="231" spans="1:19" x14ac:dyDescent="0.25">
      <c r="A231" s="38">
        <v>-102</v>
      </c>
      <c r="B231" s="51">
        <v>-107.96789993102908</v>
      </c>
      <c r="C231" s="51">
        <v>324.26854473895924</v>
      </c>
      <c r="D231" s="50">
        <f t="shared" si="35"/>
        <v>108.41560705138468</v>
      </c>
    </row>
    <row r="232" spans="1:19" x14ac:dyDescent="0.25">
      <c r="A232" s="37">
        <v>-103</v>
      </c>
      <c r="B232" s="51">
        <v>-114.91610300931292</v>
      </c>
      <c r="C232" s="51">
        <v>319.73544570088012</v>
      </c>
      <c r="D232" s="50">
        <f t="shared" si="35"/>
        <v>109.76894249316346</v>
      </c>
    </row>
    <row r="233" spans="1:19" x14ac:dyDescent="0.25">
      <c r="A233" s="37">
        <v>-104</v>
      </c>
      <c r="B233" s="51">
        <v>-121.71473363318049</v>
      </c>
      <c r="C233" s="51">
        <v>315.30400213904329</v>
      </c>
      <c r="D233" s="50">
        <f t="shared" si="35"/>
        <v>111.10775683341903</v>
      </c>
    </row>
    <row r="234" spans="1:19" x14ac:dyDescent="0.25">
      <c r="A234" s="38">
        <v>-105</v>
      </c>
      <c r="B234" s="51">
        <v>-128.26236135269906</v>
      </c>
      <c r="C234" s="51">
        <v>311.61406471677935</v>
      </c>
      <c r="D234" s="50">
        <f t="shared" si="35"/>
        <v>112.37238210782316</v>
      </c>
    </row>
    <row r="235" spans="1:19" x14ac:dyDescent="0.25">
      <c r="A235" s="38">
        <v>-106</v>
      </c>
      <c r="B235" s="51">
        <v>-136.82597521231312</v>
      </c>
      <c r="C235" s="51">
        <v>305.92063364704092</v>
      </c>
      <c r="D235" s="50">
        <f t="shared" si="35"/>
        <v>114.09704452614532</v>
      </c>
    </row>
    <row r="236" spans="1:19" x14ac:dyDescent="0.25">
      <c r="A236" s="37">
        <v>-107</v>
      </c>
      <c r="B236" s="51">
        <v>-145.21144639054515</v>
      </c>
      <c r="C236" s="51">
        <v>300.30778781160728</v>
      </c>
      <c r="D236" s="50">
        <f t="shared" si="35"/>
        <v>115.80572013796292</v>
      </c>
    </row>
    <row r="237" spans="1:19" x14ac:dyDescent="0.25">
      <c r="A237" s="37">
        <v>-108</v>
      </c>
      <c r="B237" s="51">
        <v>-153.44070595847637</v>
      </c>
      <c r="C237" s="51">
        <v>294.75722025910864</v>
      </c>
      <c r="D237" s="50">
        <f t="shared" si="35"/>
        <v>117.49997081622357</v>
      </c>
    </row>
    <row r="238" spans="1:19" x14ac:dyDescent="0.25">
      <c r="A238" s="38">
        <v>-109</v>
      </c>
      <c r="B238" s="51">
        <v>-161.85118673044212</v>
      </c>
      <c r="C238" s="51">
        <v>288.8529371214882</v>
      </c>
      <c r="D238" s="50">
        <f t="shared" si="35"/>
        <v>119.26294940704759</v>
      </c>
    </row>
    <row r="239" spans="1:19" x14ac:dyDescent="0.25">
      <c r="A239" s="38">
        <v>-110</v>
      </c>
      <c r="B239" s="51">
        <v>-170.39549182451884</v>
      </c>
      <c r="C239" s="51">
        <v>282.58430817739935</v>
      </c>
      <c r="D239" s="50">
        <f t="shared" si="35"/>
        <v>121.08955384253782</v>
      </c>
    </row>
    <row r="240" spans="1:19" x14ac:dyDescent="0.25">
      <c r="A240" s="37">
        <v>-111</v>
      </c>
      <c r="B240" s="51">
        <v>-178.3476094788071</v>
      </c>
      <c r="C240" s="51">
        <v>276.70699001014731</v>
      </c>
      <c r="D240" s="50">
        <f t="shared" si="35"/>
        <v>122.80323652223395</v>
      </c>
    </row>
    <row r="241" spans="1:4" x14ac:dyDescent="0.25">
      <c r="A241" s="37">
        <v>-112</v>
      </c>
      <c r="B241" s="51">
        <v>-185.78122187965172</v>
      </c>
      <c r="C241" s="51">
        <v>271.18473668066531</v>
      </c>
      <c r="D241" s="50">
        <f t="shared" si="35"/>
        <v>124.41397294367356</v>
      </c>
    </row>
    <row r="242" spans="1:4" x14ac:dyDescent="0.25">
      <c r="A242" s="38">
        <v>-113</v>
      </c>
      <c r="B242" s="51">
        <v>-192.77470907231458</v>
      </c>
      <c r="C242" s="51">
        <v>265.97357408214032</v>
      </c>
      <c r="D242" s="50">
        <f t="shared" si="35"/>
        <v>125.93418518857113</v>
      </c>
    </row>
    <row r="243" spans="1:4" x14ac:dyDescent="0.25">
      <c r="A243" s="38">
        <v>-114</v>
      </c>
      <c r="B243" s="51">
        <v>-199.39375987133718</v>
      </c>
      <c r="C243" s="51">
        <v>261.0345980541743</v>
      </c>
      <c r="D243" s="50">
        <f t="shared" si="35"/>
        <v>127.37474444138719</v>
      </c>
    </row>
    <row r="244" spans="1:4" x14ac:dyDescent="0.25">
      <c r="A244" s="37">
        <v>-115</v>
      </c>
      <c r="B244" s="51">
        <v>-205.69201498889649</v>
      </c>
      <c r="C244" s="51">
        <v>256.33611646975822</v>
      </c>
      <c r="D244" s="50">
        <f t="shared" si="35"/>
        <v>128.7446338545119</v>
      </c>
    </row>
    <row r="245" spans="1:4" x14ac:dyDescent="0.25">
      <c r="A245" s="37">
        <v>-116</v>
      </c>
      <c r="B245" s="51">
        <v>-211.71562266810355</v>
      </c>
      <c r="C245" s="51">
        <v>251.84886781157013</v>
      </c>
      <c r="D245" s="50">
        <f t="shared" si="35"/>
        <v>130.05193719548453</v>
      </c>
    </row>
    <row r="246" spans="1:4" x14ac:dyDescent="0.25">
      <c r="A246" s="38">
        <v>-117</v>
      </c>
      <c r="B246" s="51">
        <v>-217.51251049948698</v>
      </c>
      <c r="C246" s="51">
        <v>247.2984749164973</v>
      </c>
      <c r="D246" s="50">
        <f t="shared" si="35"/>
        <v>131.33339188546137</v>
      </c>
    </row>
    <row r="247" spans="1:4" x14ac:dyDescent="0.25">
      <c r="A247" s="38">
        <v>-118</v>
      </c>
      <c r="B247" s="51">
        <v>-223.1047829638525</v>
      </c>
      <c r="C247" s="51">
        <v>242.82318554009777</v>
      </c>
      <c r="D247" s="50">
        <f t="shared" si="35"/>
        <v>132.57664799889304</v>
      </c>
    </row>
    <row r="248" spans="1:4" x14ac:dyDescent="0.25">
      <c r="A248" s="37">
        <v>-119</v>
      </c>
      <c r="B248" s="51">
        <v>-228.51709298730702</v>
      </c>
      <c r="C248" s="51">
        <v>238.51571439729909</v>
      </c>
      <c r="D248" s="50">
        <f t="shared" si="35"/>
        <v>133.77355230985154</v>
      </c>
    </row>
    <row r="249" spans="1:4" x14ac:dyDescent="0.25">
      <c r="A249" s="37">
        <v>-120</v>
      </c>
      <c r="B249" s="51">
        <v>-233.77574986838047</v>
      </c>
      <c r="C249" s="51">
        <v>234.35684689448553</v>
      </c>
      <c r="D249" s="50">
        <f t="shared" si="35"/>
        <v>134.92887829172088</v>
      </c>
    </row>
    <row r="250" spans="1:4" x14ac:dyDescent="0.25">
      <c r="A250" s="38">
        <v>-121</v>
      </c>
      <c r="B250" s="51">
        <v>-238.90348944054662</v>
      </c>
      <c r="C250" s="51">
        <v>230.32974077379779</v>
      </c>
      <c r="D250" s="50">
        <f t="shared" si="35"/>
        <v>136.04678212062586</v>
      </c>
    </row>
    <row r="251" spans="1:4" x14ac:dyDescent="0.25">
      <c r="A251" s="38">
        <v>-122</v>
      </c>
      <c r="B251" s="51">
        <v>-242.08332093506684</v>
      </c>
      <c r="C251" s="51">
        <v>226.44981679792448</v>
      </c>
      <c r="D251" s="50">
        <f t="shared" si="35"/>
        <v>136.91107423112268</v>
      </c>
    </row>
    <row r="252" spans="1:4" x14ac:dyDescent="0.25">
      <c r="A252" s="37">
        <v>-123</v>
      </c>
      <c r="B252" s="51">
        <v>-247.01561613384925</v>
      </c>
      <c r="C252" s="51">
        <v>222.63918014170662</v>
      </c>
      <c r="D252" s="50">
        <f t="shared" si="35"/>
        <v>137.97114981433626</v>
      </c>
    </row>
    <row r="253" spans="1:4" x14ac:dyDescent="0.25">
      <c r="A253" s="37">
        <v>-124</v>
      </c>
      <c r="B253" s="51">
        <v>-251.87064281098876</v>
      </c>
      <c r="C253" s="51">
        <v>218.9181078814174</v>
      </c>
      <c r="D253" s="50">
        <f t="shared" si="35"/>
        <v>139.0038486588567</v>
      </c>
    </row>
    <row r="254" spans="1:4" x14ac:dyDescent="0.25">
      <c r="A254" s="38">
        <v>-125</v>
      </c>
      <c r="B254" s="51">
        <v>-256.66330514692982</v>
      </c>
      <c r="C254" s="51">
        <v>215.27494973316288</v>
      </c>
      <c r="D254" s="50">
        <f t="shared" si="35"/>
        <v>140.01194064224615</v>
      </c>
    </row>
    <row r="255" spans="1:4" x14ac:dyDescent="0.25">
      <c r="A255" s="38">
        <v>-126</v>
      </c>
      <c r="B255" s="51">
        <v>-261.40702686992421</v>
      </c>
      <c r="C255" s="51">
        <v>211.69854886829324</v>
      </c>
      <c r="D255" s="50">
        <f t="shared" si="35"/>
        <v>140.9979730650997</v>
      </c>
    </row>
    <row r="256" spans="1:4" x14ac:dyDescent="0.25">
      <c r="A256" s="37">
        <v>-127</v>
      </c>
      <c r="B256" s="51">
        <v>-266.08088538251707</v>
      </c>
      <c r="C256" s="51">
        <v>209.38078044974631</v>
      </c>
      <c r="D256" s="50">
        <f t="shared" si="35"/>
        <v>141.80056245024048</v>
      </c>
    </row>
    <row r="257" spans="1:7" x14ac:dyDescent="0.25">
      <c r="A257" s="37">
        <v>-128</v>
      </c>
      <c r="B257" s="51">
        <v>-270.75887724217876</v>
      </c>
      <c r="C257" s="51">
        <v>205.9119137670757</v>
      </c>
      <c r="D257" s="50">
        <f t="shared" si="35"/>
        <v>142.74703970603878</v>
      </c>
    </row>
    <row r="258" spans="1:7" x14ac:dyDescent="0.25">
      <c r="A258" s="38">
        <v>-129</v>
      </c>
      <c r="B258" s="51">
        <v>-275.42406256891087</v>
      </c>
      <c r="C258" s="51">
        <v>202.48099805971978</v>
      </c>
      <c r="D258" s="50">
        <f t="shared" ref="D258:D321" si="36">IF(DEGREES(ATAN2(B258,C258))&lt;0,DEGREES(ATAN2(B258,C258))+360,DEGREES(ATAN2(B258,C258)))</f>
        <v>143.67812911156685</v>
      </c>
    </row>
    <row r="259" spans="1:7" x14ac:dyDescent="0.25">
      <c r="A259" s="38">
        <v>-130</v>
      </c>
      <c r="B259" s="51">
        <v>-280.08654597400431</v>
      </c>
      <c r="C259" s="51">
        <v>199.07897296553179</v>
      </c>
      <c r="D259" s="50">
        <f t="shared" si="36"/>
        <v>144.59567455076277</v>
      </c>
    </row>
    <row r="260" spans="1:7" x14ac:dyDescent="0.25">
      <c r="A260" s="37">
        <v>-131</v>
      </c>
      <c r="B260" s="51">
        <v>-284.75660570348708</v>
      </c>
      <c r="C260" s="51">
        <v>195.69717148575921</v>
      </c>
      <c r="D260" s="50">
        <f t="shared" si="36"/>
        <v>145.50145153541732</v>
      </c>
    </row>
    <row r="261" spans="1:7" x14ac:dyDescent="0.25">
      <c r="A261" s="37">
        <v>-132</v>
      </c>
      <c r="B261" s="51">
        <v>-289.44458749462217</v>
      </c>
      <c r="C261" s="51">
        <v>192.32699122565208</v>
      </c>
      <c r="D261" s="50">
        <f t="shared" si="36"/>
        <v>146.39718935069234</v>
      </c>
      <c r="F261">
        <v>0</v>
      </c>
      <c r="G261">
        <v>0</v>
      </c>
    </row>
    <row r="262" spans="1:7" x14ac:dyDescent="0.25">
      <c r="A262" s="38">
        <v>-133</v>
      </c>
      <c r="B262" s="51">
        <v>-294.05022508771452</v>
      </c>
      <c r="C262" s="51">
        <v>188.96063908917955</v>
      </c>
      <c r="D262" s="50">
        <f t="shared" si="36"/>
        <v>147.27465317079725</v>
      </c>
      <c r="F262">
        <v>360</v>
      </c>
      <c r="G262">
        <v>-360</v>
      </c>
    </row>
    <row r="263" spans="1:7" x14ac:dyDescent="0.25">
      <c r="A263" s="38">
        <v>-134</v>
      </c>
      <c r="B263" s="51">
        <v>-298.38799849360709</v>
      </c>
      <c r="C263" s="51">
        <v>185.59217348225081</v>
      </c>
      <c r="D263" s="50">
        <f t="shared" si="36"/>
        <v>148.11910250013122</v>
      </c>
    </row>
    <row r="264" spans="1:7" x14ac:dyDescent="0.25">
      <c r="A264" s="37">
        <v>-135</v>
      </c>
      <c r="B264" s="51">
        <v>-302.75728209481122</v>
      </c>
      <c r="C264" s="51">
        <v>182.21218629343994</v>
      </c>
      <c r="D264" s="50">
        <f t="shared" si="36"/>
        <v>148.9586852604873</v>
      </c>
    </row>
    <row r="265" spans="1:7" x14ac:dyDescent="0.25">
      <c r="A265" s="37">
        <v>-136</v>
      </c>
      <c r="B265" s="51">
        <v>-307.1672443650707</v>
      </c>
      <c r="C265" s="51">
        <v>178.81218981009846</v>
      </c>
      <c r="D265" s="50">
        <f t="shared" si="36"/>
        <v>149.79490286474643</v>
      </c>
    </row>
    <row r="266" spans="1:7" x14ac:dyDescent="0.25">
      <c r="A266" s="38">
        <v>-137</v>
      </c>
      <c r="B266" s="51">
        <v>-311.62837437606606</v>
      </c>
      <c r="C266" s="51">
        <v>175.3832829137807</v>
      </c>
      <c r="D266" s="50">
        <f t="shared" si="36"/>
        <v>150.62935365070805</v>
      </c>
    </row>
    <row r="267" spans="1:7" x14ac:dyDescent="0.25">
      <c r="A267" s="38">
        <v>-138</v>
      </c>
      <c r="B267" s="51">
        <v>-316.14807974423718</v>
      </c>
      <c r="C267" s="51">
        <v>171.91667145973665</v>
      </c>
      <c r="D267" s="50">
        <f t="shared" si="36"/>
        <v>151.46330338624759</v>
      </c>
    </row>
    <row r="268" spans="1:7" x14ac:dyDescent="0.25">
      <c r="A268" s="37">
        <v>-139</v>
      </c>
      <c r="B268" s="51">
        <v>-320.73867109352528</v>
      </c>
      <c r="C268" s="51">
        <v>168.40244503436338</v>
      </c>
      <c r="D268" s="50">
        <f t="shared" si="36"/>
        <v>152.29847668335125</v>
      </c>
    </row>
    <row r="269" spans="1:7" x14ac:dyDescent="0.25">
      <c r="A269" s="37">
        <v>-140</v>
      </c>
      <c r="B269" s="51">
        <v>-325.40831829260446</v>
      </c>
      <c r="C269" s="51">
        <v>164.83089273354216</v>
      </c>
      <c r="D269" s="50">
        <f t="shared" si="36"/>
        <v>153.13616350264672</v>
      </c>
    </row>
    <row r="270" spans="1:7" x14ac:dyDescent="0.25">
      <c r="A270" s="38">
        <v>-141</v>
      </c>
      <c r="B270" s="51">
        <v>-330.16927665010877</v>
      </c>
      <c r="C270" s="51">
        <v>161.19097167611417</v>
      </c>
      <c r="D270" s="50">
        <f t="shared" si="36"/>
        <v>153.97804308216945</v>
      </c>
    </row>
    <row r="271" spans="1:7" x14ac:dyDescent="0.25">
      <c r="A271" s="38">
        <v>-142</v>
      </c>
      <c r="B271" s="51">
        <v>-335.03083746757488</v>
      </c>
      <c r="C271" s="51">
        <v>157.47164657045565</v>
      </c>
      <c r="D271" s="50">
        <f t="shared" si="36"/>
        <v>154.82547353936917</v>
      </c>
    </row>
    <row r="272" spans="1:7" x14ac:dyDescent="0.25">
      <c r="A272" s="37">
        <v>-143</v>
      </c>
      <c r="B272" s="51">
        <v>-340.00806413751201</v>
      </c>
      <c r="C272" s="51">
        <v>153.65963189534193</v>
      </c>
      <c r="D272" s="50">
        <f t="shared" si="36"/>
        <v>155.68039173943569</v>
      </c>
    </row>
    <row r="273" spans="1:4" x14ac:dyDescent="0.25">
      <c r="A273" s="37">
        <v>-144</v>
      </c>
      <c r="B273" s="51">
        <v>-345.11196685818726</v>
      </c>
      <c r="C273" s="51">
        <v>149.74178121354072</v>
      </c>
      <c r="D273" s="50">
        <f t="shared" si="36"/>
        <v>156.54429961071727</v>
      </c>
    </row>
    <row r="274" spans="1:4" x14ac:dyDescent="0.25">
      <c r="A274" s="38">
        <v>-145</v>
      </c>
      <c r="B274" s="51">
        <v>-350.35716833071041</v>
      </c>
      <c r="C274" s="51">
        <v>145.70287895640101</v>
      </c>
      <c r="D274" s="50">
        <f t="shared" si="36"/>
        <v>157.41906121287153</v>
      </c>
    </row>
    <row r="275" spans="1:4" x14ac:dyDescent="0.25">
      <c r="A275" s="38">
        <v>-146</v>
      </c>
      <c r="B275" s="51">
        <v>-355.75825572938584</v>
      </c>
      <c r="C275" s="51">
        <v>141.52650548515655</v>
      </c>
      <c r="D275" s="50">
        <f t="shared" si="36"/>
        <v>158.30652088971286</v>
      </c>
    </row>
    <row r="276" spans="1:4" x14ac:dyDescent="0.25">
      <c r="A276" s="37">
        <v>-147</v>
      </c>
      <c r="B276" s="51">
        <v>-361.33124876338564</v>
      </c>
      <c r="C276" s="51">
        <v>137.19439591426161</v>
      </c>
      <c r="D276" s="50">
        <f t="shared" si="36"/>
        <v>159.20865709582606</v>
      </c>
    </row>
    <row r="277" spans="1:4" x14ac:dyDescent="0.25">
      <c r="A277" s="37">
        <v>-148</v>
      </c>
      <c r="B277" s="51">
        <v>-367.09527093151627</v>
      </c>
      <c r="C277" s="51">
        <v>132.68540633987726</v>
      </c>
      <c r="D277" s="50">
        <f t="shared" si="36"/>
        <v>160.12777329023666</v>
      </c>
    </row>
    <row r="278" spans="1:4" x14ac:dyDescent="0.25">
      <c r="A278" s="38">
        <v>-149</v>
      </c>
      <c r="B278" s="51">
        <v>-372.98243218300922</v>
      </c>
      <c r="C278" s="51">
        <v>128.04598165537183</v>
      </c>
      <c r="D278" s="50">
        <f t="shared" si="36"/>
        <v>161.05250089947523</v>
      </c>
    </row>
    <row r="279" spans="1:4" x14ac:dyDescent="0.25">
      <c r="A279" s="38">
        <v>-150</v>
      </c>
      <c r="B279" s="51">
        <v>-378.82511627355979</v>
      </c>
      <c r="C279" s="51">
        <v>123.40680296418056</v>
      </c>
      <c r="D279" s="50">
        <f t="shared" si="36"/>
        <v>161.95636218241947</v>
      </c>
    </row>
    <row r="280" spans="1:4" x14ac:dyDescent="0.25">
      <c r="A280" s="37">
        <v>-151</v>
      </c>
      <c r="B280" s="51">
        <v>-384.09304660833408</v>
      </c>
      <c r="C280" s="51">
        <v>119.1116424978222</v>
      </c>
      <c r="D280" s="50">
        <f t="shared" si="36"/>
        <v>162.77073947454278</v>
      </c>
    </row>
    <row r="281" spans="1:4" x14ac:dyDescent="0.25">
      <c r="A281" s="37">
        <v>-152</v>
      </c>
      <c r="B281" s="51">
        <v>-388.7145787024844</v>
      </c>
      <c r="C281" s="51">
        <v>115.21172117948345</v>
      </c>
      <c r="D281" s="50">
        <f t="shared" si="36"/>
        <v>163.49062094259961</v>
      </c>
    </row>
    <row r="282" spans="1:4" x14ac:dyDescent="0.25">
      <c r="A282" s="38">
        <v>-153</v>
      </c>
      <c r="B282" s="51">
        <v>-393.31319641996151</v>
      </c>
      <c r="C282" s="51">
        <v>111.30625954958887</v>
      </c>
      <c r="D282" s="50">
        <f t="shared" si="36"/>
        <v>164.19867238849989</v>
      </c>
    </row>
    <row r="283" spans="1:4" x14ac:dyDescent="0.25">
      <c r="A283" s="38">
        <v>-154</v>
      </c>
      <c r="B283" s="51">
        <v>-397.89541494064582</v>
      </c>
      <c r="C283" s="51">
        <v>107.39105074876427</v>
      </c>
      <c r="D283" s="50">
        <f t="shared" si="36"/>
        <v>164.8958890004015</v>
      </c>
    </row>
    <row r="284" spans="1:4" x14ac:dyDescent="0.25">
      <c r="A284" s="37">
        <v>-155</v>
      </c>
      <c r="B284" s="51">
        <v>-402.47229847444589</v>
      </c>
      <c r="C284" s="51">
        <v>103.45900745473942</v>
      </c>
      <c r="D284" s="50">
        <f t="shared" si="36"/>
        <v>165.58374953865223</v>
      </c>
    </row>
    <row r="285" spans="1:4" x14ac:dyDescent="0.25">
      <c r="A285" s="37">
        <v>-156</v>
      </c>
      <c r="B285" s="51">
        <v>-407.04702298635652</v>
      </c>
      <c r="C285" s="51">
        <v>99.50768560287581</v>
      </c>
      <c r="D285" s="50">
        <f t="shared" si="36"/>
        <v>166.26276179728933</v>
      </c>
    </row>
    <row r="286" spans="1:4" x14ac:dyDescent="0.25">
      <c r="A286" s="38">
        <v>-157</v>
      </c>
      <c r="B286" s="51">
        <v>-409.92886932230749</v>
      </c>
      <c r="C286" s="51">
        <v>96.660809551098822</v>
      </c>
      <c r="D286" s="50">
        <f t="shared" si="36"/>
        <v>166.73207410573045</v>
      </c>
    </row>
    <row r="287" spans="1:4" x14ac:dyDescent="0.25">
      <c r="A287" s="38">
        <v>-158</v>
      </c>
      <c r="B287" s="51">
        <v>-414.48990774821209</v>
      </c>
      <c r="C287" s="51">
        <v>92.671643316383623</v>
      </c>
      <c r="D287" s="50">
        <f t="shared" si="36"/>
        <v>167.39708099422197</v>
      </c>
    </row>
    <row r="288" spans="1:4" x14ac:dyDescent="0.25">
      <c r="A288" s="37">
        <v>-159</v>
      </c>
      <c r="B288" s="51">
        <v>-419.07242139714447</v>
      </c>
      <c r="C288" s="51">
        <v>88.646699665936424</v>
      </c>
      <c r="D288" s="50">
        <f t="shared" si="36"/>
        <v>168.05624624120466</v>
      </c>
    </row>
    <row r="289" spans="1:4" x14ac:dyDescent="0.25">
      <c r="A289" s="37">
        <v>-160</v>
      </c>
      <c r="B289" s="51">
        <v>-423.6823533711123</v>
      </c>
      <c r="C289" s="51">
        <v>84.581429916445671</v>
      </c>
      <c r="D289" s="50">
        <f t="shared" si="36"/>
        <v>168.71022914227413</v>
      </c>
    </row>
    <row r="290" spans="1:4" x14ac:dyDescent="0.25">
      <c r="A290" s="38">
        <v>-161</v>
      </c>
      <c r="B290" s="51">
        <v>-428.32789169509704</v>
      </c>
      <c r="C290" s="51">
        <v>80.469632445100189</v>
      </c>
      <c r="D290" s="50">
        <f t="shared" si="36"/>
        <v>169.35990909250464</v>
      </c>
    </row>
    <row r="291" spans="1:4" x14ac:dyDescent="0.25">
      <c r="A291" s="38">
        <v>-162</v>
      </c>
      <c r="B291" s="51">
        <v>-433.01597203717085</v>
      </c>
      <c r="C291" s="51">
        <v>76.305861128707548</v>
      </c>
      <c r="D291" s="50">
        <f t="shared" si="36"/>
        <v>170.00597221786765</v>
      </c>
    </row>
    <row r="292" spans="1:4" x14ac:dyDescent="0.25">
      <c r="A292" s="37">
        <v>-163</v>
      </c>
      <c r="B292" s="51">
        <v>-437.7546095879589</v>
      </c>
      <c r="C292" s="51">
        <v>72.08376614834917</v>
      </c>
      <c r="D292" s="50">
        <f t="shared" si="36"/>
        <v>170.64918616956902</v>
      </c>
    </row>
    <row r="293" spans="1:4" x14ac:dyDescent="0.25">
      <c r="A293" s="37">
        <v>-164</v>
      </c>
      <c r="B293" s="51">
        <v>-443.47989856619711</v>
      </c>
      <c r="C293" s="51">
        <v>69.266724330209584</v>
      </c>
      <c r="D293" s="50">
        <f t="shared" si="36"/>
        <v>171.12274727499701</v>
      </c>
    </row>
    <row r="294" spans="1:4" x14ac:dyDescent="0.25">
      <c r="A294" s="38">
        <v>-165</v>
      </c>
      <c r="B294" s="51">
        <v>-448.37963274988704</v>
      </c>
      <c r="C294" s="51">
        <v>64.899324860291642</v>
      </c>
      <c r="D294" s="50">
        <f t="shared" si="36"/>
        <v>171.7640962136314</v>
      </c>
    </row>
    <row r="295" spans="1:4" x14ac:dyDescent="0.25">
      <c r="A295" s="38">
        <v>-166</v>
      </c>
      <c r="B295" s="51">
        <v>-452.75704135502258</v>
      </c>
      <c r="C295" s="51">
        <v>61.245550287716974</v>
      </c>
      <c r="D295" s="50">
        <f t="shared" si="36"/>
        <v>172.29622244451625</v>
      </c>
    </row>
    <row r="296" spans="1:4" x14ac:dyDescent="0.25">
      <c r="A296" s="37">
        <v>-167</v>
      </c>
      <c r="B296" s="51">
        <v>-457.13799659620582</v>
      </c>
      <c r="C296" s="51">
        <v>57.639142640574946</v>
      </c>
      <c r="D296" s="50">
        <f t="shared" si="36"/>
        <v>172.81367149291688</v>
      </c>
    </row>
    <row r="297" spans="1:4" x14ac:dyDescent="0.25">
      <c r="A297" s="37">
        <v>-168</v>
      </c>
      <c r="B297" s="51">
        <v>-461.61982417583613</v>
      </c>
      <c r="C297" s="51">
        <v>53.959264459636024</v>
      </c>
      <c r="D297" s="50">
        <f t="shared" si="36"/>
        <v>173.33288698588967</v>
      </c>
    </row>
    <row r="298" spans="1:4" x14ac:dyDescent="0.25">
      <c r="A298" s="38">
        <v>-169</v>
      </c>
      <c r="B298" s="51">
        <v>-466.21434567773173</v>
      </c>
      <c r="C298" s="51">
        <v>50.196986442349008</v>
      </c>
      <c r="D298" s="50">
        <f t="shared" si="36"/>
        <v>173.85467574967799</v>
      </c>
    </row>
    <row r="299" spans="1:4" x14ac:dyDescent="0.25">
      <c r="A299" s="38">
        <v>-170</v>
      </c>
      <c r="B299" s="51">
        <v>-470.93367599717584</v>
      </c>
      <c r="C299" s="51">
        <v>46.343537999175439</v>
      </c>
      <c r="D299" s="50">
        <f t="shared" si="36"/>
        <v>174.379745222466</v>
      </c>
    </row>
    <row r="300" spans="1:4" x14ac:dyDescent="0.25">
      <c r="A300" s="37">
        <v>-171</v>
      </c>
      <c r="B300" s="51">
        <v>-475.79129817879596</v>
      </c>
      <c r="C300" s="51">
        <v>42.388491788931418</v>
      </c>
      <c r="D300" s="50">
        <f t="shared" si="36"/>
        <v>174.90893058061965</v>
      </c>
    </row>
    <row r="301" spans="1:4" x14ac:dyDescent="0.25">
      <c r="A301" s="37">
        <v>-172</v>
      </c>
      <c r="B301" s="51">
        <v>-480.80142410940675</v>
      </c>
      <c r="C301" s="51">
        <v>38.321277167206475</v>
      </c>
      <c r="D301" s="50">
        <f t="shared" si="36"/>
        <v>175.44299235731685</v>
      </c>
    </row>
    <row r="302" spans="1:4" x14ac:dyDescent="0.25">
      <c r="A302" s="38">
        <v>-173</v>
      </c>
      <c r="B302" s="51">
        <v>-485.97966737507744</v>
      </c>
      <c r="C302" s="51">
        <v>34.129539572702186</v>
      </c>
      <c r="D302" s="50">
        <f t="shared" si="36"/>
        <v>175.98280881551256</v>
      </c>
    </row>
    <row r="303" spans="1:4" x14ac:dyDescent="0.25">
      <c r="A303" s="38">
        <v>-174</v>
      </c>
      <c r="B303" s="51">
        <v>-489.76191622483248</v>
      </c>
      <c r="C303" s="51">
        <v>29.674081350235166</v>
      </c>
      <c r="D303" s="50">
        <f t="shared" si="36"/>
        <v>176.5327567167661</v>
      </c>
    </row>
    <row r="304" spans="1:4" x14ac:dyDescent="0.25">
      <c r="A304" s="37">
        <v>-175</v>
      </c>
      <c r="B304" s="51">
        <v>-491.42508766362567</v>
      </c>
      <c r="C304" s="51">
        <v>24.951171562326177</v>
      </c>
      <c r="D304" s="50">
        <f t="shared" si="36"/>
        <v>177.09341199495611</v>
      </c>
    </row>
    <row r="305" spans="1:4" x14ac:dyDescent="0.25">
      <c r="A305" s="37">
        <v>-176</v>
      </c>
      <c r="B305" s="51">
        <v>-493.09153172247693</v>
      </c>
      <c r="C305" s="51">
        <v>20.151106564984168</v>
      </c>
      <c r="D305" s="50">
        <f t="shared" si="36"/>
        <v>177.659803147232</v>
      </c>
    </row>
    <row r="306" spans="1:4" x14ac:dyDescent="0.25">
      <c r="A306" s="38">
        <v>-177</v>
      </c>
      <c r="B306" s="51">
        <v>-494.76456994119172</v>
      </c>
      <c r="C306" s="51">
        <v>15.265491508584157</v>
      </c>
      <c r="D306" s="50">
        <f t="shared" si="36"/>
        <v>178.23275371730662</v>
      </c>
    </row>
    <row r="307" spans="1:4" x14ac:dyDescent="0.25">
      <c r="A307" s="38">
        <v>-178</v>
      </c>
      <c r="B307" s="51">
        <v>-496.4585423645018</v>
      </c>
      <c r="C307" s="51">
        <v>10.285054767992523</v>
      </c>
      <c r="D307" s="50">
        <f t="shared" si="36"/>
        <v>178.81318197528483</v>
      </c>
    </row>
    <row r="308" spans="1:4" x14ac:dyDescent="0.25">
      <c r="A308" s="37">
        <v>-179</v>
      </c>
      <c r="B308" s="51">
        <v>-498.17250938439616</v>
      </c>
      <c r="C308" s="51">
        <v>5.2001306805183409</v>
      </c>
      <c r="D308" s="50">
        <f t="shared" si="36"/>
        <v>179.40194467864904</v>
      </c>
    </row>
    <row r="309" spans="1:4" x14ac:dyDescent="0.25">
      <c r="A309" s="37">
        <v>-180</v>
      </c>
      <c r="B309" s="51">
        <v>-499.91668903896789</v>
      </c>
      <c r="C309" s="51">
        <v>6.1247215915912464E-14</v>
      </c>
      <c r="D309" s="50">
        <f t="shared" si="36"/>
        <v>180</v>
      </c>
    </row>
    <row r="310" spans="1:4" x14ac:dyDescent="0.25">
      <c r="A310" s="38">
        <v>-181</v>
      </c>
      <c r="B310" s="51">
        <v>-498.17250938439599</v>
      </c>
      <c r="C310" s="51">
        <v>-5.2001306805183525</v>
      </c>
      <c r="D310" s="50">
        <f t="shared" si="36"/>
        <v>180.59805532135096</v>
      </c>
    </row>
    <row r="311" spans="1:4" x14ac:dyDescent="0.25">
      <c r="A311" s="38">
        <v>-182</v>
      </c>
      <c r="B311" s="51">
        <v>-496.4585423645018</v>
      </c>
      <c r="C311" s="51">
        <v>-10.285054767992449</v>
      </c>
      <c r="D311" s="50">
        <f t="shared" si="36"/>
        <v>181.18681802471514</v>
      </c>
    </row>
    <row r="312" spans="1:4" x14ac:dyDescent="0.25">
      <c r="A312" s="37">
        <v>-183</v>
      </c>
      <c r="B312" s="51">
        <v>-494.76456994119178</v>
      </c>
      <c r="C312" s="51">
        <v>-15.265491508584036</v>
      </c>
      <c r="D312" s="50">
        <f t="shared" si="36"/>
        <v>181.76724628269335</v>
      </c>
    </row>
    <row r="313" spans="1:4" x14ac:dyDescent="0.25">
      <c r="A313" s="37">
        <v>-184</v>
      </c>
      <c r="B313" s="51">
        <v>-493.09153172247693</v>
      </c>
      <c r="C313" s="51">
        <v>-20.151106564984079</v>
      </c>
      <c r="D313" s="50">
        <f t="shared" si="36"/>
        <v>182.340196852768</v>
      </c>
    </row>
    <row r="314" spans="1:4" x14ac:dyDescent="0.25">
      <c r="A314" s="38">
        <v>-185</v>
      </c>
      <c r="B314" s="51">
        <v>-491.42508766362567</v>
      </c>
      <c r="C314" s="51">
        <v>-24.951171562326074</v>
      </c>
      <c r="D314" s="50">
        <f t="shared" si="36"/>
        <v>182.90658800504386</v>
      </c>
    </row>
    <row r="315" spans="1:4" x14ac:dyDescent="0.25">
      <c r="A315" s="38">
        <v>-186</v>
      </c>
      <c r="B315" s="51">
        <v>-489.76191622483225</v>
      </c>
      <c r="C315" s="51">
        <v>-29.674081350235113</v>
      </c>
      <c r="D315" s="50">
        <f t="shared" si="36"/>
        <v>183.4672432832339</v>
      </c>
    </row>
    <row r="316" spans="1:4" x14ac:dyDescent="0.25">
      <c r="A316" s="37">
        <v>-187</v>
      </c>
      <c r="B316" s="51">
        <v>-485.97966737507772</v>
      </c>
      <c r="C316" s="51">
        <v>-34.129539572702129</v>
      </c>
      <c r="D316" s="50">
        <f t="shared" si="36"/>
        <v>184.01719118448744</v>
      </c>
    </row>
    <row r="317" spans="1:4" x14ac:dyDescent="0.25">
      <c r="A317" s="37">
        <v>-188</v>
      </c>
      <c r="B317" s="51">
        <v>-480.8014241094067</v>
      </c>
      <c r="C317" s="51">
        <v>-38.321277167206546</v>
      </c>
      <c r="D317" s="50">
        <f t="shared" si="36"/>
        <v>184.55700764268315</v>
      </c>
    </row>
    <row r="318" spans="1:4" x14ac:dyDescent="0.25">
      <c r="A318" s="38">
        <v>-189</v>
      </c>
      <c r="B318" s="51">
        <v>-475.79129817879641</v>
      </c>
      <c r="C318" s="51">
        <v>-42.388491788931383</v>
      </c>
      <c r="D318" s="50">
        <f t="shared" si="36"/>
        <v>185.09106941938032</v>
      </c>
    </row>
    <row r="319" spans="1:4" x14ac:dyDescent="0.25">
      <c r="A319" s="38">
        <v>-190</v>
      </c>
      <c r="B319" s="51">
        <v>-470.93367599717584</v>
      </c>
      <c r="C319" s="51">
        <v>-46.343537999175496</v>
      </c>
      <c r="D319" s="50">
        <f t="shared" si="36"/>
        <v>185.620254777534</v>
      </c>
    </row>
    <row r="320" spans="1:4" x14ac:dyDescent="0.25">
      <c r="A320" s="37">
        <v>-191</v>
      </c>
      <c r="B320" s="51">
        <v>-466.21434567773173</v>
      </c>
      <c r="C320" s="51">
        <v>-50.19698644234893</v>
      </c>
      <c r="D320" s="50">
        <f t="shared" si="36"/>
        <v>186.14532425032198</v>
      </c>
    </row>
    <row r="321" spans="1:4" x14ac:dyDescent="0.25">
      <c r="A321" s="37">
        <v>-192</v>
      </c>
      <c r="B321" s="51">
        <v>-461.6198241758359</v>
      </c>
      <c r="C321" s="51">
        <v>-53.959264459636088</v>
      </c>
      <c r="D321" s="50">
        <f t="shared" si="36"/>
        <v>186.66711301411033</v>
      </c>
    </row>
    <row r="322" spans="1:4" x14ac:dyDescent="0.25">
      <c r="A322" s="38">
        <v>-193</v>
      </c>
      <c r="B322" s="51">
        <v>-457.13799659620599</v>
      </c>
      <c r="C322" s="51">
        <v>-57.639142640574832</v>
      </c>
      <c r="D322" s="50">
        <f t="shared" ref="D322:D385" si="37">IF(DEGREES(ATAN2(B322,C322))&lt;0,DEGREES(ATAN2(B322,C322))+360,DEGREES(ATAN2(B322,C322)))</f>
        <v>187.18632850708309</v>
      </c>
    </row>
    <row r="323" spans="1:4" x14ac:dyDescent="0.25">
      <c r="A323" s="38">
        <v>-194</v>
      </c>
      <c r="B323" s="51">
        <v>-452.75704135502252</v>
      </c>
      <c r="C323" s="51">
        <v>-61.245550287716881</v>
      </c>
      <c r="D323" s="50">
        <f t="shared" si="37"/>
        <v>187.70377755548373</v>
      </c>
    </row>
    <row r="324" spans="1:4" x14ac:dyDescent="0.25">
      <c r="A324" s="37">
        <v>-195</v>
      </c>
      <c r="B324" s="51">
        <v>-448.37963274988743</v>
      </c>
      <c r="C324" s="51">
        <v>-64.899324860291642</v>
      </c>
      <c r="D324" s="50">
        <f t="shared" si="37"/>
        <v>188.2359037863686</v>
      </c>
    </row>
    <row r="325" spans="1:4" x14ac:dyDescent="0.25">
      <c r="A325" s="37">
        <v>-196</v>
      </c>
      <c r="B325" s="51">
        <v>-443.47989856619699</v>
      </c>
      <c r="C325" s="51">
        <v>-69.266724330209541</v>
      </c>
      <c r="D325" s="50">
        <f t="shared" si="37"/>
        <v>188.87725272500299</v>
      </c>
    </row>
    <row r="326" spans="1:4" x14ac:dyDescent="0.25">
      <c r="A326" s="38">
        <v>-197</v>
      </c>
      <c r="B326" s="51">
        <v>-437.75460958795867</v>
      </c>
      <c r="C326" s="51">
        <v>-72.083766148349198</v>
      </c>
      <c r="D326" s="50">
        <f t="shared" si="37"/>
        <v>189.35081383043098</v>
      </c>
    </row>
    <row r="327" spans="1:4" x14ac:dyDescent="0.25">
      <c r="A327" s="38">
        <v>-198</v>
      </c>
      <c r="B327" s="51">
        <v>-433.01597203717097</v>
      </c>
      <c r="C327" s="51">
        <v>-76.305861128707548</v>
      </c>
      <c r="D327" s="50">
        <f t="shared" si="37"/>
        <v>189.99402778213235</v>
      </c>
    </row>
    <row r="328" spans="1:4" x14ac:dyDescent="0.25">
      <c r="A328" s="37">
        <v>-199</v>
      </c>
      <c r="B328" s="51">
        <v>-428.32789169509709</v>
      </c>
      <c r="C328" s="51">
        <v>-80.469632445100302</v>
      </c>
      <c r="D328" s="50">
        <f t="shared" si="37"/>
        <v>190.64009090749536</v>
      </c>
    </row>
    <row r="329" spans="1:4" x14ac:dyDescent="0.25">
      <c r="A329" s="37">
        <v>-200</v>
      </c>
      <c r="B329" s="51">
        <v>-423.68235337111247</v>
      </c>
      <c r="C329" s="51">
        <v>-84.581429916445629</v>
      </c>
      <c r="D329" s="50">
        <f t="shared" si="37"/>
        <v>191.28977085772587</v>
      </c>
    </row>
    <row r="330" spans="1:4" x14ac:dyDescent="0.25">
      <c r="A330" s="38">
        <v>-201</v>
      </c>
      <c r="B330" s="51">
        <v>-419.0724213971443</v>
      </c>
      <c r="C330" s="51">
        <v>-88.646699665936524</v>
      </c>
      <c r="D330" s="50">
        <f t="shared" si="37"/>
        <v>191.94375375879534</v>
      </c>
    </row>
    <row r="331" spans="1:4" x14ac:dyDescent="0.25">
      <c r="A331" s="38">
        <v>-202</v>
      </c>
      <c r="B331" s="51">
        <v>-414.48990774821232</v>
      </c>
      <c r="C331" s="51">
        <v>-92.671643316383609</v>
      </c>
      <c r="D331" s="50">
        <f t="shared" si="37"/>
        <v>192.60291900577803</v>
      </c>
    </row>
    <row r="332" spans="1:4" x14ac:dyDescent="0.25">
      <c r="A332" s="37">
        <v>-203</v>
      </c>
      <c r="B332" s="51">
        <v>-409.92886932230761</v>
      </c>
      <c r="C332" s="51">
        <v>-96.660809551098808</v>
      </c>
      <c r="D332" s="50">
        <f t="shared" si="37"/>
        <v>193.26792589426952</v>
      </c>
    </row>
    <row r="333" spans="1:4" x14ac:dyDescent="0.25">
      <c r="A333" s="37">
        <v>-204</v>
      </c>
      <c r="B333" s="51">
        <v>-407.04702298635664</v>
      </c>
      <c r="C333" s="51">
        <v>-99.507685602875824</v>
      </c>
      <c r="D333" s="50">
        <f t="shared" si="37"/>
        <v>193.73723820271067</v>
      </c>
    </row>
    <row r="334" spans="1:4" x14ac:dyDescent="0.25">
      <c r="A334" s="38">
        <v>-205</v>
      </c>
      <c r="B334" s="51">
        <v>-402.47229847444601</v>
      </c>
      <c r="C334" s="51">
        <v>-103.45900745473932</v>
      </c>
      <c r="D334" s="50">
        <f t="shared" si="37"/>
        <v>194.41625046134774</v>
      </c>
    </row>
    <row r="335" spans="1:4" x14ac:dyDescent="0.25">
      <c r="A335" s="38">
        <v>-206</v>
      </c>
      <c r="B335" s="51">
        <v>-397.89541494064571</v>
      </c>
      <c r="C335" s="51">
        <v>-107.39105074876431</v>
      </c>
      <c r="D335" s="50">
        <f t="shared" si="37"/>
        <v>195.1041109995985</v>
      </c>
    </row>
    <row r="336" spans="1:4" x14ac:dyDescent="0.25">
      <c r="A336" s="37">
        <v>-207</v>
      </c>
      <c r="B336" s="51">
        <v>-393.31319641996151</v>
      </c>
      <c r="C336" s="51">
        <v>-111.3062595495888</v>
      </c>
      <c r="D336" s="50">
        <f t="shared" si="37"/>
        <v>195.80132761150011</v>
      </c>
    </row>
    <row r="337" spans="1:4" x14ac:dyDescent="0.25">
      <c r="A337" s="37">
        <v>-208</v>
      </c>
      <c r="B337" s="51">
        <v>-388.71457870248429</v>
      </c>
      <c r="C337" s="51">
        <v>-115.21172117948349</v>
      </c>
      <c r="D337" s="50">
        <f t="shared" si="37"/>
        <v>196.50937905740042</v>
      </c>
    </row>
    <row r="338" spans="1:4" x14ac:dyDescent="0.25">
      <c r="A338" s="38">
        <v>-209</v>
      </c>
      <c r="B338" s="51">
        <v>-384.09304660833425</v>
      </c>
      <c r="C338" s="51">
        <v>-119.11164249782217</v>
      </c>
      <c r="D338" s="50">
        <f t="shared" si="37"/>
        <v>197.22926052545719</v>
      </c>
    </row>
    <row r="339" spans="1:4" x14ac:dyDescent="0.25">
      <c r="A339" s="38">
        <v>-210</v>
      </c>
      <c r="B339" s="51">
        <v>-378.82511627355973</v>
      </c>
      <c r="C339" s="51">
        <v>-123.4068029641806</v>
      </c>
      <c r="D339" s="50">
        <f t="shared" si="37"/>
        <v>198.04363781758053</v>
      </c>
    </row>
    <row r="340" spans="1:4" x14ac:dyDescent="0.25">
      <c r="A340" s="37">
        <v>-211</v>
      </c>
      <c r="B340" s="51">
        <v>-372.98243218300928</v>
      </c>
      <c r="C340" s="51">
        <v>-128.04598165537175</v>
      </c>
      <c r="D340" s="50">
        <f t="shared" si="37"/>
        <v>198.94749910052474</v>
      </c>
    </row>
    <row r="341" spans="1:4" x14ac:dyDescent="0.25">
      <c r="A341" s="37">
        <v>-212</v>
      </c>
      <c r="B341" s="51">
        <v>-367.09527093151621</v>
      </c>
      <c r="C341" s="51">
        <v>-132.68540633987723</v>
      </c>
      <c r="D341" s="50">
        <f t="shared" si="37"/>
        <v>199.87222670976334</v>
      </c>
    </row>
    <row r="342" spans="1:4" x14ac:dyDescent="0.25">
      <c r="A342" s="38">
        <v>-213</v>
      </c>
      <c r="B342" s="51">
        <v>-361.33124876338576</v>
      </c>
      <c r="C342" s="51">
        <v>-137.19439591426155</v>
      </c>
      <c r="D342" s="50">
        <f t="shared" si="37"/>
        <v>200.79134290417394</v>
      </c>
    </row>
    <row r="343" spans="1:4" x14ac:dyDescent="0.25">
      <c r="A343" s="38">
        <v>-214</v>
      </c>
      <c r="B343" s="51">
        <v>-355.75825572938606</v>
      </c>
      <c r="C343" s="51">
        <v>-141.52650548515655</v>
      </c>
      <c r="D343" s="50">
        <f t="shared" si="37"/>
        <v>201.69347911028714</v>
      </c>
    </row>
    <row r="344" spans="1:4" x14ac:dyDescent="0.25">
      <c r="A344" s="37">
        <v>-215</v>
      </c>
      <c r="B344" s="51">
        <v>-350.35716833071029</v>
      </c>
      <c r="C344" s="51">
        <v>-145.70287895640101</v>
      </c>
      <c r="D344" s="50">
        <f t="shared" si="37"/>
        <v>202.58093878712847</v>
      </c>
    </row>
    <row r="345" spans="1:4" x14ac:dyDescent="0.25">
      <c r="A345" s="37">
        <v>-216</v>
      </c>
      <c r="B345" s="51">
        <v>-345.11196685818737</v>
      </c>
      <c r="C345" s="51">
        <v>-149.74178121354063</v>
      </c>
      <c r="D345" s="50">
        <f t="shared" si="37"/>
        <v>203.4557003892827</v>
      </c>
    </row>
    <row r="346" spans="1:4" x14ac:dyDescent="0.25">
      <c r="A346" s="38">
        <v>-217</v>
      </c>
      <c r="B346" s="51">
        <v>-340.00806413751195</v>
      </c>
      <c r="C346" s="51">
        <v>-153.65963189534196</v>
      </c>
      <c r="D346" s="50">
        <f t="shared" si="37"/>
        <v>204.31960826056431</v>
      </c>
    </row>
    <row r="347" spans="1:4" x14ac:dyDescent="0.25">
      <c r="A347" s="38">
        <v>-218</v>
      </c>
      <c r="B347" s="51">
        <v>-335.03083746757494</v>
      </c>
      <c r="C347" s="51">
        <v>-157.47164657045565</v>
      </c>
      <c r="D347" s="50">
        <f t="shared" si="37"/>
        <v>205.17452646063083</v>
      </c>
    </row>
    <row r="348" spans="1:4" x14ac:dyDescent="0.25">
      <c r="A348" s="37">
        <v>-219</v>
      </c>
      <c r="B348" s="51">
        <v>-330.1692766501086</v>
      </c>
      <c r="C348" s="51">
        <v>-161.1909716761142</v>
      </c>
      <c r="D348" s="50">
        <f t="shared" si="37"/>
        <v>206.02195691783055</v>
      </c>
    </row>
    <row r="349" spans="1:4" x14ac:dyDescent="0.25">
      <c r="A349" s="37">
        <v>-220</v>
      </c>
      <c r="B349" s="51">
        <v>-325.40831829260446</v>
      </c>
      <c r="C349" s="51">
        <v>-164.83089273354207</v>
      </c>
      <c r="D349" s="50">
        <f t="shared" si="37"/>
        <v>206.86383649735328</v>
      </c>
    </row>
    <row r="350" spans="1:4" x14ac:dyDescent="0.25">
      <c r="A350" s="38">
        <v>-221</v>
      </c>
      <c r="B350" s="51">
        <v>-320.7386710935254</v>
      </c>
      <c r="C350" s="51">
        <v>-168.4024450343633</v>
      </c>
      <c r="D350" s="50">
        <f t="shared" si="37"/>
        <v>207.70152331664872</v>
      </c>
    </row>
    <row r="351" spans="1:4" x14ac:dyDescent="0.25">
      <c r="A351" s="38">
        <v>-222</v>
      </c>
      <c r="B351" s="51">
        <v>-316.14807974423729</v>
      </c>
      <c r="C351" s="51">
        <v>-171.91667145973668</v>
      </c>
      <c r="D351" s="50">
        <f t="shared" si="37"/>
        <v>208.53669661375238</v>
      </c>
    </row>
    <row r="352" spans="1:4" x14ac:dyDescent="0.25">
      <c r="A352" s="37">
        <v>-223</v>
      </c>
      <c r="B352" s="51">
        <v>-311.62837437606612</v>
      </c>
      <c r="C352" s="51">
        <v>-175.38328291378068</v>
      </c>
      <c r="D352" s="50">
        <f t="shared" si="37"/>
        <v>209.37064634929192</v>
      </c>
    </row>
    <row r="353" spans="1:4" x14ac:dyDescent="0.25">
      <c r="A353" s="37">
        <v>-224</v>
      </c>
      <c r="B353" s="51">
        <v>-307.1672443650707</v>
      </c>
      <c r="C353" s="51">
        <v>-178.81218981009854</v>
      </c>
      <c r="D353" s="50">
        <f t="shared" si="37"/>
        <v>210.2050971352536</v>
      </c>
    </row>
    <row r="354" spans="1:4" x14ac:dyDescent="0.25">
      <c r="A354" s="38">
        <v>-225</v>
      </c>
      <c r="B354" s="51">
        <v>-302.75728209481144</v>
      </c>
      <c r="C354" s="51">
        <v>-182.21218629343994</v>
      </c>
      <c r="D354" s="50">
        <f t="shared" si="37"/>
        <v>211.0413147395127</v>
      </c>
    </row>
    <row r="355" spans="1:4" x14ac:dyDescent="0.25">
      <c r="A355" s="38">
        <v>-226</v>
      </c>
      <c r="B355" s="51">
        <v>-298.38799849360709</v>
      </c>
      <c r="C355" s="51">
        <v>-185.59217348225081</v>
      </c>
      <c r="D355" s="50">
        <f t="shared" si="37"/>
        <v>211.88089749986878</v>
      </c>
    </row>
    <row r="356" spans="1:4" x14ac:dyDescent="0.25">
      <c r="A356" s="37">
        <v>-227</v>
      </c>
      <c r="B356" s="51">
        <v>-294.05022508771452</v>
      </c>
      <c r="C356" s="51">
        <v>-188.96063908917955</v>
      </c>
      <c r="D356" s="50">
        <f t="shared" si="37"/>
        <v>212.72534682920275</v>
      </c>
    </row>
    <row r="357" spans="1:4" x14ac:dyDescent="0.25">
      <c r="A357" s="37">
        <v>-228</v>
      </c>
      <c r="B357" s="51">
        <v>-289.44458749462211</v>
      </c>
      <c r="C357" s="51">
        <v>-192.32699122565216</v>
      </c>
      <c r="D357" s="50">
        <f t="shared" si="37"/>
        <v>213.60281064930768</v>
      </c>
    </row>
    <row r="358" spans="1:4" x14ac:dyDescent="0.25">
      <c r="A358" s="38">
        <v>-229</v>
      </c>
      <c r="B358" s="51">
        <v>-284.75660570348714</v>
      </c>
      <c r="C358" s="51">
        <v>-195.69717148575921</v>
      </c>
      <c r="D358" s="50">
        <f t="shared" si="37"/>
        <v>214.49854846458268</v>
      </c>
    </row>
    <row r="359" spans="1:4" x14ac:dyDescent="0.25">
      <c r="A359" s="38">
        <v>-230</v>
      </c>
      <c r="B359" s="51">
        <v>-280.08654597400425</v>
      </c>
      <c r="C359" s="51">
        <v>-199.0789729655317</v>
      </c>
      <c r="D359" s="50">
        <f t="shared" si="37"/>
        <v>215.40432544923723</v>
      </c>
    </row>
    <row r="360" spans="1:4" x14ac:dyDescent="0.25">
      <c r="A360" s="37">
        <v>-231</v>
      </c>
      <c r="B360" s="51">
        <v>-275.42406256891098</v>
      </c>
      <c r="C360" s="51">
        <v>-202.48099805971952</v>
      </c>
      <c r="D360" s="50">
        <f t="shared" si="37"/>
        <v>216.32187088843312</v>
      </c>
    </row>
    <row r="361" spans="1:4" x14ac:dyDescent="0.25">
      <c r="A361" s="37">
        <v>-232</v>
      </c>
      <c r="B361" s="51">
        <v>-270.7588772421787</v>
      </c>
      <c r="C361" s="51">
        <v>-205.91191376707576</v>
      </c>
      <c r="D361" s="50">
        <f t="shared" si="37"/>
        <v>217.25296029396125</v>
      </c>
    </row>
    <row r="362" spans="1:4" x14ac:dyDescent="0.25">
      <c r="A362" s="38">
        <v>-233</v>
      </c>
      <c r="B362" s="51">
        <v>-266.08088538251707</v>
      </c>
      <c r="C362" s="51">
        <v>-209.38078044974631</v>
      </c>
      <c r="D362" s="50">
        <f t="shared" si="37"/>
        <v>218.19943754975952</v>
      </c>
    </row>
    <row r="363" spans="1:4" x14ac:dyDescent="0.25">
      <c r="A363" s="38">
        <v>-234</v>
      </c>
      <c r="B363" s="51">
        <v>-261.40702686992432</v>
      </c>
      <c r="C363" s="51">
        <v>-211.69854886829324</v>
      </c>
      <c r="D363" s="50">
        <f t="shared" si="37"/>
        <v>219.0020269349003</v>
      </c>
    </row>
    <row r="364" spans="1:4" x14ac:dyDescent="0.25">
      <c r="A364" s="37">
        <v>-235</v>
      </c>
      <c r="B364" s="51">
        <v>-256.66330514692993</v>
      </c>
      <c r="C364" s="51">
        <v>-215.27494973316291</v>
      </c>
      <c r="D364" s="50">
        <f t="shared" si="37"/>
        <v>219.98805935775385</v>
      </c>
    </row>
    <row r="365" spans="1:4" x14ac:dyDescent="0.25">
      <c r="A365" s="37">
        <v>-236</v>
      </c>
      <c r="B365" s="51">
        <v>-251.87064281098873</v>
      </c>
      <c r="C365" s="51">
        <v>-218.91810788141748</v>
      </c>
      <c r="D365" s="50">
        <f t="shared" si="37"/>
        <v>220.99615134114333</v>
      </c>
    </row>
    <row r="366" spans="1:4" x14ac:dyDescent="0.25">
      <c r="A366" s="38">
        <v>-237</v>
      </c>
      <c r="B366" s="51">
        <v>-247.01561613384933</v>
      </c>
      <c r="C366" s="51">
        <v>-222.63918014170673</v>
      </c>
      <c r="D366" s="50">
        <f t="shared" si="37"/>
        <v>222.02885018566374</v>
      </c>
    </row>
    <row r="367" spans="1:4" x14ac:dyDescent="0.25">
      <c r="A367" s="38">
        <v>-238</v>
      </c>
      <c r="B367" s="51">
        <v>-242.08332093506695</v>
      </c>
      <c r="C367" s="51">
        <v>-226.44981679792451</v>
      </c>
      <c r="D367" s="50">
        <f t="shared" si="37"/>
        <v>223.08892576887732</v>
      </c>
    </row>
    <row r="368" spans="1:4" x14ac:dyDescent="0.25">
      <c r="A368" s="37">
        <v>-239</v>
      </c>
      <c r="B368" s="51">
        <v>-238.90348944054674</v>
      </c>
      <c r="C368" s="51">
        <v>-230.32974077379774</v>
      </c>
      <c r="D368" s="50">
        <f t="shared" si="37"/>
        <v>223.95321787937414</v>
      </c>
    </row>
    <row r="369" spans="1:4" x14ac:dyDescent="0.25">
      <c r="A369" s="37">
        <v>-240</v>
      </c>
      <c r="B369" s="51">
        <v>-233.77574986838079</v>
      </c>
      <c r="C369" s="51">
        <v>-234.35684689448541</v>
      </c>
      <c r="D369" s="50">
        <f t="shared" si="37"/>
        <v>225.07112170827904</v>
      </c>
    </row>
    <row r="370" spans="1:4" x14ac:dyDescent="0.25">
      <c r="A370" s="38">
        <v>-241</v>
      </c>
      <c r="B370" s="51">
        <v>-228.517092987307</v>
      </c>
      <c r="C370" s="51">
        <v>-238.51571439729909</v>
      </c>
      <c r="D370" s="50">
        <f t="shared" si="37"/>
        <v>226.22644769014846</v>
      </c>
    </row>
    <row r="371" spans="1:4" x14ac:dyDescent="0.25">
      <c r="A371" s="38">
        <v>-242</v>
      </c>
      <c r="B371" s="51">
        <v>-223.10478296385247</v>
      </c>
      <c r="C371" s="51">
        <v>-242.82318554009785</v>
      </c>
      <c r="D371" s="50">
        <f t="shared" si="37"/>
        <v>227.42335200110696</v>
      </c>
    </row>
    <row r="372" spans="1:4" x14ac:dyDescent="0.25">
      <c r="A372" s="37">
        <v>-243</v>
      </c>
      <c r="B372" s="51">
        <v>-217.51251049948709</v>
      </c>
      <c r="C372" s="51">
        <v>-247.29847491649727</v>
      </c>
      <c r="D372" s="50">
        <f t="shared" si="37"/>
        <v>228.66660811453863</v>
      </c>
    </row>
    <row r="373" spans="1:4" x14ac:dyDescent="0.25">
      <c r="A373" s="37">
        <v>-244</v>
      </c>
      <c r="B373" s="51">
        <v>-211.71562266810366</v>
      </c>
      <c r="C373" s="51">
        <v>-251.84886781157005</v>
      </c>
      <c r="D373" s="50">
        <f t="shared" si="37"/>
        <v>229.94806280451544</v>
      </c>
    </row>
    <row r="374" spans="1:4" x14ac:dyDescent="0.25">
      <c r="A374" s="38">
        <v>-245</v>
      </c>
      <c r="B374" s="51">
        <v>-205.69201498889646</v>
      </c>
      <c r="C374" s="51">
        <v>-256.33611646975828</v>
      </c>
      <c r="D374" s="50">
        <f t="shared" si="37"/>
        <v>231.25536614548813</v>
      </c>
    </row>
    <row r="375" spans="1:4" x14ac:dyDescent="0.25">
      <c r="A375" s="38">
        <v>-246</v>
      </c>
      <c r="B375" s="51">
        <v>-199.39375987133715</v>
      </c>
      <c r="C375" s="51">
        <v>-261.03459805417435</v>
      </c>
      <c r="D375" s="50">
        <f t="shared" si="37"/>
        <v>232.62525555861282</v>
      </c>
    </row>
    <row r="376" spans="1:4" x14ac:dyDescent="0.25">
      <c r="A376" s="37">
        <v>-247</v>
      </c>
      <c r="B376" s="51">
        <v>-192.77470907231461</v>
      </c>
      <c r="C376" s="51">
        <v>-265.97357408214032</v>
      </c>
      <c r="D376" s="50">
        <f t="shared" si="37"/>
        <v>234.06581481142885</v>
      </c>
    </row>
    <row r="377" spans="1:4" x14ac:dyDescent="0.25">
      <c r="A377" s="37">
        <v>-248</v>
      </c>
      <c r="B377" s="51">
        <v>-185.78122187965175</v>
      </c>
      <c r="C377" s="51">
        <v>-271.1847366806652</v>
      </c>
      <c r="D377" s="50">
        <f t="shared" si="37"/>
        <v>235.58602705632643</v>
      </c>
    </row>
    <row r="378" spans="1:4" x14ac:dyDescent="0.25">
      <c r="A378" s="38">
        <v>-249</v>
      </c>
      <c r="B378" s="51">
        <v>-178.34760947880733</v>
      </c>
      <c r="C378" s="51">
        <v>-276.70699001014714</v>
      </c>
      <c r="D378" s="50">
        <f t="shared" si="37"/>
        <v>237.19676347776601</v>
      </c>
    </row>
    <row r="379" spans="1:4" x14ac:dyDescent="0.25">
      <c r="A379" s="38">
        <v>-250</v>
      </c>
      <c r="B379" s="51">
        <v>-170.39549182451873</v>
      </c>
      <c r="C379" s="51">
        <v>-282.58430817739941</v>
      </c>
      <c r="D379" s="50">
        <f t="shared" si="37"/>
        <v>238.91044615746216</v>
      </c>
    </row>
    <row r="380" spans="1:4" x14ac:dyDescent="0.25">
      <c r="A380" s="37">
        <v>-251</v>
      </c>
      <c r="B380" s="51">
        <v>-161.85118673044215</v>
      </c>
      <c r="C380" s="51">
        <v>-288.8529371214882</v>
      </c>
      <c r="D380" s="50">
        <f t="shared" si="37"/>
        <v>240.73705059295241</v>
      </c>
    </row>
    <row r="381" spans="1:4" x14ac:dyDescent="0.25">
      <c r="A381" s="37">
        <v>-252</v>
      </c>
      <c r="B381" s="51">
        <v>-153.44070595847646</v>
      </c>
      <c r="C381" s="51">
        <v>-294.75722025910841</v>
      </c>
      <c r="D381" s="50">
        <f t="shared" si="37"/>
        <v>242.50002918377641</v>
      </c>
    </row>
    <row r="382" spans="1:4" x14ac:dyDescent="0.25">
      <c r="A382" s="38">
        <v>-253</v>
      </c>
      <c r="B382" s="51">
        <v>-145.21144639054535</v>
      </c>
      <c r="C382" s="51">
        <v>-300.30778781160694</v>
      </c>
      <c r="D382" s="50">
        <f t="shared" si="37"/>
        <v>244.19427986203704</v>
      </c>
    </row>
    <row r="383" spans="1:4" x14ac:dyDescent="0.25">
      <c r="A383" s="38">
        <v>-254</v>
      </c>
      <c r="B383" s="51">
        <v>-136.82597521231304</v>
      </c>
      <c r="C383" s="51">
        <v>-305.92063364704103</v>
      </c>
      <c r="D383" s="50">
        <f t="shared" si="37"/>
        <v>245.90295547385472</v>
      </c>
    </row>
    <row r="384" spans="1:4" x14ac:dyDescent="0.25">
      <c r="A384" s="37">
        <v>-255</v>
      </c>
      <c r="B384" s="51">
        <v>-128.26236135269892</v>
      </c>
      <c r="C384" s="51">
        <v>-311.61406471677941</v>
      </c>
      <c r="D384" s="50">
        <f t="shared" si="37"/>
        <v>247.62761789217689</v>
      </c>
    </row>
    <row r="385" spans="1:4" x14ac:dyDescent="0.25">
      <c r="A385" s="37">
        <v>-256</v>
      </c>
      <c r="B385" s="51">
        <v>-121.71473363318049</v>
      </c>
      <c r="C385" s="51">
        <v>-315.30400213904329</v>
      </c>
      <c r="D385" s="50">
        <f t="shared" si="37"/>
        <v>248.89224316658095</v>
      </c>
    </row>
    <row r="386" spans="1:4" x14ac:dyDescent="0.25">
      <c r="A386" s="38">
        <v>-257</v>
      </c>
      <c r="B386" s="51">
        <v>-114.91610300931306</v>
      </c>
      <c r="C386" s="51">
        <v>-319.73544570088001</v>
      </c>
      <c r="D386" s="50">
        <f t="shared" ref="D386:D449" si="38">IF(DEGREES(ATAN2(B386,C386))&lt;0,DEGREES(ATAN2(B386,C386))+360,DEGREES(ATAN2(B386,C386)))</f>
        <v>250.23105750683649</v>
      </c>
    </row>
    <row r="387" spans="1:4" x14ac:dyDescent="0.25">
      <c r="A387" s="38">
        <v>-258</v>
      </c>
      <c r="B387" s="51">
        <v>-107.96789993102932</v>
      </c>
      <c r="C387" s="51">
        <v>-324.26854473895901</v>
      </c>
      <c r="D387" s="50">
        <f t="shared" si="38"/>
        <v>251.58439294861529</v>
      </c>
    </row>
    <row r="388" spans="1:4" x14ac:dyDescent="0.25">
      <c r="A388" s="37">
        <v>-259</v>
      </c>
      <c r="B388" s="51">
        <v>-100.84289912900545</v>
      </c>
      <c r="C388" s="51">
        <v>-328.92789754438809</v>
      </c>
      <c r="D388" s="50">
        <f t="shared" si="38"/>
        <v>252.95547857978619</v>
      </c>
    </row>
    <row r="389" spans="1:4" x14ac:dyDescent="0.25">
      <c r="A389" s="37">
        <v>-260</v>
      </c>
      <c r="B389" s="51">
        <v>-93.514528406547583</v>
      </c>
      <c r="C389" s="51">
        <v>-333.73803488264605</v>
      </c>
      <c r="D389" s="50">
        <f t="shared" si="38"/>
        <v>254.34694798380968</v>
      </c>
    </row>
    <row r="390" spans="1:4" x14ac:dyDescent="0.25">
      <c r="A390" s="38">
        <v>-261</v>
      </c>
      <c r="B390" s="51">
        <v>-85.948533922823117</v>
      </c>
      <c r="C390" s="51">
        <v>-338.72909463189666</v>
      </c>
      <c r="D390" s="50">
        <f t="shared" si="38"/>
        <v>255.76234675528514</v>
      </c>
    </row>
    <row r="391" spans="1:4" x14ac:dyDescent="0.25">
      <c r="A391" s="38">
        <v>-262</v>
      </c>
      <c r="B391" s="51">
        <v>-78.104033291558153</v>
      </c>
      <c r="C391" s="51">
        <v>-343.93577173000273</v>
      </c>
      <c r="D391" s="50">
        <f t="shared" si="38"/>
        <v>257.20574364855037</v>
      </c>
    </row>
    <row r="392" spans="1:4" x14ac:dyDescent="0.25">
      <c r="A392" s="37">
        <v>-263</v>
      </c>
      <c r="B392" s="51">
        <v>-71.709696111806736</v>
      </c>
      <c r="C392" s="51">
        <v>-348.14627413756966</v>
      </c>
      <c r="D392" s="50">
        <f t="shared" si="38"/>
        <v>258.36123146475848</v>
      </c>
    </row>
    <row r="393" spans="1:4" x14ac:dyDescent="0.25">
      <c r="A393" s="37">
        <v>-264</v>
      </c>
      <c r="B393" s="51">
        <v>-63.22367874221257</v>
      </c>
      <c r="C393" s="51">
        <v>-353.84858338006035</v>
      </c>
      <c r="D393" s="50">
        <f t="shared" si="38"/>
        <v>259.8696116560821</v>
      </c>
    </row>
    <row r="394" spans="1:4" x14ac:dyDescent="0.25">
      <c r="A394" s="38">
        <v>-265</v>
      </c>
      <c r="B394" s="51">
        <v>-54.305407515909359</v>
      </c>
      <c r="C394" s="51">
        <v>-359.89505401196652</v>
      </c>
      <c r="D394" s="50">
        <f t="shared" si="38"/>
        <v>261.41923857954657</v>
      </c>
    </row>
    <row r="395" spans="1:4" x14ac:dyDescent="0.25">
      <c r="A395" s="38">
        <v>-266</v>
      </c>
      <c r="B395" s="51">
        <v>-44.879471451246545</v>
      </c>
      <c r="C395" s="51">
        <v>-366.34532181224131</v>
      </c>
      <c r="D395" s="50">
        <f t="shared" si="38"/>
        <v>263.01572824600493</v>
      </c>
    </row>
    <row r="396" spans="1:4" x14ac:dyDescent="0.25">
      <c r="A396" s="37">
        <v>-267</v>
      </c>
      <c r="B396" s="51">
        <v>-34.857812511190424</v>
      </c>
      <c r="C396" s="51">
        <v>-373.269122111493</v>
      </c>
      <c r="D396" s="50">
        <f t="shared" si="38"/>
        <v>264.66489491971549</v>
      </c>
    </row>
    <row r="397" spans="1:4" x14ac:dyDescent="0.25">
      <c r="A397" s="37">
        <v>-268</v>
      </c>
      <c r="B397" s="51">
        <v>-23.852760894744119</v>
      </c>
      <c r="C397" s="51">
        <v>-377.46924428331062</v>
      </c>
      <c r="D397" s="50">
        <f t="shared" si="38"/>
        <v>266.3842145934924</v>
      </c>
    </row>
    <row r="398" spans="1:4" x14ac:dyDescent="0.25">
      <c r="A398" s="38">
        <v>-269</v>
      </c>
      <c r="B398" s="51">
        <v>-12.089135012772122</v>
      </c>
      <c r="C398" s="51">
        <v>-379.61563112134502</v>
      </c>
      <c r="D398" s="50">
        <f t="shared" si="38"/>
        <v>268.17599079895939</v>
      </c>
    </row>
    <row r="399" spans="1:4" x14ac:dyDescent="0.25">
      <c r="A399" s="38">
        <v>-270</v>
      </c>
      <c r="B399" s="51">
        <v>-5.3018444484069626E-14</v>
      </c>
      <c r="C399" s="51">
        <v>-381.2951258359322</v>
      </c>
      <c r="D399" s="50">
        <f t="shared" si="38"/>
        <v>270</v>
      </c>
    </row>
    <row r="400" spans="1:4" x14ac:dyDescent="0.25">
      <c r="A400" s="37">
        <v>-271</v>
      </c>
      <c r="B400" s="51">
        <v>12.089135012771898</v>
      </c>
      <c r="C400" s="51">
        <v>-379.61563112134525</v>
      </c>
      <c r="D400" s="50">
        <f t="shared" si="38"/>
        <v>271.82400920104055</v>
      </c>
    </row>
    <row r="401" spans="1:4" x14ac:dyDescent="0.25">
      <c r="A401" s="37">
        <v>-272</v>
      </c>
      <c r="B401" s="51">
        <v>23.852760894744428</v>
      </c>
      <c r="C401" s="51">
        <v>-377.46924428331056</v>
      </c>
      <c r="D401" s="50">
        <f t="shared" si="38"/>
        <v>273.6157854065076</v>
      </c>
    </row>
    <row r="402" spans="1:4" x14ac:dyDescent="0.25">
      <c r="A402" s="38">
        <v>-273</v>
      </c>
      <c r="B402" s="51">
        <v>34.857812511190218</v>
      </c>
      <c r="C402" s="51">
        <v>-373.26912211149329</v>
      </c>
      <c r="D402" s="50">
        <f t="shared" si="38"/>
        <v>275.33510508028451</v>
      </c>
    </row>
    <row r="403" spans="1:4" x14ac:dyDescent="0.25">
      <c r="A403" s="38">
        <v>-274</v>
      </c>
      <c r="B403" s="51">
        <v>44.879471451246303</v>
      </c>
      <c r="C403" s="51">
        <v>-366.34532181224148</v>
      </c>
      <c r="D403" s="50">
        <f t="shared" si="38"/>
        <v>276.98427175399507</v>
      </c>
    </row>
    <row r="404" spans="1:4" x14ac:dyDescent="0.25">
      <c r="A404" s="37">
        <v>-275</v>
      </c>
      <c r="B404" s="51">
        <v>54.305407515909152</v>
      </c>
      <c r="C404" s="51">
        <v>-359.89505401196658</v>
      </c>
      <c r="D404" s="50">
        <f t="shared" si="38"/>
        <v>278.58076142045337</v>
      </c>
    </row>
    <row r="405" spans="1:4" x14ac:dyDescent="0.25">
      <c r="A405" s="37">
        <v>-276</v>
      </c>
      <c r="B405" s="51">
        <v>63.223678742212329</v>
      </c>
      <c r="C405" s="51">
        <v>-353.84858338006052</v>
      </c>
      <c r="D405" s="50">
        <f t="shared" si="38"/>
        <v>280.13038834391784</v>
      </c>
    </row>
    <row r="406" spans="1:4" x14ac:dyDescent="0.25">
      <c r="A406" s="38">
        <v>-277</v>
      </c>
      <c r="B406" s="51">
        <v>71.709696111806949</v>
      </c>
      <c r="C406" s="51">
        <v>-348.14627413756949</v>
      </c>
      <c r="D406" s="50">
        <f t="shared" si="38"/>
        <v>281.63876853524152</v>
      </c>
    </row>
    <row r="407" spans="1:4" x14ac:dyDescent="0.25">
      <c r="A407" s="38">
        <v>-278</v>
      </c>
      <c r="B407" s="51">
        <v>78.104033291557954</v>
      </c>
      <c r="C407" s="51">
        <v>-343.93577173000301</v>
      </c>
      <c r="D407" s="50">
        <f t="shared" si="38"/>
        <v>282.79425635144963</v>
      </c>
    </row>
    <row r="408" spans="1:4" x14ac:dyDescent="0.25">
      <c r="A408" s="37">
        <v>-279</v>
      </c>
      <c r="B408" s="51">
        <v>85.948533922823017</v>
      </c>
      <c r="C408" s="51">
        <v>-338.72909463189688</v>
      </c>
      <c r="D408" s="50">
        <f t="shared" si="38"/>
        <v>284.23765324471481</v>
      </c>
    </row>
    <row r="409" spans="1:4" x14ac:dyDescent="0.25">
      <c r="A409" s="37">
        <v>-280</v>
      </c>
      <c r="B409" s="51">
        <v>93.51452840654737</v>
      </c>
      <c r="C409" s="51">
        <v>-333.73803488264639</v>
      </c>
      <c r="D409" s="50">
        <f t="shared" si="38"/>
        <v>285.65305201619026</v>
      </c>
    </row>
    <row r="410" spans="1:4" x14ac:dyDescent="0.25">
      <c r="A410" s="38">
        <v>-281</v>
      </c>
      <c r="B410" s="51">
        <v>100.84289912900572</v>
      </c>
      <c r="C410" s="51">
        <v>-328.92789754438803</v>
      </c>
      <c r="D410" s="50">
        <f t="shared" si="38"/>
        <v>287.04452142021387</v>
      </c>
    </row>
    <row r="411" spans="1:4" x14ac:dyDescent="0.25">
      <c r="A411" s="38">
        <v>-282</v>
      </c>
      <c r="B411" s="51">
        <v>107.96789993102912</v>
      </c>
      <c r="C411" s="51">
        <v>-324.26854473895901</v>
      </c>
      <c r="D411" s="50">
        <f t="shared" si="38"/>
        <v>288.41560705138471</v>
      </c>
    </row>
    <row r="412" spans="1:4" x14ac:dyDescent="0.25">
      <c r="A412" s="37">
        <v>-283</v>
      </c>
      <c r="B412" s="51">
        <v>114.91610300931293</v>
      </c>
      <c r="C412" s="51">
        <v>-319.73544570088006</v>
      </c>
      <c r="D412" s="50">
        <f t="shared" si="38"/>
        <v>289.76894249316348</v>
      </c>
    </row>
    <row r="413" spans="1:4" x14ac:dyDescent="0.25">
      <c r="A413" s="37">
        <v>-284</v>
      </c>
      <c r="B413" s="51">
        <v>121.71473363318029</v>
      </c>
      <c r="C413" s="51">
        <v>-315.30400213904352</v>
      </c>
      <c r="D413" s="50">
        <f t="shared" si="38"/>
        <v>291.10775683341899</v>
      </c>
    </row>
    <row r="414" spans="1:4" x14ac:dyDescent="0.25">
      <c r="A414" s="38">
        <v>-285</v>
      </c>
      <c r="B414" s="51">
        <v>128.26236135269869</v>
      </c>
      <c r="C414" s="51">
        <v>-311.61406471677947</v>
      </c>
      <c r="D414" s="50">
        <f t="shared" si="38"/>
        <v>292.37238210782311</v>
      </c>
    </row>
    <row r="415" spans="1:4" x14ac:dyDescent="0.25">
      <c r="A415" s="38">
        <v>-286</v>
      </c>
      <c r="B415" s="51">
        <v>136.8259752123133</v>
      </c>
      <c r="C415" s="51">
        <v>-305.92063364704069</v>
      </c>
      <c r="D415" s="50">
        <f t="shared" si="38"/>
        <v>294.0970445261454</v>
      </c>
    </row>
    <row r="416" spans="1:4" x14ac:dyDescent="0.25">
      <c r="A416" s="37">
        <v>-287</v>
      </c>
      <c r="B416" s="51">
        <v>145.21144639054518</v>
      </c>
      <c r="C416" s="51">
        <v>-300.30778781160711</v>
      </c>
      <c r="D416" s="50">
        <f t="shared" si="38"/>
        <v>295.80572013796291</v>
      </c>
    </row>
    <row r="417" spans="1:4" x14ac:dyDescent="0.25">
      <c r="A417" s="37">
        <v>-288</v>
      </c>
      <c r="B417" s="51">
        <v>153.4407059584762</v>
      </c>
      <c r="C417" s="51">
        <v>-294.75722025910858</v>
      </c>
      <c r="D417" s="50">
        <f t="shared" si="38"/>
        <v>297.49997081622354</v>
      </c>
    </row>
    <row r="418" spans="1:4" x14ac:dyDescent="0.25">
      <c r="A418" s="38">
        <v>-289</v>
      </c>
      <c r="B418" s="51">
        <v>161.85118673044195</v>
      </c>
      <c r="C418" s="51">
        <v>-288.85293712148842</v>
      </c>
      <c r="D418" s="50">
        <f t="shared" si="38"/>
        <v>299.26294940704753</v>
      </c>
    </row>
    <row r="419" spans="1:4" x14ac:dyDescent="0.25">
      <c r="A419" s="38">
        <v>-290</v>
      </c>
      <c r="B419" s="51">
        <v>170.39549182451896</v>
      </c>
      <c r="C419" s="51">
        <v>-282.58430817739924</v>
      </c>
      <c r="D419" s="50">
        <f t="shared" si="38"/>
        <v>301.08955384253784</v>
      </c>
    </row>
    <row r="420" spans="1:4" x14ac:dyDescent="0.25">
      <c r="A420" s="37">
        <v>-291</v>
      </c>
      <c r="B420" s="51">
        <v>178.34760947880713</v>
      </c>
      <c r="C420" s="51">
        <v>-276.70699001014731</v>
      </c>
      <c r="D420" s="50">
        <f t="shared" si="38"/>
        <v>302.80323652223393</v>
      </c>
    </row>
    <row r="421" spans="1:4" x14ac:dyDescent="0.25">
      <c r="A421" s="37">
        <v>-292</v>
      </c>
      <c r="B421" s="51">
        <v>185.7812218796517</v>
      </c>
      <c r="C421" s="51">
        <v>-271.18473668066531</v>
      </c>
      <c r="D421" s="50">
        <f t="shared" si="38"/>
        <v>304.41397294367357</v>
      </c>
    </row>
    <row r="422" spans="1:4" x14ac:dyDescent="0.25">
      <c r="A422" s="38">
        <v>-293</v>
      </c>
      <c r="B422" s="51">
        <v>192.77470907231452</v>
      </c>
      <c r="C422" s="51">
        <v>-265.97357408214049</v>
      </c>
      <c r="D422" s="50">
        <f t="shared" si="38"/>
        <v>305.93418518857112</v>
      </c>
    </row>
    <row r="423" spans="1:4" x14ac:dyDescent="0.25">
      <c r="A423" s="38">
        <v>-294</v>
      </c>
      <c r="B423" s="51">
        <v>199.39375987133693</v>
      </c>
      <c r="C423" s="51">
        <v>-261.03459805417447</v>
      </c>
      <c r="D423" s="50">
        <f t="shared" si="38"/>
        <v>307.37474444138712</v>
      </c>
    </row>
    <row r="424" spans="1:4" x14ac:dyDescent="0.25">
      <c r="A424" s="37">
        <v>-295</v>
      </c>
      <c r="B424" s="51">
        <v>205.69201498889666</v>
      </c>
      <c r="C424" s="51">
        <v>-256.33611646975822</v>
      </c>
      <c r="D424" s="50">
        <f t="shared" si="38"/>
        <v>308.7446338545119</v>
      </c>
    </row>
    <row r="425" spans="1:4" x14ac:dyDescent="0.25">
      <c r="A425" s="37">
        <v>-296</v>
      </c>
      <c r="B425" s="51">
        <v>211.71562266810349</v>
      </c>
      <c r="C425" s="51">
        <v>-251.84886781157005</v>
      </c>
      <c r="D425" s="50">
        <f t="shared" si="38"/>
        <v>310.05193719548453</v>
      </c>
    </row>
    <row r="426" spans="1:4" x14ac:dyDescent="0.25">
      <c r="A426" s="38">
        <v>-297</v>
      </c>
      <c r="B426" s="51">
        <v>217.51251049948695</v>
      </c>
      <c r="C426" s="51">
        <v>-247.2984749164973</v>
      </c>
      <c r="D426" s="50">
        <f t="shared" si="38"/>
        <v>311.33339188546131</v>
      </c>
    </row>
    <row r="427" spans="1:4" x14ac:dyDescent="0.25">
      <c r="A427" s="38">
        <v>-298</v>
      </c>
      <c r="B427" s="51">
        <v>223.10478296385227</v>
      </c>
      <c r="C427" s="51">
        <v>-242.82318554009777</v>
      </c>
      <c r="D427" s="50">
        <f t="shared" si="38"/>
        <v>312.57664799889301</v>
      </c>
    </row>
    <row r="428" spans="1:4" x14ac:dyDescent="0.25">
      <c r="A428" s="37">
        <v>-299</v>
      </c>
      <c r="B428" s="51">
        <v>228.51709298730711</v>
      </c>
      <c r="C428" s="51">
        <v>-238.51571439729895</v>
      </c>
      <c r="D428" s="50">
        <f t="shared" si="38"/>
        <v>313.7735523098516</v>
      </c>
    </row>
    <row r="429" spans="1:4" x14ac:dyDescent="0.25">
      <c r="A429" s="37">
        <v>-300</v>
      </c>
      <c r="B429" s="51">
        <v>233.77574986838073</v>
      </c>
      <c r="C429" s="51">
        <v>-234.35684689448561</v>
      </c>
      <c r="D429" s="50">
        <f t="shared" si="38"/>
        <v>314.92887829172093</v>
      </c>
    </row>
    <row r="430" spans="1:4" x14ac:dyDescent="0.25">
      <c r="A430" s="38">
        <v>-301</v>
      </c>
      <c r="B430" s="51">
        <v>238.90348944054656</v>
      </c>
      <c r="C430" s="51">
        <v>-230.32974077379774</v>
      </c>
      <c r="D430" s="50">
        <f t="shared" si="38"/>
        <v>316.04678212062583</v>
      </c>
    </row>
    <row r="431" spans="1:4" x14ac:dyDescent="0.25">
      <c r="A431" s="38">
        <v>-302</v>
      </c>
      <c r="B431" s="51">
        <v>242.08332093506684</v>
      </c>
      <c r="C431" s="51">
        <v>-226.44981679792448</v>
      </c>
      <c r="D431" s="50">
        <f t="shared" si="38"/>
        <v>316.91107423112265</v>
      </c>
    </row>
    <row r="432" spans="1:4" x14ac:dyDescent="0.25">
      <c r="A432" s="37">
        <v>-303</v>
      </c>
      <c r="B432" s="51">
        <v>247.01561613384922</v>
      </c>
      <c r="C432" s="51">
        <v>-222.63918014170682</v>
      </c>
      <c r="D432" s="50">
        <f t="shared" si="38"/>
        <v>317.97114981433623</v>
      </c>
    </row>
    <row r="433" spans="1:4" x14ac:dyDescent="0.25">
      <c r="A433" s="37">
        <v>-304</v>
      </c>
      <c r="B433" s="51">
        <v>251.87064281098898</v>
      </c>
      <c r="C433" s="51">
        <v>-218.9181078814174</v>
      </c>
      <c r="D433" s="50">
        <f t="shared" si="38"/>
        <v>319.00384865885673</v>
      </c>
    </row>
    <row r="434" spans="1:4" x14ac:dyDescent="0.25">
      <c r="A434" s="38">
        <v>-305</v>
      </c>
      <c r="B434" s="51">
        <v>256.6633051469297</v>
      </c>
      <c r="C434" s="51">
        <v>-215.27494973316297</v>
      </c>
      <c r="D434" s="50">
        <f t="shared" si="38"/>
        <v>320.01194064224615</v>
      </c>
    </row>
    <row r="435" spans="1:4" x14ac:dyDescent="0.25">
      <c r="A435" s="38">
        <v>-306</v>
      </c>
      <c r="B435" s="51">
        <v>261.40702686992421</v>
      </c>
      <c r="C435" s="51">
        <v>-211.69854886829327</v>
      </c>
      <c r="D435" s="50">
        <f t="shared" si="38"/>
        <v>320.9979730650997</v>
      </c>
    </row>
    <row r="436" spans="1:4" x14ac:dyDescent="0.25">
      <c r="A436" s="37">
        <v>-307</v>
      </c>
      <c r="B436" s="51">
        <v>266.08088538251701</v>
      </c>
      <c r="C436" s="51">
        <v>-209.38078044974642</v>
      </c>
      <c r="D436" s="50">
        <f t="shared" si="38"/>
        <v>321.80056245024048</v>
      </c>
    </row>
    <row r="437" spans="1:4" x14ac:dyDescent="0.25">
      <c r="A437" s="37">
        <v>-308</v>
      </c>
      <c r="B437" s="51">
        <v>270.75887724217881</v>
      </c>
      <c r="C437" s="51">
        <v>-205.91191376707556</v>
      </c>
      <c r="D437" s="50">
        <f t="shared" si="38"/>
        <v>322.74703970603878</v>
      </c>
    </row>
    <row r="438" spans="1:4" x14ac:dyDescent="0.25">
      <c r="A438" s="38">
        <v>-309</v>
      </c>
      <c r="B438" s="51">
        <v>275.42406256891087</v>
      </c>
      <c r="C438" s="51">
        <v>-202.4809980597197</v>
      </c>
      <c r="D438" s="50">
        <f t="shared" si="38"/>
        <v>323.67812911156682</v>
      </c>
    </row>
    <row r="439" spans="1:4" x14ac:dyDescent="0.25">
      <c r="A439" s="38">
        <v>-310</v>
      </c>
      <c r="B439" s="51">
        <v>280.08654597400425</v>
      </c>
      <c r="C439" s="51">
        <v>-199.07897296553173</v>
      </c>
      <c r="D439" s="50">
        <f t="shared" si="38"/>
        <v>324.59567455076274</v>
      </c>
    </row>
    <row r="440" spans="1:4" x14ac:dyDescent="0.25">
      <c r="A440" s="37">
        <v>-311</v>
      </c>
      <c r="B440" s="51">
        <v>284.75660570348708</v>
      </c>
      <c r="C440" s="51">
        <v>-195.69717148575927</v>
      </c>
      <c r="D440" s="50">
        <f t="shared" si="38"/>
        <v>325.50145153541729</v>
      </c>
    </row>
    <row r="441" spans="1:4" x14ac:dyDescent="0.25">
      <c r="A441" s="37">
        <v>-312</v>
      </c>
      <c r="B441" s="51">
        <v>289.44458749462194</v>
      </c>
      <c r="C441" s="51">
        <v>-192.32699122565214</v>
      </c>
      <c r="D441" s="50">
        <f t="shared" si="38"/>
        <v>326.39718935069232</v>
      </c>
    </row>
    <row r="442" spans="1:4" x14ac:dyDescent="0.25">
      <c r="A442" s="38">
        <v>-313</v>
      </c>
      <c r="B442" s="51">
        <v>294.05022508771452</v>
      </c>
      <c r="C442" s="51">
        <v>-188.96063908917949</v>
      </c>
      <c r="D442" s="50">
        <f t="shared" si="38"/>
        <v>327.27465317079725</v>
      </c>
    </row>
    <row r="443" spans="1:4" x14ac:dyDescent="0.25">
      <c r="A443" s="38">
        <v>-314</v>
      </c>
      <c r="B443" s="51">
        <v>298.38799849360709</v>
      </c>
      <c r="C443" s="51">
        <v>-185.59217348225081</v>
      </c>
      <c r="D443" s="50">
        <f t="shared" si="38"/>
        <v>328.11910250013119</v>
      </c>
    </row>
    <row r="444" spans="1:4" x14ac:dyDescent="0.25">
      <c r="A444" s="37">
        <v>-315</v>
      </c>
      <c r="B444" s="51">
        <v>302.75728209481116</v>
      </c>
      <c r="C444" s="51">
        <v>-182.21218629343988</v>
      </c>
      <c r="D444" s="50">
        <f t="shared" si="38"/>
        <v>328.9586852604873</v>
      </c>
    </row>
    <row r="445" spans="1:4" x14ac:dyDescent="0.25">
      <c r="A445" s="37">
        <v>-316</v>
      </c>
      <c r="B445" s="51">
        <v>307.1672443650707</v>
      </c>
      <c r="C445" s="51">
        <v>-178.81218981009857</v>
      </c>
      <c r="D445" s="50">
        <f t="shared" si="38"/>
        <v>329.7949028647464</v>
      </c>
    </row>
    <row r="446" spans="1:4" x14ac:dyDescent="0.25">
      <c r="A446" s="38">
        <v>-317</v>
      </c>
      <c r="B446" s="51">
        <v>311.62837437606618</v>
      </c>
      <c r="C446" s="51">
        <v>-175.38328291378065</v>
      </c>
      <c r="D446" s="50">
        <f t="shared" si="38"/>
        <v>330.62935365070808</v>
      </c>
    </row>
    <row r="447" spans="1:4" x14ac:dyDescent="0.25">
      <c r="A447" s="38">
        <v>-318</v>
      </c>
      <c r="B447" s="51">
        <v>316.14807974423724</v>
      </c>
      <c r="C447" s="51">
        <v>-171.91667145973662</v>
      </c>
      <c r="D447" s="50">
        <f t="shared" si="38"/>
        <v>331.46330338624762</v>
      </c>
    </row>
    <row r="448" spans="1:4" x14ac:dyDescent="0.25">
      <c r="A448" s="37">
        <v>-319</v>
      </c>
      <c r="B448" s="51">
        <v>320.73867109352523</v>
      </c>
      <c r="C448" s="51">
        <v>-168.40244503436332</v>
      </c>
      <c r="D448" s="50">
        <f t="shared" si="38"/>
        <v>332.29847668335123</v>
      </c>
    </row>
    <row r="449" spans="1:4" x14ac:dyDescent="0.25">
      <c r="A449" s="37">
        <v>-320</v>
      </c>
      <c r="B449" s="51">
        <v>325.40831829260446</v>
      </c>
      <c r="C449" s="51">
        <v>-164.83089273354216</v>
      </c>
      <c r="D449" s="50">
        <f t="shared" si="38"/>
        <v>333.13616350264675</v>
      </c>
    </row>
    <row r="450" spans="1:4" x14ac:dyDescent="0.25">
      <c r="A450" s="38">
        <v>-321</v>
      </c>
      <c r="B450" s="51">
        <v>330.1692766501086</v>
      </c>
      <c r="C450" s="51">
        <v>-161.19097167611423</v>
      </c>
      <c r="D450" s="50">
        <f t="shared" ref="D450:D490" si="39">IF(DEGREES(ATAN2(B450,C450))&lt;0,DEGREES(ATAN2(B450,C450))+360,DEGREES(ATAN2(B450,C450)))</f>
        <v>333.97804308216945</v>
      </c>
    </row>
    <row r="451" spans="1:4" x14ac:dyDescent="0.25">
      <c r="A451" s="38">
        <v>-322</v>
      </c>
      <c r="B451" s="51">
        <v>335.03083746757494</v>
      </c>
      <c r="C451" s="51">
        <v>-157.47164657045565</v>
      </c>
      <c r="D451" s="50">
        <f t="shared" si="39"/>
        <v>334.82547353936917</v>
      </c>
    </row>
    <row r="452" spans="1:4" x14ac:dyDescent="0.25">
      <c r="A452" s="37">
        <v>-323</v>
      </c>
      <c r="B452" s="51">
        <v>340.00806413751195</v>
      </c>
      <c r="C452" s="51">
        <v>-153.65963189534196</v>
      </c>
      <c r="D452" s="50">
        <f t="shared" si="39"/>
        <v>335.68039173943566</v>
      </c>
    </row>
    <row r="453" spans="1:4" x14ac:dyDescent="0.25">
      <c r="A453" s="37">
        <v>-324</v>
      </c>
      <c r="B453" s="51">
        <v>345.11196685818737</v>
      </c>
      <c r="C453" s="51">
        <v>-149.74178121354072</v>
      </c>
      <c r="D453" s="50">
        <f t="shared" si="39"/>
        <v>336.5442996107173</v>
      </c>
    </row>
    <row r="454" spans="1:4" x14ac:dyDescent="0.25">
      <c r="A454" s="38">
        <v>-325</v>
      </c>
      <c r="B454" s="51">
        <v>350.35716833071024</v>
      </c>
      <c r="C454" s="51">
        <v>-145.70287895640121</v>
      </c>
      <c r="D454" s="50">
        <f t="shared" si="39"/>
        <v>337.4190612128715</v>
      </c>
    </row>
    <row r="455" spans="1:4" x14ac:dyDescent="0.25">
      <c r="A455" s="38">
        <v>-326</v>
      </c>
      <c r="B455" s="51">
        <v>355.75825572938606</v>
      </c>
      <c r="C455" s="51">
        <v>-141.52650548515643</v>
      </c>
      <c r="D455" s="50">
        <f t="shared" si="39"/>
        <v>338.30652088971289</v>
      </c>
    </row>
    <row r="456" spans="1:4" x14ac:dyDescent="0.25">
      <c r="A456" s="37">
        <v>-327</v>
      </c>
      <c r="B456" s="51">
        <v>361.33124876338564</v>
      </c>
      <c r="C456" s="51">
        <v>-137.19439591426146</v>
      </c>
      <c r="D456" s="50">
        <f t="shared" si="39"/>
        <v>339.20865709582608</v>
      </c>
    </row>
    <row r="457" spans="1:4" x14ac:dyDescent="0.25">
      <c r="A457" s="37">
        <v>-328</v>
      </c>
      <c r="B457" s="51">
        <v>367.09527093151627</v>
      </c>
      <c r="C457" s="51">
        <v>-132.68540633987729</v>
      </c>
      <c r="D457" s="50">
        <f t="shared" si="39"/>
        <v>340.12777329023663</v>
      </c>
    </row>
    <row r="458" spans="1:4" x14ac:dyDescent="0.25">
      <c r="A458" s="38">
        <v>-329</v>
      </c>
      <c r="B458" s="51">
        <v>372.98243218300922</v>
      </c>
      <c r="C458" s="51">
        <v>-128.04598165537192</v>
      </c>
      <c r="D458" s="50">
        <f t="shared" si="39"/>
        <v>341.05250089947521</v>
      </c>
    </row>
    <row r="459" spans="1:4" x14ac:dyDescent="0.25">
      <c r="A459" s="38">
        <v>-330</v>
      </c>
      <c r="B459" s="51">
        <v>378.82511627355944</v>
      </c>
      <c r="C459" s="51">
        <v>-123.4068029641807</v>
      </c>
      <c r="D459" s="50">
        <f t="shared" si="39"/>
        <v>341.95636218241941</v>
      </c>
    </row>
    <row r="460" spans="1:4" x14ac:dyDescent="0.25">
      <c r="A460" s="37">
        <v>-331</v>
      </c>
      <c r="B460" s="51">
        <v>384.09304660833425</v>
      </c>
      <c r="C460" s="51">
        <v>-119.11164249782216</v>
      </c>
      <c r="D460" s="50">
        <f t="shared" si="39"/>
        <v>342.77073947454278</v>
      </c>
    </row>
    <row r="461" spans="1:4" x14ac:dyDescent="0.25">
      <c r="A461" s="37">
        <v>-332</v>
      </c>
      <c r="B461" s="51">
        <v>388.71457870248429</v>
      </c>
      <c r="C461" s="51">
        <v>-115.21172117948342</v>
      </c>
      <c r="D461" s="50">
        <f t="shared" si="39"/>
        <v>343.49062094259961</v>
      </c>
    </row>
    <row r="462" spans="1:4" x14ac:dyDescent="0.25">
      <c r="A462" s="38">
        <v>-333</v>
      </c>
      <c r="B462" s="51">
        <v>393.31319641996151</v>
      </c>
      <c r="C462" s="51">
        <v>-111.30625954958894</v>
      </c>
      <c r="D462" s="50">
        <f t="shared" si="39"/>
        <v>344.19867238849986</v>
      </c>
    </row>
    <row r="463" spans="1:4" x14ac:dyDescent="0.25">
      <c r="A463" s="38">
        <v>-334</v>
      </c>
      <c r="B463" s="51">
        <v>397.89541494064565</v>
      </c>
      <c r="C463" s="51">
        <v>-107.39105074876434</v>
      </c>
      <c r="D463" s="50">
        <f t="shared" si="39"/>
        <v>344.8958890004015</v>
      </c>
    </row>
    <row r="464" spans="1:4" x14ac:dyDescent="0.25">
      <c r="A464" s="37">
        <v>-335</v>
      </c>
      <c r="B464" s="51">
        <v>402.47229847444601</v>
      </c>
      <c r="C464" s="51">
        <v>-103.45900745473934</v>
      </c>
      <c r="D464" s="50">
        <f t="shared" si="39"/>
        <v>345.58374953865223</v>
      </c>
    </row>
    <row r="465" spans="1:4" x14ac:dyDescent="0.25">
      <c r="A465" s="37">
        <v>-336</v>
      </c>
      <c r="B465" s="51">
        <v>407.04702298635669</v>
      </c>
      <c r="C465" s="51">
        <v>-99.507685602875782</v>
      </c>
      <c r="D465" s="50">
        <f t="shared" si="39"/>
        <v>346.26276179728933</v>
      </c>
    </row>
    <row r="466" spans="1:4" x14ac:dyDescent="0.25">
      <c r="A466" s="38">
        <v>-337</v>
      </c>
      <c r="B466" s="51">
        <v>409.92886932230743</v>
      </c>
      <c r="C466" s="51">
        <v>-96.660809551098865</v>
      </c>
      <c r="D466" s="50">
        <f t="shared" si="39"/>
        <v>346.73207410573048</v>
      </c>
    </row>
    <row r="467" spans="1:4" x14ac:dyDescent="0.25">
      <c r="A467" s="38">
        <v>-338</v>
      </c>
      <c r="B467" s="51">
        <v>414.48990774821209</v>
      </c>
      <c r="C467" s="51">
        <v>-92.67164331638368</v>
      </c>
      <c r="D467" s="50">
        <f t="shared" si="39"/>
        <v>347.39708099422194</v>
      </c>
    </row>
    <row r="468" spans="1:4" x14ac:dyDescent="0.25">
      <c r="A468" s="37">
        <v>-339</v>
      </c>
      <c r="B468" s="51">
        <v>419.07242139714424</v>
      </c>
      <c r="C468" s="51">
        <v>-88.646699665936623</v>
      </c>
      <c r="D468" s="50">
        <f t="shared" si="39"/>
        <v>348.05624624120463</v>
      </c>
    </row>
    <row r="469" spans="1:4" x14ac:dyDescent="0.25">
      <c r="A469" s="37">
        <v>-340</v>
      </c>
      <c r="B469" s="51">
        <v>423.68235337111236</v>
      </c>
      <c r="C469" s="51">
        <v>-84.581429916445543</v>
      </c>
      <c r="D469" s="50">
        <f t="shared" si="39"/>
        <v>348.71022914227416</v>
      </c>
    </row>
    <row r="470" spans="1:4" x14ac:dyDescent="0.25">
      <c r="A470" s="38">
        <v>-341</v>
      </c>
      <c r="B470" s="51">
        <v>428.32789169509715</v>
      </c>
      <c r="C470" s="51">
        <v>-80.469632445100274</v>
      </c>
      <c r="D470" s="50">
        <f t="shared" si="39"/>
        <v>349.35990909250467</v>
      </c>
    </row>
    <row r="471" spans="1:4" x14ac:dyDescent="0.25">
      <c r="A471" s="38">
        <v>-342</v>
      </c>
      <c r="B471" s="51">
        <v>433.0159720371708</v>
      </c>
      <c r="C471" s="51">
        <v>-76.305861128707548</v>
      </c>
      <c r="D471" s="50">
        <f t="shared" si="39"/>
        <v>350.00597221786762</v>
      </c>
    </row>
    <row r="472" spans="1:4" x14ac:dyDescent="0.25">
      <c r="A472" s="37">
        <v>-343</v>
      </c>
      <c r="B472" s="51">
        <v>437.75460958795861</v>
      </c>
      <c r="C472" s="51">
        <v>-72.083766148349341</v>
      </c>
      <c r="D472" s="50">
        <f t="shared" si="39"/>
        <v>350.64918616956902</v>
      </c>
    </row>
    <row r="473" spans="1:4" x14ac:dyDescent="0.25">
      <c r="A473" s="37">
        <v>-344</v>
      </c>
      <c r="B473" s="51">
        <v>443.47989856619716</v>
      </c>
      <c r="C473" s="51">
        <v>-69.26672433020947</v>
      </c>
      <c r="D473" s="50">
        <f t="shared" si="39"/>
        <v>351.12274727499698</v>
      </c>
    </row>
    <row r="474" spans="1:4" x14ac:dyDescent="0.25">
      <c r="A474" s="38">
        <v>-345</v>
      </c>
      <c r="B474" s="51">
        <v>448.37963274988738</v>
      </c>
      <c r="C474" s="51">
        <v>-64.8993248602916</v>
      </c>
      <c r="D474" s="50">
        <f t="shared" si="39"/>
        <v>351.76409621363143</v>
      </c>
    </row>
    <row r="475" spans="1:4" x14ac:dyDescent="0.25">
      <c r="A475" s="38">
        <v>-346</v>
      </c>
      <c r="B475" s="51">
        <v>452.75704135502258</v>
      </c>
      <c r="C475" s="51">
        <v>-61.245550287717023</v>
      </c>
      <c r="D475" s="50">
        <f t="shared" si="39"/>
        <v>352.29622244451627</v>
      </c>
    </row>
    <row r="476" spans="1:4" x14ac:dyDescent="0.25">
      <c r="A476" s="37">
        <v>-347</v>
      </c>
      <c r="B476" s="51">
        <v>457.13799659620588</v>
      </c>
      <c r="C476" s="51">
        <v>-57.639142640574924</v>
      </c>
      <c r="D476" s="50">
        <f t="shared" si="39"/>
        <v>352.81367149291691</v>
      </c>
    </row>
    <row r="477" spans="1:4" x14ac:dyDescent="0.25">
      <c r="A477" s="37">
        <v>-348</v>
      </c>
      <c r="B477" s="51">
        <v>461.61982417583579</v>
      </c>
      <c r="C477" s="51">
        <v>-53.959264459636195</v>
      </c>
      <c r="D477" s="50">
        <f t="shared" si="39"/>
        <v>353.33288698588967</v>
      </c>
    </row>
    <row r="478" spans="1:4" x14ac:dyDescent="0.25">
      <c r="A478" s="38">
        <v>-349</v>
      </c>
      <c r="B478" s="51">
        <v>466.21434567773167</v>
      </c>
      <c r="C478" s="51">
        <v>-50.196986442348866</v>
      </c>
      <c r="D478" s="50">
        <f t="shared" si="39"/>
        <v>353.85467574967805</v>
      </c>
    </row>
    <row r="479" spans="1:4" x14ac:dyDescent="0.25">
      <c r="A479" s="38">
        <v>-350</v>
      </c>
      <c r="B479" s="51">
        <v>470.9336759971759</v>
      </c>
      <c r="C479" s="51">
        <v>-46.343537999175489</v>
      </c>
      <c r="D479" s="50">
        <f t="shared" si="39"/>
        <v>354.379745222466</v>
      </c>
    </row>
    <row r="480" spans="1:4" x14ac:dyDescent="0.25">
      <c r="A480" s="37">
        <v>-351</v>
      </c>
      <c r="B480" s="51">
        <v>475.79129817879613</v>
      </c>
      <c r="C480" s="51">
        <v>-42.388491788931468</v>
      </c>
      <c r="D480" s="50">
        <f t="shared" si="39"/>
        <v>354.90893058061965</v>
      </c>
    </row>
    <row r="481" spans="1:4" x14ac:dyDescent="0.25">
      <c r="A481" s="37">
        <v>-352</v>
      </c>
      <c r="B481" s="51">
        <v>480.80142410940647</v>
      </c>
      <c r="C481" s="51">
        <v>-38.321277167206624</v>
      </c>
      <c r="D481" s="50">
        <f t="shared" si="39"/>
        <v>355.44299235731683</v>
      </c>
    </row>
    <row r="482" spans="1:4" x14ac:dyDescent="0.25">
      <c r="A482" s="38">
        <v>-353</v>
      </c>
      <c r="B482" s="51">
        <v>485.97966737507772</v>
      </c>
      <c r="C482" s="51">
        <v>-34.129539572702072</v>
      </c>
      <c r="D482" s="50">
        <f t="shared" si="39"/>
        <v>355.98280881551256</v>
      </c>
    </row>
    <row r="483" spans="1:4" x14ac:dyDescent="0.25">
      <c r="A483" s="38">
        <v>-354</v>
      </c>
      <c r="B483" s="51">
        <v>489.76191622483248</v>
      </c>
      <c r="C483" s="51">
        <v>-29.67408135023507</v>
      </c>
      <c r="D483" s="50">
        <f t="shared" si="39"/>
        <v>356.53275671676613</v>
      </c>
    </row>
    <row r="484" spans="1:4" x14ac:dyDescent="0.25">
      <c r="A484" s="37">
        <v>-355</v>
      </c>
      <c r="B484" s="51">
        <v>491.42508766362567</v>
      </c>
      <c r="C484" s="51">
        <v>-24.951171562326227</v>
      </c>
      <c r="D484" s="50">
        <f t="shared" si="39"/>
        <v>357.09341199495611</v>
      </c>
    </row>
    <row r="485" spans="1:4" x14ac:dyDescent="0.25">
      <c r="A485" s="37">
        <v>-356</v>
      </c>
      <c r="B485" s="51">
        <v>493.09153172247693</v>
      </c>
      <c r="C485" s="51">
        <v>-20.15110656498419</v>
      </c>
      <c r="D485" s="50">
        <f t="shared" si="39"/>
        <v>357.65980314723197</v>
      </c>
    </row>
    <row r="486" spans="1:4" x14ac:dyDescent="0.25">
      <c r="A486" s="38">
        <v>-357</v>
      </c>
      <c r="B486" s="51">
        <v>494.76456994119161</v>
      </c>
      <c r="C486" s="51">
        <v>-15.265491508584324</v>
      </c>
      <c r="D486" s="50">
        <f t="shared" si="39"/>
        <v>358.23275371730659</v>
      </c>
    </row>
    <row r="487" spans="1:4" x14ac:dyDescent="0.25">
      <c r="A487" s="38">
        <v>-358</v>
      </c>
      <c r="B487" s="51">
        <v>496.45854236450191</v>
      </c>
      <c r="C487" s="51">
        <v>-10.285054767992468</v>
      </c>
      <c r="D487" s="50">
        <f t="shared" si="39"/>
        <v>358.81318197528486</v>
      </c>
    </row>
    <row r="488" spans="1:4" x14ac:dyDescent="0.25">
      <c r="A488" s="37">
        <v>-359</v>
      </c>
      <c r="B488" s="51">
        <v>498.17250938439616</v>
      </c>
      <c r="C488" s="51">
        <v>-5.2001306805183711</v>
      </c>
      <c r="D488" s="50">
        <f t="shared" si="39"/>
        <v>359.40194467864904</v>
      </c>
    </row>
    <row r="489" spans="1:4" x14ac:dyDescent="0.25">
      <c r="A489" s="37">
        <v>-360</v>
      </c>
      <c r="B489" s="51">
        <v>499.91668903896789</v>
      </c>
      <c r="C489" s="51">
        <v>-1.2249443183182493E-13</v>
      </c>
      <c r="D489" s="50">
        <f t="shared" si="39"/>
        <v>360</v>
      </c>
    </row>
    <row r="490" spans="1:4" x14ac:dyDescent="0.25">
      <c r="A490" s="39"/>
      <c r="B490" s="51">
        <f>B129</f>
        <v>499.916689038968</v>
      </c>
      <c r="C490" s="51">
        <f>C129</f>
        <v>0</v>
      </c>
      <c r="D490" s="50">
        <f t="shared" si="39"/>
        <v>0</v>
      </c>
    </row>
  </sheetData>
  <dataValidations disablePrompts="1"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2020-01-24T22:31:43Z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