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onaldbockoven/Downloads/"/>
    </mc:Choice>
  </mc:AlternateContent>
  <xr:revisionPtr revIDLastSave="0" documentId="13_ncr:1_{E468647C-7580-1449-AE62-75780C990FA4}" xr6:coauthVersionLast="45" xr6:coauthVersionMax="45" xr10:uidLastSave="{00000000-0000-0000-0000-000000000000}"/>
  <bookViews>
    <workbookView xWindow="0" yWindow="440" windowWidth="25600" windowHeight="14520" xr2:uid="{A97B9A5E-BB54-4E55-BD22-158AAF84A460}"/>
  </bookViews>
  <sheets>
    <sheet name="Sheet1" sheetId="1" r:id="rId1"/>
    <sheet name="Reference" sheetId="2" r:id="rId2"/>
  </sheets>
  <definedNames>
    <definedName name="solver_adj" localSheetId="0" hidden="1">Sheet1!$B$53,Sheet1!$B$78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Sheet1!$D$121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90" i="1" l="1"/>
  <c r="B490" i="1"/>
  <c r="B121" i="1" l="1"/>
  <c r="C35" i="1" l="1"/>
  <c r="C36" i="1"/>
  <c r="C37" i="1"/>
  <c r="C38" i="1"/>
  <c r="C39" i="1"/>
  <c r="C40" i="1"/>
  <c r="C41" i="1"/>
  <c r="C42" i="1"/>
  <c r="C43" i="1"/>
  <c r="C44" i="1"/>
  <c r="C45" i="1"/>
  <c r="C34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J118" i="1" l="1"/>
  <c r="B98" i="1"/>
  <c r="J117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30" i="1" s="1"/>
  <c r="B103" i="1"/>
  <c r="B104" i="1"/>
  <c r="B105" i="1"/>
  <c r="C72" i="1"/>
  <c r="B107" i="1"/>
  <c r="C74" i="1"/>
  <c r="C75" i="1"/>
  <c r="B34" i="1"/>
  <c r="B43" i="1" l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F34" i="1" s="1"/>
  <c r="B31" i="1"/>
  <c r="E6" i="1"/>
  <c r="E5" i="1"/>
  <c r="D5" i="1"/>
  <c r="D4" i="1"/>
  <c r="D43" i="1" l="1"/>
  <c r="E43" i="1" s="1"/>
  <c r="F39" i="1"/>
  <c r="E34" i="1"/>
  <c r="E44" i="1"/>
  <c r="F44" i="1"/>
  <c r="F36" i="1"/>
  <c r="E36" i="1"/>
  <c r="E41" i="1"/>
  <c r="F42" i="1"/>
  <c r="F45" i="1"/>
  <c r="F37" i="1"/>
  <c r="F38" i="1"/>
  <c r="F40" i="1"/>
  <c r="E35" i="1"/>
  <c r="G3" i="1"/>
  <c r="H3" i="1" s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B57" i="1" l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C60" i="1"/>
  <c r="B91" i="1" s="1"/>
  <c r="E64" i="1"/>
  <c r="D60" i="1"/>
  <c r="C91" i="1" s="1"/>
  <c r="E73" i="1"/>
  <c r="E70" i="1"/>
  <c r="E66" i="1"/>
  <c r="E71" i="1"/>
  <c r="F69" i="1" l="1"/>
  <c r="C103" i="1" s="1"/>
  <c r="F72" i="1"/>
  <c r="C106" i="1" s="1"/>
  <c r="G71" i="1"/>
  <c r="D105" i="1" s="1"/>
  <c r="G70" i="1"/>
  <c r="D104" i="1" s="1"/>
  <c r="G68" i="1"/>
  <c r="D102" i="1" s="1"/>
  <c r="F67" i="1"/>
  <c r="C101" i="1" s="1"/>
  <c r="C61" i="1"/>
  <c r="D91" i="1" s="1"/>
  <c r="D57" i="1"/>
  <c r="C88" i="1" s="1"/>
  <c r="F74" i="1"/>
  <c r="C108" i="1" s="1"/>
  <c r="G65" i="1"/>
  <c r="D99" i="1" s="1"/>
  <c r="D61" i="1"/>
  <c r="E91" i="1" s="1"/>
  <c r="C59" i="1"/>
  <c r="D89" i="1" s="1"/>
  <c r="F70" i="1"/>
  <c r="C104" i="1" s="1"/>
  <c r="G64" i="1"/>
  <c r="D98" i="1" s="1"/>
  <c r="F65" i="1"/>
  <c r="C99" i="1" s="1"/>
  <c r="D58" i="1"/>
  <c r="D59" i="1"/>
  <c r="F75" i="1"/>
  <c r="C109" i="1" s="1"/>
  <c r="G72" i="1"/>
  <c r="D106" i="1" s="1"/>
  <c r="F73" i="1"/>
  <c r="C107" i="1" s="1"/>
  <c r="C58" i="1"/>
  <c r="C57" i="1"/>
  <c r="F68" i="1"/>
  <c r="C102" i="1" s="1"/>
  <c r="G73" i="1"/>
  <c r="D107" i="1" s="1"/>
  <c r="G69" i="1"/>
  <c r="D103" i="1" s="1"/>
  <c r="G66" i="1"/>
  <c r="D100" i="1" s="1"/>
  <c r="D90" i="1"/>
  <c r="F64" i="1"/>
  <c r="C98" i="1" s="1"/>
  <c r="F66" i="1"/>
  <c r="C100" i="1" s="1"/>
  <c r="G67" i="1"/>
  <c r="D101" i="1" s="1"/>
  <c r="G75" i="1"/>
  <c r="D109" i="1" s="1"/>
  <c r="G74" i="1"/>
  <c r="D108" i="1" s="1"/>
  <c r="E90" i="1"/>
  <c r="F71" i="1"/>
  <c r="C105" i="1" s="1"/>
  <c r="T59" i="1" l="1"/>
  <c r="D83" i="1"/>
  <c r="B90" i="1"/>
  <c r="B88" i="1"/>
  <c r="G91" i="1"/>
  <c r="G58" i="1"/>
  <c r="E103" i="1" s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U59" i="1" l="1"/>
  <c r="U60" i="1" s="1"/>
  <c r="T60" i="1"/>
  <c r="F90" i="1"/>
  <c r="F89" i="1"/>
  <c r="F88" i="1"/>
  <c r="I88" i="1" s="1"/>
  <c r="H91" i="1"/>
  <c r="G88" i="1"/>
  <c r="G90" i="1"/>
  <c r="E108" i="1"/>
  <c r="E98" i="1"/>
  <c r="F98" i="1" s="1"/>
  <c r="G98" i="1" s="1"/>
  <c r="H98" i="1" s="1"/>
  <c r="J98" i="1" s="1"/>
  <c r="E106" i="1"/>
  <c r="E100" i="1"/>
  <c r="F100" i="1" s="1"/>
  <c r="G100" i="1" s="1"/>
  <c r="H100" i="1" s="1"/>
  <c r="I100" i="1" s="1"/>
  <c r="E105" i="1"/>
  <c r="E102" i="1"/>
  <c r="F102" i="1" s="1"/>
  <c r="G102" i="1" s="1"/>
  <c r="H102" i="1" s="1"/>
  <c r="J102" i="1" s="1"/>
  <c r="E104" i="1"/>
  <c r="E107" i="1"/>
  <c r="E109" i="1"/>
  <c r="E99" i="1"/>
  <c r="F99" i="1" s="1"/>
  <c r="G99" i="1" s="1"/>
  <c r="H99" i="1" s="1"/>
  <c r="I99" i="1" s="1"/>
  <c r="E101" i="1"/>
  <c r="F101" i="1" s="1"/>
  <c r="G101" i="1" s="1"/>
  <c r="H101" i="1" s="1"/>
  <c r="I101" i="1" s="1"/>
  <c r="I91" i="1"/>
  <c r="E83" i="1"/>
  <c r="G89" i="1"/>
  <c r="F103" i="1"/>
  <c r="G103" i="1" s="1"/>
  <c r="H103" i="1" s="1"/>
  <c r="F105" i="1"/>
  <c r="F104" i="1"/>
  <c r="F107" i="1"/>
  <c r="F108" i="1"/>
  <c r="F106" i="1"/>
  <c r="F109" i="1"/>
  <c r="H90" i="1" l="1"/>
  <c r="L91" i="1"/>
  <c r="H89" i="1"/>
  <c r="G106" i="1"/>
  <c r="H106" i="1" s="1"/>
  <c r="J106" i="1" s="1"/>
  <c r="G108" i="1"/>
  <c r="H108" i="1" s="1"/>
  <c r="I108" i="1" s="1"/>
  <c r="J91" i="1"/>
  <c r="K91" i="1"/>
  <c r="J99" i="1"/>
  <c r="J10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I104" i="1" s="1"/>
  <c r="J100" i="1"/>
  <c r="I90" i="1"/>
  <c r="I98" i="1"/>
  <c r="F110" i="1"/>
  <c r="J113" i="1" s="1"/>
  <c r="J103" i="1"/>
  <c r="I103" i="1"/>
  <c r="J90" i="1" l="1"/>
  <c r="K90" i="1"/>
  <c r="L90" i="1"/>
  <c r="J89" i="1"/>
  <c r="L89" i="1"/>
  <c r="K89" i="1"/>
  <c r="I106" i="1"/>
  <c r="J108" i="1"/>
  <c r="L88" i="1"/>
  <c r="J88" i="1"/>
  <c r="I105" i="1"/>
  <c r="I109" i="1"/>
  <c r="J104" i="1"/>
  <c r="H110" i="1"/>
  <c r="I107" i="1"/>
  <c r="K92" i="1" l="1"/>
  <c r="J92" i="1"/>
  <c r="B113" i="1" s="1"/>
  <c r="J116" i="1" s="1"/>
  <c r="L92" i="1"/>
  <c r="J110" i="1"/>
  <c r="I110" i="1"/>
  <c r="B114" i="1" l="1"/>
  <c r="D115" i="1"/>
  <c r="B115" i="1"/>
  <c r="D114" i="1"/>
  <c r="F114" i="1" l="1"/>
  <c r="H114" i="1" s="1"/>
  <c r="J114" i="1" s="1"/>
  <c r="H125" i="1" s="1"/>
  <c r="F115" i="1"/>
  <c r="H115" i="1" s="1"/>
  <c r="J115" i="1" s="1"/>
  <c r="I125" i="1" s="1"/>
  <c r="N115" i="1" l="1"/>
</calcChain>
</file>

<file path=xl/sharedStrings.xml><?xml version="1.0" encoding="utf-8"?>
<sst xmlns="http://schemas.openxmlformats.org/spreadsheetml/2006/main" count="129" uniqueCount="86">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</sst>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name val="Calibri"/>
    </font>
    <font>
      <sz val="1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/>
    <xf numFmtId="164" fontId="3" fillId="0" borderId="0" xfId="0" applyNumberFormat="1" applyFont="1" applyFill="1" applyAlignment="1">
      <alignment horizontal="center"/>
    </xf>
    <xf numFmtId="166" fontId="3" fillId="0" borderId="0" xfId="0" applyNumberFormat="1" applyFont="1" applyFill="1"/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Sheet1!$E$3:$E$7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Sheet1!$D$13:$D$24</c:f>
              <c:numCache>
                <c:formatCode>0.00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16</c:v>
                </c:pt>
                <c:pt idx="3">
                  <c:v>10</c:v>
                </c:pt>
                <c:pt idx="4">
                  <c:v>4</c:v>
                </c:pt>
              </c:numCache>
            </c:numRef>
          </c:xVal>
          <c:yVal>
            <c:numRef>
              <c:f>Sheet1!$E$13:$E$24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Sheet1!$G$3:$G$4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xVal>
          <c:yVal>
            <c:numRef>
              <c:f>Sheet1!$H$3:$H$4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Sheet1!$E$49</c:f>
              <c:numCache>
                <c:formatCode>0.000</c:formatCode>
                <c:ptCount val="1"/>
                <c:pt idx="0">
                  <c:v>15.229409569306561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Sheet1!$H$7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Sheet1!$C$57:$C$61</c:f>
              <c:numCache>
                <c:formatCode>0.000</c:formatCode>
                <c:ptCount val="5"/>
                <c:pt idx="0">
                  <c:v>7.4663035802309592</c:v>
                </c:pt>
                <c:pt idx="1">
                  <c:v>18.217425383128059</c:v>
                </c:pt>
                <c:pt idx="2">
                  <c:v>-7.0794144383468511</c:v>
                </c:pt>
                <c:pt idx="3">
                  <c:v>-17.830536241243951</c:v>
                </c:pt>
                <c:pt idx="4">
                  <c:v>7.4663035802309592</c:v>
                </c:pt>
              </c:numCache>
            </c:numRef>
          </c:xVal>
          <c:yVal>
            <c:numRef>
              <c:f>Sheet1!$D$57:$D$61</c:f>
              <c:numCache>
                <c:formatCode>0.000</c:formatCode>
                <c:ptCount val="5"/>
                <c:pt idx="0">
                  <c:v>-16.618941803782715</c:v>
                </c:pt>
                <c:pt idx="1">
                  <c:v>0.24561807720056095</c:v>
                </c:pt>
                <c:pt idx="2">
                  <c:v>16.372300781546215</c:v>
                </c:pt>
                <c:pt idx="3">
                  <c:v>-0.49225909943706192</c:v>
                </c:pt>
                <c:pt idx="4">
                  <c:v>-16.618941803782715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Sheet1!$F$64:$F$75</c:f>
              <c:numCache>
                <c:formatCode>0.000</c:formatCode>
                <c:ptCount val="12"/>
                <c:pt idx="0">
                  <c:v>6.243615964613725</c:v>
                </c:pt>
                <c:pt idx="1">
                  <c:v>12.694289046351987</c:v>
                </c:pt>
                <c:pt idx="2">
                  <c:v>-5.8567268227296152</c:v>
                </c:pt>
                <c:pt idx="3">
                  <c:v>-9.0820633635987456</c:v>
                </c:pt>
                <c:pt idx="4">
                  <c:v>-12.307399904467875</c:v>
                </c:pt>
                <c:pt idx="5">
                  <c:v>7.4663035802309592</c:v>
                </c:pt>
                <c:pt idx="6">
                  <c:v>7.4663035802309592</c:v>
                </c:pt>
                <c:pt idx="7">
                  <c:v>7.4663035802309592</c:v>
                </c:pt>
                <c:pt idx="8">
                  <c:v>7.4663035802309592</c:v>
                </c:pt>
                <c:pt idx="9">
                  <c:v>7.4663035802309592</c:v>
                </c:pt>
                <c:pt idx="10">
                  <c:v>7.4663035802309592</c:v>
                </c:pt>
                <c:pt idx="11">
                  <c:v>7.4663035802309592</c:v>
                </c:pt>
              </c:numCache>
            </c:numRef>
          </c:xVal>
          <c:yVal>
            <c:numRef>
              <c:f>Sheet1!$G$64:$G$75</c:f>
              <c:numCache>
                <c:formatCode>0.000</c:formatCode>
                <c:ptCount val="12"/>
                <c:pt idx="0">
                  <c:v>-11.095805467006638</c:v>
                </c:pt>
                <c:pt idx="1">
                  <c:v>-0.97706953841667321</c:v>
                </c:pt>
                <c:pt idx="2">
                  <c:v>10.849164444770139</c:v>
                </c:pt>
                <c:pt idx="3">
                  <c:v>5.7897964804751556</c:v>
                </c:pt>
                <c:pt idx="4">
                  <c:v>0.73042851618017313</c:v>
                </c:pt>
                <c:pt idx="5">
                  <c:v>-16.618941803782715</c:v>
                </c:pt>
                <c:pt idx="6">
                  <c:v>-16.618941803782715</c:v>
                </c:pt>
                <c:pt idx="7">
                  <c:v>-16.618941803782715</c:v>
                </c:pt>
                <c:pt idx="8">
                  <c:v>-16.618941803782715</c:v>
                </c:pt>
                <c:pt idx="9">
                  <c:v>-16.618941803782715</c:v>
                </c:pt>
                <c:pt idx="10">
                  <c:v>-16.618941803782715</c:v>
                </c:pt>
                <c:pt idx="11">
                  <c:v>-16.618941803782715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Sheet1!$D$78:$D$79</c:f>
              <c:numCache>
                <c:formatCode>0.000</c:formatCode>
                <c:ptCount val="2"/>
                <c:pt idx="0">
                  <c:v>-17.830536241243951</c:v>
                </c:pt>
                <c:pt idx="1">
                  <c:v>18.217425383128059</c:v>
                </c:pt>
              </c:numCache>
            </c:numRef>
          </c:xVal>
          <c:yVal>
            <c:numRef>
              <c:f>Sheet1!$E$78:$E$79</c:f>
              <c:numCache>
                <c:formatCode>0.000</c:formatCode>
                <c:ptCount val="2"/>
                <c:pt idx="0">
                  <c:v>-2.2256640468258411</c:v>
                </c:pt>
                <c:pt idx="1">
                  <c:v>-2.2256640468258411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Sheet1!$D$82:$D$83</c:f>
              <c:numCache>
                <c:formatCode>0.000</c:formatCode>
                <c:ptCount val="2"/>
                <c:pt idx="0">
                  <c:v>-17.830536241243951</c:v>
                </c:pt>
                <c:pt idx="1">
                  <c:v>18.217425383128059</c:v>
                </c:pt>
              </c:numCache>
            </c:numRef>
          </c:xVal>
          <c:yVal>
            <c:numRef>
              <c:f>Sheet1!$E$82:$E$83</c:f>
              <c:numCache>
                <c:formatCode>0.000</c:formatCode>
                <c:ptCount val="2"/>
                <c:pt idx="0">
                  <c:v>1.4939289188485709</c:v>
                </c:pt>
                <c:pt idx="1">
                  <c:v>1.4939289188485709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Sheet1!$H$88:$H$91</c:f>
              <c:numCache>
                <c:formatCode>0.000</c:formatCode>
                <c:ptCount val="4"/>
                <c:pt idx="0">
                  <c:v>#N/A</c:v>
                </c:pt>
                <c:pt idx="1">
                  <c:v>16.2592843328257</c:v>
                </c:pt>
                <c:pt idx="2">
                  <c:v>-16.564345515915715</c:v>
                </c:pt>
                <c:pt idx="3">
                  <c:v>#N/A</c:v>
                </c:pt>
              </c:numCache>
            </c:numRef>
          </c:xVal>
          <c:yVal>
            <c:numRef>
              <c:f>Sheet1!$I$88:$I$91</c:f>
              <c:numCache>
                <c:formatCode>0.000</c:formatCode>
                <c:ptCount val="4"/>
                <c:pt idx="0">
                  <c:v>#N/A</c:v>
                </c:pt>
                <c:pt idx="1">
                  <c:v>1.4939289188485709</c:v>
                </c:pt>
                <c:pt idx="2">
                  <c:v>1.4939289188485709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Sheet1!$T$59:$T$60</c:f>
              <c:numCache>
                <c:formatCode>General</c:formatCode>
                <c:ptCount val="2"/>
                <c:pt idx="0">
                  <c:v>18.217425383128059</c:v>
                </c:pt>
                <c:pt idx="1">
                  <c:v>-18.217425383128059</c:v>
                </c:pt>
              </c:numCache>
            </c:numRef>
          </c:xVal>
          <c:yVal>
            <c:numRef>
              <c:f>Sheet1!$U$59:$U$60</c:f>
              <c:numCache>
                <c:formatCode>General</c:formatCode>
                <c:ptCount val="2"/>
                <c:pt idx="0">
                  <c:v>18.217425383128059</c:v>
                </c:pt>
                <c:pt idx="1">
                  <c:v>-18.217425383128059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</a:t>
            </a:r>
            <a:r>
              <a:rPr lang="en-US" baseline="0"/>
              <a:t> vs My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Sheet1!$B$129:$B$490</c:f>
              <c:numCache>
                <c:formatCode>General</c:formatCode>
                <c:ptCount val="362"/>
                <c:pt idx="0">
                  <c:v>719.81084503901752</c:v>
                </c:pt>
                <c:pt idx="1">
                  <c:v>716.93119930593059</c:v>
                </c:pt>
                <c:pt idx="2">
                  <c:v>714.85468046700896</c:v>
                </c:pt>
                <c:pt idx="3">
                  <c:v>713.3273740599127</c:v>
                </c:pt>
                <c:pt idx="4">
                  <c:v>711.55916897967563</c:v>
                </c:pt>
                <c:pt idx="5">
                  <c:v>709.06717573129526</c:v>
                </c:pt>
                <c:pt idx="6">
                  <c:v>706.57355399554069</c:v>
                </c:pt>
                <c:pt idx="7">
                  <c:v>704.07496834695291</c:v>
                </c:pt>
                <c:pt idx="8">
                  <c:v>701.27760795115898</c:v>
                </c:pt>
                <c:pt idx="9">
                  <c:v>698.34183500343067</c:v>
                </c:pt>
                <c:pt idx="10">
                  <c:v>695.40348678659848</c:v>
                </c:pt>
                <c:pt idx="11">
                  <c:v>692.45849828810344</c:v>
                </c:pt>
                <c:pt idx="12">
                  <c:v>689.50287701262869</c:v>
                </c:pt>
                <c:pt idx="13">
                  <c:v>686.53259115884578</c:v>
                </c:pt>
                <c:pt idx="14">
                  <c:v>683.54358960097375</c:v>
                </c:pt>
                <c:pt idx="15">
                  <c:v>680.53177445104939</c:v>
                </c:pt>
                <c:pt idx="16">
                  <c:v>677.49298067994948</c:v>
                </c:pt>
                <c:pt idx="17">
                  <c:v>674.4229553198337</c:v>
                </c:pt>
                <c:pt idx="18">
                  <c:v>671.31733604240299</c:v>
                </c:pt>
                <c:pt idx="19">
                  <c:v>668.17162889975475</c:v>
                </c:pt>
                <c:pt idx="20">
                  <c:v>664.98118500351745</c:v>
                </c:pt>
                <c:pt idx="21">
                  <c:v>661.74117590318303</c:v>
                </c:pt>
                <c:pt idx="22">
                  <c:v>658.44656740574237</c:v>
                </c:pt>
                <c:pt idx="23">
                  <c:v>655.09209155552071</c:v>
                </c:pt>
                <c:pt idx="24">
                  <c:v>651.67221646494897</c:v>
                </c:pt>
                <c:pt idx="25">
                  <c:v>648.18111365322318</c:v>
                </c:pt>
                <c:pt idx="26">
                  <c:v>644.6126225096217</c:v>
                </c:pt>
                <c:pt idx="27">
                  <c:v>640.96021145068096</c:v>
                </c:pt>
                <c:pt idx="28">
                  <c:v>637.21693528424805</c:v>
                </c:pt>
                <c:pt idx="29">
                  <c:v>633.3753882272207</c:v>
                </c:pt>
                <c:pt idx="30">
                  <c:v>629.42765194577373</c:v>
                </c:pt>
                <c:pt idx="31">
                  <c:v>625.36523789492753</c:v>
                </c:pt>
                <c:pt idx="32">
                  <c:v>621.17902312585034</c:v>
                </c:pt>
                <c:pt idx="33">
                  <c:v>616.8591786011599</c:v>
                </c:pt>
                <c:pt idx="34">
                  <c:v>612.39508890686056</c:v>
                </c:pt>
                <c:pt idx="35">
                  <c:v>607.77526206974198</c:v>
                </c:pt>
                <c:pt idx="36">
                  <c:v>602.98722797530581</c:v>
                </c:pt>
                <c:pt idx="37">
                  <c:v>598.01742362656</c:v>
                </c:pt>
                <c:pt idx="38">
                  <c:v>592.85106317955558</c:v>
                </c:pt>
                <c:pt idx="39">
                  <c:v>587.47202108248416</c:v>
                </c:pt>
                <c:pt idx="40">
                  <c:v>581.86257122318284</c:v>
                </c:pt>
                <c:pt idx="41">
                  <c:v>576.00319706274388</c:v>
                </c:pt>
                <c:pt idx="42">
                  <c:v>569.87267481780691</c:v>
                </c:pt>
                <c:pt idx="43">
                  <c:v>563.44736373870296</c:v>
                </c:pt>
                <c:pt idx="44">
                  <c:v>556.70118937032737</c:v>
                </c:pt>
                <c:pt idx="45">
                  <c:v>549.6052456869171</c:v>
                </c:pt>
                <c:pt idx="46">
                  <c:v>542.12740446102066</c:v>
                </c:pt>
                <c:pt idx="47">
                  <c:v>534.23186066846699</c:v>
                </c:pt>
                <c:pt idx="48">
                  <c:v>525.87860160574746</c:v>
                </c:pt>
                <c:pt idx="49">
                  <c:v>517.02278466169741</c:v>
                </c:pt>
                <c:pt idx="50">
                  <c:v>507.61400525873893</c:v>
                </c:pt>
                <c:pt idx="51">
                  <c:v>497.60867453636689</c:v>
                </c:pt>
                <c:pt idx="52">
                  <c:v>487.28307139015152</c:v>
                </c:pt>
                <c:pt idx="53">
                  <c:v>476.75144694693802</c:v>
                </c:pt>
                <c:pt idx="54">
                  <c:v>468.86720271917324</c:v>
                </c:pt>
                <c:pt idx="55">
                  <c:v>457.90008582337663</c:v>
                </c:pt>
                <c:pt idx="56">
                  <c:v>446.64589565809189</c:v>
                </c:pt>
                <c:pt idx="57">
                  <c:v>435.07191817680342</c:v>
                </c:pt>
                <c:pt idx="58">
                  <c:v>423.14199933477062</c:v>
                </c:pt>
                <c:pt idx="59">
                  <c:v>410.81605147418168</c:v>
                </c:pt>
                <c:pt idx="60">
                  <c:v>398.04938045937996</c:v>
                </c:pt>
                <c:pt idx="61">
                  <c:v>384.79188879718765</c:v>
                </c:pt>
                <c:pt idx="62">
                  <c:v>371.11030138304255</c:v>
                </c:pt>
                <c:pt idx="63">
                  <c:v>357.52869149794822</c:v>
                </c:pt>
                <c:pt idx="64">
                  <c:v>344.10065224843441</c:v>
                </c:pt>
                <c:pt idx="65">
                  <c:v>330.81123437096687</c:v>
                </c:pt>
                <c:pt idx="66">
                  <c:v>317.63273670268126</c:v>
                </c:pt>
                <c:pt idx="67">
                  <c:v>304.45350820603801</c:v>
                </c:pt>
                <c:pt idx="68">
                  <c:v>291.36800344300661</c:v>
                </c:pt>
                <c:pt idx="69">
                  <c:v>281.53044230035204</c:v>
                </c:pt>
                <c:pt idx="70">
                  <c:v>268.59699240914119</c:v>
                </c:pt>
                <c:pt idx="71">
                  <c:v>255.71687922554355</c:v>
                </c:pt>
                <c:pt idx="72">
                  <c:v>242.87669781207146</c:v>
                </c:pt>
                <c:pt idx="73">
                  <c:v>230.06301789656086</c:v>
                </c:pt>
                <c:pt idx="74">
                  <c:v>217.26231725347748</c:v>
                </c:pt>
                <c:pt idx="75">
                  <c:v>204.46091273510513</c:v>
                </c:pt>
                <c:pt idx="76">
                  <c:v>191.64488797997498</c:v>
                </c:pt>
                <c:pt idx="77">
                  <c:v>178.80001687522579</c:v>
                </c:pt>
                <c:pt idx="78">
                  <c:v>165.9116817445931</c:v>
                </c:pt>
                <c:pt idx="79">
                  <c:v>152.96478510353592</c:v>
                </c:pt>
                <c:pt idx="80">
                  <c:v>139.94365366295929</c:v>
                </c:pt>
                <c:pt idx="81">
                  <c:v>126.83193306722626</c:v>
                </c:pt>
                <c:pt idx="82">
                  <c:v>113.61247161334371</c:v>
                </c:pt>
                <c:pt idx="83">
                  <c:v>103.40573376591526</c:v>
                </c:pt>
                <c:pt idx="84">
                  <c:v>89.901066395610215</c:v>
                </c:pt>
                <c:pt idx="85">
                  <c:v>76.229960743256328</c:v>
                </c:pt>
                <c:pt idx="86">
                  <c:v>62.370518760519793</c:v>
                </c:pt>
                <c:pt idx="87">
                  <c:v>48.299196674982682</c:v>
                </c:pt>
                <c:pt idx="88">
                  <c:v>33.990566968328935</c:v>
                </c:pt>
                <c:pt idx="89">
                  <c:v>19.417039306664627</c:v>
                </c:pt>
                <c:pt idx="90">
                  <c:v>4.5485378194225357</c:v>
                </c:pt>
                <c:pt idx="91">
                  <c:v>-9.9564840086305182</c:v>
                </c:pt>
                <c:pt idx="92">
                  <c:v>-24.157182943520308</c:v>
                </c:pt>
                <c:pt idx="93">
                  <c:v>-38.087617946371957</c:v>
                </c:pt>
                <c:pt idx="94">
                  <c:v>-51.778306488200762</c:v>
                </c:pt>
                <c:pt idx="95">
                  <c:v>-65.257144893513484</c:v>
                </c:pt>
                <c:pt idx="96">
                  <c:v>-78.549556208154868</c:v>
                </c:pt>
                <c:pt idx="97">
                  <c:v>-91.678904436304549</c:v>
                </c:pt>
                <c:pt idx="98">
                  <c:v>-104.66678895974364</c:v>
                </c:pt>
                <c:pt idx="99">
                  <c:v>-117.53329641666664</c:v>
                </c:pt>
                <c:pt idx="100">
                  <c:v>-130.29721763606713</c:v>
                </c:pt>
                <c:pt idx="101">
                  <c:v>-142.97623575960466</c:v>
                </c:pt>
                <c:pt idx="102">
                  <c:v>-155.58709054020954</c:v>
                </c:pt>
                <c:pt idx="103">
                  <c:v>-168.14572290472975</c:v>
                </c:pt>
                <c:pt idx="104">
                  <c:v>-180.6674031524357</c:v>
                </c:pt>
                <c:pt idx="105">
                  <c:v>-193.16684559119099</c:v>
                </c:pt>
                <c:pt idx="106">
                  <c:v>-205.65831195742638</c:v>
                </c:pt>
                <c:pt idx="107">
                  <c:v>-218.15570560088355</c:v>
                </c:pt>
                <c:pt idx="108">
                  <c:v>-230.67265812209118</c:v>
                </c:pt>
                <c:pt idx="109">
                  <c:v>-243.22260991559634</c:v>
                </c:pt>
                <c:pt idx="110">
                  <c:v>-255.81888588408387</c:v>
                </c:pt>
                <c:pt idx="111">
                  <c:v>-268.37305838492222</c:v>
                </c:pt>
                <c:pt idx="112">
                  <c:v>-280.95807830447808</c:v>
                </c:pt>
                <c:pt idx="113">
                  <c:v>-290.78044991751574</c:v>
                </c:pt>
                <c:pt idx="114">
                  <c:v>-303.55792332972914</c:v>
                </c:pt>
                <c:pt idx="115">
                  <c:v>-316.45243744798461</c:v>
                </c:pt>
                <c:pt idx="116">
                  <c:v>-329.47788980659186</c:v>
                </c:pt>
                <c:pt idx="117">
                  <c:v>-342.64854908849867</c:v>
                </c:pt>
                <c:pt idx="118">
                  <c:v>-355.97912572625557</c:v>
                </c:pt>
                <c:pt idx="119">
                  <c:v>-369.48484438187853</c:v>
                </c:pt>
                <c:pt idx="120">
                  <c:v>-383.14646468598846</c:v>
                </c:pt>
                <c:pt idx="121">
                  <c:v>-396.51223309830232</c:v>
                </c:pt>
                <c:pt idx="122">
                  <c:v>-409.47591063691885</c:v>
                </c:pt>
                <c:pt idx="123">
                  <c:v>-422.08086280574094</c:v>
                </c:pt>
                <c:pt idx="124">
                  <c:v>-434.36594401348316</c:v>
                </c:pt>
                <c:pt idx="125">
                  <c:v>-443.12649608223825</c:v>
                </c:pt>
                <c:pt idx="126">
                  <c:v>-454.9291077620714</c:v>
                </c:pt>
                <c:pt idx="127">
                  <c:v>-466.50681443320036</c:v>
                </c:pt>
                <c:pt idx="128">
                  <c:v>-477.8625886653561</c:v>
                </c:pt>
                <c:pt idx="129">
                  <c:v>-488.61861891170014</c:v>
                </c:pt>
                <c:pt idx="130">
                  <c:v>-498.69248588648566</c:v>
                </c:pt>
                <c:pt idx="131">
                  <c:v>-508.14868450297519</c:v>
                </c:pt>
                <c:pt idx="132">
                  <c:v>-517.04423565514094</c:v>
                </c:pt>
                <c:pt idx="133">
                  <c:v>-525.42971282813278</c:v>
                </c:pt>
                <c:pt idx="134">
                  <c:v>-533.3501076971686</c:v>
                </c:pt>
                <c:pt idx="135">
                  <c:v>-540.84556298593998</c:v>
                </c:pt>
                <c:pt idx="136">
                  <c:v>-547.95199539196256</c:v>
                </c:pt>
                <c:pt idx="137">
                  <c:v>-554.70162706934138</c:v>
                </c:pt>
                <c:pt idx="138">
                  <c:v>-561.12344073195595</c:v>
                </c:pt>
                <c:pt idx="139">
                  <c:v>-567.24357070458996</c:v>
                </c:pt>
                <c:pt idx="140">
                  <c:v>-573.08564005533844</c:v>
                </c:pt>
                <c:pt idx="141">
                  <c:v>-578.67105217426865</c:v>
                </c:pt>
                <c:pt idx="142">
                  <c:v>-584.01924373149882</c:v>
                </c:pt>
                <c:pt idx="143">
                  <c:v>-589.14790478357952</c:v>
                </c:pt>
                <c:pt idx="144">
                  <c:v>-594.07314379909815</c:v>
                </c:pt>
                <c:pt idx="145">
                  <c:v>-598.809790365705</c:v>
                </c:pt>
                <c:pt idx="146">
                  <c:v>-603.37124209884894</c:v>
                </c:pt>
                <c:pt idx="147">
                  <c:v>-607.77002448734436</c:v>
                </c:pt>
                <c:pt idx="148">
                  <c:v>-612.01744477271961</c:v>
                </c:pt>
                <c:pt idx="149">
                  <c:v>-616.12404854778924</c:v>
                </c:pt>
                <c:pt idx="150">
                  <c:v>-620.099544391991</c:v>
                </c:pt>
                <c:pt idx="151">
                  <c:v>-623.95291673757356</c:v>
                </c:pt>
                <c:pt idx="152">
                  <c:v>-627.69249690041659</c:v>
                </c:pt>
                <c:pt idx="153">
                  <c:v>-631.32602651760806</c:v>
                </c:pt>
                <c:pt idx="154">
                  <c:v>-634.8607143450663</c:v>
                </c:pt>
                <c:pt idx="155">
                  <c:v>-638.30328723919195</c:v>
                </c:pt>
                <c:pt idx="156">
                  <c:v>-641.66003603692036</c:v>
                </c:pt>
                <c:pt idx="157">
                  <c:v>-644.93685695533782</c:v>
                </c:pt>
                <c:pt idx="158">
                  <c:v>-648.13928905259706</c:v>
                </c:pt>
                <c:pt idx="159">
                  <c:v>-651.27254822409532</c:v>
                </c:pt>
                <c:pt idx="160">
                  <c:v>-654.34155814991675</c:v>
                </c:pt>
                <c:pt idx="161">
                  <c:v>-657.35097855998606</c:v>
                </c:pt>
                <c:pt idx="162">
                  <c:v>-660.3052311409408</c:v>
                </c:pt>
                <c:pt idx="163">
                  <c:v>-663.20852337240694</c:v>
                </c:pt>
                <c:pt idx="164">
                  <c:v>-666.06487054929221</c:v>
                </c:pt>
                <c:pt idx="165">
                  <c:v>-668.87811622019649</c:v>
                </c:pt>
                <c:pt idx="166">
                  <c:v>-671.65195124947047</c:v>
                </c:pt>
                <c:pt idx="167">
                  <c:v>-674.38993169133653</c:v>
                </c:pt>
                <c:pt idx="168">
                  <c:v>-677.09549564845986</c:v>
                </c:pt>
                <c:pt idx="169">
                  <c:v>-679.77197927400596</c:v>
                </c:pt>
                <c:pt idx="170">
                  <c:v>-682.42263206537348</c:v>
                </c:pt>
                <c:pt idx="171">
                  <c:v>-685.05063158915323</c:v>
                </c:pt>
                <c:pt idx="172">
                  <c:v>-687.65909777032459</c:v>
                </c:pt>
                <c:pt idx="173">
                  <c:v>-690.25110687412518</c:v>
                </c:pt>
                <c:pt idx="174">
                  <c:v>-692.82970528667386</c:v>
                </c:pt>
                <c:pt idx="175">
                  <c:v>-694.66507096933913</c:v>
                </c:pt>
                <c:pt idx="176">
                  <c:v>-696.24819699918669</c:v>
                </c:pt>
                <c:pt idx="177">
                  <c:v>-697.79843516598908</c:v>
                </c:pt>
                <c:pt idx="178">
                  <c:v>-699.31716968339003</c:v>
                </c:pt>
                <c:pt idx="179">
                  <c:v>-700.80583969038707</c:v>
                </c:pt>
                <c:pt idx="180">
                  <c:v>-702.26561210342743</c:v>
                </c:pt>
                <c:pt idx="181">
                  <c:v>-700.80583984956093</c:v>
                </c:pt>
                <c:pt idx="182">
                  <c:v>-699.31720289490647</c:v>
                </c:pt>
                <c:pt idx="183">
                  <c:v>-697.79846291955073</c:v>
                </c:pt>
                <c:pt idx="184">
                  <c:v>-696.24819711665327</c:v>
                </c:pt>
                <c:pt idx="185">
                  <c:v>-694.66507118514414</c:v>
                </c:pt>
                <c:pt idx="186">
                  <c:v>-692.82970549746051</c:v>
                </c:pt>
                <c:pt idx="187">
                  <c:v>-690.25110710313265</c:v>
                </c:pt>
                <c:pt idx="188">
                  <c:v>-687.65909817773695</c:v>
                </c:pt>
                <c:pt idx="189">
                  <c:v>-685.05063220124225</c:v>
                </c:pt>
                <c:pt idx="190">
                  <c:v>-682.42263289432742</c:v>
                </c:pt>
                <c:pt idx="191">
                  <c:v>-679.77198032068839</c:v>
                </c:pt>
                <c:pt idx="192">
                  <c:v>-677.09549690473852</c:v>
                </c:pt>
                <c:pt idx="193">
                  <c:v>-674.38993314205459</c:v>
                </c:pt>
                <c:pt idx="194">
                  <c:v>-671.65195287411234</c:v>
                </c:pt>
                <c:pt idx="195">
                  <c:v>-668.87811799430233</c:v>
                </c:pt>
                <c:pt idx="196">
                  <c:v>-666.06487244565085</c:v>
                </c:pt>
                <c:pt idx="197">
                  <c:v>-663.20852536207224</c:v>
                </c:pt>
                <c:pt idx="198">
                  <c:v>-660.3052331940894</c:v>
                </c:pt>
                <c:pt idx="199">
                  <c:v>-657.35098064664555</c:v>
                </c:pt>
                <c:pt idx="200">
                  <c:v>-654.34156024058768</c:v>
                </c:pt>
                <c:pt idx="201">
                  <c:v>-651.27255029027492</c:v>
                </c:pt>
                <c:pt idx="202">
                  <c:v>-648.13929106723117</c:v>
                </c:pt>
                <c:pt idx="203">
                  <c:v>-644.93685889320409</c:v>
                </c:pt>
                <c:pt idx="204">
                  <c:v>-641.6600378749589</c:v>
                </c:pt>
                <c:pt idx="205">
                  <c:v>-638.30328895678701</c:v>
                </c:pt>
                <c:pt idx="206">
                  <c:v>-634.86071592429596</c:v>
                </c:pt>
                <c:pt idx="207">
                  <c:v>-631.32602794345803</c:v>
                </c:pt>
                <c:pt idx="208">
                  <c:v>-627.6924981609709</c:v>
                </c:pt>
                <c:pt idx="209">
                  <c:v>-623.95291782418462</c:v>
                </c:pt>
                <c:pt idx="210">
                  <c:v>-620.0995452994332</c:v>
                </c:pt>
                <c:pt idx="211">
                  <c:v>-616.12404927439911</c:v>
                </c:pt>
                <c:pt idx="212">
                  <c:v>-612.01744532052749</c:v>
                </c:pt>
                <c:pt idx="213">
                  <c:v>-607.77002486235062</c:v>
                </c:pt>
                <c:pt idx="214">
                  <c:v>-603.37127544799625</c:v>
                </c:pt>
                <c:pt idx="215">
                  <c:v>-598.80976168625079</c:v>
                </c:pt>
                <c:pt idx="216">
                  <c:v>-594.07317012540159</c:v>
                </c:pt>
                <c:pt idx="217">
                  <c:v>-589.14788087473244</c:v>
                </c:pt>
                <c:pt idx="218">
                  <c:v>-584.01924354136793</c:v>
                </c:pt>
                <c:pt idx="219">
                  <c:v>-578.6710519712849</c:v>
                </c:pt>
                <c:pt idx="220">
                  <c:v>-573.08563986581055</c:v>
                </c:pt>
                <c:pt idx="221">
                  <c:v>-567.24357054927088</c:v>
                </c:pt>
                <c:pt idx="222">
                  <c:v>-561.12344062650993</c:v>
                </c:pt>
                <c:pt idx="223">
                  <c:v>-554.70162702485038</c:v>
                </c:pt>
                <c:pt idx="224">
                  <c:v>-547.95199541540785</c:v>
                </c:pt>
                <c:pt idx="225">
                  <c:v>-540.84556308065009</c:v>
                </c:pt>
                <c:pt idx="226">
                  <c:v>-533.35010786324904</c:v>
                </c:pt>
                <c:pt idx="227">
                  <c:v>-525.42971306287461</c:v>
                </c:pt>
                <c:pt idx="228">
                  <c:v>-517.0442359534153</c:v>
                </c:pt>
                <c:pt idx="229">
                  <c:v>-508.14868485761377</c:v>
                </c:pt>
                <c:pt idx="230">
                  <c:v>-498.69248628865279</c:v>
                </c:pt>
                <c:pt idx="231">
                  <c:v>-488.61861935125694</c:v>
                </c:pt>
                <c:pt idx="232">
                  <c:v>-477.8625891276991</c:v>
                </c:pt>
                <c:pt idx="233">
                  <c:v>-466.50681490826327</c:v>
                </c:pt>
                <c:pt idx="234">
                  <c:v>-454.92910790141372</c:v>
                </c:pt>
                <c:pt idx="235">
                  <c:v>-443.12649601919725</c:v>
                </c:pt>
                <c:pt idx="236">
                  <c:v>-434.36594606948427</c:v>
                </c:pt>
                <c:pt idx="237">
                  <c:v>-422.08086257845099</c:v>
                </c:pt>
                <c:pt idx="238">
                  <c:v>-409.47591047599946</c:v>
                </c:pt>
                <c:pt idx="239">
                  <c:v>-396.51217949535658</c:v>
                </c:pt>
                <c:pt idx="240">
                  <c:v>-383.14655020103504</c:v>
                </c:pt>
                <c:pt idx="241">
                  <c:v>-369.48484432163502</c:v>
                </c:pt>
                <c:pt idx="242">
                  <c:v>-355.97912556538097</c:v>
                </c:pt>
                <c:pt idx="243">
                  <c:v>-342.64854876229998</c:v>
                </c:pt>
                <c:pt idx="244">
                  <c:v>-329.47788923494625</c:v>
                </c:pt>
                <c:pt idx="245">
                  <c:v>-316.45243653386621</c:v>
                </c:pt>
                <c:pt idx="246">
                  <c:v>-303.557921956543</c:v>
                </c:pt>
                <c:pt idx="247">
                  <c:v>-290.7803611932984</c:v>
                </c:pt>
                <c:pt idx="248">
                  <c:v>-280.95807815274458</c:v>
                </c:pt>
                <c:pt idx="249">
                  <c:v>-268.37304349582621</c:v>
                </c:pt>
                <c:pt idx="250">
                  <c:v>-255.81882933239208</c:v>
                </c:pt>
                <c:pt idx="251">
                  <c:v>-243.22259737820826</c:v>
                </c:pt>
                <c:pt idx="252">
                  <c:v>-230.67265086092999</c:v>
                </c:pt>
                <c:pt idx="253">
                  <c:v>-218.1556964601026</c:v>
                </c:pt>
                <c:pt idx="254">
                  <c:v>-205.65830055357407</c:v>
                </c:pt>
                <c:pt idx="255">
                  <c:v>-193.16683150141847</c:v>
                </c:pt>
                <c:pt idx="256">
                  <c:v>-180.66738589183456</c:v>
                </c:pt>
                <c:pt idx="257">
                  <c:v>-168.1457019190388</c:v>
                </c:pt>
                <c:pt idx="258">
                  <c:v>-155.5870651981748</c:v>
                </c:pt>
                <c:pt idx="259">
                  <c:v>-142.97620534522969</c:v>
                </c:pt>
                <c:pt idx="260">
                  <c:v>-130.29718134115711</c:v>
                </c:pt>
                <c:pt idx="261">
                  <c:v>-117.53325333430074</c:v>
                </c:pt>
                <c:pt idx="262">
                  <c:v>-104.66673807967064</c:v>
                </c:pt>
                <c:pt idx="263">
                  <c:v>-91.678844643767633</c:v>
                </c:pt>
                <c:pt idx="264">
                  <c:v>-78.549486288431368</c:v>
                </c:pt>
                <c:pt idx="265">
                  <c:v>-65.257063545582241</c:v>
                </c:pt>
                <c:pt idx="266">
                  <c:v>-51.77821235265052</c:v>
                </c:pt>
                <c:pt idx="267">
                  <c:v>-38.087509663638066</c:v>
                </c:pt>
                <c:pt idx="268">
                  <c:v>-24.157127086271341</c:v>
                </c:pt>
                <c:pt idx="269">
                  <c:v>-9.9564840009091302</c:v>
                </c:pt>
                <c:pt idx="270">
                  <c:v>4.5484869363127682</c:v>
                </c:pt>
                <c:pt idx="271">
                  <c:v>19.416955717436966</c:v>
                </c:pt>
                <c:pt idx="272">
                  <c:v>33.990504764209774</c:v>
                </c:pt>
                <c:pt idx="273">
                  <c:v>48.299150683586745</c:v>
                </c:pt>
                <c:pt idx="274">
                  <c:v>62.370485029292645</c:v>
                </c:pt>
                <c:pt idx="275">
                  <c:v>76.229936254138735</c:v>
                </c:pt>
                <c:pt idx="276">
                  <c:v>89.901048844422249</c:v>
                </c:pt>
                <c:pt idx="277">
                  <c:v>103.40572588345435</c:v>
                </c:pt>
                <c:pt idx="278">
                  <c:v>116.76444089243151</c:v>
                </c:pt>
                <c:pt idx="279">
                  <c:v>126.83193003120222</c:v>
                </c:pt>
                <c:pt idx="280">
                  <c:v>139.9436500802305</c:v>
                </c:pt>
                <c:pt idx="281">
                  <c:v>152.96478295322297</c:v>
                </c:pt>
                <c:pt idx="282">
                  <c:v>165.91168059823997</c:v>
                </c:pt>
                <c:pt idx="283">
                  <c:v>178.80001641352757</c:v>
                </c:pt>
                <c:pt idx="284">
                  <c:v>191.64488796726184</c:v>
                </c:pt>
                <c:pt idx="285">
                  <c:v>204.46091299959241</c:v>
                </c:pt>
                <c:pt idx="286">
                  <c:v>217.26231767201054</c:v>
                </c:pt>
                <c:pt idx="287">
                  <c:v>230.06301838282596</c:v>
                </c:pt>
                <c:pt idx="288">
                  <c:v>242.87669830749417</c:v>
                </c:pt>
                <c:pt idx="289">
                  <c:v>255.71687969226204</c:v>
                </c:pt>
                <c:pt idx="290">
                  <c:v>268.59699282459337</c:v>
                </c:pt>
                <c:pt idx="291">
                  <c:v>281.5304423198051</c:v>
                </c:pt>
                <c:pt idx="292">
                  <c:v>291.36800363245084</c:v>
                </c:pt>
                <c:pt idx="293">
                  <c:v>304.45350876910584</c:v>
                </c:pt>
                <c:pt idx="294">
                  <c:v>317.63274123322611</c:v>
                </c:pt>
                <c:pt idx="295">
                  <c:v>330.81123511125054</c:v>
                </c:pt>
                <c:pt idx="296">
                  <c:v>344.10065242047705</c:v>
                </c:pt>
                <c:pt idx="297">
                  <c:v>357.52869156626718</c:v>
                </c:pt>
                <c:pt idx="298">
                  <c:v>371.11030141482871</c:v>
                </c:pt>
                <c:pt idx="299">
                  <c:v>384.79188007811939</c:v>
                </c:pt>
                <c:pt idx="300">
                  <c:v>398.04938000255754</c:v>
                </c:pt>
                <c:pt idx="301">
                  <c:v>410.81605144392756</c:v>
                </c:pt>
                <c:pt idx="302">
                  <c:v>423.14199916607498</c:v>
                </c:pt>
                <c:pt idx="303">
                  <c:v>435.07191772821471</c:v>
                </c:pt>
                <c:pt idx="304">
                  <c:v>446.64589478339559</c:v>
                </c:pt>
                <c:pt idx="305">
                  <c:v>457.90008439487207</c:v>
                </c:pt>
                <c:pt idx="306">
                  <c:v>468.86727291150498</c:v>
                </c:pt>
                <c:pt idx="307">
                  <c:v>476.75144494371528</c:v>
                </c:pt>
                <c:pt idx="308">
                  <c:v>487.28306794145993</c:v>
                </c:pt>
                <c:pt idx="309">
                  <c:v>497.60867089452745</c:v>
                </c:pt>
                <c:pt idx="310">
                  <c:v>507.61400333430436</c:v>
                </c:pt>
                <c:pt idx="311">
                  <c:v>517.02278275156254</c:v>
                </c:pt>
                <c:pt idx="312">
                  <c:v>525.87859973828301</c:v>
                </c:pt>
                <c:pt idx="313">
                  <c:v>534.23185887318505</c:v>
                </c:pt>
                <c:pt idx="314">
                  <c:v>542.12740276863053</c:v>
                </c:pt>
                <c:pt idx="315">
                  <c:v>549.60524412915754</c:v>
                </c:pt>
                <c:pt idx="316">
                  <c:v>556.70118797979285</c:v>
                </c:pt>
                <c:pt idx="317">
                  <c:v>563.44736254866837</c:v>
                </c:pt>
                <c:pt idx="318">
                  <c:v>569.87267386204348</c:v>
                </c:pt>
                <c:pt idx="319">
                  <c:v>576.00319637514065</c:v>
                </c:pt>
                <c:pt idx="320">
                  <c:v>581.86250976874578</c:v>
                </c:pt>
                <c:pt idx="321">
                  <c:v>587.47204907694345</c:v>
                </c:pt>
                <c:pt idx="322">
                  <c:v>592.85109391457763</c:v>
                </c:pt>
                <c:pt idx="323">
                  <c:v>598.01742419283141</c:v>
                </c:pt>
                <c:pt idx="324">
                  <c:v>602.98722878475439</c:v>
                </c:pt>
                <c:pt idx="325">
                  <c:v>607.77526307792152</c:v>
                </c:pt>
                <c:pt idx="326">
                  <c:v>612.39509007220897</c:v>
                </c:pt>
                <c:pt idx="327">
                  <c:v>616.8591798850955</c:v>
                </c:pt>
                <c:pt idx="328">
                  <c:v>621.17902449277187</c:v>
                </c:pt>
                <c:pt idx="329">
                  <c:v>625.36523931221222</c:v>
                </c:pt>
                <c:pt idx="330">
                  <c:v>629.42765338378069</c:v>
                </c:pt>
                <c:pt idx="331">
                  <c:v>633.37538965929286</c:v>
                </c:pt>
                <c:pt idx="332">
                  <c:v>637.21693668671412</c:v>
                </c:pt>
                <c:pt idx="333">
                  <c:v>640.9602128028572</c:v>
                </c:pt>
                <c:pt idx="334">
                  <c:v>644.61262379381105</c:v>
                </c:pt>
                <c:pt idx="335">
                  <c:v>648.18111485471024</c:v>
                </c:pt>
                <c:pt idx="336">
                  <c:v>651.67221757198774</c:v>
                </c:pt>
                <c:pt idx="337">
                  <c:v>655.09209255931228</c:v>
                </c:pt>
                <c:pt idx="338">
                  <c:v>658.44656830040344</c:v>
                </c:pt>
                <c:pt idx="339">
                  <c:v>661.74117668569147</c:v>
                </c:pt>
                <c:pt idx="340">
                  <c:v>664.98118567363974</c:v>
                </c:pt>
                <c:pt idx="341">
                  <c:v>668.17162945994255</c:v>
                </c:pt>
                <c:pt idx="342">
                  <c:v>671.31733649765283</c:v>
                </c:pt>
                <c:pt idx="343">
                  <c:v>674.42295567749966</c:v>
                </c:pt>
                <c:pt idx="344">
                  <c:v>677.49298094950018</c:v>
                </c:pt>
                <c:pt idx="345">
                  <c:v>680.53177464374812</c:v>
                </c:pt>
                <c:pt idx="346">
                  <c:v>683.54358972947148</c:v>
                </c:pt>
                <c:pt idx="347">
                  <c:v>686.53259123665964</c:v>
                </c:pt>
                <c:pt idx="348">
                  <c:v>689.50287705348705</c:v>
                </c:pt>
                <c:pt idx="349">
                  <c:v>692.45849830512373</c:v>
                </c:pt>
                <c:pt idx="350">
                  <c:v>695.40347951527383</c:v>
                </c:pt>
                <c:pt idx="351">
                  <c:v>698.34184536024418</c:v>
                </c:pt>
                <c:pt idx="352">
                  <c:v>701.27760730717785</c:v>
                </c:pt>
                <c:pt idx="353">
                  <c:v>704.07498787366251</c:v>
                </c:pt>
                <c:pt idx="354">
                  <c:v>706.57355471937217</c:v>
                </c:pt>
                <c:pt idx="355">
                  <c:v>709.0671803858454</c:v>
                </c:pt>
                <c:pt idx="356">
                  <c:v>711.55917366758126</c:v>
                </c:pt>
                <c:pt idx="357">
                  <c:v>713.32738980264185</c:v>
                </c:pt>
                <c:pt idx="358">
                  <c:v>714.85468325890076</c:v>
                </c:pt>
                <c:pt idx="359">
                  <c:v>716.93130292947149</c:v>
                </c:pt>
                <c:pt idx="360">
                  <c:v>719.81084605436638</c:v>
                </c:pt>
                <c:pt idx="361">
                  <c:v>719.81084503901752</c:v>
                </c:pt>
              </c:numCache>
            </c:numRef>
          </c:xVal>
          <c:yVal>
            <c:numRef>
              <c:f>Sheet1!$C$129:$C$490</c:f>
              <c:numCache>
                <c:formatCode>General</c:formatCode>
                <c:ptCount val="362"/>
                <c:pt idx="0">
                  <c:v>0</c:v>
                </c:pt>
                <c:pt idx="1">
                  <c:v>3.158806331479592</c:v>
                </c:pt>
                <c:pt idx="2">
                  <c:v>6.3029119659690442</c:v>
                </c:pt>
                <c:pt idx="3">
                  <c:v>9.4424634072798543</c:v>
                </c:pt>
                <c:pt idx="4">
                  <c:v>12.686081595611567</c:v>
                </c:pt>
                <c:pt idx="5" formatCode="0.00000">
                  <c:v>16.283839624836649</c:v>
                </c:pt>
                <c:pt idx="6" formatCode="0.00000">
                  <c:v>19.869869678996253</c:v>
                </c:pt>
                <c:pt idx="7">
                  <c:v>23.447004464875487</c:v>
                </c:pt>
                <c:pt idx="8">
                  <c:v>27.01294992994114</c:v>
                </c:pt>
                <c:pt idx="9">
                  <c:v>30.572773951464317</c:v>
                </c:pt>
                <c:pt idx="10">
                  <c:v>34.131557531672549</c:v>
                </c:pt>
                <c:pt idx="11">
                  <c:v>37.692119131947301</c:v>
                </c:pt>
                <c:pt idx="12">
                  <c:v>41.257171779258769</c:v>
                </c:pt>
                <c:pt idx="13">
                  <c:v>44.829478292115155</c:v>
                </c:pt>
                <c:pt idx="14">
                  <c:v>48.411800250492902</c:v>
                </c:pt>
                <c:pt idx="15">
                  <c:v>52.006917849899658</c:v>
                </c:pt>
                <c:pt idx="16">
                  <c:v>55.61763934689607</c:v>
                </c:pt>
                <c:pt idx="17">
                  <c:v>59.24681061576748</c:v>
                </c:pt>
                <c:pt idx="18">
                  <c:v>62.897324889861437</c:v>
                </c:pt>
                <c:pt idx="19">
                  <c:v>66.572132762516944</c:v>
                </c:pt>
                <c:pt idx="20">
                  <c:v>70.274252524923369</c:v>
                </c:pt>
                <c:pt idx="21">
                  <c:v>74.006780921725806</c:v>
                </c:pt>
                <c:pt idx="22">
                  <c:v>77.772904409781916</c:v>
                </c:pt>
                <c:pt idx="23">
                  <c:v>81.575911011253083</c:v>
                </c:pt>
                <c:pt idx="24">
                  <c:v>85.419202859292412</c:v>
                </c:pt>
                <c:pt idx="25">
                  <c:v>89.306309543103652</c:v>
                </c:pt>
                <c:pt idx="26">
                  <c:v>93.240902369241937</c:v>
                </c:pt>
                <c:pt idx="27">
                  <c:v>97.226809667944721</c:v>
                </c:pt>
                <c:pt idx="28">
                  <c:v>101.26803328722227</c:v>
                </c:pt>
                <c:pt idx="29">
                  <c:v>105.36876643373384</c:v>
                </c:pt>
                <c:pt idx="30">
                  <c:v>109.53341303846503</c:v>
                </c:pt>
                <c:pt idx="31">
                  <c:v>113.76660884733469</c:v>
                </c:pt>
                <c:pt idx="32">
                  <c:v>118.07324446260094</c:v>
                </c:pt>
                <c:pt idx="33">
                  <c:v>122.45849059094124</c:v>
                </c:pt>
                <c:pt idx="34">
                  <c:v>126.92782578904541</c:v>
                </c:pt>
                <c:pt idx="35">
                  <c:v>131.48706703842291</c:v>
                </c:pt>
                <c:pt idx="36">
                  <c:v>136.14240352890192</c:v>
                </c:pt>
                <c:pt idx="37">
                  <c:v>140.90043408632849</c:v>
                </c:pt>
                <c:pt idx="38">
                  <c:v>145.76820874579244</c:v>
                </c:pt>
                <c:pt idx="39">
                  <c:v>150.75326756810958</c:v>
                </c:pt>
                <c:pt idx="40">
                  <c:v>155.86371518227881</c:v>
                </c:pt>
                <c:pt idx="41">
                  <c:v>161.10827663056165</c:v>
                </c:pt>
                <c:pt idx="42">
                  <c:v>166.49629154395799</c:v>
                </c:pt>
                <c:pt idx="43">
                  <c:v>172.0378954027976</c:v>
                </c:pt>
                <c:pt idx="44">
                  <c:v>177.74403671300286</c:v>
                </c:pt>
                <c:pt idx="45">
                  <c:v>183.62658489514334</c:v>
                </c:pt>
                <c:pt idx="46">
                  <c:v>189.69843620162098</c:v>
                </c:pt>
                <c:pt idx="47">
                  <c:v>195.97363427119433</c:v>
                </c:pt>
                <c:pt idx="48">
                  <c:v>202.46750776350697</c:v>
                </c:pt>
                <c:pt idx="49">
                  <c:v>209.19682799202425</c:v>
                </c:pt>
                <c:pt idx="50">
                  <c:v>216.17999005659178</c:v>
                </c:pt>
                <c:pt idx="51">
                  <c:v>223.42763559282847</c:v>
                </c:pt>
                <c:pt idx="52">
                  <c:v>230.72129234158839</c:v>
                </c:pt>
                <c:pt idx="53">
                  <c:v>237.97183119109263</c:v>
                </c:pt>
                <c:pt idx="54">
                  <c:v>243.39907784590125</c:v>
                </c:pt>
                <c:pt idx="55">
                  <c:v>250.56133825274</c:v>
                </c:pt>
                <c:pt idx="56">
                  <c:v>257.71915628587573</c:v>
                </c:pt>
                <c:pt idx="57">
                  <c:v>264.88562296649803</c:v>
                </c:pt>
                <c:pt idx="58">
                  <c:v>272.07420647346595</c:v>
                </c:pt>
                <c:pt idx="59">
                  <c:v>279.29889654649509</c:v>
                </c:pt>
                <c:pt idx="60">
                  <c:v>286.57435560896056</c:v>
                </c:pt>
                <c:pt idx="61">
                  <c:v>293.91606022118168</c:v>
                </c:pt>
                <c:pt idx="62">
                  <c:v>301.26671836874431</c:v>
                </c:pt>
                <c:pt idx="63">
                  <c:v>308.30584622810221</c:v>
                </c:pt>
                <c:pt idx="64">
                  <c:v>315.01273066584469</c:v>
                </c:pt>
                <c:pt idx="65">
                  <c:v>321.40751370157056</c:v>
                </c:pt>
                <c:pt idx="66">
                  <c:v>327.50311876583896</c:v>
                </c:pt>
                <c:pt idx="67">
                  <c:v>333.27358250497713</c:v>
                </c:pt>
                <c:pt idx="68">
                  <c:v>338.7823452241185</c:v>
                </c:pt>
                <c:pt idx="69">
                  <c:v>342.57386703902358</c:v>
                </c:pt>
                <c:pt idx="70">
                  <c:v>347.59398354855523</c:v>
                </c:pt>
                <c:pt idx="71">
                  <c:v>352.39426606994687</c:v>
                </c:pt>
                <c:pt idx="72">
                  <c:v>356.98702351466312</c:v>
                </c:pt>
                <c:pt idx="73">
                  <c:v>361.38384028346042</c:v>
                </c:pt>
                <c:pt idx="74">
                  <c:v>365.59565098055151</c:v>
                </c:pt>
                <c:pt idx="75">
                  <c:v>369.63280968752997</c:v>
                </c:pt>
                <c:pt idx="76">
                  <c:v>373.50515538690678</c:v>
                </c:pt>
                <c:pt idx="77">
                  <c:v>377.22207430906241</c:v>
                </c:pt>
                <c:pt idx="78">
                  <c:v>380.7925599510819</c:v>
                </c:pt>
                <c:pt idx="79">
                  <c:v>384.22527150568516</c:v>
                </c:pt>
                <c:pt idx="80">
                  <c:v>387.5285914437514</c:v>
                </c:pt>
                <c:pt idx="81">
                  <c:v>390.71068301571052</c:v>
                </c:pt>
                <c:pt idx="82">
                  <c:v>393.77954847687016</c:v>
                </c:pt>
                <c:pt idx="83">
                  <c:v>396.61773854660305</c:v>
                </c:pt>
                <c:pt idx="84">
                  <c:v>399.49839082270029</c:v>
                </c:pt>
                <c:pt idx="85">
                  <c:v>402.29006904300502</c:v>
                </c:pt>
                <c:pt idx="86">
                  <c:v>405.0008131113791</c:v>
                </c:pt>
                <c:pt idx="87">
                  <c:v>407.63883470619959</c:v>
                </c:pt>
                <c:pt idx="88">
                  <c:v>410.21260995036727</c:v>
                </c:pt>
                <c:pt idx="89">
                  <c:v>412.7309744814238</c:v>
                </c:pt>
                <c:pt idx="90">
                  <c:v>415.20323061115624</c:v>
                </c:pt>
                <c:pt idx="91">
                  <c:v>412.75118297814163</c:v>
                </c:pt>
                <c:pt idx="92">
                  <c:v>410.27491292974594</c:v>
                </c:pt>
                <c:pt idx="93">
                  <c:v>407.76158513725522</c:v>
                </c:pt>
                <c:pt idx="94">
                  <c:v>405.19945018003961</c:v>
                </c:pt>
                <c:pt idx="95">
                  <c:v>402.57755255115535</c:v>
                </c:pt>
                <c:pt idx="96">
                  <c:v>399.88560554207169</c:v>
                </c:pt>
                <c:pt idx="97">
                  <c:v>397.11382710909885</c:v>
                </c:pt>
                <c:pt idx="98">
                  <c:v>394.25280824747625</c:v>
                </c:pt>
                <c:pt idx="99">
                  <c:v>391.29339746108775</c:v>
                </c:pt>
                <c:pt idx="100">
                  <c:v>388.22659798498461</c:v>
                </c:pt>
                <c:pt idx="101">
                  <c:v>385.04347502073227</c:v>
                </c:pt>
                <c:pt idx="102">
                  <c:v>381.73507070975779</c:v>
                </c:pt>
                <c:pt idx="103">
                  <c:v>378.29232492992617</c:v>
                </c:pt>
                <c:pt idx="104">
                  <c:v>374.70600027823355</c:v>
                </c:pt>
                <c:pt idx="105">
                  <c:v>370.96660981483598</c:v>
                </c:pt>
                <c:pt idx="106">
                  <c:v>367.0643463034084</c:v>
                </c:pt>
                <c:pt idx="107">
                  <c:v>362.9890117995941</c:v>
                </c:pt>
                <c:pt idx="108">
                  <c:v>358.72994652017115</c:v>
                </c:pt>
                <c:pt idx="109">
                  <c:v>354.27595597573122</c:v>
                </c:pt>
                <c:pt idx="110">
                  <c:v>349.6152353728159</c:v>
                </c:pt>
                <c:pt idx="111">
                  <c:v>344.69089327174288</c:v>
                </c:pt>
                <c:pt idx="112">
                  <c:v>339.5161129011359</c:v>
                </c:pt>
                <c:pt idx="113">
                  <c:v>335.64428720332279</c:v>
                </c:pt>
                <c:pt idx="114">
                  <c:v>329.9596725149421</c:v>
                </c:pt>
                <c:pt idx="115">
                  <c:v>323.99924005736148</c:v>
                </c:pt>
                <c:pt idx="116">
                  <c:v>317.7455183859891</c:v>
                </c:pt>
                <c:pt idx="117">
                  <c:v>311.17974143897794</c:v>
                </c:pt>
                <c:pt idx="118">
                  <c:v>304.28170866417872</c:v>
                </c:pt>
                <c:pt idx="119">
                  <c:v>297.02963127718891</c:v>
                </c:pt>
                <c:pt idx="120">
                  <c:v>289.42342857643973</c:v>
                </c:pt>
                <c:pt idx="121">
                  <c:v>281.76066369478934</c:v>
                </c:pt>
                <c:pt idx="122">
                  <c:v>274.1262238292731</c:v>
                </c:pt>
                <c:pt idx="123">
                  <c:v>266.50474149329324</c:v>
                </c:pt>
                <c:pt idx="124">
                  <c:v>258.88158084123017</c:v>
                </c:pt>
                <c:pt idx="125">
                  <c:v>253.02353941123985</c:v>
                </c:pt>
                <c:pt idx="126">
                  <c:v>245.31273847500788</c:v>
                </c:pt>
                <c:pt idx="127">
                  <c:v>237.55772277284063</c:v>
                </c:pt>
                <c:pt idx="128">
                  <c:v>229.76093027174045</c:v>
                </c:pt>
                <c:pt idx="129">
                  <c:v>222.18422810577164</c:v>
                </c:pt>
                <c:pt idx="130">
                  <c:v>214.90478527462102</c:v>
                </c:pt>
                <c:pt idx="131">
                  <c:v>207.90029682140261</c:v>
                </c:pt>
                <c:pt idx="132">
                  <c:v>201.15053277857376</c:v>
                </c:pt>
                <c:pt idx="133">
                  <c:v>194.63709660901301</c:v>
                </c:pt>
                <c:pt idx="134">
                  <c:v>188.34321645956092</c:v>
                </c:pt>
                <c:pt idx="135">
                  <c:v>182.25356412609511</c:v>
                </c:pt>
                <c:pt idx="136">
                  <c:v>176.35409751338906</c:v>
                </c:pt>
                <c:pt idx="137">
                  <c:v>170.63192309015162</c:v>
                </c:pt>
                <c:pt idx="138">
                  <c:v>165.07517542229354</c:v>
                </c:pt>
                <c:pt idx="139">
                  <c:v>159.67291134314237</c:v>
                </c:pt>
                <c:pt idx="140">
                  <c:v>154.41501670933988</c:v>
                </c:pt>
                <c:pt idx="141">
                  <c:v>149.29212401236111</c:v>
                </c:pt>
                <c:pt idx="142">
                  <c:v>144.29553938117479</c:v>
                </c:pt>
                <c:pt idx="143">
                  <c:v>139.41717773204337</c:v>
                </c:pt>
                <c:pt idx="144">
                  <c:v>134.64948275278167</c:v>
                </c:pt>
                <c:pt idx="145">
                  <c:v>129.98548614375568</c:v>
                </c:pt>
                <c:pt idx="146">
                  <c:v>125.41851985162629</c:v>
                </c:pt>
                <c:pt idx="147">
                  <c:v>120.9424990393494</c:v>
                </c:pt>
                <c:pt idx="148">
                  <c:v>116.55156535502606</c:v>
                </c:pt>
                <c:pt idx="149">
                  <c:v>112.24028590881767</c:v>
                </c:pt>
                <c:pt idx="150">
                  <c:v>108.00351702453821</c:v>
                </c:pt>
                <c:pt idx="151">
                  <c:v>103.83639792139104</c:v>
                </c:pt>
                <c:pt idx="152">
                  <c:v>99.734325655222847</c:v>
                </c:pt>
                <c:pt idx="153">
                  <c:v>95.692932283940593</c:v>
                </c:pt>
                <c:pt idx="154">
                  <c:v>91.708064003278977</c:v>
                </c:pt>
                <c:pt idx="155">
                  <c:v>87.775762029238237</c:v>
                </c:pt>
                <c:pt idx="156">
                  <c:v>83.892245029485593</c:v>
                </c:pt>
                <c:pt idx="157">
                  <c:v>80.053892928409994</c:v>
                </c:pt>
                <c:pt idx="158">
                  <c:v>76.257231929823504</c:v>
                </c:pt>
                <c:pt idx="159">
                  <c:v>72.498920617955719</c:v>
                </c:pt>
                <c:pt idx="160">
                  <c:v>68.775737011757599</c:v>
                </c:pt>
                <c:pt idx="161">
                  <c:v>65.084566459908345</c:v>
                </c:pt>
                <c:pt idx="162">
                  <c:v>61.422390274571661</c:v>
                </c:pt>
                <c:pt idx="163">
                  <c:v>57.786275011086843</c:v>
                </c:pt>
                <c:pt idx="164">
                  <c:v>54.173362308567242</c:v>
                </c:pt>
                <c:pt idx="165">
                  <c:v>50.580859213000878</c:v>
                </c:pt>
                <c:pt idx="166">
                  <c:v>47.006028909978312</c:v>
                </c:pt>
                <c:pt idx="167">
                  <c:v>43.446181798759049</c:v>
                </c:pt>
                <c:pt idx="168">
                  <c:v>39.898666843075212</c:v>
                </c:pt>
                <c:pt idx="169">
                  <c:v>36.360863136947508</c:v>
                </c:pt>
                <c:pt idx="170">
                  <c:v>32.830171625878918</c:v>
                </c:pt>
                <c:pt idx="171">
                  <c:v>29.304006925153331</c:v>
                </c:pt>
                <c:pt idx="172">
                  <c:v>25.779789177586778</c:v>
                </c:pt>
                <c:pt idx="173">
                  <c:v>22.254935892992052</c:v>
                </c:pt>
                <c:pt idx="174">
                  <c:v>18.726853709207994</c:v>
                </c:pt>
                <c:pt idx="175">
                  <c:v>15.527291203815823</c:v>
                </c:pt>
                <c:pt idx="176">
                  <c:v>12.428387437939097</c:v>
                </c:pt>
                <c:pt idx="177">
                  <c:v>9.3283202932496661</c:v>
                </c:pt>
                <c:pt idx="178">
                  <c:v>6.2249834690517156</c:v>
                </c:pt>
                <c:pt idx="179">
                  <c:v>3.1162570736031099</c:v>
                </c:pt>
                <c:pt idx="180">
                  <c:v>6.311560119655395E-14</c:v>
                </c:pt>
                <c:pt idx="181">
                  <c:v>-3.116257073933324</c:v>
                </c:pt>
                <c:pt idx="182">
                  <c:v>-6.224983607920815</c:v>
                </c:pt>
                <c:pt idx="183">
                  <c:v>-9.3283204687835006</c:v>
                </c:pt>
                <c:pt idx="184">
                  <c:v>-12.428387438938554</c:v>
                </c:pt>
                <c:pt idx="185">
                  <c:v>-15.527291206133382</c:v>
                </c:pt>
                <c:pt idx="186">
                  <c:v>-18.726853726124151</c:v>
                </c:pt>
                <c:pt idx="187">
                  <c:v>-22.254935912945829</c:v>
                </c:pt>
                <c:pt idx="188">
                  <c:v>-25.779789215989727</c:v>
                </c:pt>
                <c:pt idx="189">
                  <c:v>-29.304006987379395</c:v>
                </c:pt>
                <c:pt idx="190">
                  <c:v>-32.830171716536427</c:v>
                </c:pt>
                <c:pt idx="191">
                  <c:v>-36.360863259823027</c:v>
                </c:pt>
                <c:pt idx="192">
                  <c:v>-39.89866700110349</c:v>
                </c:pt>
                <c:pt idx="193">
                  <c:v>-43.446181994007894</c:v>
                </c:pt>
                <c:pt idx="194">
                  <c:v>-47.006029143649542</c:v>
                </c:pt>
                <c:pt idx="195">
                  <c:v>-50.580859485439873</c:v>
                </c:pt>
                <c:pt idx="196">
                  <c:v>-54.173362619281271</c:v>
                </c:pt>
                <c:pt idx="197">
                  <c:v>-57.786275358768528</c:v>
                </c:pt>
                <c:pt idx="198">
                  <c:v>-61.422390657126464</c:v>
                </c:pt>
                <c:pt idx="199">
                  <c:v>-65.084566874484395</c:v>
                </c:pt>
                <c:pt idx="200">
                  <c:v>-68.775737454778124</c:v>
                </c:pt>
                <c:pt idx="201">
                  <c:v>-72.498921085150869</c:v>
                </c:pt>
                <c:pt idx="202">
                  <c:v>-76.257232416264003</c:v>
                </c:pt>
                <c:pt idx="203">
                  <c:v>-80.053893428539794</c:v>
                </c:pt>
                <c:pt idx="204">
                  <c:v>-83.892245537154238</c:v>
                </c:pt>
                <c:pt idx="205">
                  <c:v>-87.775762537732476</c:v>
                </c:pt>
                <c:pt idx="206">
                  <c:v>-91.708064505354088</c:v>
                </c:pt>
                <c:pt idx="207">
                  <c:v>-95.692932771850209</c:v>
                </c:pt>
                <c:pt idx="208">
                  <c:v>-99.73432612074906</c:v>
                </c:pt>
                <c:pt idx="209">
                  <c:v>-103.83639835587259</c:v>
                </c:pt>
                <c:pt idx="210">
                  <c:v>-108.00351741889911</c:v>
                </c:pt>
                <c:pt idx="211">
                  <c:v>-112.24028625359385</c:v>
                </c:pt>
                <c:pt idx="212">
                  <c:v>-116.55156564039383</c:v>
                </c:pt>
                <c:pt idx="213">
                  <c:v>-120.94249925523985</c:v>
                </c:pt>
                <c:pt idx="214">
                  <c:v>-125.41854124170776</c:v>
                </c:pt>
                <c:pt idx="215">
                  <c:v>-129.98546544229862</c:v>
                </c:pt>
                <c:pt idx="216">
                  <c:v>-134.64950441209231</c:v>
                </c:pt>
                <c:pt idx="217">
                  <c:v>-139.41715493908802</c:v>
                </c:pt>
                <c:pt idx="218">
                  <c:v>-144.29553916644537</c:v>
                </c:pt>
                <c:pt idx="219">
                  <c:v>-149.29212373223038</c:v>
                </c:pt>
                <c:pt idx="220">
                  <c:v>-154.41501637453189</c:v>
                </c:pt>
                <c:pt idx="221">
                  <c:v>-159.6729109638903</c:v>
                </c:pt>
                <c:pt idx="222">
                  <c:v>-165.07517500824335</c:v>
                </c:pt>
                <c:pt idx="223">
                  <c:v>-170.6319226503509</c:v>
                </c:pt>
                <c:pt idx="224">
                  <c:v>-176.35409705628032</c:v>
                </c:pt>
                <c:pt idx="225">
                  <c:v>-182.25356365950501</c:v>
                </c:pt>
                <c:pt idx="226">
                  <c:v>-188.34321599069426</c:v>
                </c:pt>
                <c:pt idx="227">
                  <c:v>-194.63709614444284</c:v>
                </c:pt>
                <c:pt idx="228">
                  <c:v>-201.15053232423548</c:v>
                </c:pt>
                <c:pt idx="229">
                  <c:v>-207.90029638258574</c:v>
                </c:pt>
                <c:pt idx="230">
                  <c:v>-214.90478485596242</c:v>
                </c:pt>
                <c:pt idx="231">
                  <c:v>-222.18422771124898</c:v>
                </c:pt>
                <c:pt idx="232">
                  <c:v>-229.76092990744408</c:v>
                </c:pt>
                <c:pt idx="233">
                  <c:v>-237.55772242683463</c:v>
                </c:pt>
                <c:pt idx="234">
                  <c:v>-245.31273839232637</c:v>
                </c:pt>
                <c:pt idx="235">
                  <c:v>-253.0235394713421</c:v>
                </c:pt>
                <c:pt idx="236">
                  <c:v>-258.8815789991163</c:v>
                </c:pt>
                <c:pt idx="237">
                  <c:v>-266.50474167740686</c:v>
                </c:pt>
                <c:pt idx="238">
                  <c:v>-274.12622395229783</c:v>
                </c:pt>
                <c:pt idx="239">
                  <c:v>-281.76070292619289</c:v>
                </c:pt>
                <c:pt idx="240">
                  <c:v>-289.42336828416052</c:v>
                </c:pt>
                <c:pt idx="241">
                  <c:v>-297.02963131845956</c:v>
                </c:pt>
                <c:pt idx="242">
                  <c:v>-304.28170877153337</c:v>
                </c:pt>
                <c:pt idx="243">
                  <c:v>-311.17974165087327</c:v>
                </c:pt>
                <c:pt idx="244">
                  <c:v>-317.74551874718117</c:v>
                </c:pt>
                <c:pt idx="245">
                  <c:v>-323.99924061868063</c:v>
                </c:pt>
                <c:pt idx="246">
                  <c:v>-329.95967333361011</c:v>
                </c:pt>
                <c:pt idx="247">
                  <c:v>-335.64433850238328</c:v>
                </c:pt>
                <c:pt idx="248">
                  <c:v>-339.5161129834907</c:v>
                </c:pt>
                <c:pt idx="249">
                  <c:v>-344.69090108398115</c:v>
                </c:pt>
                <c:pt idx="250">
                  <c:v>-349.61527314228073</c:v>
                </c:pt>
                <c:pt idx="251">
                  <c:v>-354.2759641200177</c:v>
                </c:pt>
                <c:pt idx="252">
                  <c:v>-358.72995110219927</c:v>
                </c:pt>
                <c:pt idx="253">
                  <c:v>-362.98901739476992</c:v>
                </c:pt>
                <c:pt idx="254">
                  <c:v>-367.06435306323061</c:v>
                </c:pt>
                <c:pt idx="255">
                  <c:v>-370.96661788711043</c:v>
                </c:pt>
                <c:pt idx="256">
                  <c:v>-374.70600981420534</c:v>
                </c:pt>
                <c:pt idx="257">
                  <c:v>-378.29233607997844</c:v>
                </c:pt>
                <c:pt idx="258">
                  <c:v>-381.73508361716699</c:v>
                </c:pt>
                <c:pt idx="259">
                  <c:v>-385.04348981277082</c:v>
                </c:pt>
                <c:pt idx="260">
                  <c:v>-388.22661476041498</c:v>
                </c:pt>
                <c:pt idx="261">
                  <c:v>-391.29341627274562</c:v>
                </c:pt>
                <c:pt idx="262">
                  <c:v>-394.25282907816171</c:v>
                </c:pt>
                <c:pt idx="263">
                  <c:v>-397.1138498383321</c:v>
                </c:pt>
                <c:pt idx="264">
                  <c:v>-399.88562990035319</c:v>
                </c:pt>
                <c:pt idx="265">
                  <c:v>-402.57757805706711</c:v>
                </c:pt>
                <c:pt idx="266">
                  <c:v>-405.19947605370572</c:v>
                </c:pt>
                <c:pt idx="267">
                  <c:v>-407.76161017911096</c:v>
                </c:pt>
                <c:pt idx="268">
                  <c:v>-410.27492305636457</c:v>
                </c:pt>
                <c:pt idx="269">
                  <c:v>-412.75118297909017</c:v>
                </c:pt>
                <c:pt idx="270">
                  <c:v>-415.20322792612842</c:v>
                </c:pt>
                <c:pt idx="271">
                  <c:v>-412.73096079736939</c:v>
                </c:pt>
                <c:pt idx="272">
                  <c:v>-410.21259145190658</c:v>
                </c:pt>
                <c:pt idx="273">
                  <c:v>-407.63881354991435</c:v>
                </c:pt>
                <c:pt idx="274">
                  <c:v>-405.00079084030625</c:v>
                </c:pt>
                <c:pt idx="275">
                  <c:v>-402.29004674209091</c:v>
                </c:pt>
                <c:pt idx="276">
                  <c:v>-399.49836923549071</c:v>
                </c:pt>
                <c:pt idx="277">
                  <c:v>-396.61772555922391</c:v>
                </c:pt>
                <c:pt idx="278">
                  <c:v>-393.64018478730685</c:v>
                </c:pt>
                <c:pt idx="279">
                  <c:v>-390.71067415054051</c:v>
                </c:pt>
                <c:pt idx="280">
                  <c:v>-387.52857675181872</c:v>
                </c:pt>
                <c:pt idx="281">
                  <c:v>-384.22525843737839</c:v>
                </c:pt>
                <c:pt idx="282">
                  <c:v>-380.79254846143124</c:v>
                </c:pt>
                <c:pt idx="283">
                  <c:v>-377.22206431911377</c:v>
                </c:pt>
                <c:pt idx="284">
                  <c:v>-373.50514679597569</c:v>
                </c:pt>
                <c:pt idx="285">
                  <c:v>-369.63280238209927</c:v>
                </c:pt>
                <c:pt idx="286">
                  <c:v>-365.59564484082819</c:v>
                </c:pt>
                <c:pt idx="287">
                  <c:v>-361.38383518815306</c:v>
                </c:pt>
                <c:pt idx="288">
                  <c:v>-356.98701934440328</c:v>
                </c:pt>
                <c:pt idx="289">
                  <c:v>-352.39426270968494</c:v>
                </c:pt>
                <c:pt idx="290">
                  <c:v>-347.59398088918653</c:v>
                </c:pt>
                <c:pt idx="291">
                  <c:v>-342.57386692539114</c:v>
                </c:pt>
                <c:pt idx="292">
                  <c:v>-338.78234417426046</c:v>
                </c:pt>
                <c:pt idx="293">
                  <c:v>-333.27357956438476</c:v>
                </c:pt>
                <c:pt idx="294">
                  <c:v>-327.50309622867883</c:v>
                </c:pt>
                <c:pt idx="295">
                  <c:v>-321.40751175771663</c:v>
                </c:pt>
                <c:pt idx="296">
                  <c:v>-315.01273021351892</c:v>
                </c:pt>
                <c:pt idx="297">
                  <c:v>-308.30584604800697</c:v>
                </c:pt>
                <c:pt idx="298">
                  <c:v>-301.26671828462969</c:v>
                </c:pt>
                <c:pt idx="299">
                  <c:v>-293.91608955959157</c:v>
                </c:pt>
                <c:pt idx="300">
                  <c:v>-286.57436102334202</c:v>
                </c:pt>
                <c:pt idx="301">
                  <c:v>-279.29889638198688</c:v>
                </c:pt>
                <c:pt idx="302">
                  <c:v>-272.07420616226813</c:v>
                </c:pt>
                <c:pt idx="303">
                  <c:v>-264.88562254282937</c:v>
                </c:pt>
                <c:pt idx="304">
                  <c:v>-257.71915582402977</c:v>
                </c:pt>
                <c:pt idx="305">
                  <c:v>-250.56133784755048</c:v>
                </c:pt>
                <c:pt idx="306">
                  <c:v>-243.39908627055357</c:v>
                </c:pt>
                <c:pt idx="307">
                  <c:v>-237.97183121247119</c:v>
                </c:pt>
                <c:pt idx="308">
                  <c:v>-230.72129269771645</c:v>
                </c:pt>
                <c:pt idx="309">
                  <c:v>-223.42763624176379</c:v>
                </c:pt>
                <c:pt idx="310">
                  <c:v>-216.17999043508667</c:v>
                </c:pt>
                <c:pt idx="311">
                  <c:v>-209.19682837491771</c:v>
                </c:pt>
                <c:pt idx="312">
                  <c:v>-202.46750814501067</c:v>
                </c:pt>
                <c:pt idx="313">
                  <c:v>-195.97363464496277</c:v>
                </c:pt>
                <c:pt idx="314">
                  <c:v>-189.69843656071069</c:v>
                </c:pt>
                <c:pt idx="315">
                  <c:v>-183.62658523201182</c:v>
                </c:pt>
                <c:pt idx="316">
                  <c:v>-177.7440370195107</c:v>
                </c:pt>
                <c:pt idx="317">
                  <c:v>-172.03789567020829</c:v>
                </c:pt>
                <c:pt idx="318">
                  <c:v>-166.49629176293968</c:v>
                </c:pt>
                <c:pt idx="319">
                  <c:v>-161.10827679123034</c:v>
                </c:pt>
                <c:pt idx="320">
                  <c:v>-155.86372983103053</c:v>
                </c:pt>
                <c:pt idx="321">
                  <c:v>-150.75326075865851</c:v>
                </c:pt>
                <c:pt idx="322">
                  <c:v>-145.76820111399076</c:v>
                </c:pt>
                <c:pt idx="323">
                  <c:v>-140.90043394272715</c:v>
                </c:pt>
                <c:pt idx="324">
                  <c:v>-136.14240331916378</c:v>
                </c:pt>
                <c:pt idx="325">
                  <c:v>-131.48706677135405</c:v>
                </c:pt>
                <c:pt idx="326">
                  <c:v>-126.92782547324414</c:v>
                </c:pt>
                <c:pt idx="327">
                  <c:v>-122.45849023474854</c:v>
                </c:pt>
                <c:pt idx="328">
                  <c:v>-118.07324407407506</c:v>
                </c:pt>
                <c:pt idx="329">
                  <c:v>-113.76660843422552</c:v>
                </c:pt>
                <c:pt idx="330">
                  <c:v>-109.53341260818929</c:v>
                </c:pt>
                <c:pt idx="331">
                  <c:v>-105.36876599334673</c:v>
                </c:pt>
                <c:pt idx="332">
                  <c:v>-101.26803284339128</c:v>
                </c:pt>
                <c:pt idx="333">
                  <c:v>-97.2268092269194</c:v>
                </c:pt>
                <c:pt idx="334">
                  <c:v>-93.240901936824017</c:v>
                </c:pt>
                <c:pt idx="335">
                  <c:v>-89.30630912461514</c:v>
                </c:pt>
                <c:pt idx="336">
                  <c:v>-85.419202459543158</c:v>
                </c:pt>
                <c:pt idx="337">
                  <c:v>-81.575910634505206</c:v>
                </c:pt>
                <c:pt idx="338">
                  <c:v>-77.772904059714818</c:v>
                </c:pt>
                <c:pt idx="339">
                  <c:v>-74.006780601397395</c:v>
                </c:pt>
                <c:pt idx="340">
                  <c:v>-70.274252236732664</c:v>
                </c:pt>
                <c:pt idx="341">
                  <c:v>-66.572132508164984</c:v>
                </c:pt>
                <c:pt idx="342">
                  <c:v>-62.897324670310944</c:v>
                </c:pt>
                <c:pt idx="343">
                  <c:v>-59.246810431204437</c:v>
                </c:pt>
                <c:pt idx="344">
                  <c:v>-55.617639196691172</c:v>
                </c:pt>
                <c:pt idx="345">
                  <c:v>-52.006917732573875</c:v>
                </c:pt>
                <c:pt idx="346">
                  <c:v>-48.411800163685641</c:v>
                </c:pt>
                <c:pt idx="347">
                  <c:v>-44.82947823255909</c:v>
                </c:pt>
                <c:pt idx="348">
                  <c:v>-41.257171742763717</c:v>
                </c:pt>
                <c:pt idx="349">
                  <c:v>-37.692119113387669</c:v>
                </c:pt>
                <c:pt idx="350">
                  <c:v>-34.131567971518265</c:v>
                </c:pt>
                <c:pt idx="351">
                  <c:v>-30.572751170091593</c:v>
                </c:pt>
                <c:pt idx="352">
                  <c:v>-27.012953366256287</c:v>
                </c:pt>
                <c:pt idx="353">
                  <c:v>-23.44701837624439</c:v>
                </c:pt>
                <c:pt idx="354">
                  <c:v>-19.869870081257961</c:v>
                </c:pt>
                <c:pt idx="355">
                  <c:v>-16.28384169454052</c:v>
                </c:pt>
                <c:pt idx="356">
                  <c:v>-12.686083290749504</c:v>
                </c:pt>
                <c:pt idx="357">
                  <c:v>-9.442463768071903</c:v>
                </c:pt>
                <c:pt idx="358">
                  <c:v>-6.3029120062768733</c:v>
                </c:pt>
                <c:pt idx="359">
                  <c:v>-3.1588068216739877</c:v>
                </c:pt>
                <c:pt idx="360">
                  <c:v>-1.3591305326025036E-13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7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Sheet1!$B$119</c:f>
              <c:numCache>
                <c:formatCode>General</c:formatCode>
                <c:ptCount val="1"/>
                <c:pt idx="0">
                  <c:v>120</c:v>
                </c:pt>
              </c:numCache>
            </c:numRef>
          </c:xVal>
          <c:yVal>
            <c:numRef>
              <c:f>Sheet1!$B$120</c:f>
              <c:numCache>
                <c:formatCode>General</c:formatCode>
                <c:ptCount val="1"/>
                <c:pt idx="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bg2">
                  <a:lumMod val="90000"/>
                </a:schemeClr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Sheet1!$H$124:$H$125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429.36165891719236</c:v>
                </c:pt>
              </c:numCache>
            </c:numRef>
          </c:xVal>
          <c:yVal>
            <c:numRef>
              <c:f>Sheet1!$I$124:$I$125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268.35103682324524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504826</xdr:colOff>
      <xdr:row>0</xdr:row>
      <xdr:rowOff>123825</xdr:rowOff>
    </xdr:from>
    <xdr:to>
      <xdr:col>18</xdr:col>
      <xdr:colOff>133351</xdr:colOff>
      <xdr:row>33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838201</xdr:colOff>
      <xdr:row>44</xdr:row>
      <xdr:rowOff>150187</xdr:rowOff>
    </xdr:from>
    <xdr:to>
      <xdr:col>18</xdr:col>
      <xdr:colOff>209550</xdr:colOff>
      <xdr:row>78</xdr:row>
      <xdr:rowOff>152401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116</xdr:row>
          <xdr:rowOff>152400</xdr:rowOff>
        </xdr:from>
        <xdr:to>
          <xdr:col>5</xdr:col>
          <xdr:colOff>698500</xdr:colOff>
          <xdr:row>120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774700</xdr:colOff>
          <xdr:row>121</xdr:row>
          <xdr:rowOff>63500</xdr:rowOff>
        </xdr:from>
        <xdr:to>
          <xdr:col>2</xdr:col>
          <xdr:colOff>889000</xdr:colOff>
          <xdr:row>126</xdr:row>
          <xdr:rowOff>50800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E8E979A-485B-534E-B4D2-685677782C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(Form Button)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234950</xdr:colOff>
      <xdr:row>127</xdr:row>
      <xdr:rowOff>69850</xdr:rowOff>
    </xdr:from>
    <xdr:to>
      <xdr:col>14</xdr:col>
      <xdr:colOff>660400</xdr:colOff>
      <xdr:row>170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E37A91B-2880-2F43-9D28-71C13036E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50800</xdr:rowOff>
        </xdr:from>
        <xdr:to>
          <xdr:col>5</xdr:col>
          <xdr:colOff>1155700</xdr:colOff>
          <xdr:row>126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15574DE5-E207-BC4C-B952-FDFB392761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try to 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U490"/>
  <sheetViews>
    <sheetView tabSelected="1" topLeftCell="A113" workbookViewId="0">
      <selection activeCell="B121" sqref="B121"/>
    </sheetView>
  </sheetViews>
  <sheetFormatPr baseColWidth="10" defaultColWidth="8.83203125" defaultRowHeight="15"/>
  <cols>
    <col min="1" max="1" width="16.5" customWidth="1"/>
    <col min="2" max="2" width="18.5" bestFit="1" customWidth="1"/>
    <col min="3" max="3" width="13.83203125" customWidth="1"/>
    <col min="4" max="4" width="10.6640625" customWidth="1"/>
    <col min="5" max="5" width="10.5" customWidth="1"/>
    <col min="6" max="6" width="19.83203125" customWidth="1"/>
    <col min="7" max="7" width="12.5" bestFit="1" customWidth="1"/>
    <col min="8" max="8" width="14.5" bestFit="1" customWidth="1"/>
    <col min="9" max="9" width="13.5" bestFit="1" customWidth="1"/>
    <col min="11" max="11" width="11.6640625" customWidth="1"/>
    <col min="14" max="14" width="12.5" customWidth="1"/>
  </cols>
  <sheetData>
    <row r="1" spans="1:8">
      <c r="D1" t="s">
        <v>7</v>
      </c>
      <c r="G1" t="s">
        <v>14</v>
      </c>
    </row>
    <row r="2" spans="1:8">
      <c r="A2" s="2" t="s">
        <v>4</v>
      </c>
      <c r="B2" s="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>
      <c r="A3" s="2" t="s">
        <v>13</v>
      </c>
      <c r="B3" s="5">
        <f>(POWER(145,1.5)*33*SQRT(1000*B2))/1000</f>
        <v>4074.2806880478911</v>
      </c>
      <c r="C3" t="s">
        <v>5</v>
      </c>
      <c r="D3" s="8">
        <v>0</v>
      </c>
      <c r="E3" s="8">
        <v>0</v>
      </c>
      <c r="G3" s="9">
        <f>MAX(MAX(D3:D7),MAX(E3:E7))</f>
        <v>30</v>
      </c>
      <c r="H3" s="9">
        <f>G3</f>
        <v>30</v>
      </c>
    </row>
    <row r="4" spans="1:8">
      <c r="A4" s="2" t="s">
        <v>35</v>
      </c>
      <c r="B4" s="1">
        <f>IF(B2&lt;=4,0.85,IF(B2&lt;=8,0.85 - ((0.05*(B2-4))/1),0.65))</f>
        <v>0.79999999999999993</v>
      </c>
      <c r="D4" s="8">
        <f>B5</f>
        <v>20</v>
      </c>
      <c r="E4" s="8">
        <v>0</v>
      </c>
      <c r="G4">
        <v>-1</v>
      </c>
      <c r="H4">
        <v>-1</v>
      </c>
    </row>
    <row r="5" spans="1:8">
      <c r="A5" s="2" t="s">
        <v>2</v>
      </c>
      <c r="B5" s="6">
        <v>20</v>
      </c>
      <c r="C5" t="s">
        <v>6</v>
      </c>
      <c r="D5" s="8">
        <f>B5</f>
        <v>20</v>
      </c>
      <c r="E5" s="8">
        <f>B6</f>
        <v>30</v>
      </c>
      <c r="G5" t="s">
        <v>33</v>
      </c>
    </row>
    <row r="6" spans="1:8">
      <c r="A6" s="2" t="s">
        <v>3</v>
      </c>
      <c r="B6" s="6">
        <v>30</v>
      </c>
      <c r="C6" t="s">
        <v>6</v>
      </c>
      <c r="D6" s="8">
        <v>0</v>
      </c>
      <c r="E6" s="8">
        <f>B6</f>
        <v>30</v>
      </c>
      <c r="G6" t="s">
        <v>0</v>
      </c>
      <c r="H6" t="s">
        <v>1</v>
      </c>
    </row>
    <row r="7" spans="1:8">
      <c r="D7" s="8">
        <v>0</v>
      </c>
      <c r="E7" s="8">
        <v>0</v>
      </c>
      <c r="G7">
        <f>B5/2</f>
        <v>10</v>
      </c>
      <c r="H7">
        <f>B6/2</f>
        <v>15</v>
      </c>
    </row>
    <row r="9" spans="1:8">
      <c r="A9" t="s">
        <v>8</v>
      </c>
    </row>
    <row r="10" spans="1:8">
      <c r="A10" t="s">
        <v>9</v>
      </c>
      <c r="B10" s="6">
        <v>60</v>
      </c>
      <c r="C10" t="s">
        <v>5</v>
      </c>
    </row>
    <row r="11" spans="1:8">
      <c r="A11" t="s">
        <v>12</v>
      </c>
      <c r="B11" s="5">
        <v>29000</v>
      </c>
      <c r="C11" t="s">
        <v>5</v>
      </c>
    </row>
    <row r="12" spans="1:8">
      <c r="B12" s="1" t="s">
        <v>10</v>
      </c>
      <c r="C12" t="s">
        <v>11</v>
      </c>
      <c r="D12" s="1" t="s">
        <v>0</v>
      </c>
      <c r="E12" s="1" t="s">
        <v>1</v>
      </c>
    </row>
    <row r="13" spans="1:8">
      <c r="A13">
        <v>1</v>
      </c>
      <c r="B13" s="3">
        <v>10</v>
      </c>
      <c r="C13" s="7">
        <f ca="1">OFFSET(Reference!A$1,MATCH(Sheet1!B13,Reference!A$1:A$12,0)-1,2)</f>
        <v>1.27</v>
      </c>
      <c r="D13" s="6">
        <v>4</v>
      </c>
      <c r="E13" s="6">
        <v>4</v>
      </c>
    </row>
    <row r="14" spans="1:8">
      <c r="A14">
        <v>2</v>
      </c>
      <c r="B14" s="3">
        <v>10</v>
      </c>
      <c r="C14" s="7">
        <f ca="1">OFFSET(Reference!A$1,MATCH(Sheet1!B14,Reference!A$1:A$12,0)-1,2)</f>
        <v>1.27</v>
      </c>
      <c r="D14" s="6">
        <v>16</v>
      </c>
      <c r="E14" s="6">
        <v>4</v>
      </c>
    </row>
    <row r="15" spans="1:8">
      <c r="A15">
        <v>3</v>
      </c>
      <c r="B15" s="3">
        <v>10</v>
      </c>
      <c r="C15" s="7">
        <f ca="1">OFFSET(Reference!A$1,MATCH(Sheet1!B15,Reference!A$1:A$12,0)-1,2)</f>
        <v>1.27</v>
      </c>
      <c r="D15" s="6">
        <v>16</v>
      </c>
      <c r="E15" s="6">
        <v>26</v>
      </c>
    </row>
    <row r="16" spans="1:8">
      <c r="A16">
        <v>4</v>
      </c>
      <c r="B16" s="3">
        <v>10</v>
      </c>
      <c r="C16" s="7">
        <f ca="1">OFFSET(Reference!A$1,MATCH(Sheet1!B16,Reference!A$1:A$12,0)-1,2)</f>
        <v>1.27</v>
      </c>
      <c r="D16" s="6">
        <v>10</v>
      </c>
      <c r="E16" s="6">
        <v>26</v>
      </c>
    </row>
    <row r="17" spans="1:5">
      <c r="A17">
        <v>5</v>
      </c>
      <c r="B17" s="3">
        <v>10</v>
      </c>
      <c r="C17" s="7">
        <f ca="1">OFFSET(Reference!A$1,MATCH(Sheet1!B17,Reference!A$1:A$12,0)-1,2)</f>
        <v>1.27</v>
      </c>
      <c r="D17" s="6">
        <v>4</v>
      </c>
      <c r="E17" s="6">
        <v>26</v>
      </c>
    </row>
    <row r="18" spans="1:5">
      <c r="A18">
        <v>6</v>
      </c>
      <c r="B18" s="3">
        <v>0</v>
      </c>
      <c r="C18" s="7">
        <f ca="1">OFFSET(Reference!A$1,MATCH(Sheet1!B18,Reference!A$1:A$12,0)-1,2)</f>
        <v>0</v>
      </c>
      <c r="D18" s="4"/>
      <c r="E18" s="4"/>
    </row>
    <row r="19" spans="1:5">
      <c r="A19">
        <v>7</v>
      </c>
      <c r="B19" s="3">
        <v>0</v>
      </c>
      <c r="C19" s="7">
        <f ca="1">OFFSET(Reference!A$1,MATCH(Sheet1!B19,Reference!A$1:A$12,0)-1,2)</f>
        <v>0</v>
      </c>
      <c r="D19" s="4"/>
      <c r="E19" s="4"/>
    </row>
    <row r="20" spans="1:5">
      <c r="A20">
        <v>8</v>
      </c>
      <c r="B20" s="3">
        <v>0</v>
      </c>
      <c r="C20" s="7">
        <f ca="1">OFFSET(Reference!A$1,MATCH(Sheet1!B20,Reference!A$1:A$12,0)-1,2)</f>
        <v>0</v>
      </c>
      <c r="D20" s="4"/>
      <c r="E20" s="4"/>
    </row>
    <row r="21" spans="1:5">
      <c r="A21">
        <v>9</v>
      </c>
      <c r="B21" s="3">
        <v>0</v>
      </c>
      <c r="C21" s="7">
        <f ca="1">OFFSET(Reference!A$1,MATCH(Sheet1!B21,Reference!A$1:A$12,0)-1,2)</f>
        <v>0</v>
      </c>
      <c r="D21" s="4"/>
      <c r="E21" s="4"/>
    </row>
    <row r="22" spans="1:5">
      <c r="A22">
        <v>10</v>
      </c>
      <c r="B22" s="3">
        <v>0</v>
      </c>
      <c r="C22" s="7">
        <f ca="1">OFFSET(Reference!A$1,MATCH(Sheet1!B22,Reference!A$1:A$12,0)-1,2)</f>
        <v>0</v>
      </c>
      <c r="D22" s="4"/>
      <c r="E22" s="4"/>
    </row>
    <row r="23" spans="1:5">
      <c r="A23">
        <v>11</v>
      </c>
      <c r="B23" s="3">
        <v>0</v>
      </c>
      <c r="C23" s="7">
        <f ca="1">OFFSET(Reference!A$1,MATCH(Sheet1!B23,Reference!A$1:A$12,0)-1,2)</f>
        <v>0</v>
      </c>
      <c r="D23" s="4"/>
      <c r="E23" s="4"/>
    </row>
    <row r="24" spans="1:5">
      <c r="A24">
        <v>12</v>
      </c>
      <c r="B24" s="3">
        <v>0</v>
      </c>
      <c r="C24" s="7">
        <f ca="1">OFFSET(Reference!A$1,MATCH(Sheet1!B24,Reference!A$1:A$12,0)-1,2)</f>
        <v>0</v>
      </c>
      <c r="D24" s="4"/>
      <c r="E24" s="4"/>
    </row>
    <row r="26" spans="1:5">
      <c r="A26" s="31" t="s">
        <v>15</v>
      </c>
    </row>
    <row r="27" spans="1:5">
      <c r="A27" s="2" t="s">
        <v>16</v>
      </c>
    </row>
    <row r="28" spans="1:5">
      <c r="A28" s="2" t="s">
        <v>17</v>
      </c>
      <c r="B28">
        <f>B5*B6</f>
        <v>600</v>
      </c>
      <c r="C28" t="s">
        <v>18</v>
      </c>
    </row>
    <row r="29" spans="1:5">
      <c r="A29" s="2" t="s">
        <v>19</v>
      </c>
      <c r="B29">
        <f>B28*B2</f>
        <v>3000</v>
      </c>
      <c r="C29" t="s">
        <v>20</v>
      </c>
    </row>
    <row r="30" spans="1:5">
      <c r="A30" s="2" t="s">
        <v>21</v>
      </c>
      <c r="B30">
        <f>B29*(B6/2)</f>
        <v>45000</v>
      </c>
      <c r="C30" t="s">
        <v>23</v>
      </c>
    </row>
    <row r="31" spans="1:5">
      <c r="A31" s="2" t="s">
        <v>22</v>
      </c>
      <c r="B31">
        <f>B29*(B5/2)</f>
        <v>30000</v>
      </c>
      <c r="C31" t="s">
        <v>23</v>
      </c>
    </row>
    <row r="33" spans="1:6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>
      <c r="A34">
        <f>A13</f>
        <v>1</v>
      </c>
      <c r="B34" s="10">
        <f ca="1">C13</f>
        <v>1.27</v>
      </c>
      <c r="C34" s="9">
        <f>($B$10-($B$2))</f>
        <v>55</v>
      </c>
      <c r="D34" s="9">
        <f ca="1">B34*C34</f>
        <v>69.849999999999994</v>
      </c>
      <c r="E34" s="9">
        <f ca="1">D34*E13</f>
        <v>279.39999999999998</v>
      </c>
      <c r="F34" s="9">
        <f ca="1">D34*D13</f>
        <v>279.39999999999998</v>
      </c>
    </row>
    <row r="35" spans="1:6">
      <c r="A35">
        <f t="shared" ref="A35:A45" si="0">A14</f>
        <v>2</v>
      </c>
      <c r="B35" s="10">
        <f t="shared" ref="B35:B45" ca="1" si="1">C14</f>
        <v>1.27</v>
      </c>
      <c r="C35" s="9">
        <f t="shared" ref="C35:C45" si="2">($B$10-($B$2))</f>
        <v>55</v>
      </c>
      <c r="D35" s="9">
        <f t="shared" ref="D35:D45" ca="1" si="3">B35*C35</f>
        <v>69.849999999999994</v>
      </c>
      <c r="E35" s="9">
        <f t="shared" ref="E35:E45" ca="1" si="4">D35*E14</f>
        <v>279.39999999999998</v>
      </c>
      <c r="F35" s="9">
        <f t="shared" ref="F35:F45" ca="1" si="5">D35*D14</f>
        <v>1117.5999999999999</v>
      </c>
    </row>
    <row r="36" spans="1:6">
      <c r="A36">
        <f t="shared" si="0"/>
        <v>3</v>
      </c>
      <c r="B36" s="10">
        <f t="shared" ca="1" si="1"/>
        <v>1.27</v>
      </c>
      <c r="C36" s="9">
        <f t="shared" si="2"/>
        <v>55</v>
      </c>
      <c r="D36" s="9">
        <f t="shared" ca="1" si="3"/>
        <v>69.849999999999994</v>
      </c>
      <c r="E36" s="9">
        <f t="shared" ca="1" si="4"/>
        <v>1816.1</v>
      </c>
      <c r="F36" s="9">
        <f t="shared" ca="1" si="5"/>
        <v>1117.5999999999999</v>
      </c>
    </row>
    <row r="37" spans="1:6">
      <c r="A37">
        <f t="shared" si="0"/>
        <v>4</v>
      </c>
      <c r="B37" s="10">
        <f t="shared" ca="1" si="1"/>
        <v>1.27</v>
      </c>
      <c r="C37" s="9">
        <f t="shared" si="2"/>
        <v>55</v>
      </c>
      <c r="D37" s="9">
        <f t="shared" ca="1" si="3"/>
        <v>69.849999999999994</v>
      </c>
      <c r="E37" s="9">
        <f t="shared" ca="1" si="4"/>
        <v>1816.1</v>
      </c>
      <c r="F37" s="9">
        <f t="shared" ca="1" si="5"/>
        <v>698.5</v>
      </c>
    </row>
    <row r="38" spans="1:6">
      <c r="A38">
        <f t="shared" si="0"/>
        <v>5</v>
      </c>
      <c r="B38" s="10">
        <f t="shared" ca="1" si="1"/>
        <v>1.27</v>
      </c>
      <c r="C38" s="9">
        <f t="shared" si="2"/>
        <v>55</v>
      </c>
      <c r="D38" s="9">
        <f t="shared" ca="1" si="3"/>
        <v>69.849999999999994</v>
      </c>
      <c r="E38" s="9">
        <f t="shared" ca="1" si="4"/>
        <v>1816.1</v>
      </c>
      <c r="F38" s="9">
        <f t="shared" ca="1" si="5"/>
        <v>279.39999999999998</v>
      </c>
    </row>
    <row r="39" spans="1:6">
      <c r="A39">
        <f t="shared" si="0"/>
        <v>6</v>
      </c>
      <c r="B39" s="10">
        <f t="shared" ca="1" si="1"/>
        <v>0</v>
      </c>
      <c r="C39" s="9">
        <f t="shared" si="2"/>
        <v>55</v>
      </c>
      <c r="D39" s="9">
        <f t="shared" ca="1" si="3"/>
        <v>0</v>
      </c>
      <c r="E39" s="9">
        <f t="shared" ca="1" si="4"/>
        <v>0</v>
      </c>
      <c r="F39" s="9">
        <f t="shared" ca="1" si="5"/>
        <v>0</v>
      </c>
    </row>
    <row r="40" spans="1:6">
      <c r="A40">
        <f t="shared" si="0"/>
        <v>7</v>
      </c>
      <c r="B40" s="10">
        <f t="shared" ca="1" si="1"/>
        <v>0</v>
      </c>
      <c r="C40" s="9">
        <f t="shared" si="2"/>
        <v>55</v>
      </c>
      <c r="D40" s="9">
        <f t="shared" ca="1" si="3"/>
        <v>0</v>
      </c>
      <c r="E40" s="9">
        <f t="shared" ca="1" si="4"/>
        <v>0</v>
      </c>
      <c r="F40" s="9">
        <f t="shared" ca="1" si="5"/>
        <v>0</v>
      </c>
    </row>
    <row r="41" spans="1:6">
      <c r="A41">
        <f t="shared" si="0"/>
        <v>8</v>
      </c>
      <c r="B41" s="10">
        <f t="shared" ca="1" si="1"/>
        <v>0</v>
      </c>
      <c r="C41" s="9">
        <f t="shared" si="2"/>
        <v>55</v>
      </c>
      <c r="D41" s="9">
        <f t="shared" ca="1" si="3"/>
        <v>0</v>
      </c>
      <c r="E41" s="9">
        <f t="shared" ca="1" si="4"/>
        <v>0</v>
      </c>
      <c r="F41" s="9">
        <f t="shared" ca="1" si="5"/>
        <v>0</v>
      </c>
    </row>
    <row r="42" spans="1:6">
      <c r="A42">
        <f t="shared" si="0"/>
        <v>9</v>
      </c>
      <c r="B42" s="10">
        <f t="shared" ca="1" si="1"/>
        <v>0</v>
      </c>
      <c r="C42" s="9">
        <f t="shared" si="2"/>
        <v>55</v>
      </c>
      <c r="D42" s="9">
        <f t="shared" ca="1" si="3"/>
        <v>0</v>
      </c>
      <c r="E42" s="9">
        <f t="shared" ca="1" si="4"/>
        <v>0</v>
      </c>
      <c r="F42" s="9">
        <f t="shared" ca="1" si="5"/>
        <v>0</v>
      </c>
    </row>
    <row r="43" spans="1:6">
      <c r="A43">
        <f t="shared" si="0"/>
        <v>10</v>
      </c>
      <c r="B43" s="10">
        <f t="shared" ca="1" si="1"/>
        <v>0</v>
      </c>
      <c r="C43" s="9">
        <f t="shared" si="2"/>
        <v>55</v>
      </c>
      <c r="D43" s="9">
        <f t="shared" ca="1" si="3"/>
        <v>0</v>
      </c>
      <c r="E43" s="9">
        <f t="shared" ca="1" si="4"/>
        <v>0</v>
      </c>
      <c r="F43" s="9">
        <f t="shared" ca="1" si="5"/>
        <v>0</v>
      </c>
    </row>
    <row r="44" spans="1:6">
      <c r="A44">
        <f t="shared" si="0"/>
        <v>11</v>
      </c>
      <c r="B44" s="10">
        <f t="shared" ca="1" si="1"/>
        <v>0</v>
      </c>
      <c r="C44" s="9">
        <f t="shared" si="2"/>
        <v>55</v>
      </c>
      <c r="D44" s="9">
        <f t="shared" ca="1" si="3"/>
        <v>0</v>
      </c>
      <c r="E44" s="9">
        <f t="shared" ca="1" si="4"/>
        <v>0</v>
      </c>
      <c r="F44" s="9">
        <f t="shared" ca="1" si="5"/>
        <v>0</v>
      </c>
    </row>
    <row r="45" spans="1:6" ht="16" thickBot="1">
      <c r="A45">
        <f t="shared" si="0"/>
        <v>12</v>
      </c>
      <c r="B45" s="10">
        <f t="shared" ca="1" si="1"/>
        <v>0</v>
      </c>
      <c r="C45" s="9">
        <f t="shared" si="2"/>
        <v>55</v>
      </c>
      <c r="D45" s="30">
        <f t="shared" ca="1" si="3"/>
        <v>0</v>
      </c>
      <c r="E45" s="30">
        <f t="shared" ca="1" si="4"/>
        <v>0</v>
      </c>
      <c r="F45" s="30">
        <f t="shared" ca="1" si="5"/>
        <v>0</v>
      </c>
    </row>
    <row r="46" spans="1:6" ht="16" thickTop="1">
      <c r="C46" s="9"/>
      <c r="D46" s="9">
        <f ca="1">SUM(D34:D45)</f>
        <v>349.25</v>
      </c>
      <c r="E46" s="9">
        <f t="shared" ref="E46:F46" ca="1" si="6">SUM(E34:E45)</f>
        <v>6007.1</v>
      </c>
      <c r="F46" s="9">
        <f t="shared" ca="1" si="6"/>
        <v>3492.5</v>
      </c>
    </row>
    <row r="48" spans="1:6">
      <c r="A48" s="2" t="s">
        <v>28</v>
      </c>
      <c r="B48" s="9">
        <f ca="1">B29+D46</f>
        <v>3349.25</v>
      </c>
      <c r="D48" t="s">
        <v>31</v>
      </c>
      <c r="E48" t="s">
        <v>32</v>
      </c>
    </row>
    <row r="49" spans="1:21">
      <c r="A49" s="2" t="s">
        <v>29</v>
      </c>
      <c r="B49" s="9">
        <f ca="1">E46+B30</f>
        <v>51007.1</v>
      </c>
      <c r="D49" s="1">
        <f ca="1">B50/B48</f>
        <v>10</v>
      </c>
      <c r="E49" s="7">
        <f ca="1">B49/B48</f>
        <v>15.229409569306561</v>
      </c>
    </row>
    <row r="50" spans="1:21">
      <c r="A50" s="2" t="s">
        <v>30</v>
      </c>
      <c r="B50" s="9">
        <f ca="1">F46+B31</f>
        <v>33492.5</v>
      </c>
    </row>
    <row r="52" spans="1:21">
      <c r="A52" s="32" t="s">
        <v>34</v>
      </c>
    </row>
    <row r="53" spans="1:21">
      <c r="A53" s="2" t="s">
        <v>36</v>
      </c>
      <c r="B53" s="4">
        <v>-57.48257422618461</v>
      </c>
      <c r="C53" t="s">
        <v>39</v>
      </c>
    </row>
    <row r="55" spans="1:21">
      <c r="A55" s="2" t="s">
        <v>16</v>
      </c>
    </row>
    <row r="56" spans="1:21">
      <c r="A56" s="1" t="s">
        <v>0</v>
      </c>
      <c r="B56" s="1" t="s">
        <v>1</v>
      </c>
      <c r="C56" s="1" t="s">
        <v>37</v>
      </c>
      <c r="D56" s="1" t="s">
        <v>38</v>
      </c>
    </row>
    <row r="57" spans="1:21">
      <c r="A57" s="9">
        <f ca="1">D3-$D$49</f>
        <v>-10</v>
      </c>
      <c r="B57" s="10">
        <f ca="1">E3-$E$49</f>
        <v>-15.229409569306561</v>
      </c>
      <c r="C57" s="7">
        <f ca="1">A57*COS(RADIANS($B$53))+B57*SIN(RADIANS($B$53))</f>
        <v>7.4663035802309592</v>
      </c>
      <c r="D57" s="7">
        <f ca="1">-1*A57*SIN(RADIANS($B$53))+B57*COS(RADIANS($B$53))</f>
        <v>-16.618941803782715</v>
      </c>
      <c r="F57" t="s">
        <v>40</v>
      </c>
      <c r="G57">
        <f ca="1">MAX(D57:D61)-MIN(D57:D61)</f>
        <v>32.991242585328934</v>
      </c>
      <c r="H57" t="s">
        <v>6</v>
      </c>
      <c r="T57" t="s">
        <v>82</v>
      </c>
    </row>
    <row r="58" spans="1:21">
      <c r="A58" s="9">
        <f ca="1">D4-$D$49</f>
        <v>10</v>
      </c>
      <c r="B58" s="10">
        <f t="shared" ref="B58:B61" ca="1" si="7">E4-$E$49</f>
        <v>-15.229409569306561</v>
      </c>
      <c r="C58" s="7">
        <f t="shared" ref="C58:C61" ca="1" si="8">A58*COS(RADIANS($B$53))+B58*SIN(RADIANS($B$53))</f>
        <v>18.217425383128059</v>
      </c>
      <c r="D58" s="7">
        <f t="shared" ref="D58:D61" ca="1" si="9">-1*A58*SIN(RADIANS($B$53))+B58*COS(RADIANS($B$53))</f>
        <v>0.24561807720056095</v>
      </c>
      <c r="F58" t="s">
        <v>62</v>
      </c>
      <c r="G58" s="10">
        <f ca="1">MAX(D57:D61)</f>
        <v>16.372300781546215</v>
      </c>
      <c r="T58" t="s">
        <v>0</v>
      </c>
      <c r="U58" t="s">
        <v>1</v>
      </c>
    </row>
    <row r="59" spans="1:21">
      <c r="A59" s="9">
        <f ca="1">D5-$D$49</f>
        <v>10</v>
      </c>
      <c r="B59" s="10">
        <f t="shared" ca="1" si="7"/>
        <v>14.770590430693439</v>
      </c>
      <c r="C59" s="7">
        <f t="shared" ca="1" si="8"/>
        <v>-7.0794144383468511</v>
      </c>
      <c r="D59" s="7">
        <f t="shared" ca="1" si="9"/>
        <v>16.372300781546215</v>
      </c>
      <c r="T59">
        <f ca="1">MAX(MAX(C57:C61),MAX(D57:D61))</f>
        <v>18.217425383128059</v>
      </c>
      <c r="U59">
        <f ca="1">T59</f>
        <v>18.217425383128059</v>
      </c>
    </row>
    <row r="60" spans="1:21">
      <c r="A60" s="9">
        <f ca="1">D6-$D$49</f>
        <v>-10</v>
      </c>
      <c r="B60" s="10">
        <f t="shared" ca="1" si="7"/>
        <v>14.770590430693439</v>
      </c>
      <c r="C60" s="7">
        <f t="shared" ca="1" si="8"/>
        <v>-17.830536241243951</v>
      </c>
      <c r="D60" s="7">
        <f t="shared" ca="1" si="9"/>
        <v>-0.49225909943706192</v>
      </c>
      <c r="T60">
        <f ca="1">-1*T59</f>
        <v>-18.217425383128059</v>
      </c>
      <c r="U60">
        <f ca="1">-1*U59</f>
        <v>-18.217425383128059</v>
      </c>
    </row>
    <row r="61" spans="1:21">
      <c r="A61" s="9">
        <f ca="1">D7-$D$49</f>
        <v>-10</v>
      </c>
      <c r="B61" s="10">
        <f t="shared" ca="1" si="7"/>
        <v>-15.229409569306561</v>
      </c>
      <c r="C61" s="7">
        <f t="shared" ca="1" si="8"/>
        <v>7.4663035802309592</v>
      </c>
      <c r="D61" s="7">
        <f t="shared" ca="1" si="9"/>
        <v>-16.618941803782715</v>
      </c>
    </row>
    <row r="62" spans="1:21">
      <c r="A62" s="9"/>
    </row>
    <row r="63" spans="1:21">
      <c r="A63" s="33" t="s">
        <v>24</v>
      </c>
      <c r="F63" s="1" t="s">
        <v>37</v>
      </c>
      <c r="G63" s="1" t="s">
        <v>38</v>
      </c>
    </row>
    <row r="64" spans="1:21">
      <c r="A64" s="11">
        <f t="shared" ref="A64:C75" si="10">A13</f>
        <v>1</v>
      </c>
      <c r="B64" s="9">
        <f t="shared" si="10"/>
        <v>10</v>
      </c>
      <c r="C64" s="9">
        <f t="shared" ca="1" si="10"/>
        <v>1.27</v>
      </c>
      <c r="D64" s="9">
        <f ca="1">D13-$D$49</f>
        <v>-6</v>
      </c>
      <c r="E64" s="9">
        <f ca="1">E13-$E$49</f>
        <v>-11.229409569306561</v>
      </c>
      <c r="F64" s="7">
        <f ca="1">D64*COS(RADIANS($B$53))+E64*SIN(RADIANS($B$53))</f>
        <v>6.243615964613725</v>
      </c>
      <c r="G64" s="7">
        <f ca="1">-1*D64*SIN(RADIANS($B$53))+E64*COS(RADIANS($B$53))</f>
        <v>-11.095805467006638</v>
      </c>
    </row>
    <row r="65" spans="1:7">
      <c r="A65" s="11">
        <f t="shared" si="10"/>
        <v>2</v>
      </c>
      <c r="B65" s="9">
        <f t="shared" si="10"/>
        <v>10</v>
      </c>
      <c r="C65" s="9">
        <f t="shared" ca="1" si="10"/>
        <v>1.27</v>
      </c>
      <c r="D65" s="9">
        <f t="shared" ref="D65:D75" ca="1" si="11">D14-$D$49</f>
        <v>6</v>
      </c>
      <c r="E65" s="9">
        <f t="shared" ref="E65:E75" ca="1" si="12">E14-$E$49</f>
        <v>-11.229409569306561</v>
      </c>
      <c r="F65" s="7">
        <f t="shared" ref="F65:F75" ca="1" si="13">D65*COS(RADIANS($B$53))+E65*SIN(RADIANS($B$53))</f>
        <v>12.694289046351987</v>
      </c>
      <c r="G65" s="7">
        <f t="shared" ref="G65:G75" ca="1" si="14">-1*D65*SIN(RADIANS($B$53))+E65*COS(RADIANS($B$53))</f>
        <v>-0.97706953841667321</v>
      </c>
    </row>
    <row r="66" spans="1:7">
      <c r="A66" s="11">
        <f t="shared" si="10"/>
        <v>3</v>
      </c>
      <c r="B66" s="9">
        <f t="shared" si="10"/>
        <v>10</v>
      </c>
      <c r="C66" s="9">
        <f t="shared" ca="1" si="10"/>
        <v>1.27</v>
      </c>
      <c r="D66" s="9">
        <f t="shared" ca="1" si="11"/>
        <v>6</v>
      </c>
      <c r="E66" s="9">
        <f t="shared" ca="1" si="12"/>
        <v>10.770590430693439</v>
      </c>
      <c r="F66" s="7">
        <f t="shared" ca="1" si="13"/>
        <v>-5.8567268227296152</v>
      </c>
      <c r="G66" s="7">
        <f t="shared" ca="1" si="14"/>
        <v>10.849164444770139</v>
      </c>
    </row>
    <row r="67" spans="1:7">
      <c r="A67" s="11">
        <f t="shared" si="10"/>
        <v>4</v>
      </c>
      <c r="B67" s="9">
        <f t="shared" si="10"/>
        <v>10</v>
      </c>
      <c r="C67" s="9">
        <f t="shared" ca="1" si="10"/>
        <v>1.27</v>
      </c>
      <c r="D67" s="9">
        <f t="shared" ca="1" si="11"/>
        <v>0</v>
      </c>
      <c r="E67" s="9">
        <f t="shared" ca="1" si="12"/>
        <v>10.770590430693439</v>
      </c>
      <c r="F67" s="7">
        <f t="shared" ca="1" si="13"/>
        <v>-9.0820633635987456</v>
      </c>
      <c r="G67" s="7">
        <f t="shared" ca="1" si="14"/>
        <v>5.7897964804751556</v>
      </c>
    </row>
    <row r="68" spans="1:7">
      <c r="A68" s="11">
        <f t="shared" si="10"/>
        <v>5</v>
      </c>
      <c r="B68" s="9">
        <f t="shared" si="10"/>
        <v>10</v>
      </c>
      <c r="C68" s="9">
        <f t="shared" ca="1" si="10"/>
        <v>1.27</v>
      </c>
      <c r="D68" s="9">
        <f t="shared" ca="1" si="11"/>
        <v>-6</v>
      </c>
      <c r="E68" s="9">
        <f t="shared" ca="1" si="12"/>
        <v>10.770590430693439</v>
      </c>
      <c r="F68" s="7">
        <f t="shared" ca="1" si="13"/>
        <v>-12.307399904467875</v>
      </c>
      <c r="G68" s="7">
        <f t="shared" ca="1" si="14"/>
        <v>0.73042851618017313</v>
      </c>
    </row>
    <row r="69" spans="1:7">
      <c r="A69" s="11">
        <f t="shared" si="10"/>
        <v>6</v>
      </c>
      <c r="B69" s="9">
        <f t="shared" si="10"/>
        <v>0</v>
      </c>
      <c r="C69" s="9">
        <f t="shared" ca="1" si="10"/>
        <v>0</v>
      </c>
      <c r="D69" s="9">
        <f t="shared" ca="1" si="11"/>
        <v>-10</v>
      </c>
      <c r="E69" s="9">
        <f t="shared" ca="1" si="12"/>
        <v>-15.229409569306561</v>
      </c>
      <c r="F69" s="7">
        <f t="shared" ca="1" si="13"/>
        <v>7.4663035802309592</v>
      </c>
      <c r="G69" s="7">
        <f t="shared" ca="1" si="14"/>
        <v>-16.618941803782715</v>
      </c>
    </row>
    <row r="70" spans="1:7">
      <c r="A70" s="11">
        <f t="shared" si="10"/>
        <v>7</v>
      </c>
      <c r="B70" s="9">
        <f t="shared" si="10"/>
        <v>0</v>
      </c>
      <c r="C70" s="9">
        <f t="shared" ca="1" si="10"/>
        <v>0</v>
      </c>
      <c r="D70" s="9">
        <f t="shared" ca="1" si="11"/>
        <v>-10</v>
      </c>
      <c r="E70" s="9">
        <f t="shared" ca="1" si="12"/>
        <v>-15.229409569306561</v>
      </c>
      <c r="F70" s="7">
        <f t="shared" ca="1" si="13"/>
        <v>7.4663035802309592</v>
      </c>
      <c r="G70" s="7">
        <f t="shared" ca="1" si="14"/>
        <v>-16.618941803782715</v>
      </c>
    </row>
    <row r="71" spans="1:7">
      <c r="A71" s="11">
        <f t="shared" si="10"/>
        <v>8</v>
      </c>
      <c r="B71" s="9">
        <f t="shared" si="10"/>
        <v>0</v>
      </c>
      <c r="C71" s="9">
        <f t="shared" ca="1" si="10"/>
        <v>0</v>
      </c>
      <c r="D71" s="9">
        <f t="shared" ca="1" si="11"/>
        <v>-10</v>
      </c>
      <c r="E71" s="9">
        <f t="shared" ca="1" si="12"/>
        <v>-15.229409569306561</v>
      </c>
      <c r="F71" s="7">
        <f t="shared" ca="1" si="13"/>
        <v>7.4663035802309592</v>
      </c>
      <c r="G71" s="7">
        <f t="shared" ca="1" si="14"/>
        <v>-16.618941803782715</v>
      </c>
    </row>
    <row r="72" spans="1:7">
      <c r="A72" s="11">
        <f t="shared" si="10"/>
        <v>9</v>
      </c>
      <c r="B72" s="9">
        <f t="shared" si="10"/>
        <v>0</v>
      </c>
      <c r="C72" s="9">
        <f t="shared" ca="1" si="10"/>
        <v>0</v>
      </c>
      <c r="D72" s="9">
        <f t="shared" ca="1" si="11"/>
        <v>-10</v>
      </c>
      <c r="E72" s="9">
        <f t="shared" ca="1" si="12"/>
        <v>-15.229409569306561</v>
      </c>
      <c r="F72" s="7">
        <f t="shared" ca="1" si="13"/>
        <v>7.4663035802309592</v>
      </c>
      <c r="G72" s="7">
        <f t="shared" ca="1" si="14"/>
        <v>-16.618941803782715</v>
      </c>
    </row>
    <row r="73" spans="1:7">
      <c r="A73" s="11">
        <f t="shared" si="10"/>
        <v>10</v>
      </c>
      <c r="B73" s="9">
        <f t="shared" si="10"/>
        <v>0</v>
      </c>
      <c r="C73" s="9">
        <f t="shared" ca="1" si="10"/>
        <v>0</v>
      </c>
      <c r="D73" s="9">
        <f t="shared" ca="1" si="11"/>
        <v>-10</v>
      </c>
      <c r="E73" s="9">
        <f t="shared" ca="1" si="12"/>
        <v>-15.229409569306561</v>
      </c>
      <c r="F73" s="7">
        <f t="shared" ca="1" si="13"/>
        <v>7.4663035802309592</v>
      </c>
      <c r="G73" s="7">
        <f t="shared" ca="1" si="14"/>
        <v>-16.618941803782715</v>
      </c>
    </row>
    <row r="74" spans="1:7">
      <c r="A74" s="11">
        <f t="shared" si="10"/>
        <v>11</v>
      </c>
      <c r="B74" s="9">
        <f t="shared" si="10"/>
        <v>0</v>
      </c>
      <c r="C74" s="9">
        <f t="shared" ca="1" si="10"/>
        <v>0</v>
      </c>
      <c r="D74" s="9">
        <f t="shared" ca="1" si="11"/>
        <v>-10</v>
      </c>
      <c r="E74" s="9">
        <f t="shared" ca="1" si="12"/>
        <v>-15.229409569306561</v>
      </c>
      <c r="F74" s="7">
        <f t="shared" ca="1" si="13"/>
        <v>7.4663035802309592</v>
      </c>
      <c r="G74" s="7">
        <f t="shared" ca="1" si="14"/>
        <v>-16.618941803782715</v>
      </c>
    </row>
    <row r="75" spans="1:7">
      <c r="A75" s="11">
        <f t="shared" si="10"/>
        <v>12</v>
      </c>
      <c r="B75" s="9">
        <f t="shared" si="10"/>
        <v>0</v>
      </c>
      <c r="C75" s="9">
        <f t="shared" ca="1" si="10"/>
        <v>0</v>
      </c>
      <c r="D75" s="9">
        <f t="shared" ca="1" si="11"/>
        <v>-10</v>
      </c>
      <c r="E75" s="9">
        <f t="shared" ca="1" si="12"/>
        <v>-15.229409569306561</v>
      </c>
      <c r="F75" s="7">
        <f t="shared" ca="1" si="13"/>
        <v>7.4663035802309592</v>
      </c>
      <c r="G75" s="7">
        <f t="shared" ca="1" si="14"/>
        <v>-16.618941803782715</v>
      </c>
    </row>
    <row r="77" spans="1:7">
      <c r="D77" t="s">
        <v>0</v>
      </c>
      <c r="E77" t="s">
        <v>1</v>
      </c>
    </row>
    <row r="78" spans="1:7">
      <c r="A78" s="2" t="s">
        <v>41</v>
      </c>
      <c r="B78" s="4">
        <v>18.597964828372056</v>
      </c>
      <c r="C78" t="s">
        <v>6</v>
      </c>
      <c r="D78" s="7">
        <f ca="1">MIN(C57:C61)</f>
        <v>-17.830536241243951</v>
      </c>
      <c r="E78" s="7">
        <f ca="1">MAX(D57:D61)-B78</f>
        <v>-2.2256640468258411</v>
      </c>
    </row>
    <row r="79" spans="1:7">
      <c r="A79" s="2"/>
      <c r="D79" s="7">
        <f ca="1">MAX(C57:C61)</f>
        <v>18.217425383128059</v>
      </c>
      <c r="E79" s="7">
        <f ca="1">E78</f>
        <v>-2.2256640468258411</v>
      </c>
    </row>
    <row r="80" spans="1:7">
      <c r="A80" s="2"/>
    </row>
    <row r="81" spans="1:12">
      <c r="A81" s="2" t="s">
        <v>42</v>
      </c>
      <c r="B81" s="1">
        <f>B78*B4</f>
        <v>14.878371862697644</v>
      </c>
      <c r="C81" t="s">
        <v>6</v>
      </c>
      <c r="D81" t="s">
        <v>0</v>
      </c>
      <c r="E81" t="s">
        <v>1</v>
      </c>
    </row>
    <row r="82" spans="1:12">
      <c r="D82" s="7">
        <f ca="1">MIN(C57:C61)</f>
        <v>-17.830536241243951</v>
      </c>
      <c r="E82" s="7">
        <f ca="1">MAX(D57:D61)-B81</f>
        <v>1.4939289188485709</v>
      </c>
    </row>
    <row r="83" spans="1:12">
      <c r="D83" s="7">
        <f ca="1">MAX(C57:C61)</f>
        <v>18.217425383128059</v>
      </c>
      <c r="E83" s="7">
        <f ca="1">E82</f>
        <v>1.4939289188485709</v>
      </c>
    </row>
    <row r="84" spans="1:12">
      <c r="A84" t="s">
        <v>47</v>
      </c>
    </row>
    <row r="85" spans="1:12">
      <c r="A85" s="2" t="s">
        <v>55</v>
      </c>
      <c r="B85" s="1">
        <f>0.85*B2</f>
        <v>4.25</v>
      </c>
      <c r="C85" t="s">
        <v>5</v>
      </c>
    </row>
    <row r="87" spans="1:12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>
      <c r="A88">
        <v>1</v>
      </c>
      <c r="B88" s="7">
        <f t="shared" ref="B88:C91" ca="1" si="15">C57</f>
        <v>7.4663035802309592</v>
      </c>
      <c r="C88" s="7">
        <f t="shared" ca="1" si="15"/>
        <v>-16.618941803782715</v>
      </c>
      <c r="D88" s="7">
        <f t="shared" ref="D88:E91" ca="1" si="16">C58</f>
        <v>18.217425383128059</v>
      </c>
      <c r="E88" s="7">
        <f t="shared" ca="1" si="16"/>
        <v>0.24561807720056095</v>
      </c>
      <c r="F88" s="1">
        <f ca="1">IF(AND(E88&gt;=E$82,C88&lt;=E$82),1,IF(AND(C88&gt;=E$82,E88&gt;=E$82),3,IF(AND(E88&lt;=E$82,C88&gt;=E$82),2,0)))</f>
        <v>0</v>
      </c>
      <c r="G88" s="1">
        <f ca="1">IF(E88=C88,"H",IF(B88=D88,"V",(E88-C88)/(D88-B88)))</f>
        <v>1.5686325752944954</v>
      </c>
      <c r="H88" s="7" t="e">
        <f ca="1">IF(OR(F88=1,F88=2),IF(G88="V",B88,(E$82-C88+(G88*B88))/G88),NA())</f>
        <v>#N/A</v>
      </c>
      <c r="I88" s="7" t="e">
        <f ca="1">IF(OR(F88=1,F88=2),E$82,NA())</f>
        <v>#N/A</v>
      </c>
      <c r="J88" s="8">
        <f ca="1">IF(F88=0,0,IF(F88=1,-0.5*B$85*(H88+D88)*(I88-E88),IF(F88=2,-0.5*B$85*(B88+H88)*(C88-I88),IF(F88=3,-0.5*B$85*(B88+D88)*(C88-E88),0))))</f>
        <v>0</v>
      </c>
      <c r="K88" s="8">
        <f ca="1">IF(F88=1,(1/6)*B$85*(E88-I88)*((H88*(2*I88+E88))+(D88*(I88+2*E88))),IF(F88=2,(1/6)*B$85*(I88-C88)*((B88*(2*C88+I88))+(H88*(C88+2*I88))),IF(F88=3,(1/6)*B$85*(E88-C88)*((B88*(2*C88+E88))+(D88*(C88+2*E88))),0)))</f>
        <v>0</v>
      </c>
      <c r="L88" s="8">
        <f ca="1">IF(F88=1,(1/6)*B$85*(POWER(H88,2)+H88*D88+POWER(D88,2))*(E88-I88),IF(F88=2,(1/6)*B$85*(POWER(B88,2)+B88*H88+POWER(H88,2))*(I88-C88),IF(F88=3,(1/6)*B$85*(POWER(B88,2)+B88*D88+POWER(D88,2))*(E88-C88),0)))</f>
        <v>0</v>
      </c>
    </row>
    <row r="89" spans="1:12">
      <c r="A89">
        <v>2</v>
      </c>
      <c r="B89" s="7">
        <f t="shared" ca="1" si="15"/>
        <v>18.217425383128059</v>
      </c>
      <c r="C89" s="7">
        <f t="shared" ca="1" si="15"/>
        <v>0.24561807720056095</v>
      </c>
      <c r="D89" s="7">
        <f t="shared" ca="1" si="16"/>
        <v>-7.0794144383468511</v>
      </c>
      <c r="E89" s="7">
        <f t="shared" ca="1" si="16"/>
        <v>16.372300781546215</v>
      </c>
      <c r="F89" s="1">
        <f t="shared" ref="F89:F91" ca="1" si="17">IF(AND(E89&gt;=E$82,C89&lt;=E$82),1,IF(AND(C89&gt;=E$82,E89&gt;=E$82),3,IF(AND(E89&lt;=E$82,C89&gt;=E$82),2,0)))</f>
        <v>1</v>
      </c>
      <c r="G89" s="1">
        <f t="shared" ref="G89:G91" ca="1" si="18">IF(E89=C89,"H",IF(B89=D89,"V",(E89-C89)/(D89-B89)))</f>
        <v>-0.63749791745352491</v>
      </c>
      <c r="H89" s="7">
        <f t="shared" ref="H89:H91" ca="1" si="19">IF(OR(F89=1,F89=2),IF(G89="V",B89,(E$82-C89+(G89*B89))/G89),NA())</f>
        <v>16.2592843328257</v>
      </c>
      <c r="I89" s="7">
        <f t="shared" ref="I89:I91" ca="1" si="20">IF(OR(F89=1,F89=2),E$82,NA())</f>
        <v>1.4939289188485709</v>
      </c>
      <c r="J89" s="8">
        <f t="shared" ref="J89:J91" ca="1" si="21">IF(F89=0,0,IF(F89=1,-0.5*B$85*(H89+D89)*(I89-E89),IF(F89=2,-0.5*B$85*(B89+H89)*(C89-I89),IF(F89=3,-0.5*B$85*(B89+D89)*(C89-E89),0))))</f>
        <v>290.23572562513351</v>
      </c>
      <c r="K89" s="8">
        <f t="shared" ref="K89:K91" ca="1" si="22">IF(F89=1,(1/6)*B$85*(E89-I89)*((H89*(2*I89+E89))+(D89*(I89+2*E89))),IF(F89=2,(1/6)*B$85*(I89-C89)*((B89*(2*C89+I89))+(H89*(C89+2*I89))),IF(F89=3,(1/6)*B$85*(E89-C89)*((B89*(2*C89+E89))+(D89*(C89+2*E89))),0)))</f>
        <v>762.94480927803397</v>
      </c>
      <c r="L89" s="8">
        <f t="shared" ref="L89:L91" ca="1" si="23">IF(F89=1,(1/6)*B$85*(POWER(H89,2)+H89*D89+POWER(D89,2))*(E89-I89),IF(F89=2,(1/6)*B$85*(POWER(B89,2)+B89*H89+POWER(H89,2))*(I89-C89),IF(F89=3,(1/6)*B$85*(POWER(B89,2)+B89*D89+POWER(D89,2))*(E89-C89),0)))</f>
        <v>2101.1954627328828</v>
      </c>
    </row>
    <row r="90" spans="1:12">
      <c r="A90">
        <v>3</v>
      </c>
      <c r="B90" s="7">
        <f t="shared" ca="1" si="15"/>
        <v>-7.0794144383468511</v>
      </c>
      <c r="C90" s="7">
        <f t="shared" ca="1" si="15"/>
        <v>16.372300781546215</v>
      </c>
      <c r="D90" s="7">
        <f t="shared" ca="1" si="16"/>
        <v>-17.830536241243951</v>
      </c>
      <c r="E90" s="7">
        <f t="shared" ca="1" si="16"/>
        <v>-0.49225909943706192</v>
      </c>
      <c r="F90" s="1">
        <f t="shared" ca="1" si="17"/>
        <v>2</v>
      </c>
      <c r="G90" s="1">
        <f t="shared" ca="1" si="18"/>
        <v>1.5686325752944958</v>
      </c>
      <c r="H90" s="7">
        <f t="shared" ca="1" si="19"/>
        <v>-16.564345515915715</v>
      </c>
      <c r="I90" s="7">
        <f t="shared" ca="1" si="20"/>
        <v>1.4939289188485709</v>
      </c>
      <c r="J90" s="8">
        <f t="shared" ca="1" si="21"/>
        <v>747.53388726773971</v>
      </c>
      <c r="K90" s="8">
        <f t="shared" ca="1" si="22"/>
        <v>5934.1832960008996</v>
      </c>
      <c r="L90" s="8">
        <f t="shared" ca="1" si="23"/>
        <v>-4655.6569317580152</v>
      </c>
    </row>
    <row r="91" spans="1:12" ht="16" thickBot="1">
      <c r="A91">
        <v>4</v>
      </c>
      <c r="B91" s="7">
        <f t="shared" ca="1" si="15"/>
        <v>-17.830536241243951</v>
      </c>
      <c r="C91" s="7">
        <f t="shared" ca="1" si="15"/>
        <v>-0.49225909943706192</v>
      </c>
      <c r="D91" s="7">
        <f t="shared" ca="1" si="16"/>
        <v>7.4663035802309592</v>
      </c>
      <c r="E91" s="7">
        <f t="shared" ca="1" si="16"/>
        <v>-16.618941803782715</v>
      </c>
      <c r="F91" s="1">
        <f t="shared" ca="1" si="17"/>
        <v>0</v>
      </c>
      <c r="G91" s="1">
        <f t="shared" ca="1" si="18"/>
        <v>-0.63749791745352491</v>
      </c>
      <c r="H91" s="7" t="e">
        <f t="shared" ca="1" si="19"/>
        <v>#N/A</v>
      </c>
      <c r="I91" s="7" t="e">
        <f t="shared" ca="1" si="20"/>
        <v>#N/A</v>
      </c>
      <c r="J91" s="29">
        <f t="shared" ca="1" si="21"/>
        <v>0</v>
      </c>
      <c r="K91" s="29">
        <f t="shared" ca="1" si="22"/>
        <v>0</v>
      </c>
      <c r="L91" s="29">
        <f t="shared" ca="1" si="23"/>
        <v>0</v>
      </c>
    </row>
    <row r="92" spans="1:12" ht="16" thickTop="1">
      <c r="B92" s="1"/>
      <c r="C92" s="1"/>
      <c r="D92" s="1"/>
      <c r="E92" s="1"/>
      <c r="F92" s="1"/>
      <c r="G92" s="1"/>
      <c r="H92" s="1"/>
      <c r="I92" s="1"/>
      <c r="J92" s="8">
        <f ca="1">SUM(J88:J91)</f>
        <v>1037.7696128928733</v>
      </c>
      <c r="K92" s="8">
        <f ca="1">SUM(K88:K91)</f>
        <v>6697.1281052789336</v>
      </c>
      <c r="L92" s="8">
        <f t="shared" ref="L92" ca="1" si="24">SUM(L88:L91)</f>
        <v>-2554.4614690251324</v>
      </c>
    </row>
    <row r="95" spans="1:12">
      <c r="A95" t="s">
        <v>56</v>
      </c>
    </row>
    <row r="96" spans="1:12">
      <c r="A96" s="2" t="s">
        <v>58</v>
      </c>
      <c r="B96" s="1">
        <v>3.0000000000000001E-3</v>
      </c>
    </row>
    <row r="97" spans="1:10">
      <c r="A97" t="s">
        <v>57</v>
      </c>
      <c r="B97" t="s">
        <v>60</v>
      </c>
      <c r="C97" t="str">
        <f t="shared" ref="C97:C109" si="25">F63</f>
        <v>x'</v>
      </c>
      <c r="D97" t="str">
        <f t="shared" ref="D97:D109" si="26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10">
      <c r="A98" s="11">
        <f>A64</f>
        <v>1</v>
      </c>
      <c r="B98" s="10">
        <f ca="1">C13</f>
        <v>1.27</v>
      </c>
      <c r="C98">
        <f t="shared" ca="1" si="25"/>
        <v>6.243615964613725</v>
      </c>
      <c r="D98">
        <f t="shared" ca="1" si="26"/>
        <v>-11.095805467006638</v>
      </c>
      <c r="E98" s="10">
        <f ca="1">G$58-D98</f>
        <v>27.468106248552854</v>
      </c>
      <c r="F98" s="14">
        <f ca="1">IF(B98=0,0,((B$78-E98)/B$78)*B$96)</f>
        <v>-1.4308245287111714E-3</v>
      </c>
      <c r="G98" s="7">
        <f ca="1">IF(AND(F98&gt;0,E98&lt;=B$81),MIN((F98*B$11),B$10)-B$85,MAX(F98*B$11,-1*B$10))</f>
        <v>-41.493911332623973</v>
      </c>
      <c r="H98" s="7">
        <f ca="1">G98*B98</f>
        <v>-52.697267392432444</v>
      </c>
      <c r="I98" s="7">
        <f ca="1">H98*D98</f>
        <v>584.71862762926253</v>
      </c>
      <c r="J98" s="7">
        <f ca="1">H98*C98</f>
        <v>-329.02149998290952</v>
      </c>
    </row>
    <row r="99" spans="1:10">
      <c r="A99" s="11">
        <f t="shared" ref="A99:A108" si="27">A65</f>
        <v>2</v>
      </c>
      <c r="B99" s="10">
        <f t="shared" ref="B99:B109" ca="1" si="28">C14</f>
        <v>1.27</v>
      </c>
      <c r="C99">
        <f t="shared" ca="1" si="25"/>
        <v>12.694289046351987</v>
      </c>
      <c r="D99">
        <f t="shared" ca="1" si="26"/>
        <v>-0.97706953841667321</v>
      </c>
      <c r="E99" s="10">
        <f t="shared" ref="E99:E109" ca="1" si="29">G$58-D99</f>
        <v>17.349370319962887</v>
      </c>
      <c r="F99" s="14">
        <f t="shared" ref="F99:F109" ca="1" si="30">IF(B99=0,0,((B$78-E99)/B$78)*B$96)</f>
        <v>2.0140824868714358E-4</v>
      </c>
      <c r="G99" s="7">
        <f t="shared" ref="G99:G109" ca="1" si="31">IF(AND(F99&gt;0,E99&lt;=B$81),MIN((F99*B$11),B$10)-B$85,MAX(F99*B$11,-1*B$10))</f>
        <v>5.8408392119271637</v>
      </c>
      <c r="H99" s="7">
        <f t="shared" ref="H99:H109" ca="1" si="32">G99*B99</f>
        <v>7.4178657991474983</v>
      </c>
      <c r="I99" s="7">
        <f t="shared" ref="I99:I109" ca="1" si="33">H99*D99</f>
        <v>-7.2477707124098734</v>
      </c>
      <c r="J99" s="7">
        <f t="shared" ref="J99:J109" ca="1" si="34">H99*C99</f>
        <v>94.164532561427109</v>
      </c>
    </row>
    <row r="100" spans="1:10">
      <c r="A100" s="11">
        <f t="shared" si="27"/>
        <v>3</v>
      </c>
      <c r="B100" s="10">
        <f t="shared" ca="1" si="28"/>
        <v>1.27</v>
      </c>
      <c r="C100">
        <f t="shared" ca="1" si="25"/>
        <v>-5.8567268227296152</v>
      </c>
      <c r="D100">
        <f t="shared" ca="1" si="26"/>
        <v>10.849164444770139</v>
      </c>
      <c r="E100" s="10">
        <f t="shared" ca="1" si="29"/>
        <v>5.5231363367760764</v>
      </c>
      <c r="F100" s="14">
        <f t="shared" ca="1" si="30"/>
        <v>2.1090740754036255E-3</v>
      </c>
      <c r="G100" s="7">
        <f t="shared" ca="1" si="31"/>
        <v>55.75</v>
      </c>
      <c r="H100" s="7">
        <f t="shared" ca="1" si="32"/>
        <v>70.802499999999995</v>
      </c>
      <c r="I100" s="7">
        <f t="shared" ca="1" si="33"/>
        <v>768.14796560083767</v>
      </c>
      <c r="J100" s="7">
        <f t="shared" ca="1" si="34"/>
        <v>-414.67090086631356</v>
      </c>
    </row>
    <row r="101" spans="1:10">
      <c r="A101" s="11">
        <f t="shared" si="27"/>
        <v>4</v>
      </c>
      <c r="B101" s="10">
        <f t="shared" ca="1" si="28"/>
        <v>1.27</v>
      </c>
      <c r="C101">
        <f t="shared" ca="1" si="25"/>
        <v>-9.0820633635987456</v>
      </c>
      <c r="D101">
        <f t="shared" ca="1" si="26"/>
        <v>5.7897964804751556</v>
      </c>
      <c r="E101" s="10">
        <f t="shared" ca="1" si="29"/>
        <v>10.58250430107106</v>
      </c>
      <c r="F101" s="14">
        <f t="shared" ca="1" si="30"/>
        <v>1.292957686704468E-3</v>
      </c>
      <c r="G101" s="7">
        <f t="shared" ca="1" si="31"/>
        <v>33.245772914429573</v>
      </c>
      <c r="H101" s="7">
        <f t="shared" ca="1" si="32"/>
        <v>42.222131601325557</v>
      </c>
      <c r="I101" s="7">
        <f t="shared" ca="1" si="33"/>
        <v>244.45754894351356</v>
      </c>
      <c r="J101" s="7">
        <f t="shared" ca="1" si="34"/>
        <v>-383.46407454944369</v>
      </c>
    </row>
    <row r="102" spans="1:10">
      <c r="A102" s="11">
        <f t="shared" si="27"/>
        <v>5</v>
      </c>
      <c r="B102" s="10">
        <f t="shared" ca="1" si="28"/>
        <v>1.27</v>
      </c>
      <c r="C102">
        <f t="shared" ca="1" si="25"/>
        <v>-12.307399904467875</v>
      </c>
      <c r="D102">
        <f t="shared" ca="1" si="26"/>
        <v>0.73042851618017313</v>
      </c>
      <c r="E102" s="10">
        <f t="shared" ca="1" si="29"/>
        <v>15.641872265366043</v>
      </c>
      <c r="F102" s="14">
        <f t="shared" ca="1" si="30"/>
        <v>4.7684129800531035E-4</v>
      </c>
      <c r="G102" s="7">
        <f t="shared" ca="1" si="31"/>
        <v>13.828397642154</v>
      </c>
      <c r="H102" s="7">
        <f t="shared" ca="1" si="32"/>
        <v>17.56206500553558</v>
      </c>
      <c r="I102" s="7">
        <f t="shared" ca="1" si="33"/>
        <v>12.827833083053097</v>
      </c>
      <c r="J102" s="7">
        <f t="shared" ca="1" si="34"/>
        <v>-216.14335717138721</v>
      </c>
    </row>
    <row r="103" spans="1:10">
      <c r="A103" s="11">
        <f t="shared" si="27"/>
        <v>6</v>
      </c>
      <c r="B103" s="10">
        <f t="shared" ca="1" si="28"/>
        <v>0</v>
      </c>
      <c r="C103">
        <f t="shared" ca="1" si="25"/>
        <v>7.4663035802309592</v>
      </c>
      <c r="D103">
        <f t="shared" ca="1" si="26"/>
        <v>-16.618941803782715</v>
      </c>
      <c r="E103" s="10">
        <f t="shared" ca="1" si="29"/>
        <v>32.991242585328934</v>
      </c>
      <c r="F103" s="14">
        <f t="shared" ca="1" si="30"/>
        <v>0</v>
      </c>
      <c r="G103" s="7">
        <f t="shared" ca="1" si="31"/>
        <v>0</v>
      </c>
      <c r="H103" s="7">
        <f t="shared" ca="1" si="32"/>
        <v>0</v>
      </c>
      <c r="I103" s="7">
        <f t="shared" ca="1" si="33"/>
        <v>0</v>
      </c>
      <c r="J103" s="7">
        <f t="shared" ca="1" si="34"/>
        <v>0</v>
      </c>
    </row>
    <row r="104" spans="1:10">
      <c r="A104" s="11">
        <f t="shared" si="27"/>
        <v>7</v>
      </c>
      <c r="B104" s="10">
        <f t="shared" ca="1" si="28"/>
        <v>0</v>
      </c>
      <c r="C104">
        <f t="shared" ca="1" si="25"/>
        <v>7.4663035802309592</v>
      </c>
      <c r="D104">
        <f t="shared" ca="1" si="26"/>
        <v>-16.618941803782715</v>
      </c>
      <c r="E104" s="10">
        <f t="shared" ca="1" si="29"/>
        <v>32.991242585328934</v>
      </c>
      <c r="F104" s="14">
        <f t="shared" ca="1" si="30"/>
        <v>0</v>
      </c>
      <c r="G104" s="7">
        <f t="shared" ca="1" si="31"/>
        <v>0</v>
      </c>
      <c r="H104" s="7">
        <f t="shared" ca="1" si="32"/>
        <v>0</v>
      </c>
      <c r="I104" s="7">
        <f t="shared" ca="1" si="33"/>
        <v>0</v>
      </c>
      <c r="J104" s="7">
        <f t="shared" ca="1" si="34"/>
        <v>0</v>
      </c>
    </row>
    <row r="105" spans="1:10">
      <c r="A105" s="11">
        <f t="shared" si="27"/>
        <v>8</v>
      </c>
      <c r="B105" s="10">
        <f t="shared" ca="1" si="28"/>
        <v>0</v>
      </c>
      <c r="C105">
        <f t="shared" ca="1" si="25"/>
        <v>7.4663035802309592</v>
      </c>
      <c r="D105">
        <f t="shared" ca="1" si="26"/>
        <v>-16.618941803782715</v>
      </c>
      <c r="E105" s="10">
        <f t="shared" ca="1" si="29"/>
        <v>32.991242585328934</v>
      </c>
      <c r="F105" s="14">
        <f t="shared" ca="1" si="30"/>
        <v>0</v>
      </c>
      <c r="G105" s="7">
        <f t="shared" ca="1" si="31"/>
        <v>0</v>
      </c>
      <c r="H105" s="7">
        <f t="shared" ca="1" si="32"/>
        <v>0</v>
      </c>
      <c r="I105" s="7">
        <f t="shared" ca="1" si="33"/>
        <v>0</v>
      </c>
      <c r="J105" s="7">
        <f t="shared" ca="1" si="34"/>
        <v>0</v>
      </c>
    </row>
    <row r="106" spans="1:10">
      <c r="A106" s="11">
        <f t="shared" si="27"/>
        <v>9</v>
      </c>
      <c r="B106" s="10">
        <f t="shared" ca="1" si="28"/>
        <v>0</v>
      </c>
      <c r="C106">
        <f t="shared" ca="1" si="25"/>
        <v>7.4663035802309592</v>
      </c>
      <c r="D106">
        <f t="shared" ca="1" si="26"/>
        <v>-16.618941803782715</v>
      </c>
      <c r="E106" s="10">
        <f t="shared" ca="1" si="29"/>
        <v>32.991242585328934</v>
      </c>
      <c r="F106" s="14">
        <f t="shared" ca="1" si="30"/>
        <v>0</v>
      </c>
      <c r="G106" s="7">
        <f t="shared" ca="1" si="31"/>
        <v>0</v>
      </c>
      <c r="H106" s="7">
        <f t="shared" ca="1" si="32"/>
        <v>0</v>
      </c>
      <c r="I106" s="7">
        <f t="shared" ca="1" si="33"/>
        <v>0</v>
      </c>
      <c r="J106" s="7">
        <f t="shared" ca="1" si="34"/>
        <v>0</v>
      </c>
    </row>
    <row r="107" spans="1:10">
      <c r="A107" s="11">
        <f t="shared" si="27"/>
        <v>10</v>
      </c>
      <c r="B107" s="10">
        <f t="shared" ca="1" si="28"/>
        <v>0</v>
      </c>
      <c r="C107">
        <f t="shared" ca="1" si="25"/>
        <v>7.4663035802309592</v>
      </c>
      <c r="D107">
        <f t="shared" ca="1" si="26"/>
        <v>-16.618941803782715</v>
      </c>
      <c r="E107" s="10">
        <f t="shared" ca="1" si="29"/>
        <v>32.991242585328934</v>
      </c>
      <c r="F107" s="14">
        <f t="shared" ca="1" si="30"/>
        <v>0</v>
      </c>
      <c r="G107" s="7">
        <f t="shared" ca="1" si="31"/>
        <v>0</v>
      </c>
      <c r="H107" s="7">
        <f t="shared" ca="1" si="32"/>
        <v>0</v>
      </c>
      <c r="I107" s="7">
        <f t="shared" ca="1" si="33"/>
        <v>0</v>
      </c>
      <c r="J107" s="7">
        <f t="shared" ca="1" si="34"/>
        <v>0</v>
      </c>
    </row>
    <row r="108" spans="1:10">
      <c r="A108" s="11">
        <f t="shared" si="27"/>
        <v>11</v>
      </c>
      <c r="B108" s="10">
        <f t="shared" ca="1" si="28"/>
        <v>0</v>
      </c>
      <c r="C108">
        <f t="shared" ca="1" si="25"/>
        <v>7.4663035802309592</v>
      </c>
      <c r="D108">
        <f t="shared" ca="1" si="26"/>
        <v>-16.618941803782715</v>
      </c>
      <c r="E108" s="10">
        <f t="shared" ca="1" si="29"/>
        <v>32.991242585328934</v>
      </c>
      <c r="F108" s="14">
        <f t="shared" ca="1" si="30"/>
        <v>0</v>
      </c>
      <c r="G108" s="7">
        <f t="shared" ca="1" si="31"/>
        <v>0</v>
      </c>
      <c r="H108" s="7">
        <f t="shared" ca="1" si="32"/>
        <v>0</v>
      </c>
      <c r="I108" s="7">
        <f t="shared" ca="1" si="33"/>
        <v>0</v>
      </c>
      <c r="J108" s="7">
        <f t="shared" ca="1" si="34"/>
        <v>0</v>
      </c>
    </row>
    <row r="109" spans="1:10" ht="16" thickBot="1">
      <c r="A109" s="11">
        <f>A75</f>
        <v>12</v>
      </c>
      <c r="B109" s="10">
        <f t="shared" ca="1" si="28"/>
        <v>0</v>
      </c>
      <c r="C109">
        <f t="shared" ca="1" si="25"/>
        <v>7.4663035802309592</v>
      </c>
      <c r="D109">
        <f t="shared" ca="1" si="26"/>
        <v>-16.618941803782715</v>
      </c>
      <c r="E109" s="10">
        <f t="shared" ca="1" si="29"/>
        <v>32.991242585328934</v>
      </c>
      <c r="F109" s="28">
        <f t="shared" ca="1" si="30"/>
        <v>0</v>
      </c>
      <c r="G109" s="7">
        <f t="shared" ca="1" si="31"/>
        <v>0</v>
      </c>
      <c r="H109" s="27">
        <f t="shared" ca="1" si="32"/>
        <v>0</v>
      </c>
      <c r="I109" s="27">
        <f t="shared" ca="1" si="33"/>
        <v>0</v>
      </c>
      <c r="J109" s="27">
        <f t="shared" ca="1" si="34"/>
        <v>0</v>
      </c>
    </row>
    <row r="110" spans="1:10" ht="16" thickTop="1">
      <c r="F110" s="14">
        <f ca="1">MIN(F98:F109)</f>
        <v>-1.4308245287111714E-3</v>
      </c>
      <c r="H110" s="7">
        <f ca="1">SUM(H98:H109)</f>
        <v>85.30729501357618</v>
      </c>
      <c r="I110" s="7">
        <f ca="1">SUM(I98:I109)</f>
        <v>1602.9042045442568</v>
      </c>
      <c r="J110" s="7">
        <f t="shared" ref="J110" ca="1" si="35">SUM(J98:J109)</f>
        <v>-1249.1353000086267</v>
      </c>
    </row>
    <row r="113" spans="1:14">
      <c r="A113" s="2" t="s">
        <v>67</v>
      </c>
      <c r="B113" s="37">
        <f ca="1">J92+H110</f>
        <v>1123.0769079064494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0.65</v>
      </c>
    </row>
    <row r="114" spans="1:14">
      <c r="A114" s="2" t="s">
        <v>69</v>
      </c>
      <c r="B114" s="7">
        <f ca="1">((K92+I110)*COS(RADIANS(B53)))+((L92+J110)*SIN(RADIANS(B53)))</f>
        <v>7669.032190268741</v>
      </c>
      <c r="C114" t="s">
        <v>23</v>
      </c>
      <c r="D114" s="7">
        <f ca="1">(B113*(E49-H7))</f>
        <v>257.64458974096328</v>
      </c>
      <c r="E114" t="s">
        <v>23</v>
      </c>
      <c r="F114" s="7">
        <f ca="1">B114+D114</f>
        <v>7926.6767800097041</v>
      </c>
      <c r="G114" s="13" t="str">
        <f>"= Mnx,gc"</f>
        <v>= Mnx,gc</v>
      </c>
      <c r="H114" s="7">
        <f ca="1">F114/12</f>
        <v>660.55639833414205</v>
      </c>
      <c r="I114" t="s">
        <v>72</v>
      </c>
      <c r="J114" s="34">
        <f ca="1">H114*J113</f>
        <v>429.36165891719236</v>
      </c>
      <c r="K114" t="s">
        <v>72</v>
      </c>
    </row>
    <row r="115" spans="1:14">
      <c r="A115" s="2" t="s">
        <v>70</v>
      </c>
      <c r="B115" s="7">
        <f ca="1">(-1*(K92+I110)*SIN(RADIANS(B53)))+((L92+J110)*COS(RADIANS(B53)))</f>
        <v>4954.1729875060655</v>
      </c>
      <c r="C115" t="s">
        <v>23</v>
      </c>
      <c r="D115" s="1">
        <f ca="1">-1*B113*(D49-G7)</f>
        <v>0</v>
      </c>
      <c r="E115" t="s">
        <v>23</v>
      </c>
      <c r="F115" s="7">
        <f ca="1">B115+D115</f>
        <v>4954.1729875060655</v>
      </c>
      <c r="G115" s="13" t="str">
        <f>"= Mny,gc"</f>
        <v>= Mny,gc</v>
      </c>
      <c r="H115" s="7">
        <f ca="1">F115/12</f>
        <v>412.84774895883879</v>
      </c>
      <c r="I115" t="s">
        <v>72</v>
      </c>
      <c r="J115" s="34">
        <f ca="1">H115*J113</f>
        <v>268.35103682324524</v>
      </c>
      <c r="K115" t="s">
        <v>72</v>
      </c>
      <c r="M115" t="s">
        <v>79</v>
      </c>
      <c r="N115" s="12">
        <f ca="1">IF(J115=0,90,DEGREES(ATAN2(J114,J115)))</f>
        <v>32.005383208083494</v>
      </c>
    </row>
    <row r="116" spans="1:14">
      <c r="J116" s="36">
        <f ca="1">B113*J113</f>
        <v>729.99999013919216</v>
      </c>
      <c r="K116" t="s">
        <v>20</v>
      </c>
    </row>
    <row r="117" spans="1:14">
      <c r="A117" s="26" t="s">
        <v>74</v>
      </c>
      <c r="I117" t="s">
        <v>83</v>
      </c>
      <c r="J117" s="1">
        <f ca="1">0.65*((0.85*B2*B5*B6)+((B10-0.85*B2)*SUM(C13:C24)))</f>
        <v>1887.608125</v>
      </c>
      <c r="K117" t="s">
        <v>20</v>
      </c>
    </row>
    <row r="118" spans="1:14">
      <c r="A118" s="2" t="s">
        <v>75</v>
      </c>
      <c r="B118" s="4">
        <v>730</v>
      </c>
      <c r="C118" t="s">
        <v>20</v>
      </c>
      <c r="I118" t="s">
        <v>84</v>
      </c>
      <c r="J118" s="1">
        <f ca="1">-1*0.9*B10*SUM(C13:C24)</f>
        <v>-342.9</v>
      </c>
      <c r="K118" t="s">
        <v>20</v>
      </c>
    </row>
    <row r="119" spans="1:14">
      <c r="A119" s="2" t="s">
        <v>76</v>
      </c>
      <c r="B119" s="4">
        <v>120</v>
      </c>
      <c r="C119" t="s">
        <v>72</v>
      </c>
      <c r="G119" s="2" t="s">
        <v>80</v>
      </c>
      <c r="H119" s="35">
        <v>50</v>
      </c>
    </row>
    <row r="120" spans="1:14">
      <c r="A120" s="2" t="s">
        <v>77</v>
      </c>
      <c r="B120" s="4">
        <v>75</v>
      </c>
      <c r="C120" t="s">
        <v>72</v>
      </c>
      <c r="G120" s="2" t="s">
        <v>81</v>
      </c>
      <c r="H120" s="1">
        <v>14</v>
      </c>
    </row>
    <row r="121" spans="1:14">
      <c r="A121" s="2" t="s">
        <v>78</v>
      </c>
      <c r="B121" s="15">
        <f>IF(B120=0,90,DEGREES(ATAN2(B119,B120)))</f>
        <v>32.005383208083494</v>
      </c>
    </row>
    <row r="123" spans="1:14">
      <c r="A123" s="17"/>
      <c r="B123" s="18"/>
      <c r="C123" s="18"/>
      <c r="D123" s="18"/>
      <c r="E123" s="18"/>
      <c r="F123" s="18"/>
      <c r="G123" s="18"/>
      <c r="H123" s="18"/>
      <c r="I123" s="18"/>
    </row>
    <row r="124" spans="1:14">
      <c r="A124" s="19"/>
      <c r="B124" s="18"/>
      <c r="C124" s="18"/>
      <c r="D124" s="18"/>
      <c r="E124" s="18"/>
      <c r="F124" s="18"/>
      <c r="G124" s="18"/>
      <c r="H124" s="20">
        <v>0</v>
      </c>
      <c r="I124" s="38">
        <v>0</v>
      </c>
      <c r="J124" s="18"/>
      <c r="K124" s="18"/>
      <c r="L124" s="16"/>
      <c r="M124" s="18"/>
      <c r="N124" s="18"/>
    </row>
    <row r="125" spans="1:14">
      <c r="A125" s="19"/>
      <c r="B125" s="25"/>
      <c r="C125" s="18"/>
      <c r="D125" s="19"/>
      <c r="E125" s="20"/>
      <c r="F125" s="20"/>
      <c r="G125" s="19"/>
      <c r="H125" s="25">
        <f ca="1">J114</f>
        <v>429.36165891719236</v>
      </c>
      <c r="I125" s="5">
        <f ca="1">J115</f>
        <v>268.35103682324524</v>
      </c>
      <c r="J125" s="19"/>
      <c r="K125" s="20"/>
      <c r="L125" s="16"/>
      <c r="M125" s="19"/>
      <c r="N125" s="20"/>
    </row>
    <row r="126" spans="1:14">
      <c r="A126" s="19"/>
      <c r="B126" s="21"/>
      <c r="C126" s="20"/>
      <c r="D126" s="19"/>
      <c r="E126" s="25"/>
      <c r="F126" s="18"/>
      <c r="G126" s="19"/>
      <c r="H126" s="20"/>
      <c r="I126" s="16"/>
      <c r="J126" s="19"/>
      <c r="K126" s="20"/>
      <c r="L126" s="16"/>
      <c r="M126" s="19"/>
      <c r="N126" s="20"/>
    </row>
    <row r="127" spans="1:14">
      <c r="A127" s="19"/>
      <c r="B127" s="20"/>
      <c r="C127" s="21"/>
      <c r="D127" s="19"/>
      <c r="E127" s="20"/>
      <c r="F127" s="18"/>
      <c r="G127" s="19"/>
      <c r="H127" s="20"/>
      <c r="I127" s="16"/>
      <c r="J127" s="19"/>
      <c r="K127" s="20"/>
      <c r="L127" s="16"/>
      <c r="M127" s="19"/>
      <c r="N127" s="20"/>
    </row>
    <row r="128" spans="1:14">
      <c r="A128" s="19" t="s">
        <v>85</v>
      </c>
      <c r="B128" s="20" t="s">
        <v>76</v>
      </c>
      <c r="C128" s="21" t="s">
        <v>77</v>
      </c>
      <c r="D128" s="19"/>
      <c r="E128" s="20"/>
      <c r="F128" s="18"/>
      <c r="G128" s="19"/>
      <c r="H128" s="20"/>
      <c r="I128" s="16"/>
      <c r="J128" s="19"/>
      <c r="K128" s="20"/>
      <c r="L128" s="16"/>
      <c r="M128" s="19"/>
      <c r="N128" s="20"/>
    </row>
    <row r="129" spans="1:14">
      <c r="A129" s="18">
        <v>0</v>
      </c>
      <c r="B129" s="20">
        <v>719.81084503901752</v>
      </c>
      <c r="C129" s="18">
        <v>0</v>
      </c>
      <c r="D129" s="19"/>
      <c r="E129" s="20"/>
      <c r="F129" s="18"/>
      <c r="G129" s="19"/>
      <c r="H129" s="20"/>
      <c r="I129" s="16"/>
      <c r="J129" s="19"/>
      <c r="K129" s="20"/>
      <c r="L129" s="16"/>
      <c r="M129" s="19"/>
      <c r="N129" s="20"/>
    </row>
    <row r="130" spans="1:14">
      <c r="A130" s="19">
        <v>-1</v>
      </c>
      <c r="B130" s="20">
        <v>716.93119930593059</v>
      </c>
      <c r="C130" s="18">
        <v>3.158806331479592</v>
      </c>
      <c r="D130" s="19"/>
      <c r="E130" s="20"/>
      <c r="F130" s="18"/>
      <c r="G130" s="19"/>
      <c r="H130" s="20"/>
      <c r="I130" s="16"/>
      <c r="J130" s="19"/>
      <c r="K130" s="20"/>
      <c r="L130" s="16"/>
      <c r="M130" s="19"/>
      <c r="N130" s="20"/>
    </row>
    <row r="131" spans="1:14">
      <c r="A131" s="19">
        <v>-2</v>
      </c>
      <c r="B131" s="20">
        <v>714.85468046700896</v>
      </c>
      <c r="C131" s="18">
        <v>6.3029119659690442</v>
      </c>
      <c r="D131" s="18"/>
      <c r="E131" s="18"/>
      <c r="F131" s="18"/>
      <c r="G131" s="18"/>
      <c r="H131" s="18"/>
      <c r="I131" s="18"/>
    </row>
    <row r="132" spans="1:14">
      <c r="A132" s="18">
        <v>-3</v>
      </c>
      <c r="B132" s="18">
        <v>713.3273740599127</v>
      </c>
      <c r="C132" s="18">
        <v>9.4424634072798543</v>
      </c>
      <c r="D132" s="18"/>
      <c r="E132" s="18"/>
      <c r="F132" s="18"/>
      <c r="G132" s="18"/>
      <c r="H132" s="18"/>
      <c r="I132" s="18"/>
    </row>
    <row r="133" spans="1:14">
      <c r="A133" s="18">
        <v>-4</v>
      </c>
      <c r="B133" s="18">
        <v>711.55916897967563</v>
      </c>
      <c r="C133" s="18">
        <v>12.686081595611567</v>
      </c>
      <c r="D133" s="18"/>
      <c r="E133" s="18"/>
      <c r="F133" s="18"/>
      <c r="G133" s="18"/>
      <c r="H133" s="18"/>
      <c r="I133" s="18"/>
    </row>
    <row r="134" spans="1:14">
      <c r="A134" s="19">
        <v>-5</v>
      </c>
      <c r="B134" s="20">
        <v>709.06717573129526</v>
      </c>
      <c r="C134" s="21">
        <v>16.283839624836649</v>
      </c>
      <c r="D134" s="21"/>
      <c r="E134" s="18"/>
      <c r="F134" s="18"/>
      <c r="G134" s="18"/>
      <c r="H134" s="18"/>
      <c r="I134" s="18"/>
    </row>
    <row r="135" spans="1:14">
      <c r="A135" s="19">
        <v>-6</v>
      </c>
      <c r="B135" s="20">
        <v>706.57355399554069</v>
      </c>
      <c r="C135" s="21">
        <v>19.869869678996253</v>
      </c>
      <c r="D135" s="21"/>
      <c r="E135" s="18"/>
      <c r="F135" s="18"/>
      <c r="G135" s="18"/>
      <c r="H135" s="18"/>
      <c r="I135" s="18"/>
    </row>
    <row r="136" spans="1:14">
      <c r="A136" s="18">
        <v>-7</v>
      </c>
      <c r="B136" s="18">
        <v>704.07496834695291</v>
      </c>
      <c r="C136" s="18">
        <v>23.447004464875487</v>
      </c>
      <c r="D136" s="18"/>
      <c r="E136" s="18"/>
      <c r="F136" s="18"/>
      <c r="G136" s="18"/>
      <c r="H136" s="18"/>
      <c r="I136" s="18"/>
    </row>
    <row r="137" spans="1:14">
      <c r="A137" s="18">
        <v>-8</v>
      </c>
      <c r="B137" s="20">
        <v>701.27760795115898</v>
      </c>
      <c r="C137" s="18">
        <v>27.01294992994114</v>
      </c>
      <c r="D137" s="18"/>
      <c r="E137" s="18"/>
      <c r="F137" s="18"/>
      <c r="G137" s="18"/>
      <c r="H137" s="18"/>
      <c r="I137" s="18"/>
    </row>
    <row r="138" spans="1:14">
      <c r="A138" s="19">
        <v>-9</v>
      </c>
      <c r="B138" s="20">
        <v>698.34183500343067</v>
      </c>
      <c r="C138" s="18">
        <v>30.572773951464317</v>
      </c>
      <c r="D138" s="18"/>
      <c r="E138" s="18"/>
      <c r="F138" s="18"/>
      <c r="G138" s="18"/>
      <c r="H138" s="18"/>
      <c r="I138" s="18"/>
    </row>
    <row r="139" spans="1:14">
      <c r="A139" s="19">
        <v>-10</v>
      </c>
      <c r="B139" s="18">
        <v>695.40348678659848</v>
      </c>
      <c r="C139" s="18">
        <v>34.131557531672549</v>
      </c>
      <c r="D139" s="18"/>
      <c r="E139" s="18"/>
      <c r="F139" s="18"/>
      <c r="G139" s="18"/>
      <c r="H139" s="18"/>
      <c r="I139" s="18"/>
    </row>
    <row r="140" spans="1:14">
      <c r="A140" s="18">
        <v>-11</v>
      </c>
      <c r="B140" s="18">
        <v>692.45849828810344</v>
      </c>
      <c r="C140" s="18">
        <v>37.692119131947301</v>
      </c>
      <c r="D140" s="18"/>
      <c r="E140" s="18"/>
      <c r="F140" s="18"/>
      <c r="G140" s="18"/>
      <c r="H140" s="18"/>
      <c r="I140" s="18"/>
    </row>
    <row r="141" spans="1:14">
      <c r="A141" s="18">
        <v>-12</v>
      </c>
      <c r="B141" s="18">
        <v>689.50287701262869</v>
      </c>
      <c r="C141" s="18">
        <v>41.257171779258769</v>
      </c>
      <c r="D141" s="18"/>
      <c r="E141" s="18"/>
      <c r="F141" s="18"/>
      <c r="G141" s="18"/>
      <c r="H141" s="18"/>
      <c r="I141" s="18"/>
    </row>
    <row r="142" spans="1:14">
      <c r="A142" s="19">
        <v>-13</v>
      </c>
      <c r="B142" s="18">
        <v>686.53259115884578</v>
      </c>
      <c r="C142" s="18">
        <v>44.829478292115155</v>
      </c>
      <c r="D142" s="18"/>
      <c r="E142" s="18"/>
      <c r="F142" s="18"/>
      <c r="G142" s="18"/>
      <c r="H142" s="18"/>
      <c r="I142" s="18"/>
    </row>
    <row r="143" spans="1:14">
      <c r="A143" s="19">
        <v>-14</v>
      </c>
      <c r="B143" s="18">
        <v>683.54358960097375</v>
      </c>
      <c r="C143" s="18">
        <v>48.411800250492902</v>
      </c>
      <c r="D143" s="18"/>
      <c r="E143" s="18"/>
      <c r="F143" s="18"/>
      <c r="G143" s="18"/>
      <c r="H143" s="18"/>
      <c r="I143" s="18"/>
    </row>
    <row r="144" spans="1:14">
      <c r="A144" s="18">
        <v>-15</v>
      </c>
      <c r="B144" s="18">
        <v>680.53177445104939</v>
      </c>
      <c r="C144" s="18">
        <v>52.006917849899658</v>
      </c>
      <c r="D144" s="22"/>
      <c r="E144" s="18"/>
      <c r="F144" s="18"/>
      <c r="G144" s="18"/>
      <c r="H144" s="19"/>
      <c r="I144" s="23"/>
    </row>
    <row r="145" spans="1:9">
      <c r="A145" s="18">
        <v>-16</v>
      </c>
      <c r="B145" s="18">
        <v>677.49298067994948</v>
      </c>
      <c r="C145" s="18">
        <v>55.61763934689607</v>
      </c>
      <c r="D145" s="24"/>
      <c r="E145" s="18"/>
      <c r="F145" s="18"/>
      <c r="G145" s="18"/>
      <c r="H145" s="19"/>
      <c r="I145" s="23"/>
    </row>
    <row r="146" spans="1:9">
      <c r="A146" s="19">
        <v>-17</v>
      </c>
      <c r="B146" s="18">
        <v>674.4229553198337</v>
      </c>
      <c r="C146" s="18">
        <v>59.24681061576748</v>
      </c>
      <c r="D146" s="18"/>
      <c r="E146" s="18"/>
      <c r="F146" s="18"/>
      <c r="G146" s="18"/>
      <c r="H146" s="18"/>
      <c r="I146" s="18"/>
    </row>
    <row r="147" spans="1:9">
      <c r="A147" s="19">
        <v>-18</v>
      </c>
      <c r="B147">
        <v>671.31733604240299</v>
      </c>
      <c r="C147">
        <v>62.897324889861437</v>
      </c>
    </row>
    <row r="148" spans="1:9">
      <c r="A148" s="18">
        <v>-19</v>
      </c>
      <c r="B148">
        <v>668.17162889975475</v>
      </c>
      <c r="C148">
        <v>66.572132762516944</v>
      </c>
    </row>
    <row r="149" spans="1:9">
      <c r="A149" s="18">
        <v>-20</v>
      </c>
      <c r="B149">
        <v>664.98118500351745</v>
      </c>
      <c r="C149">
        <v>70.274252524923369</v>
      </c>
    </row>
    <row r="150" spans="1:9">
      <c r="A150" s="19">
        <v>-21</v>
      </c>
      <c r="B150">
        <v>661.74117590318303</v>
      </c>
      <c r="C150">
        <v>74.006780921725806</v>
      </c>
    </row>
    <row r="151" spans="1:9">
      <c r="A151" s="19">
        <v>-22</v>
      </c>
      <c r="B151">
        <v>658.44656740574237</v>
      </c>
      <c r="C151">
        <v>77.772904409781916</v>
      </c>
    </row>
    <row r="152" spans="1:9">
      <c r="A152" s="18">
        <v>-23</v>
      </c>
      <c r="B152">
        <v>655.09209155552071</v>
      </c>
      <c r="C152">
        <v>81.575911011253083</v>
      </c>
    </row>
    <row r="153" spans="1:9">
      <c r="A153" s="18">
        <v>-24</v>
      </c>
      <c r="B153">
        <v>651.67221646494897</v>
      </c>
      <c r="C153">
        <v>85.419202859292412</v>
      </c>
    </row>
    <row r="154" spans="1:9">
      <c r="A154" s="19">
        <v>-25</v>
      </c>
      <c r="B154">
        <v>648.18111365322318</v>
      </c>
      <c r="C154">
        <v>89.306309543103652</v>
      </c>
    </row>
    <row r="155" spans="1:9">
      <c r="A155" s="19">
        <v>-26</v>
      </c>
      <c r="B155">
        <v>644.6126225096217</v>
      </c>
      <c r="C155">
        <v>93.240902369241937</v>
      </c>
    </row>
    <row r="156" spans="1:9">
      <c r="A156" s="18">
        <v>-27</v>
      </c>
      <c r="B156">
        <v>640.96021145068096</v>
      </c>
      <c r="C156">
        <v>97.226809667944721</v>
      </c>
    </row>
    <row r="157" spans="1:9">
      <c r="A157" s="18">
        <v>-28</v>
      </c>
      <c r="B157">
        <v>637.21693528424805</v>
      </c>
      <c r="C157">
        <v>101.26803328722227</v>
      </c>
    </row>
    <row r="158" spans="1:9">
      <c r="A158" s="19">
        <v>-29</v>
      </c>
      <c r="B158">
        <v>633.3753882272207</v>
      </c>
      <c r="C158">
        <v>105.36876643373384</v>
      </c>
    </row>
    <row r="159" spans="1:9">
      <c r="A159" s="19">
        <v>-30</v>
      </c>
      <c r="B159">
        <v>629.42765194577373</v>
      </c>
      <c r="C159">
        <v>109.53341303846503</v>
      </c>
    </row>
    <row r="160" spans="1:9">
      <c r="A160" s="18">
        <v>-31</v>
      </c>
      <c r="B160">
        <v>625.36523789492753</v>
      </c>
      <c r="C160">
        <v>113.76660884733469</v>
      </c>
    </row>
    <row r="161" spans="1:3">
      <c r="A161" s="18">
        <v>-32</v>
      </c>
      <c r="B161">
        <v>621.17902312585034</v>
      </c>
      <c r="C161">
        <v>118.07324446260094</v>
      </c>
    </row>
    <row r="162" spans="1:3">
      <c r="A162" s="19">
        <v>-33</v>
      </c>
      <c r="B162">
        <v>616.8591786011599</v>
      </c>
      <c r="C162">
        <v>122.45849059094124</v>
      </c>
    </row>
    <row r="163" spans="1:3">
      <c r="A163" s="19">
        <v>-34</v>
      </c>
      <c r="B163">
        <v>612.39508890686056</v>
      </c>
      <c r="C163">
        <v>126.92782578904541</v>
      </c>
    </row>
    <row r="164" spans="1:3">
      <c r="A164" s="18">
        <v>-35</v>
      </c>
      <c r="B164">
        <v>607.77526206974198</v>
      </c>
      <c r="C164">
        <v>131.48706703842291</v>
      </c>
    </row>
    <row r="165" spans="1:3">
      <c r="A165" s="18">
        <v>-36</v>
      </c>
      <c r="B165">
        <v>602.98722797530581</v>
      </c>
      <c r="C165">
        <v>136.14240352890192</v>
      </c>
    </row>
    <row r="166" spans="1:3">
      <c r="A166" s="19">
        <v>-37</v>
      </c>
      <c r="B166">
        <v>598.01742362656</v>
      </c>
      <c r="C166">
        <v>140.90043408632849</v>
      </c>
    </row>
    <row r="167" spans="1:3">
      <c r="A167" s="19">
        <v>-38</v>
      </c>
      <c r="B167">
        <v>592.85106317955558</v>
      </c>
      <c r="C167">
        <v>145.76820874579244</v>
      </c>
    </row>
    <row r="168" spans="1:3">
      <c r="A168" s="18">
        <v>-39</v>
      </c>
      <c r="B168">
        <v>587.47202108248416</v>
      </c>
      <c r="C168">
        <v>150.75326756810958</v>
      </c>
    </row>
    <row r="169" spans="1:3">
      <c r="A169" s="18">
        <v>-40</v>
      </c>
      <c r="B169">
        <v>581.86257122318284</v>
      </c>
      <c r="C169">
        <v>155.86371518227881</v>
      </c>
    </row>
    <row r="170" spans="1:3">
      <c r="A170" s="19">
        <v>-41</v>
      </c>
      <c r="B170">
        <v>576.00319706274388</v>
      </c>
      <c r="C170">
        <v>161.10827663056165</v>
      </c>
    </row>
    <row r="171" spans="1:3">
      <c r="A171" s="19">
        <v>-42</v>
      </c>
      <c r="B171">
        <v>569.87267481780691</v>
      </c>
      <c r="C171">
        <v>166.49629154395799</v>
      </c>
    </row>
    <row r="172" spans="1:3">
      <c r="A172" s="18">
        <v>-43</v>
      </c>
      <c r="B172">
        <v>563.44736373870296</v>
      </c>
      <c r="C172">
        <v>172.0378954027976</v>
      </c>
    </row>
    <row r="173" spans="1:3">
      <c r="A173" s="18">
        <v>-44</v>
      </c>
      <c r="B173">
        <v>556.70118937032737</v>
      </c>
      <c r="C173">
        <v>177.74403671300286</v>
      </c>
    </row>
    <row r="174" spans="1:3">
      <c r="A174" s="19">
        <v>-45</v>
      </c>
      <c r="B174">
        <v>549.6052456869171</v>
      </c>
      <c r="C174">
        <v>183.62658489514334</v>
      </c>
    </row>
    <row r="175" spans="1:3">
      <c r="A175" s="19">
        <v>-46</v>
      </c>
      <c r="B175">
        <v>542.12740446102066</v>
      </c>
      <c r="C175">
        <v>189.69843620162098</v>
      </c>
    </row>
    <row r="176" spans="1:3">
      <c r="A176" s="18">
        <v>-47</v>
      </c>
      <c r="B176">
        <v>534.23186066846699</v>
      </c>
      <c r="C176">
        <v>195.97363427119433</v>
      </c>
    </row>
    <row r="177" spans="1:3">
      <c r="A177" s="18">
        <v>-48</v>
      </c>
      <c r="B177">
        <v>525.87860160574746</v>
      </c>
      <c r="C177">
        <v>202.46750776350697</v>
      </c>
    </row>
    <row r="178" spans="1:3">
      <c r="A178" s="19">
        <v>-49</v>
      </c>
      <c r="B178">
        <v>517.02278466169741</v>
      </c>
      <c r="C178">
        <v>209.19682799202425</v>
      </c>
    </row>
    <row r="179" spans="1:3">
      <c r="A179" s="19">
        <v>-50</v>
      </c>
      <c r="B179">
        <v>507.61400525873893</v>
      </c>
      <c r="C179">
        <v>216.17999005659178</v>
      </c>
    </row>
    <row r="180" spans="1:3">
      <c r="A180" s="18">
        <v>-51</v>
      </c>
      <c r="B180">
        <v>497.60867453636689</v>
      </c>
      <c r="C180">
        <v>223.42763559282847</v>
      </c>
    </row>
    <row r="181" spans="1:3">
      <c r="A181" s="18">
        <v>-52</v>
      </c>
      <c r="B181">
        <v>487.28307139015152</v>
      </c>
      <c r="C181">
        <v>230.72129234158839</v>
      </c>
    </row>
    <row r="182" spans="1:3">
      <c r="A182" s="19">
        <v>-53</v>
      </c>
      <c r="B182">
        <v>476.75144694693802</v>
      </c>
      <c r="C182">
        <v>237.97183119109263</v>
      </c>
    </row>
    <row r="183" spans="1:3">
      <c r="A183" s="19">
        <v>-54</v>
      </c>
      <c r="B183">
        <v>468.86720271917324</v>
      </c>
      <c r="C183">
        <v>243.39907784590125</v>
      </c>
    </row>
    <row r="184" spans="1:3">
      <c r="A184" s="18">
        <v>-55</v>
      </c>
      <c r="B184">
        <v>457.90008582337663</v>
      </c>
      <c r="C184">
        <v>250.56133825274</v>
      </c>
    </row>
    <row r="185" spans="1:3">
      <c r="A185" s="18">
        <v>-56</v>
      </c>
      <c r="B185">
        <v>446.64589565809189</v>
      </c>
      <c r="C185">
        <v>257.71915628587573</v>
      </c>
    </row>
    <row r="186" spans="1:3">
      <c r="A186" s="19">
        <v>-57</v>
      </c>
      <c r="B186">
        <v>435.07191817680342</v>
      </c>
      <c r="C186">
        <v>264.88562296649803</v>
      </c>
    </row>
    <row r="187" spans="1:3">
      <c r="A187" s="19">
        <v>-58</v>
      </c>
      <c r="B187">
        <v>423.14199933477062</v>
      </c>
      <c r="C187">
        <v>272.07420647346595</v>
      </c>
    </row>
    <row r="188" spans="1:3">
      <c r="A188" s="18">
        <v>-59</v>
      </c>
      <c r="B188">
        <v>410.81605147418168</v>
      </c>
      <c r="C188">
        <v>279.29889654649509</v>
      </c>
    </row>
    <row r="189" spans="1:3">
      <c r="A189" s="18">
        <v>-60</v>
      </c>
      <c r="B189">
        <v>398.04938045937996</v>
      </c>
      <c r="C189">
        <v>286.57435560896056</v>
      </c>
    </row>
    <row r="190" spans="1:3">
      <c r="A190" s="19">
        <v>-61</v>
      </c>
      <c r="B190">
        <v>384.79188879718765</v>
      </c>
      <c r="C190">
        <v>293.91606022118168</v>
      </c>
    </row>
    <row r="191" spans="1:3">
      <c r="A191" s="19">
        <v>-62</v>
      </c>
      <c r="B191">
        <v>371.11030138304255</v>
      </c>
      <c r="C191">
        <v>301.26671836874431</v>
      </c>
    </row>
    <row r="192" spans="1:3">
      <c r="A192" s="18">
        <v>-63</v>
      </c>
      <c r="B192">
        <v>357.52869149794822</v>
      </c>
      <c r="C192">
        <v>308.30584622810221</v>
      </c>
    </row>
    <row r="193" spans="1:3">
      <c r="A193" s="18">
        <v>-64</v>
      </c>
      <c r="B193">
        <v>344.10065224843441</v>
      </c>
      <c r="C193">
        <v>315.01273066584469</v>
      </c>
    </row>
    <row r="194" spans="1:3">
      <c r="A194" s="19">
        <v>-65</v>
      </c>
      <c r="B194">
        <v>330.81123437096687</v>
      </c>
      <c r="C194">
        <v>321.40751370157056</v>
      </c>
    </row>
    <row r="195" spans="1:3">
      <c r="A195" s="19">
        <v>-66</v>
      </c>
      <c r="B195">
        <v>317.63273670268126</v>
      </c>
      <c r="C195">
        <v>327.50311876583896</v>
      </c>
    </row>
    <row r="196" spans="1:3">
      <c r="A196" s="18">
        <v>-67</v>
      </c>
      <c r="B196">
        <v>304.45350820603801</v>
      </c>
      <c r="C196">
        <v>333.27358250497713</v>
      </c>
    </row>
    <row r="197" spans="1:3">
      <c r="A197" s="18">
        <v>-68</v>
      </c>
      <c r="B197">
        <v>291.36800344300661</v>
      </c>
      <c r="C197">
        <v>338.7823452241185</v>
      </c>
    </row>
    <row r="198" spans="1:3">
      <c r="A198" s="19">
        <v>-69</v>
      </c>
      <c r="B198">
        <v>281.53044230035204</v>
      </c>
      <c r="C198">
        <v>342.57386703902358</v>
      </c>
    </row>
    <row r="199" spans="1:3">
      <c r="A199" s="19">
        <v>-70</v>
      </c>
      <c r="B199">
        <v>268.59699240914119</v>
      </c>
      <c r="C199">
        <v>347.59398354855523</v>
      </c>
    </row>
    <row r="200" spans="1:3">
      <c r="A200" s="18">
        <v>-71</v>
      </c>
      <c r="B200">
        <v>255.71687922554355</v>
      </c>
      <c r="C200">
        <v>352.39426606994687</v>
      </c>
    </row>
    <row r="201" spans="1:3">
      <c r="A201" s="18">
        <v>-72</v>
      </c>
      <c r="B201">
        <v>242.87669781207146</v>
      </c>
      <c r="C201">
        <v>356.98702351466312</v>
      </c>
    </row>
    <row r="202" spans="1:3">
      <c r="A202" s="19">
        <v>-73</v>
      </c>
      <c r="B202">
        <v>230.06301789656086</v>
      </c>
      <c r="C202">
        <v>361.38384028346042</v>
      </c>
    </row>
    <row r="203" spans="1:3">
      <c r="A203" s="19">
        <v>-74</v>
      </c>
      <c r="B203">
        <v>217.26231725347748</v>
      </c>
      <c r="C203">
        <v>365.59565098055151</v>
      </c>
    </row>
    <row r="204" spans="1:3">
      <c r="A204" s="18">
        <v>-75</v>
      </c>
      <c r="B204">
        <v>204.46091273510513</v>
      </c>
      <c r="C204">
        <v>369.63280968752997</v>
      </c>
    </row>
    <row r="205" spans="1:3">
      <c r="A205" s="18">
        <v>-76</v>
      </c>
      <c r="B205">
        <v>191.64488797997498</v>
      </c>
      <c r="C205">
        <v>373.50515538690678</v>
      </c>
    </row>
    <row r="206" spans="1:3">
      <c r="A206" s="19">
        <v>-77</v>
      </c>
      <c r="B206">
        <v>178.80001687522579</v>
      </c>
      <c r="C206">
        <v>377.22207430906241</v>
      </c>
    </row>
    <row r="207" spans="1:3">
      <c r="A207" s="19">
        <v>-78</v>
      </c>
      <c r="B207">
        <v>165.9116817445931</v>
      </c>
      <c r="C207">
        <v>380.7925599510819</v>
      </c>
    </row>
    <row r="208" spans="1:3">
      <c r="A208" s="18">
        <v>-79</v>
      </c>
      <c r="B208">
        <v>152.96478510353592</v>
      </c>
      <c r="C208">
        <v>384.22527150568516</v>
      </c>
    </row>
    <row r="209" spans="1:3">
      <c r="A209" s="18">
        <v>-80</v>
      </c>
      <c r="B209">
        <v>139.94365366295929</v>
      </c>
      <c r="C209">
        <v>387.5285914437514</v>
      </c>
    </row>
    <row r="210" spans="1:3">
      <c r="A210" s="19">
        <v>-81</v>
      </c>
      <c r="B210">
        <v>126.83193306722626</v>
      </c>
      <c r="C210">
        <v>390.71068301571052</v>
      </c>
    </row>
    <row r="211" spans="1:3">
      <c r="A211" s="19">
        <v>-82</v>
      </c>
      <c r="B211">
        <v>113.61247161334371</v>
      </c>
      <c r="C211">
        <v>393.77954847687016</v>
      </c>
    </row>
    <row r="212" spans="1:3">
      <c r="A212" s="18">
        <v>-83</v>
      </c>
      <c r="B212">
        <v>103.40573376591526</v>
      </c>
      <c r="C212">
        <v>396.61773854660305</v>
      </c>
    </row>
    <row r="213" spans="1:3">
      <c r="A213" s="18">
        <v>-84</v>
      </c>
      <c r="B213">
        <v>89.901066395610215</v>
      </c>
      <c r="C213">
        <v>399.49839082270029</v>
      </c>
    </row>
    <row r="214" spans="1:3">
      <c r="A214" s="19">
        <v>-85</v>
      </c>
      <c r="B214">
        <v>76.229960743256328</v>
      </c>
      <c r="C214">
        <v>402.29006904300502</v>
      </c>
    </row>
    <row r="215" spans="1:3">
      <c r="A215" s="19">
        <v>-86</v>
      </c>
      <c r="B215">
        <v>62.370518760519793</v>
      </c>
      <c r="C215">
        <v>405.0008131113791</v>
      </c>
    </row>
    <row r="216" spans="1:3">
      <c r="A216" s="18">
        <v>-87</v>
      </c>
      <c r="B216">
        <v>48.299196674982682</v>
      </c>
      <c r="C216">
        <v>407.63883470619959</v>
      </c>
    </row>
    <row r="217" spans="1:3">
      <c r="A217" s="18">
        <v>-88</v>
      </c>
      <c r="B217">
        <v>33.990566968328935</v>
      </c>
      <c r="C217">
        <v>410.21260995036727</v>
      </c>
    </row>
    <row r="218" spans="1:3">
      <c r="A218" s="19">
        <v>-89</v>
      </c>
      <c r="B218">
        <v>19.417039306664627</v>
      </c>
      <c r="C218">
        <v>412.7309744814238</v>
      </c>
    </row>
    <row r="219" spans="1:3">
      <c r="A219" s="19">
        <v>-90</v>
      </c>
      <c r="B219">
        <v>4.5485378194225357</v>
      </c>
      <c r="C219">
        <v>415.20323061115624</v>
      </c>
    </row>
    <row r="220" spans="1:3">
      <c r="A220" s="18">
        <v>-91</v>
      </c>
      <c r="B220">
        <v>-9.9564840086305182</v>
      </c>
      <c r="C220">
        <v>412.75118297814163</v>
      </c>
    </row>
    <row r="221" spans="1:3">
      <c r="A221" s="18">
        <v>-92</v>
      </c>
      <c r="B221">
        <v>-24.157182943520308</v>
      </c>
      <c r="C221">
        <v>410.27491292974594</v>
      </c>
    </row>
    <row r="222" spans="1:3">
      <c r="A222" s="19">
        <v>-93</v>
      </c>
      <c r="B222">
        <v>-38.087617946371957</v>
      </c>
      <c r="C222">
        <v>407.76158513725522</v>
      </c>
    </row>
    <row r="223" spans="1:3">
      <c r="A223" s="19">
        <v>-94</v>
      </c>
      <c r="B223">
        <v>-51.778306488200762</v>
      </c>
      <c r="C223">
        <v>405.19945018003961</v>
      </c>
    </row>
    <row r="224" spans="1:3">
      <c r="A224" s="18">
        <v>-95</v>
      </c>
      <c r="B224">
        <v>-65.257144893513484</v>
      </c>
      <c r="C224">
        <v>402.57755255115535</v>
      </c>
    </row>
    <row r="225" spans="1:3">
      <c r="A225" s="18">
        <v>-96</v>
      </c>
      <c r="B225">
        <v>-78.549556208154868</v>
      </c>
      <c r="C225">
        <v>399.88560554207169</v>
      </c>
    </row>
    <row r="226" spans="1:3">
      <c r="A226" s="19">
        <v>-97</v>
      </c>
      <c r="B226">
        <v>-91.678904436304549</v>
      </c>
      <c r="C226">
        <v>397.11382710909885</v>
      </c>
    </row>
    <row r="227" spans="1:3">
      <c r="A227" s="19">
        <v>-98</v>
      </c>
      <c r="B227">
        <v>-104.66678895974364</v>
      </c>
      <c r="C227">
        <v>394.25280824747625</v>
      </c>
    </row>
    <row r="228" spans="1:3">
      <c r="A228" s="18">
        <v>-99</v>
      </c>
      <c r="B228">
        <v>-117.53329641666664</v>
      </c>
      <c r="C228">
        <v>391.29339746108775</v>
      </c>
    </row>
    <row r="229" spans="1:3">
      <c r="A229" s="18">
        <v>-100</v>
      </c>
      <c r="B229">
        <v>-130.29721763606713</v>
      </c>
      <c r="C229">
        <v>388.22659798498461</v>
      </c>
    </row>
    <row r="230" spans="1:3">
      <c r="A230" s="19">
        <v>-101</v>
      </c>
      <c r="B230">
        <v>-142.97623575960466</v>
      </c>
      <c r="C230">
        <v>385.04347502073227</v>
      </c>
    </row>
    <row r="231" spans="1:3">
      <c r="A231" s="19">
        <v>-102</v>
      </c>
      <c r="B231">
        <v>-155.58709054020954</v>
      </c>
      <c r="C231">
        <v>381.73507070975779</v>
      </c>
    </row>
    <row r="232" spans="1:3">
      <c r="A232" s="18">
        <v>-103</v>
      </c>
      <c r="B232">
        <v>-168.14572290472975</v>
      </c>
      <c r="C232">
        <v>378.29232492992617</v>
      </c>
    </row>
    <row r="233" spans="1:3">
      <c r="A233" s="18">
        <v>-104</v>
      </c>
      <c r="B233">
        <v>-180.6674031524357</v>
      </c>
      <c r="C233">
        <v>374.70600027823355</v>
      </c>
    </row>
    <row r="234" spans="1:3">
      <c r="A234" s="19">
        <v>-105</v>
      </c>
      <c r="B234">
        <v>-193.16684559119099</v>
      </c>
      <c r="C234">
        <v>370.96660981483598</v>
      </c>
    </row>
    <row r="235" spans="1:3">
      <c r="A235" s="19">
        <v>-106</v>
      </c>
      <c r="B235">
        <v>-205.65831195742638</v>
      </c>
      <c r="C235">
        <v>367.0643463034084</v>
      </c>
    </row>
    <row r="236" spans="1:3">
      <c r="A236" s="18">
        <v>-107</v>
      </c>
      <c r="B236">
        <v>-218.15570560088355</v>
      </c>
      <c r="C236">
        <v>362.9890117995941</v>
      </c>
    </row>
    <row r="237" spans="1:3">
      <c r="A237" s="18">
        <v>-108</v>
      </c>
      <c r="B237">
        <v>-230.67265812209118</v>
      </c>
      <c r="C237">
        <v>358.72994652017115</v>
      </c>
    </row>
    <row r="238" spans="1:3">
      <c r="A238" s="19">
        <v>-109</v>
      </c>
      <c r="B238">
        <v>-243.22260991559634</v>
      </c>
      <c r="C238">
        <v>354.27595597573122</v>
      </c>
    </row>
    <row r="239" spans="1:3">
      <c r="A239" s="19">
        <v>-110</v>
      </c>
      <c r="B239">
        <v>-255.81888588408387</v>
      </c>
      <c r="C239">
        <v>349.6152353728159</v>
      </c>
    </row>
    <row r="240" spans="1:3">
      <c r="A240" s="18">
        <v>-111</v>
      </c>
      <c r="B240">
        <v>-268.37305838492222</v>
      </c>
      <c r="C240">
        <v>344.69089327174288</v>
      </c>
    </row>
    <row r="241" spans="1:3">
      <c r="A241" s="18">
        <v>-112</v>
      </c>
      <c r="B241">
        <v>-280.95807830447808</v>
      </c>
      <c r="C241">
        <v>339.5161129011359</v>
      </c>
    </row>
    <row r="242" spans="1:3">
      <c r="A242" s="19">
        <v>-113</v>
      </c>
      <c r="B242">
        <v>-290.78044991751574</v>
      </c>
      <c r="C242">
        <v>335.64428720332279</v>
      </c>
    </row>
    <row r="243" spans="1:3">
      <c r="A243" s="19">
        <v>-114</v>
      </c>
      <c r="B243">
        <v>-303.55792332972914</v>
      </c>
      <c r="C243">
        <v>329.9596725149421</v>
      </c>
    </row>
    <row r="244" spans="1:3">
      <c r="A244" s="18">
        <v>-115</v>
      </c>
      <c r="B244">
        <v>-316.45243744798461</v>
      </c>
      <c r="C244">
        <v>323.99924005736148</v>
      </c>
    </row>
    <row r="245" spans="1:3">
      <c r="A245" s="18">
        <v>-116</v>
      </c>
      <c r="B245">
        <v>-329.47788980659186</v>
      </c>
      <c r="C245">
        <v>317.7455183859891</v>
      </c>
    </row>
    <row r="246" spans="1:3">
      <c r="A246" s="19">
        <v>-117</v>
      </c>
      <c r="B246">
        <v>-342.64854908849867</v>
      </c>
      <c r="C246">
        <v>311.17974143897794</v>
      </c>
    </row>
    <row r="247" spans="1:3">
      <c r="A247" s="19">
        <v>-118</v>
      </c>
      <c r="B247">
        <v>-355.97912572625557</v>
      </c>
      <c r="C247">
        <v>304.28170866417872</v>
      </c>
    </row>
    <row r="248" spans="1:3">
      <c r="A248" s="18">
        <v>-119</v>
      </c>
      <c r="B248">
        <v>-369.48484438187853</v>
      </c>
      <c r="C248">
        <v>297.02963127718891</v>
      </c>
    </row>
    <row r="249" spans="1:3">
      <c r="A249" s="18">
        <v>-120</v>
      </c>
      <c r="B249">
        <v>-383.14646468598846</v>
      </c>
      <c r="C249">
        <v>289.42342857643973</v>
      </c>
    </row>
    <row r="250" spans="1:3">
      <c r="A250" s="19">
        <v>-121</v>
      </c>
      <c r="B250">
        <v>-396.51223309830232</v>
      </c>
      <c r="C250">
        <v>281.76066369478934</v>
      </c>
    </row>
    <row r="251" spans="1:3">
      <c r="A251" s="19">
        <v>-122</v>
      </c>
      <c r="B251">
        <v>-409.47591063691885</v>
      </c>
      <c r="C251">
        <v>274.1262238292731</v>
      </c>
    </row>
    <row r="252" spans="1:3">
      <c r="A252" s="18">
        <v>-123</v>
      </c>
      <c r="B252">
        <v>-422.08086280574094</v>
      </c>
      <c r="C252">
        <v>266.50474149329324</v>
      </c>
    </row>
    <row r="253" spans="1:3">
      <c r="A253" s="18">
        <v>-124</v>
      </c>
      <c r="B253">
        <v>-434.36594401348316</v>
      </c>
      <c r="C253">
        <v>258.88158084123017</v>
      </c>
    </row>
    <row r="254" spans="1:3">
      <c r="A254" s="19">
        <v>-125</v>
      </c>
      <c r="B254">
        <v>-443.12649608223825</v>
      </c>
      <c r="C254">
        <v>253.02353941123985</v>
      </c>
    </row>
    <row r="255" spans="1:3">
      <c r="A255" s="19">
        <v>-126</v>
      </c>
      <c r="B255">
        <v>-454.9291077620714</v>
      </c>
      <c r="C255">
        <v>245.31273847500788</v>
      </c>
    </row>
    <row r="256" spans="1:3">
      <c r="A256" s="18">
        <v>-127</v>
      </c>
      <c r="B256">
        <v>-466.50681443320036</v>
      </c>
      <c r="C256">
        <v>237.55772277284063</v>
      </c>
    </row>
    <row r="257" spans="1:3">
      <c r="A257" s="18">
        <v>-128</v>
      </c>
      <c r="B257">
        <v>-477.8625886653561</v>
      </c>
      <c r="C257">
        <v>229.76093027174045</v>
      </c>
    </row>
    <row r="258" spans="1:3">
      <c r="A258" s="19">
        <v>-129</v>
      </c>
      <c r="B258">
        <v>-488.61861891170014</v>
      </c>
      <c r="C258">
        <v>222.18422810577164</v>
      </c>
    </row>
    <row r="259" spans="1:3">
      <c r="A259" s="19">
        <v>-130</v>
      </c>
      <c r="B259">
        <v>-498.69248588648566</v>
      </c>
      <c r="C259">
        <v>214.90478527462102</v>
      </c>
    </row>
    <row r="260" spans="1:3">
      <c r="A260" s="18">
        <v>-131</v>
      </c>
      <c r="B260">
        <v>-508.14868450297519</v>
      </c>
      <c r="C260">
        <v>207.90029682140261</v>
      </c>
    </row>
    <row r="261" spans="1:3">
      <c r="A261" s="18">
        <v>-132</v>
      </c>
      <c r="B261">
        <v>-517.04423565514094</v>
      </c>
      <c r="C261">
        <v>201.15053277857376</v>
      </c>
    </row>
    <row r="262" spans="1:3">
      <c r="A262" s="19">
        <v>-133</v>
      </c>
      <c r="B262">
        <v>-525.42971282813278</v>
      </c>
      <c r="C262">
        <v>194.63709660901301</v>
      </c>
    </row>
    <row r="263" spans="1:3">
      <c r="A263" s="19">
        <v>-134</v>
      </c>
      <c r="B263">
        <v>-533.3501076971686</v>
      </c>
      <c r="C263">
        <v>188.34321645956092</v>
      </c>
    </row>
    <row r="264" spans="1:3">
      <c r="A264" s="18">
        <v>-135</v>
      </c>
      <c r="B264">
        <v>-540.84556298593998</v>
      </c>
      <c r="C264">
        <v>182.25356412609511</v>
      </c>
    </row>
    <row r="265" spans="1:3">
      <c r="A265" s="18">
        <v>-136</v>
      </c>
      <c r="B265">
        <v>-547.95199539196256</v>
      </c>
      <c r="C265">
        <v>176.35409751338906</v>
      </c>
    </row>
    <row r="266" spans="1:3">
      <c r="A266" s="19">
        <v>-137</v>
      </c>
      <c r="B266">
        <v>-554.70162706934138</v>
      </c>
      <c r="C266">
        <v>170.63192309015162</v>
      </c>
    </row>
    <row r="267" spans="1:3">
      <c r="A267" s="19">
        <v>-138</v>
      </c>
      <c r="B267">
        <v>-561.12344073195595</v>
      </c>
      <c r="C267">
        <v>165.07517542229354</v>
      </c>
    </row>
    <row r="268" spans="1:3">
      <c r="A268" s="18">
        <v>-139</v>
      </c>
      <c r="B268">
        <v>-567.24357070458996</v>
      </c>
      <c r="C268">
        <v>159.67291134314237</v>
      </c>
    </row>
    <row r="269" spans="1:3">
      <c r="A269" s="18">
        <v>-140</v>
      </c>
      <c r="B269">
        <v>-573.08564005533844</v>
      </c>
      <c r="C269">
        <v>154.41501670933988</v>
      </c>
    </row>
    <row r="270" spans="1:3">
      <c r="A270" s="19">
        <v>-141</v>
      </c>
      <c r="B270">
        <v>-578.67105217426865</v>
      </c>
      <c r="C270">
        <v>149.29212401236111</v>
      </c>
    </row>
    <row r="271" spans="1:3">
      <c r="A271" s="19">
        <v>-142</v>
      </c>
      <c r="B271">
        <v>-584.01924373149882</v>
      </c>
      <c r="C271">
        <v>144.29553938117479</v>
      </c>
    </row>
    <row r="272" spans="1:3">
      <c r="A272" s="18">
        <v>-143</v>
      </c>
      <c r="B272">
        <v>-589.14790478357952</v>
      </c>
      <c r="C272">
        <v>139.41717773204337</v>
      </c>
    </row>
    <row r="273" spans="1:3">
      <c r="A273" s="18">
        <v>-144</v>
      </c>
      <c r="B273">
        <v>-594.07314379909815</v>
      </c>
      <c r="C273">
        <v>134.64948275278167</v>
      </c>
    </row>
    <row r="274" spans="1:3">
      <c r="A274" s="19">
        <v>-145</v>
      </c>
      <c r="B274">
        <v>-598.809790365705</v>
      </c>
      <c r="C274">
        <v>129.98548614375568</v>
      </c>
    </row>
    <row r="275" spans="1:3">
      <c r="A275" s="19">
        <v>-146</v>
      </c>
      <c r="B275">
        <v>-603.37124209884894</v>
      </c>
      <c r="C275">
        <v>125.41851985162629</v>
      </c>
    </row>
    <row r="276" spans="1:3">
      <c r="A276" s="18">
        <v>-147</v>
      </c>
      <c r="B276">
        <v>-607.77002448734436</v>
      </c>
      <c r="C276">
        <v>120.9424990393494</v>
      </c>
    </row>
    <row r="277" spans="1:3">
      <c r="A277" s="18">
        <v>-148</v>
      </c>
      <c r="B277">
        <v>-612.01744477271961</v>
      </c>
      <c r="C277">
        <v>116.55156535502606</v>
      </c>
    </row>
    <row r="278" spans="1:3">
      <c r="A278" s="19">
        <v>-149</v>
      </c>
      <c r="B278">
        <v>-616.12404854778924</v>
      </c>
      <c r="C278">
        <v>112.24028590881767</v>
      </c>
    </row>
    <row r="279" spans="1:3">
      <c r="A279" s="19">
        <v>-150</v>
      </c>
      <c r="B279">
        <v>-620.099544391991</v>
      </c>
      <c r="C279">
        <v>108.00351702453821</v>
      </c>
    </row>
    <row r="280" spans="1:3">
      <c r="A280" s="18">
        <v>-151</v>
      </c>
      <c r="B280">
        <v>-623.95291673757356</v>
      </c>
      <c r="C280">
        <v>103.83639792139104</v>
      </c>
    </row>
    <row r="281" spans="1:3">
      <c r="A281" s="18">
        <v>-152</v>
      </c>
      <c r="B281">
        <v>-627.69249690041659</v>
      </c>
      <c r="C281">
        <v>99.734325655222847</v>
      </c>
    </row>
    <row r="282" spans="1:3">
      <c r="A282" s="19">
        <v>-153</v>
      </c>
      <c r="B282">
        <v>-631.32602651760806</v>
      </c>
      <c r="C282">
        <v>95.692932283940593</v>
      </c>
    </row>
    <row r="283" spans="1:3">
      <c r="A283" s="19">
        <v>-154</v>
      </c>
      <c r="B283">
        <v>-634.8607143450663</v>
      </c>
      <c r="C283">
        <v>91.708064003278977</v>
      </c>
    </row>
    <row r="284" spans="1:3">
      <c r="A284" s="18">
        <v>-155</v>
      </c>
      <c r="B284">
        <v>-638.30328723919195</v>
      </c>
      <c r="C284">
        <v>87.775762029238237</v>
      </c>
    </row>
    <row r="285" spans="1:3">
      <c r="A285" s="18">
        <v>-156</v>
      </c>
      <c r="B285">
        <v>-641.66003603692036</v>
      </c>
      <c r="C285">
        <v>83.892245029485593</v>
      </c>
    </row>
    <row r="286" spans="1:3">
      <c r="A286" s="19">
        <v>-157</v>
      </c>
      <c r="B286">
        <v>-644.93685695533782</v>
      </c>
      <c r="C286">
        <v>80.053892928409994</v>
      </c>
    </row>
    <row r="287" spans="1:3">
      <c r="A287" s="19">
        <v>-158</v>
      </c>
      <c r="B287">
        <v>-648.13928905259706</v>
      </c>
      <c r="C287">
        <v>76.257231929823504</v>
      </c>
    </row>
    <row r="288" spans="1:3">
      <c r="A288" s="18">
        <v>-159</v>
      </c>
      <c r="B288">
        <v>-651.27254822409532</v>
      </c>
      <c r="C288">
        <v>72.498920617955719</v>
      </c>
    </row>
    <row r="289" spans="1:3">
      <c r="A289" s="18">
        <v>-160</v>
      </c>
      <c r="B289">
        <v>-654.34155814991675</v>
      </c>
      <c r="C289">
        <v>68.775737011757599</v>
      </c>
    </row>
    <row r="290" spans="1:3">
      <c r="A290" s="19">
        <v>-161</v>
      </c>
      <c r="B290">
        <v>-657.35097855998606</v>
      </c>
      <c r="C290">
        <v>65.084566459908345</v>
      </c>
    </row>
    <row r="291" spans="1:3">
      <c r="A291" s="19">
        <v>-162</v>
      </c>
      <c r="B291">
        <v>-660.3052311409408</v>
      </c>
      <c r="C291">
        <v>61.422390274571661</v>
      </c>
    </row>
    <row r="292" spans="1:3">
      <c r="A292" s="18">
        <v>-163</v>
      </c>
      <c r="B292">
        <v>-663.20852337240694</v>
      </c>
      <c r="C292">
        <v>57.786275011086843</v>
      </c>
    </row>
    <row r="293" spans="1:3">
      <c r="A293" s="18">
        <v>-164</v>
      </c>
      <c r="B293">
        <v>-666.06487054929221</v>
      </c>
      <c r="C293">
        <v>54.173362308567242</v>
      </c>
    </row>
    <row r="294" spans="1:3">
      <c r="A294" s="19">
        <v>-165</v>
      </c>
      <c r="B294">
        <v>-668.87811622019649</v>
      </c>
      <c r="C294">
        <v>50.580859213000878</v>
      </c>
    </row>
    <row r="295" spans="1:3">
      <c r="A295" s="19">
        <v>-166</v>
      </c>
      <c r="B295">
        <v>-671.65195124947047</v>
      </c>
      <c r="C295">
        <v>47.006028909978312</v>
      </c>
    </row>
    <row r="296" spans="1:3">
      <c r="A296" s="18">
        <v>-167</v>
      </c>
      <c r="B296">
        <v>-674.38993169133653</v>
      </c>
      <c r="C296">
        <v>43.446181798759049</v>
      </c>
    </row>
    <row r="297" spans="1:3">
      <c r="A297" s="18">
        <v>-168</v>
      </c>
      <c r="B297">
        <v>-677.09549564845986</v>
      </c>
      <c r="C297">
        <v>39.898666843075212</v>
      </c>
    </row>
    <row r="298" spans="1:3">
      <c r="A298" s="19">
        <v>-169</v>
      </c>
      <c r="B298">
        <v>-679.77197927400596</v>
      </c>
      <c r="C298">
        <v>36.360863136947508</v>
      </c>
    </row>
    <row r="299" spans="1:3">
      <c r="A299" s="19">
        <v>-170</v>
      </c>
      <c r="B299">
        <v>-682.42263206537348</v>
      </c>
      <c r="C299">
        <v>32.830171625878918</v>
      </c>
    </row>
    <row r="300" spans="1:3">
      <c r="A300" s="18">
        <v>-171</v>
      </c>
      <c r="B300">
        <v>-685.05063158915323</v>
      </c>
      <c r="C300">
        <v>29.304006925153331</v>
      </c>
    </row>
    <row r="301" spans="1:3">
      <c r="A301" s="18">
        <v>-172</v>
      </c>
      <c r="B301">
        <v>-687.65909777032459</v>
      </c>
      <c r="C301">
        <v>25.779789177586778</v>
      </c>
    </row>
    <row r="302" spans="1:3">
      <c r="A302" s="19">
        <v>-173</v>
      </c>
      <c r="B302">
        <v>-690.25110687412518</v>
      </c>
      <c r="C302">
        <v>22.254935892992052</v>
      </c>
    </row>
    <row r="303" spans="1:3">
      <c r="A303" s="19">
        <v>-174</v>
      </c>
      <c r="B303">
        <v>-692.82970528667386</v>
      </c>
      <c r="C303">
        <v>18.726853709207994</v>
      </c>
    </row>
    <row r="304" spans="1:3">
      <c r="A304" s="18">
        <v>-175</v>
      </c>
      <c r="B304">
        <v>-694.66507096933913</v>
      </c>
      <c r="C304">
        <v>15.527291203815823</v>
      </c>
    </row>
    <row r="305" spans="1:3">
      <c r="A305" s="18">
        <v>-176</v>
      </c>
      <c r="B305">
        <v>-696.24819699918669</v>
      </c>
      <c r="C305">
        <v>12.428387437939097</v>
      </c>
    </row>
    <row r="306" spans="1:3">
      <c r="A306" s="19">
        <v>-177</v>
      </c>
      <c r="B306">
        <v>-697.79843516598908</v>
      </c>
      <c r="C306">
        <v>9.3283202932496661</v>
      </c>
    </row>
    <row r="307" spans="1:3">
      <c r="A307" s="19">
        <v>-178</v>
      </c>
      <c r="B307">
        <v>-699.31716968339003</v>
      </c>
      <c r="C307">
        <v>6.2249834690517156</v>
      </c>
    </row>
    <row r="308" spans="1:3">
      <c r="A308" s="18">
        <v>-179</v>
      </c>
      <c r="B308">
        <v>-700.80583969038707</v>
      </c>
      <c r="C308">
        <v>3.1162570736031099</v>
      </c>
    </row>
    <row r="309" spans="1:3">
      <c r="A309" s="18">
        <v>-180</v>
      </c>
      <c r="B309">
        <v>-702.26561210342743</v>
      </c>
      <c r="C309">
        <v>6.311560119655395E-14</v>
      </c>
    </row>
    <row r="310" spans="1:3">
      <c r="A310" s="19">
        <v>-181</v>
      </c>
      <c r="B310">
        <v>-700.80583984956093</v>
      </c>
      <c r="C310">
        <v>-3.116257073933324</v>
      </c>
    </row>
    <row r="311" spans="1:3">
      <c r="A311" s="19">
        <v>-182</v>
      </c>
      <c r="B311">
        <v>-699.31720289490647</v>
      </c>
      <c r="C311">
        <v>-6.224983607920815</v>
      </c>
    </row>
    <row r="312" spans="1:3">
      <c r="A312" s="18">
        <v>-183</v>
      </c>
      <c r="B312">
        <v>-697.79846291955073</v>
      </c>
      <c r="C312">
        <v>-9.3283204687835006</v>
      </c>
    </row>
    <row r="313" spans="1:3">
      <c r="A313" s="18">
        <v>-184</v>
      </c>
      <c r="B313">
        <v>-696.24819711665327</v>
      </c>
      <c r="C313">
        <v>-12.428387438938554</v>
      </c>
    </row>
    <row r="314" spans="1:3">
      <c r="A314" s="19">
        <v>-185</v>
      </c>
      <c r="B314">
        <v>-694.66507118514414</v>
      </c>
      <c r="C314">
        <v>-15.527291206133382</v>
      </c>
    </row>
    <row r="315" spans="1:3">
      <c r="A315" s="19">
        <v>-186</v>
      </c>
      <c r="B315">
        <v>-692.82970549746051</v>
      </c>
      <c r="C315">
        <v>-18.726853726124151</v>
      </c>
    </row>
    <row r="316" spans="1:3">
      <c r="A316" s="18">
        <v>-187</v>
      </c>
      <c r="B316">
        <v>-690.25110710313265</v>
      </c>
      <c r="C316">
        <v>-22.254935912945829</v>
      </c>
    </row>
    <row r="317" spans="1:3">
      <c r="A317" s="18">
        <v>-188</v>
      </c>
      <c r="B317">
        <v>-687.65909817773695</v>
      </c>
      <c r="C317">
        <v>-25.779789215989727</v>
      </c>
    </row>
    <row r="318" spans="1:3">
      <c r="A318" s="19">
        <v>-189</v>
      </c>
      <c r="B318">
        <v>-685.05063220124225</v>
      </c>
      <c r="C318">
        <v>-29.304006987379395</v>
      </c>
    </row>
    <row r="319" spans="1:3">
      <c r="A319" s="19">
        <v>-190</v>
      </c>
      <c r="B319">
        <v>-682.42263289432742</v>
      </c>
      <c r="C319">
        <v>-32.830171716536427</v>
      </c>
    </row>
    <row r="320" spans="1:3">
      <c r="A320" s="18">
        <v>-191</v>
      </c>
      <c r="B320">
        <v>-679.77198032068839</v>
      </c>
      <c r="C320">
        <v>-36.360863259823027</v>
      </c>
    </row>
    <row r="321" spans="1:3">
      <c r="A321" s="18">
        <v>-192</v>
      </c>
      <c r="B321">
        <v>-677.09549690473852</v>
      </c>
      <c r="C321">
        <v>-39.89866700110349</v>
      </c>
    </row>
    <row r="322" spans="1:3">
      <c r="A322" s="19">
        <v>-193</v>
      </c>
      <c r="B322">
        <v>-674.38993314205459</v>
      </c>
      <c r="C322">
        <v>-43.446181994007894</v>
      </c>
    </row>
    <row r="323" spans="1:3">
      <c r="A323" s="19">
        <v>-194</v>
      </c>
      <c r="B323">
        <v>-671.65195287411234</v>
      </c>
      <c r="C323">
        <v>-47.006029143649542</v>
      </c>
    </row>
    <row r="324" spans="1:3">
      <c r="A324" s="18">
        <v>-195</v>
      </c>
      <c r="B324">
        <v>-668.87811799430233</v>
      </c>
      <c r="C324">
        <v>-50.580859485439873</v>
      </c>
    </row>
    <row r="325" spans="1:3">
      <c r="A325" s="18">
        <v>-196</v>
      </c>
      <c r="B325">
        <v>-666.06487244565085</v>
      </c>
      <c r="C325">
        <v>-54.173362619281271</v>
      </c>
    </row>
    <row r="326" spans="1:3">
      <c r="A326" s="19">
        <v>-197</v>
      </c>
      <c r="B326">
        <v>-663.20852536207224</v>
      </c>
      <c r="C326">
        <v>-57.786275358768528</v>
      </c>
    </row>
    <row r="327" spans="1:3">
      <c r="A327" s="19">
        <v>-198</v>
      </c>
      <c r="B327">
        <v>-660.3052331940894</v>
      </c>
      <c r="C327">
        <v>-61.422390657126464</v>
      </c>
    </row>
    <row r="328" spans="1:3">
      <c r="A328" s="18">
        <v>-199</v>
      </c>
      <c r="B328">
        <v>-657.35098064664555</v>
      </c>
      <c r="C328">
        <v>-65.084566874484395</v>
      </c>
    </row>
    <row r="329" spans="1:3">
      <c r="A329" s="18">
        <v>-200</v>
      </c>
      <c r="B329">
        <v>-654.34156024058768</v>
      </c>
      <c r="C329">
        <v>-68.775737454778124</v>
      </c>
    </row>
    <row r="330" spans="1:3">
      <c r="A330" s="19">
        <v>-201</v>
      </c>
      <c r="B330">
        <v>-651.27255029027492</v>
      </c>
      <c r="C330">
        <v>-72.498921085150869</v>
      </c>
    </row>
    <row r="331" spans="1:3">
      <c r="A331" s="19">
        <v>-202</v>
      </c>
      <c r="B331">
        <v>-648.13929106723117</v>
      </c>
      <c r="C331">
        <v>-76.257232416264003</v>
      </c>
    </row>
    <row r="332" spans="1:3">
      <c r="A332" s="18">
        <v>-203</v>
      </c>
      <c r="B332">
        <v>-644.93685889320409</v>
      </c>
      <c r="C332">
        <v>-80.053893428539794</v>
      </c>
    </row>
    <row r="333" spans="1:3">
      <c r="A333" s="18">
        <v>-204</v>
      </c>
      <c r="B333">
        <v>-641.6600378749589</v>
      </c>
      <c r="C333">
        <v>-83.892245537154238</v>
      </c>
    </row>
    <row r="334" spans="1:3">
      <c r="A334" s="19">
        <v>-205</v>
      </c>
      <c r="B334">
        <v>-638.30328895678701</v>
      </c>
      <c r="C334">
        <v>-87.775762537732476</v>
      </c>
    </row>
    <row r="335" spans="1:3">
      <c r="A335" s="19">
        <v>-206</v>
      </c>
      <c r="B335">
        <v>-634.86071592429596</v>
      </c>
      <c r="C335">
        <v>-91.708064505354088</v>
      </c>
    </row>
    <row r="336" spans="1:3">
      <c r="A336" s="18">
        <v>-207</v>
      </c>
      <c r="B336">
        <v>-631.32602794345803</v>
      </c>
      <c r="C336">
        <v>-95.692932771850209</v>
      </c>
    </row>
    <row r="337" spans="1:3">
      <c r="A337" s="18">
        <v>-208</v>
      </c>
      <c r="B337">
        <v>-627.6924981609709</v>
      </c>
      <c r="C337">
        <v>-99.73432612074906</v>
      </c>
    </row>
    <row r="338" spans="1:3">
      <c r="A338" s="19">
        <v>-209</v>
      </c>
      <c r="B338">
        <v>-623.95291782418462</v>
      </c>
      <c r="C338">
        <v>-103.83639835587259</v>
      </c>
    </row>
    <row r="339" spans="1:3">
      <c r="A339" s="19">
        <v>-210</v>
      </c>
      <c r="B339">
        <v>-620.0995452994332</v>
      </c>
      <c r="C339">
        <v>-108.00351741889911</v>
      </c>
    </row>
    <row r="340" spans="1:3">
      <c r="A340" s="18">
        <v>-211</v>
      </c>
      <c r="B340">
        <v>-616.12404927439911</v>
      </c>
      <c r="C340">
        <v>-112.24028625359385</v>
      </c>
    </row>
    <row r="341" spans="1:3">
      <c r="A341" s="18">
        <v>-212</v>
      </c>
      <c r="B341">
        <v>-612.01744532052749</v>
      </c>
      <c r="C341">
        <v>-116.55156564039383</v>
      </c>
    </row>
    <row r="342" spans="1:3">
      <c r="A342" s="19">
        <v>-213</v>
      </c>
      <c r="B342">
        <v>-607.77002486235062</v>
      </c>
      <c r="C342">
        <v>-120.94249925523985</v>
      </c>
    </row>
    <row r="343" spans="1:3">
      <c r="A343" s="19">
        <v>-214</v>
      </c>
      <c r="B343">
        <v>-603.37127544799625</v>
      </c>
      <c r="C343">
        <v>-125.41854124170776</v>
      </c>
    </row>
    <row r="344" spans="1:3">
      <c r="A344" s="18">
        <v>-215</v>
      </c>
      <c r="B344">
        <v>-598.80976168625079</v>
      </c>
      <c r="C344">
        <v>-129.98546544229862</v>
      </c>
    </row>
    <row r="345" spans="1:3">
      <c r="A345" s="18">
        <v>-216</v>
      </c>
      <c r="B345">
        <v>-594.07317012540159</v>
      </c>
      <c r="C345">
        <v>-134.64950441209231</v>
      </c>
    </row>
    <row r="346" spans="1:3">
      <c r="A346" s="19">
        <v>-217</v>
      </c>
      <c r="B346">
        <v>-589.14788087473244</v>
      </c>
      <c r="C346">
        <v>-139.41715493908802</v>
      </c>
    </row>
    <row r="347" spans="1:3">
      <c r="A347" s="19">
        <v>-218</v>
      </c>
      <c r="B347">
        <v>-584.01924354136793</v>
      </c>
      <c r="C347">
        <v>-144.29553916644537</v>
      </c>
    </row>
    <row r="348" spans="1:3">
      <c r="A348" s="18">
        <v>-219</v>
      </c>
      <c r="B348">
        <v>-578.6710519712849</v>
      </c>
      <c r="C348">
        <v>-149.29212373223038</v>
      </c>
    </row>
    <row r="349" spans="1:3">
      <c r="A349" s="18">
        <v>-220</v>
      </c>
      <c r="B349">
        <v>-573.08563986581055</v>
      </c>
      <c r="C349">
        <v>-154.41501637453189</v>
      </c>
    </row>
    <row r="350" spans="1:3">
      <c r="A350" s="19">
        <v>-221</v>
      </c>
      <c r="B350">
        <v>-567.24357054927088</v>
      </c>
      <c r="C350">
        <v>-159.6729109638903</v>
      </c>
    </row>
    <row r="351" spans="1:3">
      <c r="A351" s="19">
        <v>-222</v>
      </c>
      <c r="B351">
        <v>-561.12344062650993</v>
      </c>
      <c r="C351">
        <v>-165.07517500824335</v>
      </c>
    </row>
    <row r="352" spans="1:3">
      <c r="A352" s="18">
        <v>-223</v>
      </c>
      <c r="B352">
        <v>-554.70162702485038</v>
      </c>
      <c r="C352">
        <v>-170.6319226503509</v>
      </c>
    </row>
    <row r="353" spans="1:3">
      <c r="A353" s="18">
        <v>-224</v>
      </c>
      <c r="B353">
        <v>-547.95199541540785</v>
      </c>
      <c r="C353">
        <v>-176.35409705628032</v>
      </c>
    </row>
    <row r="354" spans="1:3">
      <c r="A354" s="19">
        <v>-225</v>
      </c>
      <c r="B354">
        <v>-540.84556308065009</v>
      </c>
      <c r="C354">
        <v>-182.25356365950501</v>
      </c>
    </row>
    <row r="355" spans="1:3">
      <c r="A355" s="19">
        <v>-226</v>
      </c>
      <c r="B355">
        <v>-533.35010786324904</v>
      </c>
      <c r="C355">
        <v>-188.34321599069426</v>
      </c>
    </row>
    <row r="356" spans="1:3">
      <c r="A356" s="18">
        <v>-227</v>
      </c>
      <c r="B356">
        <v>-525.42971306287461</v>
      </c>
      <c r="C356">
        <v>-194.63709614444284</v>
      </c>
    </row>
    <row r="357" spans="1:3">
      <c r="A357" s="18">
        <v>-228</v>
      </c>
      <c r="B357">
        <v>-517.0442359534153</v>
      </c>
      <c r="C357">
        <v>-201.15053232423548</v>
      </c>
    </row>
    <row r="358" spans="1:3">
      <c r="A358" s="19">
        <v>-229</v>
      </c>
      <c r="B358">
        <v>-508.14868485761377</v>
      </c>
      <c r="C358">
        <v>-207.90029638258574</v>
      </c>
    </row>
    <row r="359" spans="1:3">
      <c r="A359" s="19">
        <v>-230</v>
      </c>
      <c r="B359">
        <v>-498.69248628865279</v>
      </c>
      <c r="C359">
        <v>-214.90478485596242</v>
      </c>
    </row>
    <row r="360" spans="1:3">
      <c r="A360" s="18">
        <v>-231</v>
      </c>
      <c r="B360">
        <v>-488.61861935125694</v>
      </c>
      <c r="C360">
        <v>-222.18422771124898</v>
      </c>
    </row>
    <row r="361" spans="1:3">
      <c r="A361" s="18">
        <v>-232</v>
      </c>
      <c r="B361">
        <v>-477.8625891276991</v>
      </c>
      <c r="C361">
        <v>-229.76092990744408</v>
      </c>
    </row>
    <row r="362" spans="1:3">
      <c r="A362" s="19">
        <v>-233</v>
      </c>
      <c r="B362">
        <v>-466.50681490826327</v>
      </c>
      <c r="C362">
        <v>-237.55772242683463</v>
      </c>
    </row>
    <row r="363" spans="1:3">
      <c r="A363" s="19">
        <v>-234</v>
      </c>
      <c r="B363">
        <v>-454.92910790141372</v>
      </c>
      <c r="C363">
        <v>-245.31273839232637</v>
      </c>
    </row>
    <row r="364" spans="1:3">
      <c r="A364" s="18">
        <v>-235</v>
      </c>
      <c r="B364">
        <v>-443.12649601919725</v>
      </c>
      <c r="C364">
        <v>-253.0235394713421</v>
      </c>
    </row>
    <row r="365" spans="1:3">
      <c r="A365" s="18">
        <v>-236</v>
      </c>
      <c r="B365">
        <v>-434.36594606948427</v>
      </c>
      <c r="C365">
        <v>-258.8815789991163</v>
      </c>
    </row>
    <row r="366" spans="1:3">
      <c r="A366" s="19">
        <v>-237</v>
      </c>
      <c r="B366">
        <v>-422.08086257845099</v>
      </c>
      <c r="C366">
        <v>-266.50474167740686</v>
      </c>
    </row>
    <row r="367" spans="1:3">
      <c r="A367" s="19">
        <v>-238</v>
      </c>
      <c r="B367">
        <v>-409.47591047599946</v>
      </c>
      <c r="C367">
        <v>-274.12622395229783</v>
      </c>
    </row>
    <row r="368" spans="1:3">
      <c r="A368" s="18">
        <v>-239</v>
      </c>
      <c r="B368">
        <v>-396.51217949535658</v>
      </c>
      <c r="C368">
        <v>-281.76070292619289</v>
      </c>
    </row>
    <row r="369" spans="1:3">
      <c r="A369" s="18">
        <v>-240</v>
      </c>
      <c r="B369">
        <v>-383.14655020103504</v>
      </c>
      <c r="C369">
        <v>-289.42336828416052</v>
      </c>
    </row>
    <row r="370" spans="1:3">
      <c r="A370" s="19">
        <v>-241</v>
      </c>
      <c r="B370">
        <v>-369.48484432163502</v>
      </c>
      <c r="C370">
        <v>-297.02963131845956</v>
      </c>
    </row>
    <row r="371" spans="1:3">
      <c r="A371" s="19">
        <v>-242</v>
      </c>
      <c r="B371">
        <v>-355.97912556538097</v>
      </c>
      <c r="C371">
        <v>-304.28170877153337</v>
      </c>
    </row>
    <row r="372" spans="1:3">
      <c r="A372" s="18">
        <v>-243</v>
      </c>
      <c r="B372">
        <v>-342.64854876229998</v>
      </c>
      <c r="C372">
        <v>-311.17974165087327</v>
      </c>
    </row>
    <row r="373" spans="1:3">
      <c r="A373" s="18">
        <v>-244</v>
      </c>
      <c r="B373">
        <v>-329.47788923494625</v>
      </c>
      <c r="C373">
        <v>-317.74551874718117</v>
      </c>
    </row>
    <row r="374" spans="1:3">
      <c r="A374" s="19">
        <v>-245</v>
      </c>
      <c r="B374">
        <v>-316.45243653386621</v>
      </c>
      <c r="C374">
        <v>-323.99924061868063</v>
      </c>
    </row>
    <row r="375" spans="1:3">
      <c r="A375" s="19">
        <v>-246</v>
      </c>
      <c r="B375">
        <v>-303.557921956543</v>
      </c>
      <c r="C375">
        <v>-329.95967333361011</v>
      </c>
    </row>
    <row r="376" spans="1:3">
      <c r="A376" s="18">
        <v>-247</v>
      </c>
      <c r="B376">
        <v>-290.7803611932984</v>
      </c>
      <c r="C376">
        <v>-335.64433850238328</v>
      </c>
    </row>
    <row r="377" spans="1:3">
      <c r="A377" s="18">
        <v>-248</v>
      </c>
      <c r="B377">
        <v>-280.95807815274458</v>
      </c>
      <c r="C377">
        <v>-339.5161129834907</v>
      </c>
    </row>
    <row r="378" spans="1:3">
      <c r="A378" s="19">
        <v>-249</v>
      </c>
      <c r="B378">
        <v>-268.37304349582621</v>
      </c>
      <c r="C378">
        <v>-344.69090108398115</v>
      </c>
    </row>
    <row r="379" spans="1:3">
      <c r="A379" s="19">
        <v>-250</v>
      </c>
      <c r="B379">
        <v>-255.81882933239208</v>
      </c>
      <c r="C379">
        <v>-349.61527314228073</v>
      </c>
    </row>
    <row r="380" spans="1:3">
      <c r="A380" s="18">
        <v>-251</v>
      </c>
      <c r="B380">
        <v>-243.22259737820826</v>
      </c>
      <c r="C380">
        <v>-354.2759641200177</v>
      </c>
    </row>
    <row r="381" spans="1:3">
      <c r="A381" s="18">
        <v>-252</v>
      </c>
      <c r="B381">
        <v>-230.67265086092999</v>
      </c>
      <c r="C381">
        <v>-358.72995110219927</v>
      </c>
    </row>
    <row r="382" spans="1:3">
      <c r="A382" s="19">
        <v>-253</v>
      </c>
      <c r="B382">
        <v>-218.1556964601026</v>
      </c>
      <c r="C382">
        <v>-362.98901739476992</v>
      </c>
    </row>
    <row r="383" spans="1:3">
      <c r="A383" s="19">
        <v>-254</v>
      </c>
      <c r="B383">
        <v>-205.65830055357407</v>
      </c>
      <c r="C383">
        <v>-367.06435306323061</v>
      </c>
    </row>
    <row r="384" spans="1:3">
      <c r="A384" s="18">
        <v>-255</v>
      </c>
      <c r="B384">
        <v>-193.16683150141847</v>
      </c>
      <c r="C384">
        <v>-370.96661788711043</v>
      </c>
    </row>
    <row r="385" spans="1:3">
      <c r="A385" s="18">
        <v>-256</v>
      </c>
      <c r="B385">
        <v>-180.66738589183456</v>
      </c>
      <c r="C385">
        <v>-374.70600981420534</v>
      </c>
    </row>
    <row r="386" spans="1:3">
      <c r="A386" s="19">
        <v>-257</v>
      </c>
      <c r="B386">
        <v>-168.1457019190388</v>
      </c>
      <c r="C386">
        <v>-378.29233607997844</v>
      </c>
    </row>
    <row r="387" spans="1:3">
      <c r="A387" s="19">
        <v>-258</v>
      </c>
      <c r="B387">
        <v>-155.5870651981748</v>
      </c>
      <c r="C387">
        <v>-381.73508361716699</v>
      </c>
    </row>
    <row r="388" spans="1:3">
      <c r="A388" s="18">
        <v>-259</v>
      </c>
      <c r="B388">
        <v>-142.97620534522969</v>
      </c>
      <c r="C388">
        <v>-385.04348981277082</v>
      </c>
    </row>
    <row r="389" spans="1:3">
      <c r="A389" s="18">
        <v>-260</v>
      </c>
      <c r="B389">
        <v>-130.29718134115711</v>
      </c>
      <c r="C389">
        <v>-388.22661476041498</v>
      </c>
    </row>
    <row r="390" spans="1:3">
      <c r="A390" s="19">
        <v>-261</v>
      </c>
      <c r="B390">
        <v>-117.53325333430074</v>
      </c>
      <c r="C390">
        <v>-391.29341627274562</v>
      </c>
    </row>
    <row r="391" spans="1:3">
      <c r="A391" s="19">
        <v>-262</v>
      </c>
      <c r="B391">
        <v>-104.66673807967064</v>
      </c>
      <c r="C391">
        <v>-394.25282907816171</v>
      </c>
    </row>
    <row r="392" spans="1:3">
      <c r="A392" s="18">
        <v>-263</v>
      </c>
      <c r="B392">
        <v>-91.678844643767633</v>
      </c>
      <c r="C392">
        <v>-397.1138498383321</v>
      </c>
    </row>
    <row r="393" spans="1:3">
      <c r="A393" s="18">
        <v>-264</v>
      </c>
      <c r="B393">
        <v>-78.549486288431368</v>
      </c>
      <c r="C393">
        <v>-399.88562990035319</v>
      </c>
    </row>
    <row r="394" spans="1:3">
      <c r="A394" s="19">
        <v>-265</v>
      </c>
      <c r="B394">
        <v>-65.257063545582241</v>
      </c>
      <c r="C394">
        <v>-402.57757805706711</v>
      </c>
    </row>
    <row r="395" spans="1:3">
      <c r="A395" s="19">
        <v>-266</v>
      </c>
      <c r="B395">
        <v>-51.77821235265052</v>
      </c>
      <c r="C395">
        <v>-405.19947605370572</v>
      </c>
    </row>
    <row r="396" spans="1:3">
      <c r="A396" s="18">
        <v>-267</v>
      </c>
      <c r="B396">
        <v>-38.087509663638066</v>
      </c>
      <c r="C396">
        <v>-407.76161017911096</v>
      </c>
    </row>
    <row r="397" spans="1:3">
      <c r="A397" s="18">
        <v>-268</v>
      </c>
      <c r="B397">
        <v>-24.157127086271341</v>
      </c>
      <c r="C397">
        <v>-410.27492305636457</v>
      </c>
    </row>
    <row r="398" spans="1:3">
      <c r="A398" s="19">
        <v>-269</v>
      </c>
      <c r="B398">
        <v>-9.9564840009091302</v>
      </c>
      <c r="C398">
        <v>-412.75118297909017</v>
      </c>
    </row>
    <row r="399" spans="1:3">
      <c r="A399" s="19">
        <v>-270</v>
      </c>
      <c r="B399">
        <v>4.5484869363127682</v>
      </c>
      <c r="C399">
        <v>-415.20322792612842</v>
      </c>
    </row>
    <row r="400" spans="1:3">
      <c r="A400" s="18">
        <v>-271</v>
      </c>
      <c r="B400">
        <v>19.416955717436966</v>
      </c>
      <c r="C400">
        <v>-412.73096079736939</v>
      </c>
    </row>
    <row r="401" spans="1:3">
      <c r="A401" s="18">
        <v>-272</v>
      </c>
      <c r="B401">
        <v>33.990504764209774</v>
      </c>
      <c r="C401">
        <v>-410.21259145190658</v>
      </c>
    </row>
    <row r="402" spans="1:3">
      <c r="A402" s="19">
        <v>-273</v>
      </c>
      <c r="B402">
        <v>48.299150683586745</v>
      </c>
      <c r="C402">
        <v>-407.63881354991435</v>
      </c>
    </row>
    <row r="403" spans="1:3">
      <c r="A403" s="19">
        <v>-274</v>
      </c>
      <c r="B403">
        <v>62.370485029292645</v>
      </c>
      <c r="C403">
        <v>-405.00079084030625</v>
      </c>
    </row>
    <row r="404" spans="1:3">
      <c r="A404" s="18">
        <v>-275</v>
      </c>
      <c r="B404">
        <v>76.229936254138735</v>
      </c>
      <c r="C404">
        <v>-402.29004674209091</v>
      </c>
    </row>
    <row r="405" spans="1:3">
      <c r="A405" s="18">
        <v>-276</v>
      </c>
      <c r="B405">
        <v>89.901048844422249</v>
      </c>
      <c r="C405">
        <v>-399.49836923549071</v>
      </c>
    </row>
    <row r="406" spans="1:3">
      <c r="A406" s="19">
        <v>-277</v>
      </c>
      <c r="B406">
        <v>103.40572588345435</v>
      </c>
      <c r="C406">
        <v>-396.61772555922391</v>
      </c>
    </row>
    <row r="407" spans="1:3">
      <c r="A407" s="19">
        <v>-278</v>
      </c>
      <c r="B407">
        <v>116.76444089243151</v>
      </c>
      <c r="C407">
        <v>-393.64018478730685</v>
      </c>
    </row>
    <row r="408" spans="1:3">
      <c r="A408" s="18">
        <v>-279</v>
      </c>
      <c r="B408">
        <v>126.83193003120222</v>
      </c>
      <c r="C408">
        <v>-390.71067415054051</v>
      </c>
    </row>
    <row r="409" spans="1:3">
      <c r="A409" s="18">
        <v>-280</v>
      </c>
      <c r="B409">
        <v>139.9436500802305</v>
      </c>
      <c r="C409">
        <v>-387.52857675181872</v>
      </c>
    </row>
    <row r="410" spans="1:3">
      <c r="A410" s="19">
        <v>-281</v>
      </c>
      <c r="B410">
        <v>152.96478295322297</v>
      </c>
      <c r="C410">
        <v>-384.22525843737839</v>
      </c>
    </row>
    <row r="411" spans="1:3">
      <c r="A411" s="19">
        <v>-282</v>
      </c>
      <c r="B411">
        <v>165.91168059823997</v>
      </c>
      <c r="C411">
        <v>-380.79254846143124</v>
      </c>
    </row>
    <row r="412" spans="1:3">
      <c r="A412" s="18">
        <v>-283</v>
      </c>
      <c r="B412">
        <v>178.80001641352757</v>
      </c>
      <c r="C412">
        <v>-377.22206431911377</v>
      </c>
    </row>
    <row r="413" spans="1:3">
      <c r="A413" s="18">
        <v>-284</v>
      </c>
      <c r="B413">
        <v>191.64488796726184</v>
      </c>
      <c r="C413">
        <v>-373.50514679597569</v>
      </c>
    </row>
    <row r="414" spans="1:3">
      <c r="A414" s="19">
        <v>-285</v>
      </c>
      <c r="B414">
        <v>204.46091299959241</v>
      </c>
      <c r="C414">
        <v>-369.63280238209927</v>
      </c>
    </row>
    <row r="415" spans="1:3">
      <c r="A415" s="19">
        <v>-286</v>
      </c>
      <c r="B415">
        <v>217.26231767201054</v>
      </c>
      <c r="C415">
        <v>-365.59564484082819</v>
      </c>
    </row>
    <row r="416" spans="1:3">
      <c r="A416" s="18">
        <v>-287</v>
      </c>
      <c r="B416">
        <v>230.06301838282596</v>
      </c>
      <c r="C416">
        <v>-361.38383518815306</v>
      </c>
    </row>
    <row r="417" spans="1:3">
      <c r="A417" s="18">
        <v>-288</v>
      </c>
      <c r="B417">
        <v>242.87669830749417</v>
      </c>
      <c r="C417">
        <v>-356.98701934440328</v>
      </c>
    </row>
    <row r="418" spans="1:3">
      <c r="A418" s="19">
        <v>-289</v>
      </c>
      <c r="B418">
        <v>255.71687969226204</v>
      </c>
      <c r="C418">
        <v>-352.39426270968494</v>
      </c>
    </row>
    <row r="419" spans="1:3">
      <c r="A419" s="19">
        <v>-290</v>
      </c>
      <c r="B419">
        <v>268.59699282459337</v>
      </c>
      <c r="C419">
        <v>-347.59398088918653</v>
      </c>
    </row>
    <row r="420" spans="1:3">
      <c r="A420" s="18">
        <v>-291</v>
      </c>
      <c r="B420">
        <v>281.5304423198051</v>
      </c>
      <c r="C420">
        <v>-342.57386692539114</v>
      </c>
    </row>
    <row r="421" spans="1:3">
      <c r="A421" s="18">
        <v>-292</v>
      </c>
      <c r="B421">
        <v>291.36800363245084</v>
      </c>
      <c r="C421">
        <v>-338.78234417426046</v>
      </c>
    </row>
    <row r="422" spans="1:3">
      <c r="A422" s="19">
        <v>-293</v>
      </c>
      <c r="B422">
        <v>304.45350876910584</v>
      </c>
      <c r="C422">
        <v>-333.27357956438476</v>
      </c>
    </row>
    <row r="423" spans="1:3">
      <c r="A423" s="19">
        <v>-294</v>
      </c>
      <c r="B423">
        <v>317.63274123322611</v>
      </c>
      <c r="C423">
        <v>-327.50309622867883</v>
      </c>
    </row>
    <row r="424" spans="1:3">
      <c r="A424" s="18">
        <v>-295</v>
      </c>
      <c r="B424">
        <v>330.81123511125054</v>
      </c>
      <c r="C424">
        <v>-321.40751175771663</v>
      </c>
    </row>
    <row r="425" spans="1:3">
      <c r="A425" s="18">
        <v>-296</v>
      </c>
      <c r="B425">
        <v>344.10065242047705</v>
      </c>
      <c r="C425">
        <v>-315.01273021351892</v>
      </c>
    </row>
    <row r="426" spans="1:3">
      <c r="A426" s="19">
        <v>-297</v>
      </c>
      <c r="B426">
        <v>357.52869156626718</v>
      </c>
      <c r="C426">
        <v>-308.30584604800697</v>
      </c>
    </row>
    <row r="427" spans="1:3">
      <c r="A427" s="19">
        <v>-298</v>
      </c>
      <c r="B427">
        <v>371.11030141482871</v>
      </c>
      <c r="C427">
        <v>-301.26671828462969</v>
      </c>
    </row>
    <row r="428" spans="1:3">
      <c r="A428" s="18">
        <v>-299</v>
      </c>
      <c r="B428">
        <v>384.79188007811939</v>
      </c>
      <c r="C428">
        <v>-293.91608955959157</v>
      </c>
    </row>
    <row r="429" spans="1:3">
      <c r="A429" s="18">
        <v>-300</v>
      </c>
      <c r="B429">
        <v>398.04938000255754</v>
      </c>
      <c r="C429">
        <v>-286.57436102334202</v>
      </c>
    </row>
    <row r="430" spans="1:3">
      <c r="A430" s="19">
        <v>-301</v>
      </c>
      <c r="B430">
        <v>410.81605144392756</v>
      </c>
      <c r="C430">
        <v>-279.29889638198688</v>
      </c>
    </row>
    <row r="431" spans="1:3">
      <c r="A431" s="19">
        <v>-302</v>
      </c>
      <c r="B431">
        <v>423.14199916607498</v>
      </c>
      <c r="C431">
        <v>-272.07420616226813</v>
      </c>
    </row>
    <row r="432" spans="1:3">
      <c r="A432" s="18">
        <v>-303</v>
      </c>
      <c r="B432">
        <v>435.07191772821471</v>
      </c>
      <c r="C432">
        <v>-264.88562254282937</v>
      </c>
    </row>
    <row r="433" spans="1:3">
      <c r="A433" s="18">
        <v>-304</v>
      </c>
      <c r="B433">
        <v>446.64589478339559</v>
      </c>
      <c r="C433">
        <v>-257.71915582402977</v>
      </c>
    </row>
    <row r="434" spans="1:3">
      <c r="A434" s="19">
        <v>-305</v>
      </c>
      <c r="B434">
        <v>457.90008439487207</v>
      </c>
      <c r="C434">
        <v>-250.56133784755048</v>
      </c>
    </row>
    <row r="435" spans="1:3">
      <c r="A435" s="19">
        <v>-306</v>
      </c>
      <c r="B435">
        <v>468.86727291150498</v>
      </c>
      <c r="C435">
        <v>-243.39908627055357</v>
      </c>
    </row>
    <row r="436" spans="1:3">
      <c r="A436" s="18">
        <v>-307</v>
      </c>
      <c r="B436">
        <v>476.75144494371528</v>
      </c>
      <c r="C436">
        <v>-237.97183121247119</v>
      </c>
    </row>
    <row r="437" spans="1:3">
      <c r="A437" s="18">
        <v>-308</v>
      </c>
      <c r="B437">
        <v>487.28306794145993</v>
      </c>
      <c r="C437">
        <v>-230.72129269771645</v>
      </c>
    </row>
    <row r="438" spans="1:3">
      <c r="A438" s="19">
        <v>-309</v>
      </c>
      <c r="B438">
        <v>497.60867089452745</v>
      </c>
      <c r="C438">
        <v>-223.42763624176379</v>
      </c>
    </row>
    <row r="439" spans="1:3">
      <c r="A439" s="19">
        <v>-310</v>
      </c>
      <c r="B439">
        <v>507.61400333430436</v>
      </c>
      <c r="C439">
        <v>-216.17999043508667</v>
      </c>
    </row>
    <row r="440" spans="1:3">
      <c r="A440" s="18">
        <v>-311</v>
      </c>
      <c r="B440">
        <v>517.02278275156254</v>
      </c>
      <c r="C440">
        <v>-209.19682837491771</v>
      </c>
    </row>
    <row r="441" spans="1:3">
      <c r="A441" s="18">
        <v>-312</v>
      </c>
      <c r="B441">
        <v>525.87859973828301</v>
      </c>
      <c r="C441">
        <v>-202.46750814501067</v>
      </c>
    </row>
    <row r="442" spans="1:3">
      <c r="A442" s="19">
        <v>-313</v>
      </c>
      <c r="B442">
        <v>534.23185887318505</v>
      </c>
      <c r="C442">
        <v>-195.97363464496277</v>
      </c>
    </row>
    <row r="443" spans="1:3">
      <c r="A443" s="19">
        <v>-314</v>
      </c>
      <c r="B443">
        <v>542.12740276863053</v>
      </c>
      <c r="C443">
        <v>-189.69843656071069</v>
      </c>
    </row>
    <row r="444" spans="1:3">
      <c r="A444" s="18">
        <v>-315</v>
      </c>
      <c r="B444">
        <v>549.60524412915754</v>
      </c>
      <c r="C444">
        <v>-183.62658523201182</v>
      </c>
    </row>
    <row r="445" spans="1:3">
      <c r="A445" s="18">
        <v>-316</v>
      </c>
      <c r="B445">
        <v>556.70118797979285</v>
      </c>
      <c r="C445">
        <v>-177.7440370195107</v>
      </c>
    </row>
    <row r="446" spans="1:3">
      <c r="A446" s="19">
        <v>-317</v>
      </c>
      <c r="B446">
        <v>563.44736254866837</v>
      </c>
      <c r="C446">
        <v>-172.03789567020829</v>
      </c>
    </row>
    <row r="447" spans="1:3">
      <c r="A447" s="19">
        <v>-318</v>
      </c>
      <c r="B447">
        <v>569.87267386204348</v>
      </c>
      <c r="C447">
        <v>-166.49629176293968</v>
      </c>
    </row>
    <row r="448" spans="1:3">
      <c r="A448" s="18">
        <v>-319</v>
      </c>
      <c r="B448">
        <v>576.00319637514065</v>
      </c>
      <c r="C448">
        <v>-161.10827679123034</v>
      </c>
    </row>
    <row r="449" spans="1:3">
      <c r="A449" s="18">
        <v>-320</v>
      </c>
      <c r="B449">
        <v>581.86250976874578</v>
      </c>
      <c r="C449">
        <v>-155.86372983103053</v>
      </c>
    </row>
    <row r="450" spans="1:3">
      <c r="A450" s="19">
        <v>-321</v>
      </c>
      <c r="B450">
        <v>587.47204907694345</v>
      </c>
      <c r="C450">
        <v>-150.75326075865851</v>
      </c>
    </row>
    <row r="451" spans="1:3">
      <c r="A451" s="19">
        <v>-322</v>
      </c>
      <c r="B451">
        <v>592.85109391457763</v>
      </c>
      <c r="C451">
        <v>-145.76820111399076</v>
      </c>
    </row>
    <row r="452" spans="1:3">
      <c r="A452" s="18">
        <v>-323</v>
      </c>
      <c r="B452">
        <v>598.01742419283141</v>
      </c>
      <c r="C452">
        <v>-140.90043394272715</v>
      </c>
    </row>
    <row r="453" spans="1:3">
      <c r="A453" s="18">
        <v>-324</v>
      </c>
      <c r="B453">
        <v>602.98722878475439</v>
      </c>
      <c r="C453">
        <v>-136.14240331916378</v>
      </c>
    </row>
    <row r="454" spans="1:3">
      <c r="A454" s="19">
        <v>-325</v>
      </c>
      <c r="B454">
        <v>607.77526307792152</v>
      </c>
      <c r="C454">
        <v>-131.48706677135405</v>
      </c>
    </row>
    <row r="455" spans="1:3">
      <c r="A455" s="19">
        <v>-326</v>
      </c>
      <c r="B455">
        <v>612.39509007220897</v>
      </c>
      <c r="C455">
        <v>-126.92782547324414</v>
      </c>
    </row>
    <row r="456" spans="1:3">
      <c r="A456" s="18">
        <v>-327</v>
      </c>
      <c r="B456">
        <v>616.8591798850955</v>
      </c>
      <c r="C456">
        <v>-122.45849023474854</v>
      </c>
    </row>
    <row r="457" spans="1:3">
      <c r="A457" s="18">
        <v>-328</v>
      </c>
      <c r="B457">
        <v>621.17902449277187</v>
      </c>
      <c r="C457">
        <v>-118.07324407407506</v>
      </c>
    </row>
    <row r="458" spans="1:3">
      <c r="A458" s="19">
        <v>-329</v>
      </c>
      <c r="B458">
        <v>625.36523931221222</v>
      </c>
      <c r="C458">
        <v>-113.76660843422552</v>
      </c>
    </row>
    <row r="459" spans="1:3">
      <c r="A459" s="19">
        <v>-330</v>
      </c>
      <c r="B459">
        <v>629.42765338378069</v>
      </c>
      <c r="C459">
        <v>-109.53341260818929</v>
      </c>
    </row>
    <row r="460" spans="1:3">
      <c r="A460" s="18">
        <v>-331</v>
      </c>
      <c r="B460">
        <v>633.37538965929286</v>
      </c>
      <c r="C460">
        <v>-105.36876599334673</v>
      </c>
    </row>
    <row r="461" spans="1:3">
      <c r="A461" s="18">
        <v>-332</v>
      </c>
      <c r="B461">
        <v>637.21693668671412</v>
      </c>
      <c r="C461">
        <v>-101.26803284339128</v>
      </c>
    </row>
    <row r="462" spans="1:3">
      <c r="A462" s="19">
        <v>-333</v>
      </c>
      <c r="B462">
        <v>640.9602128028572</v>
      </c>
      <c r="C462">
        <v>-97.2268092269194</v>
      </c>
    </row>
    <row r="463" spans="1:3">
      <c r="A463" s="19">
        <v>-334</v>
      </c>
      <c r="B463">
        <v>644.61262379381105</v>
      </c>
      <c r="C463">
        <v>-93.240901936824017</v>
      </c>
    </row>
    <row r="464" spans="1:3">
      <c r="A464" s="18">
        <v>-335</v>
      </c>
      <c r="B464">
        <v>648.18111485471024</v>
      </c>
      <c r="C464">
        <v>-89.30630912461514</v>
      </c>
    </row>
    <row r="465" spans="1:3">
      <c r="A465" s="18">
        <v>-336</v>
      </c>
      <c r="B465">
        <v>651.67221757198774</v>
      </c>
      <c r="C465">
        <v>-85.419202459543158</v>
      </c>
    </row>
    <row r="466" spans="1:3">
      <c r="A466" s="19">
        <v>-337</v>
      </c>
      <c r="B466">
        <v>655.09209255931228</v>
      </c>
      <c r="C466">
        <v>-81.575910634505206</v>
      </c>
    </row>
    <row r="467" spans="1:3">
      <c r="A467" s="19">
        <v>-338</v>
      </c>
      <c r="B467">
        <v>658.44656830040344</v>
      </c>
      <c r="C467">
        <v>-77.772904059714818</v>
      </c>
    </row>
    <row r="468" spans="1:3">
      <c r="A468" s="18">
        <v>-339</v>
      </c>
      <c r="B468">
        <v>661.74117668569147</v>
      </c>
      <c r="C468">
        <v>-74.006780601397395</v>
      </c>
    </row>
    <row r="469" spans="1:3">
      <c r="A469" s="18">
        <v>-340</v>
      </c>
      <c r="B469">
        <v>664.98118567363974</v>
      </c>
      <c r="C469">
        <v>-70.274252236732664</v>
      </c>
    </row>
    <row r="470" spans="1:3">
      <c r="A470" s="19">
        <v>-341</v>
      </c>
      <c r="B470">
        <v>668.17162945994255</v>
      </c>
      <c r="C470">
        <v>-66.572132508164984</v>
      </c>
    </row>
    <row r="471" spans="1:3">
      <c r="A471" s="19">
        <v>-342</v>
      </c>
      <c r="B471">
        <v>671.31733649765283</v>
      </c>
      <c r="C471">
        <v>-62.897324670310944</v>
      </c>
    </row>
    <row r="472" spans="1:3">
      <c r="A472" s="18">
        <v>-343</v>
      </c>
      <c r="B472">
        <v>674.42295567749966</v>
      </c>
      <c r="C472">
        <v>-59.246810431204437</v>
      </c>
    </row>
    <row r="473" spans="1:3">
      <c r="A473" s="18">
        <v>-344</v>
      </c>
      <c r="B473">
        <v>677.49298094950018</v>
      </c>
      <c r="C473">
        <v>-55.617639196691172</v>
      </c>
    </row>
    <row r="474" spans="1:3">
      <c r="A474" s="19">
        <v>-345</v>
      </c>
      <c r="B474">
        <v>680.53177464374812</v>
      </c>
      <c r="C474">
        <v>-52.006917732573875</v>
      </c>
    </row>
    <row r="475" spans="1:3">
      <c r="A475" s="19">
        <v>-346</v>
      </c>
      <c r="B475">
        <v>683.54358972947148</v>
      </c>
      <c r="C475">
        <v>-48.411800163685641</v>
      </c>
    </row>
    <row r="476" spans="1:3">
      <c r="A476" s="18">
        <v>-347</v>
      </c>
      <c r="B476">
        <v>686.53259123665964</v>
      </c>
      <c r="C476">
        <v>-44.82947823255909</v>
      </c>
    </row>
    <row r="477" spans="1:3">
      <c r="A477" s="18">
        <v>-348</v>
      </c>
      <c r="B477">
        <v>689.50287705348705</v>
      </c>
      <c r="C477">
        <v>-41.257171742763717</v>
      </c>
    </row>
    <row r="478" spans="1:3">
      <c r="A478" s="19">
        <v>-349</v>
      </c>
      <c r="B478">
        <v>692.45849830512373</v>
      </c>
      <c r="C478">
        <v>-37.692119113387669</v>
      </c>
    </row>
    <row r="479" spans="1:3">
      <c r="A479" s="19">
        <v>-350</v>
      </c>
      <c r="B479">
        <v>695.40347951527383</v>
      </c>
      <c r="C479">
        <v>-34.131567971518265</v>
      </c>
    </row>
    <row r="480" spans="1:3">
      <c r="A480" s="18">
        <v>-351</v>
      </c>
      <c r="B480">
        <v>698.34184536024418</v>
      </c>
      <c r="C480">
        <v>-30.572751170091593</v>
      </c>
    </row>
    <row r="481" spans="1:3">
      <c r="A481" s="18">
        <v>-352</v>
      </c>
      <c r="B481">
        <v>701.27760730717785</v>
      </c>
      <c r="C481">
        <v>-27.012953366256287</v>
      </c>
    </row>
    <row r="482" spans="1:3">
      <c r="A482" s="19">
        <v>-353</v>
      </c>
      <c r="B482">
        <v>704.07498787366251</v>
      </c>
      <c r="C482">
        <v>-23.44701837624439</v>
      </c>
    </row>
    <row r="483" spans="1:3">
      <c r="A483" s="19">
        <v>-354</v>
      </c>
      <c r="B483">
        <v>706.57355471937217</v>
      </c>
      <c r="C483">
        <v>-19.869870081257961</v>
      </c>
    </row>
    <row r="484" spans="1:3">
      <c r="A484" s="18">
        <v>-355</v>
      </c>
      <c r="B484">
        <v>709.0671803858454</v>
      </c>
      <c r="C484">
        <v>-16.28384169454052</v>
      </c>
    </row>
    <row r="485" spans="1:3">
      <c r="A485" s="18">
        <v>-356</v>
      </c>
      <c r="B485">
        <v>711.55917366758126</v>
      </c>
      <c r="C485">
        <v>-12.686083290749504</v>
      </c>
    </row>
    <row r="486" spans="1:3">
      <c r="A486" s="19">
        <v>-357</v>
      </c>
      <c r="B486">
        <v>713.32738980264185</v>
      </c>
      <c r="C486">
        <v>-9.442463768071903</v>
      </c>
    </row>
    <row r="487" spans="1:3">
      <c r="A487" s="19">
        <v>-358</v>
      </c>
      <c r="B487">
        <v>714.85468325890076</v>
      </c>
      <c r="C487">
        <v>-6.3029120062768733</v>
      </c>
    </row>
    <row r="488" spans="1:3">
      <c r="A488" s="18">
        <v>-359</v>
      </c>
      <c r="B488">
        <v>716.93130292947149</v>
      </c>
      <c r="C488">
        <v>-3.1588068216739877</v>
      </c>
    </row>
    <row r="489" spans="1:3">
      <c r="A489" s="18">
        <v>-360</v>
      </c>
      <c r="B489">
        <v>719.81084605436638</v>
      </c>
      <c r="C489">
        <v>-1.3591305326025036E-13</v>
      </c>
    </row>
    <row r="490" spans="1:3">
      <c r="B490">
        <f>B129</f>
        <v>719.81084503901752</v>
      </c>
      <c r="C490">
        <f>C129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point" altText="Attempt to Find_x000a_Interaction point for Goal_x000a_(Form Button)">
                <anchor moveWithCells="1" sizeWithCells="1">
                  <from>
                    <xdr:col>0</xdr:col>
                    <xdr:colOff>774700</xdr:colOff>
                    <xdr:row>121</xdr:row>
                    <xdr:rowOff>63500</xdr:rowOff>
                  </from>
                  <to>
                    <xdr:col>2</xdr:col>
                    <xdr:colOff>889000</xdr:colOff>
                    <xdr:row>126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50800</xdr:rowOff>
                  </from>
                  <to>
                    <xdr:col>5</xdr:col>
                    <xdr:colOff>1155700</xdr:colOff>
                    <xdr:row>126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C2" sqref="C2"/>
    </sheetView>
  </sheetViews>
  <sheetFormatPr baseColWidth="10" defaultColWidth="8.83203125" defaultRowHeight="15"/>
  <sheetData>
    <row r="1" spans="1:3">
      <c r="A1">
        <v>0</v>
      </c>
      <c r="B1">
        <v>0</v>
      </c>
      <c r="C1">
        <v>0</v>
      </c>
    </row>
    <row r="2" spans="1:3">
      <c r="A2">
        <v>3</v>
      </c>
      <c r="B2">
        <v>0.375</v>
      </c>
      <c r="C2">
        <v>0.11</v>
      </c>
    </row>
    <row r="3" spans="1:3">
      <c r="A3">
        <v>4</v>
      </c>
      <c r="B3">
        <v>0.5</v>
      </c>
      <c r="C3">
        <v>0.2</v>
      </c>
    </row>
    <row r="4" spans="1:3">
      <c r="A4">
        <v>5</v>
      </c>
      <c r="B4">
        <v>0.625</v>
      </c>
      <c r="C4">
        <v>0.31</v>
      </c>
    </row>
    <row r="5" spans="1:3">
      <c r="A5">
        <v>6</v>
      </c>
      <c r="B5">
        <v>0.75</v>
      </c>
      <c r="C5">
        <v>0.44</v>
      </c>
    </row>
    <row r="6" spans="1:3">
      <c r="A6">
        <v>7</v>
      </c>
      <c r="B6">
        <v>0.875</v>
      </c>
      <c r="C6">
        <v>0.6</v>
      </c>
    </row>
    <row r="7" spans="1:3">
      <c r="A7">
        <v>8</v>
      </c>
      <c r="B7">
        <v>1</v>
      </c>
      <c r="C7">
        <v>0.79</v>
      </c>
    </row>
    <row r="8" spans="1:3">
      <c r="A8">
        <v>9</v>
      </c>
      <c r="B8">
        <v>1.1279999999999999</v>
      </c>
      <c r="C8">
        <v>1</v>
      </c>
    </row>
    <row r="9" spans="1:3">
      <c r="A9">
        <v>10</v>
      </c>
      <c r="B9">
        <v>1.27</v>
      </c>
      <c r="C9">
        <v>1.27</v>
      </c>
    </row>
    <row r="10" spans="1:3">
      <c r="A10">
        <v>11</v>
      </c>
      <c r="B10">
        <v>1.41</v>
      </c>
      <c r="C10">
        <v>1.56</v>
      </c>
    </row>
    <row r="11" spans="1:3">
      <c r="A11">
        <v>14</v>
      </c>
      <c r="B11">
        <v>1.6930000000000001</v>
      </c>
      <c r="C11">
        <v>2.25</v>
      </c>
    </row>
    <row r="12" spans="1:3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Donald Bockoven</cp:lastModifiedBy>
  <dcterms:created xsi:type="dcterms:W3CDTF">2020-01-14T22:46:38Z</dcterms:created>
  <dcterms:modified xsi:type="dcterms:W3CDTF">2020-01-16T04:18:02Z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