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76100B61-0544-414C-84CE-29A21E94CAC6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38" i="1" l="1"/>
  <c r="W136" i="1"/>
  <c r="V133" i="1"/>
  <c r="X133" i="1"/>
  <c r="X130" i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B121" i="1" l="1"/>
  <c r="Q123" i="1" l="1"/>
  <c r="D120" i="1"/>
  <c r="Q122" i="1" s="1"/>
  <c r="E120" i="1"/>
  <c r="R122" i="1" s="1"/>
  <c r="C490" i="1" l="1"/>
  <c r="B490" i="1"/>
  <c r="D490" i="1" l="1"/>
  <c r="C35" i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G3" i="1" l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L119" i="1" s="1"/>
  <c r="B114" i="1"/>
  <c r="D115" i="1"/>
  <c r="B115" i="1"/>
  <c r="Y133" i="1" l="1"/>
  <c r="F114" i="1"/>
  <c r="H114" i="1" s="1"/>
  <c r="J114" i="1" s="1"/>
  <c r="F115" i="1"/>
  <c r="H115" i="1" s="1"/>
  <c r="J115" i="1" s="1"/>
  <c r="Y134" i="1" l="1"/>
  <c r="M117" i="1"/>
  <c r="I125" i="1"/>
  <c r="H125" i="1"/>
  <c r="Y136" i="1" l="1" a="1"/>
  <c r="Y136" i="1" s="1"/>
  <c r="Y138" i="1" s="1"/>
  <c r="R123" i="1"/>
  <c r="N115" i="1"/>
  <c r="M119" i="1" s="1"/>
  <c r="Y13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<sst xmlns="http://schemas.openxmlformats.org/spreadsheetml/2006/main" count="152" uniqueCount="105">
  <si>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</si>
  <si>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</si>
  <si>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</si>
  <si>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</si>
  <si>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</si>
  <si>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</si>
  <si>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</si>
  <si>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</si>
  <si>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</si>
  <si>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</si>
  <si>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</si>
  <si>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</si>
  <si>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</si>
  <si>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</si>
  <si>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</si>
  <si>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</si>
  <si>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</si>
  <si>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</si>
  <si>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</si>
  <si>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</si>
  <si>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</si>
  <si>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</si>
  <si>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</si>
  <si>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</si>
  <si>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</si>
  <si>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</si>
  <si>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</si>
  <si>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</si>
  <si>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</si>
  <si>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</si>
  <si>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</si>
  <si>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</si>
  <si>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</si>
  <si>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</si>
  <si>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</si>
  <si>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</si>
  <si>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</si>
  <si>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</si>
  <si>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</si>
  <si>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</si>
  <si>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</si>
  <si>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</si>
  <si>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</si>
  <si>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</si>
  <si>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</si>
  <si>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</si>
  <si>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</si>
  <si>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</si>
  <si>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</si>
  <si>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</si>
  <si>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</si>
  <si>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</si>
  <si>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</si>
  <si>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</si>
  <si>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</si>
  <si>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</si>
  <si>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</si>
  <si>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</si>
  <si>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</si>
  <si>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</si>
  <si>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</si>
  <si>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</si>
  <si>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</si>
  <si>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</si>
  <si>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</si>
  <si>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</si>
  <si>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</si>
  <si>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</si>
  <si>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</si>
  <si>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</si>
  <si>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</si>
  <si>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</si>
  <si>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</si>
  <si>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</si>
  <si>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</si>
  <si>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</si>
  <si>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</si>
  <si>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</si>
  <si>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</si>
  <si>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</si>
  <si>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</si>
  <si>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</si>
  <si>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</si>
  <si>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</si>
  <si>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</si>
  <si>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</si>
  <si>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</si>
  <si>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</si>
  <si>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</si>
  <si>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</si>
  <si>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</si>
  <si>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</si>
  <si>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</si>
  <si>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</si>
  <si>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Newton-Raphson Approach:</t>
  </si>
  <si>
    <t>dp/dna_d</t>
  </si>
  <si>
    <t>dM/dna_d</t>
  </si>
  <si>
    <t>dp/dna_a</t>
  </si>
  <si>
    <t>dM/dna_a</t>
  </si>
  <si>
    <t>Partial Derivative Matrix, J</t>
  </si>
  <si>
    <t>=</t>
  </si>
  <si>
    <t>new angle</t>
  </si>
  <si>
    <t>new depth</t>
  </si>
  <si>
    <t>delta</t>
  </si>
  <si>
    <t>run macro to populate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</si>
</sst>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7" xfId="0" applyBorder="1"/>
    <xf numFmtId="0" fontId="0" fillId="0" borderId="8" xfId="0" applyBorder="1"/>
    <xf numFmtId="166" fontId="0" fillId="0" borderId="0" xfId="0" applyNumberFormat="1"/>
    <xf numFmtId="0" fontId="0" fillId="0" borderId="9" xfId="0" applyBorder="1"/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/>
    <xf numFmtId="0" fontId="0" fillId="0" borderId="10" xfId="0" applyBorder="1"/>
    <xf numFmtId="0" fontId="0" fillId="0" borderId="0" xfId="0" applyBorder="1"/>
    <xf numFmtId="0" fontId="0" fillId="0" borderId="12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8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120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12</c:v>
                </c:pt>
                <c:pt idx="2">
                  <c:v>60</c:v>
                </c:pt>
                <c:pt idx="3">
                  <c:v>108</c:v>
                </c:pt>
                <c:pt idx="4">
                  <c:v>116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121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121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4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-59.987932068682348</c:v>
                </c:pt>
                <c:pt idx="1">
                  <c:v>-60.011545199000885</c:v>
                </c:pt>
                <c:pt idx="2">
                  <c:v>59.987932068682348</c:v>
                </c:pt>
                <c:pt idx="3">
                  <c:v>60.011545199000885</c:v>
                </c:pt>
                <c:pt idx="4">
                  <c:v>-59.987932068682348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4.1770810529784317</c:v>
                </c:pt>
                <c:pt idx="1">
                  <c:v>-3.8228840982004506</c:v>
                </c:pt>
                <c:pt idx="2">
                  <c:v>-4.1770810529784317</c:v>
                </c:pt>
                <c:pt idx="3">
                  <c:v>3.8228840982004506</c:v>
                </c:pt>
                <c:pt idx="4">
                  <c:v>4.1770810529784317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-55.999756058252174</c:v>
                </c:pt>
                <c:pt idx="1">
                  <c:v>-47.99979090707329</c:v>
                </c:pt>
                <c:pt idx="2">
                  <c:v>0</c:v>
                </c:pt>
                <c:pt idx="3">
                  <c:v>47.99979090707329</c:v>
                </c:pt>
                <c:pt idx="4">
                  <c:v>55.999756058252174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0.16529191222972436</c:v>
                </c:pt>
                <c:pt idx="1">
                  <c:v>0.14167878191119232</c:v>
                </c:pt>
                <c:pt idx="2">
                  <c:v>0</c:v>
                </c:pt>
                <c:pt idx="3">
                  <c:v>-0.14167878191119232</c:v>
                </c:pt>
                <c:pt idx="4">
                  <c:v>-0.16529191222972436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-60.011545199000885</c:v>
                </c:pt>
                <c:pt idx="1">
                  <c:v>60.011545199000885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1.3795804938141618</c:v>
                </c:pt>
                <c:pt idx="1">
                  <c:v>1.3795804938141618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-60.011545199000885</c:v>
                </c:pt>
                <c:pt idx="1">
                  <c:v>60.011545199000885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1.9390806056470158</c:v>
                </c:pt>
                <c:pt idx="1">
                  <c:v>1.9390806056470158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-59.994537871984868</c:v>
                </c:pt>
                <c:pt idx="1">
                  <c:v>#N/A</c:v>
                </c:pt>
                <c:pt idx="2">
                  <c:v>60.005984862608962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1.9390806056470158</c:v>
                </c:pt>
                <c:pt idx="1">
                  <c:v>#N/A</c:v>
                </c:pt>
                <c:pt idx="2">
                  <c:v>1.9390806056470158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60.011545199000885</c:v>
                </c:pt>
                <c:pt idx="1">
                  <c:v>-60.011545199000885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60.011545199000885</c:v>
                </c:pt>
                <c:pt idx="1">
                  <c:v>-60.011545199000885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3572.8590721303899</c:v>
                </c:pt>
                <c:pt idx="1">
                  <c:v>3572.7926123180137</c:v>
                </c:pt>
                <c:pt idx="2">
                  <c:v>3572.7223795223476</c:v>
                </c:pt>
                <c:pt idx="3">
                  <c:v>3572.6483164136826</c:v>
                </c:pt>
                <c:pt idx="4">
                  <c:v>3572.5703562998374</c:v>
                </c:pt>
                <c:pt idx="5">
                  <c:v>3572.4884228830711</c:v>
                </c:pt>
                <c:pt idx="6">
                  <c:v>3572.4024299686066</c:v>
                </c:pt>
                <c:pt idx="7">
                  <c:v>3572.3122811175954</c:v>
                </c:pt>
                <c:pt idx="8">
                  <c:v>3572.2178692459629</c:v>
                </c:pt>
                <c:pt idx="9">
                  <c:v>3572.1190761650168</c:v>
                </c:pt>
                <c:pt idx="10">
                  <c:v>3572.0157720568341</c:v>
                </c:pt>
                <c:pt idx="11">
                  <c:v>3571.9078148859285</c:v>
                </c:pt>
                <c:pt idx="12">
                  <c:v>3571.7950497348015</c:v>
                </c:pt>
                <c:pt idx="13">
                  <c:v>3571.6773080657053</c:v>
                </c:pt>
                <c:pt idx="14">
                  <c:v>3571.5544068920458</c:v>
                </c:pt>
                <c:pt idx="15">
                  <c:v>3571.4261478608873</c:v>
                </c:pt>
                <c:pt idx="16">
                  <c:v>3571.2923162342272</c:v>
                </c:pt>
                <c:pt idx="17">
                  <c:v>3571.152679753342</c:v>
                </c:pt>
                <c:pt idx="18">
                  <c:v>3571.0069873897696</c:v>
                </c:pt>
                <c:pt idx="19">
                  <c:v>3570.85496795274</c:v>
                </c:pt>
                <c:pt idx="20">
                  <c:v>3570.6963285497063</c:v>
                </c:pt>
                <c:pt idx="21">
                  <c:v>3570.5307528811486</c:v>
                </c:pt>
                <c:pt idx="22">
                  <c:v>3570.3578993478327</c:v>
                </c:pt>
                <c:pt idx="23">
                  <c:v>3570.1773989550165</c:v>
                </c:pt>
                <c:pt idx="24">
                  <c:v>3569.9888529833356</c:v>
                </c:pt>
                <c:pt idx="25">
                  <c:v>3569.7918304007267</c:v>
                </c:pt>
                <c:pt idx="26">
                  <c:v>3569.5858649857773</c:v>
                </c:pt>
                <c:pt idx="27">
                  <c:v>3569.3704521254845</c:v>
                </c:pt>
                <c:pt idx="28">
                  <c:v>3569.1450452402041</c:v>
                </c:pt>
                <c:pt idx="29">
                  <c:v>3568.9090518000671</c:v>
                </c:pt>
                <c:pt idx="30">
                  <c:v>3568.6618288632076</c:v>
                </c:pt>
                <c:pt idx="31">
                  <c:v>3568.4026780849608</c:v>
                </c:pt>
                <c:pt idx="32">
                  <c:v>3568.1308401172587</c:v>
                </c:pt>
                <c:pt idx="33">
                  <c:v>3567.8454883160271</c:v>
                </c:pt>
                <c:pt idx="34">
                  <c:v>3567.5457216558129</c:v>
                </c:pt>
                <c:pt idx="35">
                  <c:v>3567.23055674024</c:v>
                </c:pt>
                <c:pt idx="36">
                  <c:v>3566.8989187701563</c:v>
                </c:pt>
                <c:pt idx="37">
                  <c:v>3566.549631313474</c:v>
                </c:pt>
                <c:pt idx="38">
                  <c:v>3566.181404694129</c:v>
                </c:pt>
                <c:pt idx="39">
                  <c:v>3565.792822780084</c:v>
                </c:pt>
                <c:pt idx="40">
                  <c:v>3565.3823279136268</c:v>
                </c:pt>
                <c:pt idx="41">
                  <c:v>3564.9482036826057</c:v>
                </c:pt>
                <c:pt idx="42">
                  <c:v>3564.488555167613</c:v>
                </c:pt>
                <c:pt idx="43">
                  <c:v>3564.0012862363451</c:v>
                </c:pt>
                <c:pt idx="44">
                  <c:v>3563.4840733668916</c:v>
                </c:pt>
                <c:pt idx="45">
                  <c:v>3562.9343353801423</c:v>
                </c:pt>
                <c:pt idx="46">
                  <c:v>3562.3491983342974</c:v>
                </c:pt>
                <c:pt idx="47">
                  <c:v>3561.7254546744794</c:v>
                </c:pt>
                <c:pt idx="48">
                  <c:v>3561.0595155310402</c:v>
                </c:pt>
                <c:pt idx="49">
                  <c:v>3560.3473548338793</c:v>
                </c:pt>
                <c:pt idx="50">
                  <c:v>3559.5844435685472</c:v>
                </c:pt>
                <c:pt idx="51">
                  <c:v>3558.7656721659309</c:v>
                </c:pt>
                <c:pt idx="52">
                  <c:v>3557.8852584716628</c:v>
                </c:pt>
                <c:pt idx="53">
                  <c:v>3556.936638177604</c:v>
                </c:pt>
                <c:pt idx="54">
                  <c:v>3555.9123337576107</c:v>
                </c:pt>
                <c:pt idx="55">
                  <c:v>3554.8037969544498</c:v>
                </c:pt>
                <c:pt idx="56">
                  <c:v>3553.6012185167201</c:v>
                </c:pt>
                <c:pt idx="57">
                  <c:v>3552.2932971619543</c:v>
                </c:pt>
                <c:pt idx="58">
                  <c:v>3550.8669574402711</c:v>
                </c:pt>
                <c:pt idx="59">
                  <c:v>3549.3070031416587</c:v>
                </c:pt>
                <c:pt idx="60">
                  <c:v>3547.5956888293717</c:v>
                </c:pt>
                <c:pt idx="61">
                  <c:v>3545.705150792774</c:v>
                </c:pt>
                <c:pt idx="62">
                  <c:v>3542.9779703996996</c:v>
                </c:pt>
                <c:pt idx="63">
                  <c:v>3539.9954259131018</c:v>
                </c:pt>
                <c:pt idx="64">
                  <c:v>3536.7201291867141</c:v>
                </c:pt>
                <c:pt idx="65">
                  <c:v>3533.1073442650641</c:v>
                </c:pt>
                <c:pt idx="66">
                  <c:v>3529.1031509132499</c:v>
                </c:pt>
                <c:pt idx="67">
                  <c:v>3524.6420441981604</c:v>
                </c:pt>
                <c:pt idx="68">
                  <c:v>3519.6437620622642</c:v>
                </c:pt>
                <c:pt idx="69">
                  <c:v>3514.009042025295</c:v>
                </c:pt>
                <c:pt idx="70">
                  <c:v>3507.6138710134169</c:v>
                </c:pt>
                <c:pt idx="71">
                  <c:v>3500.3015813808533</c:v>
                </c:pt>
                <c:pt idx="72">
                  <c:v>3491.8718152542128</c:v>
                </c:pt>
                <c:pt idx="73">
                  <c:v>3482.0648487638427</c:v>
                </c:pt>
                <c:pt idx="74">
                  <c:v>3470.5388964038807</c:v>
                </c:pt>
                <c:pt idx="75">
                  <c:v>3456.8365463763789</c:v>
                </c:pt>
                <c:pt idx="76">
                  <c:v>3440.3339253835015</c:v>
                </c:pt>
                <c:pt idx="77">
                  <c:v>3413.4802671756684</c:v>
                </c:pt>
                <c:pt idx="78">
                  <c:v>3377.5755614305522</c:v>
                </c:pt>
                <c:pt idx="79">
                  <c:v>3334.1133975044158</c:v>
                </c:pt>
                <c:pt idx="80">
                  <c:v>3238.0656279709383</c:v>
                </c:pt>
                <c:pt idx="81">
                  <c:v>3124.7670725650296</c:v>
                </c:pt>
                <c:pt idx="82">
                  <c:v>3003.1360790277904</c:v>
                </c:pt>
                <c:pt idx="83">
                  <c:v>2870.2391541978577</c:v>
                </c:pt>
                <c:pt idx="84">
                  <c:v>2721.4303622277412</c:v>
                </c:pt>
                <c:pt idx="85">
                  <c:v>2548.7983910481598</c:v>
                </c:pt>
                <c:pt idx="86">
                  <c:v>2337.4605625421268</c:v>
                </c:pt>
                <c:pt idx="87">
                  <c:v>2050.9521165033784</c:v>
                </c:pt>
                <c:pt idx="88">
                  <c:v>1624.509885704588</c:v>
                </c:pt>
                <c:pt idx="89">
                  <c:v>896.157705806732</c:v>
                </c:pt>
                <c:pt idx="90">
                  <c:v>3.4135602367892006E-12</c:v>
                </c:pt>
                <c:pt idx="91">
                  <c:v>-896.15770580672643</c:v>
                </c:pt>
                <c:pt idx="92">
                  <c:v>-1624.5098857045843</c:v>
                </c:pt>
                <c:pt idx="93">
                  <c:v>-2050.9521165033757</c:v>
                </c:pt>
                <c:pt idx="94">
                  <c:v>-2337.4605625421282</c:v>
                </c:pt>
                <c:pt idx="95">
                  <c:v>-2548.7983910481621</c:v>
                </c:pt>
                <c:pt idx="96">
                  <c:v>-2721.4303622277425</c:v>
                </c:pt>
                <c:pt idx="97">
                  <c:v>-2870.2391541978573</c:v>
                </c:pt>
                <c:pt idx="98">
                  <c:v>-3003.1360790277895</c:v>
                </c:pt>
                <c:pt idx="99">
                  <c:v>-3124.7670725650296</c:v>
                </c:pt>
                <c:pt idx="100">
                  <c:v>-3238.0656279709351</c:v>
                </c:pt>
                <c:pt idx="101">
                  <c:v>-3334.1133975044154</c:v>
                </c:pt>
                <c:pt idx="102">
                  <c:v>-3377.5755614305531</c:v>
                </c:pt>
                <c:pt idx="103">
                  <c:v>-3413.4802671756679</c:v>
                </c:pt>
                <c:pt idx="104">
                  <c:v>-3440.3339253835034</c:v>
                </c:pt>
                <c:pt idx="105">
                  <c:v>-3456.8365463763794</c:v>
                </c:pt>
                <c:pt idx="106">
                  <c:v>-3470.5388964038807</c:v>
                </c:pt>
                <c:pt idx="107">
                  <c:v>-3482.0648487638437</c:v>
                </c:pt>
                <c:pt idx="108">
                  <c:v>-3491.8718152542115</c:v>
                </c:pt>
                <c:pt idx="109">
                  <c:v>-3500.3015813808565</c:v>
                </c:pt>
                <c:pt idx="110">
                  <c:v>-3507.613871013416</c:v>
                </c:pt>
                <c:pt idx="111">
                  <c:v>-3514.0090420252936</c:v>
                </c:pt>
                <c:pt idx="112">
                  <c:v>-3519.6437620622637</c:v>
                </c:pt>
                <c:pt idx="113">
                  <c:v>-3524.6420441981577</c:v>
                </c:pt>
                <c:pt idx="114">
                  <c:v>-3529.103150913249</c:v>
                </c:pt>
                <c:pt idx="115">
                  <c:v>-3533.107344265065</c:v>
                </c:pt>
                <c:pt idx="116">
                  <c:v>-3536.7201291867109</c:v>
                </c:pt>
                <c:pt idx="117">
                  <c:v>-3539.9954259131046</c:v>
                </c:pt>
                <c:pt idx="118">
                  <c:v>-3542.9779703997001</c:v>
                </c:pt>
                <c:pt idx="119">
                  <c:v>-3545.7051507927749</c:v>
                </c:pt>
                <c:pt idx="120">
                  <c:v>-3547.5956888293695</c:v>
                </c:pt>
                <c:pt idx="121">
                  <c:v>-3549.3070031416605</c:v>
                </c:pt>
                <c:pt idx="122">
                  <c:v>-3550.8669574402738</c:v>
                </c:pt>
                <c:pt idx="123">
                  <c:v>-3552.2932971619521</c:v>
                </c:pt>
                <c:pt idx="124">
                  <c:v>-3553.6012185167201</c:v>
                </c:pt>
                <c:pt idx="125">
                  <c:v>-3554.8037969544494</c:v>
                </c:pt>
                <c:pt idx="126">
                  <c:v>-3555.9123337576111</c:v>
                </c:pt>
                <c:pt idx="127">
                  <c:v>-3556.9366381776013</c:v>
                </c:pt>
                <c:pt idx="128">
                  <c:v>-3557.8852584716619</c:v>
                </c:pt>
                <c:pt idx="129">
                  <c:v>-3558.7656721659359</c:v>
                </c:pt>
                <c:pt idx="130">
                  <c:v>-3559.5844435685472</c:v>
                </c:pt>
                <c:pt idx="131">
                  <c:v>-3560.347354833882</c:v>
                </c:pt>
                <c:pt idx="132">
                  <c:v>-3561.059515531038</c:v>
                </c:pt>
                <c:pt idx="133">
                  <c:v>-3561.7254546744784</c:v>
                </c:pt>
                <c:pt idx="134">
                  <c:v>-3562.3491983342997</c:v>
                </c:pt>
                <c:pt idx="135">
                  <c:v>-3562.9343353801423</c:v>
                </c:pt>
                <c:pt idx="136">
                  <c:v>-3563.4840733668916</c:v>
                </c:pt>
                <c:pt idx="137">
                  <c:v>-3564.0012862363469</c:v>
                </c:pt>
                <c:pt idx="138">
                  <c:v>-3564.4885551676111</c:v>
                </c:pt>
                <c:pt idx="139">
                  <c:v>-3564.9482036826057</c:v>
                </c:pt>
                <c:pt idx="140">
                  <c:v>-3565.3823279136268</c:v>
                </c:pt>
                <c:pt idx="141">
                  <c:v>-3565.7928227800849</c:v>
                </c:pt>
                <c:pt idx="142">
                  <c:v>-3566.1814046941308</c:v>
                </c:pt>
                <c:pt idx="143">
                  <c:v>-3566.5496313134736</c:v>
                </c:pt>
                <c:pt idx="144">
                  <c:v>-3566.8989187701559</c:v>
                </c:pt>
                <c:pt idx="145">
                  <c:v>-3567.2305567402386</c:v>
                </c:pt>
                <c:pt idx="146">
                  <c:v>-3567.5457216558116</c:v>
                </c:pt>
                <c:pt idx="147">
                  <c:v>-3567.8454883160271</c:v>
                </c:pt>
                <c:pt idx="148">
                  <c:v>-3568.1308401172578</c:v>
                </c:pt>
                <c:pt idx="149">
                  <c:v>-3568.4026780849586</c:v>
                </c:pt>
                <c:pt idx="150">
                  <c:v>-3568.6618288632071</c:v>
                </c:pt>
                <c:pt idx="151">
                  <c:v>-3568.9090518000662</c:v>
                </c:pt>
                <c:pt idx="152">
                  <c:v>-3569.1450452402032</c:v>
                </c:pt>
                <c:pt idx="153">
                  <c:v>-3569.3704521254845</c:v>
                </c:pt>
                <c:pt idx="154">
                  <c:v>-3569.5858649857778</c:v>
                </c:pt>
                <c:pt idx="155">
                  <c:v>-3569.7918304007285</c:v>
                </c:pt>
                <c:pt idx="156">
                  <c:v>-3569.988852983332</c:v>
                </c:pt>
                <c:pt idx="157">
                  <c:v>-3570.177398955017</c:v>
                </c:pt>
                <c:pt idx="158">
                  <c:v>-3570.3578993478322</c:v>
                </c:pt>
                <c:pt idx="159">
                  <c:v>-3570.5307528811486</c:v>
                </c:pt>
                <c:pt idx="160">
                  <c:v>-3570.6963285497036</c:v>
                </c:pt>
                <c:pt idx="161">
                  <c:v>-3570.8549679527382</c:v>
                </c:pt>
                <c:pt idx="162">
                  <c:v>-3571.0069873897728</c:v>
                </c:pt>
                <c:pt idx="163">
                  <c:v>-3571.152679753342</c:v>
                </c:pt>
                <c:pt idx="164">
                  <c:v>-3571.2923162342286</c:v>
                </c:pt>
                <c:pt idx="165">
                  <c:v>-3571.4261478608892</c:v>
                </c:pt>
                <c:pt idx="166">
                  <c:v>-3571.5544068920458</c:v>
                </c:pt>
                <c:pt idx="167">
                  <c:v>-3571.6773080657049</c:v>
                </c:pt>
                <c:pt idx="168">
                  <c:v>-3571.7950497348011</c:v>
                </c:pt>
                <c:pt idx="169">
                  <c:v>-3571.9078148859285</c:v>
                </c:pt>
                <c:pt idx="170">
                  <c:v>-3572.0157720568327</c:v>
                </c:pt>
                <c:pt idx="171">
                  <c:v>-3572.1190761650168</c:v>
                </c:pt>
                <c:pt idx="172">
                  <c:v>-3572.2178692459624</c:v>
                </c:pt>
                <c:pt idx="173">
                  <c:v>-3572.3122811175958</c:v>
                </c:pt>
                <c:pt idx="174">
                  <c:v>-3572.4024299686075</c:v>
                </c:pt>
                <c:pt idx="175">
                  <c:v>-3572.4884228830701</c:v>
                </c:pt>
                <c:pt idx="176">
                  <c:v>-3572.5703562998374</c:v>
                </c:pt>
                <c:pt idx="177">
                  <c:v>-3572.6483164136816</c:v>
                </c:pt>
                <c:pt idx="178">
                  <c:v>-3572.7223795223485</c:v>
                </c:pt>
                <c:pt idx="179">
                  <c:v>-3572.7926123180137</c:v>
                </c:pt>
                <c:pt idx="180">
                  <c:v>-3572.8590721303899</c:v>
                </c:pt>
                <c:pt idx="181">
                  <c:v>-3572.7926123180132</c:v>
                </c:pt>
                <c:pt idx="182">
                  <c:v>-3572.7223795223476</c:v>
                </c:pt>
                <c:pt idx="183">
                  <c:v>-3572.6483164136816</c:v>
                </c:pt>
                <c:pt idx="184">
                  <c:v>-3572.5703562998374</c:v>
                </c:pt>
                <c:pt idx="185">
                  <c:v>-3572.4884228830701</c:v>
                </c:pt>
                <c:pt idx="186">
                  <c:v>-3572.4024299686071</c:v>
                </c:pt>
                <c:pt idx="187">
                  <c:v>-3572.3122811175954</c:v>
                </c:pt>
                <c:pt idx="188">
                  <c:v>-3572.217869245962</c:v>
                </c:pt>
                <c:pt idx="189">
                  <c:v>-3572.1190761650168</c:v>
                </c:pt>
                <c:pt idx="190">
                  <c:v>-3572.0157720568336</c:v>
                </c:pt>
                <c:pt idx="191">
                  <c:v>-3571.9078148859289</c:v>
                </c:pt>
                <c:pt idx="192">
                  <c:v>-3571.7950497347997</c:v>
                </c:pt>
                <c:pt idx="193">
                  <c:v>-3571.6773080657049</c:v>
                </c:pt>
                <c:pt idx="194">
                  <c:v>-3571.5544068920444</c:v>
                </c:pt>
                <c:pt idx="195">
                  <c:v>-3571.4261478608878</c:v>
                </c:pt>
                <c:pt idx="196">
                  <c:v>-3571.2923162342272</c:v>
                </c:pt>
                <c:pt idx="197">
                  <c:v>-3571.152679753342</c:v>
                </c:pt>
                <c:pt idx="198">
                  <c:v>-3571.0069873897714</c:v>
                </c:pt>
                <c:pt idx="199">
                  <c:v>-3570.8549679527391</c:v>
                </c:pt>
                <c:pt idx="200">
                  <c:v>-3570.6963285497045</c:v>
                </c:pt>
                <c:pt idx="201">
                  <c:v>-3570.53075288115</c:v>
                </c:pt>
                <c:pt idx="202">
                  <c:v>-3570.3578993478322</c:v>
                </c:pt>
                <c:pt idx="203">
                  <c:v>-3570.1773989550165</c:v>
                </c:pt>
                <c:pt idx="204">
                  <c:v>-3569.9888529833356</c:v>
                </c:pt>
                <c:pt idx="205">
                  <c:v>-3569.7918304007253</c:v>
                </c:pt>
                <c:pt idx="206">
                  <c:v>-3569.5858649857769</c:v>
                </c:pt>
                <c:pt idx="207">
                  <c:v>-3569.3704521254845</c:v>
                </c:pt>
                <c:pt idx="208">
                  <c:v>-3569.1450452402032</c:v>
                </c:pt>
                <c:pt idx="209">
                  <c:v>-3568.9090518000676</c:v>
                </c:pt>
                <c:pt idx="210">
                  <c:v>-3568.6618288632067</c:v>
                </c:pt>
                <c:pt idx="211">
                  <c:v>-3568.4026780849608</c:v>
                </c:pt>
                <c:pt idx="212">
                  <c:v>-3568.1308401172582</c:v>
                </c:pt>
                <c:pt idx="213">
                  <c:v>-3567.8454883160271</c:v>
                </c:pt>
                <c:pt idx="214">
                  <c:v>-3567.5457216558125</c:v>
                </c:pt>
                <c:pt idx="215">
                  <c:v>-3567.23055674024</c:v>
                </c:pt>
                <c:pt idx="216">
                  <c:v>-3566.8989187701591</c:v>
                </c:pt>
                <c:pt idx="217">
                  <c:v>-3566.5496313134749</c:v>
                </c:pt>
                <c:pt idx="218">
                  <c:v>-3566.1814046941267</c:v>
                </c:pt>
                <c:pt idx="219">
                  <c:v>-3565.7928227800817</c:v>
                </c:pt>
                <c:pt idx="220">
                  <c:v>-3565.3823279136268</c:v>
                </c:pt>
                <c:pt idx="221">
                  <c:v>-3564.9482036826025</c:v>
                </c:pt>
                <c:pt idx="222">
                  <c:v>-3564.488555167612</c:v>
                </c:pt>
                <c:pt idx="223">
                  <c:v>-3564.0012862363451</c:v>
                </c:pt>
                <c:pt idx="224">
                  <c:v>-3563.4840733668912</c:v>
                </c:pt>
                <c:pt idx="225">
                  <c:v>-3562.9343353801432</c:v>
                </c:pt>
                <c:pt idx="226">
                  <c:v>-3562.3491983342988</c:v>
                </c:pt>
                <c:pt idx="227">
                  <c:v>-3561.7254546744794</c:v>
                </c:pt>
                <c:pt idx="228">
                  <c:v>-3561.0595155310371</c:v>
                </c:pt>
                <c:pt idx="229">
                  <c:v>-3560.3473548338798</c:v>
                </c:pt>
                <c:pt idx="230">
                  <c:v>-3559.5844435685485</c:v>
                </c:pt>
                <c:pt idx="231">
                  <c:v>-3558.7656721659314</c:v>
                </c:pt>
                <c:pt idx="232">
                  <c:v>-3557.8852584716574</c:v>
                </c:pt>
                <c:pt idx="233">
                  <c:v>-3556.9366381776022</c:v>
                </c:pt>
                <c:pt idx="234">
                  <c:v>-3555.9123337576088</c:v>
                </c:pt>
                <c:pt idx="235">
                  <c:v>-3554.8037969544494</c:v>
                </c:pt>
                <c:pt idx="236">
                  <c:v>-3553.6012185167206</c:v>
                </c:pt>
                <c:pt idx="237">
                  <c:v>-3552.2932971619543</c:v>
                </c:pt>
                <c:pt idx="238">
                  <c:v>-3550.8669574402716</c:v>
                </c:pt>
                <c:pt idx="239">
                  <c:v>-3549.3070031416601</c:v>
                </c:pt>
                <c:pt idx="240">
                  <c:v>-3547.5956888293699</c:v>
                </c:pt>
                <c:pt idx="241">
                  <c:v>-3545.7051507927786</c:v>
                </c:pt>
                <c:pt idx="242">
                  <c:v>-3542.9779703997001</c:v>
                </c:pt>
                <c:pt idx="243">
                  <c:v>-3539.9954259131023</c:v>
                </c:pt>
                <c:pt idx="244">
                  <c:v>-3536.7201291867132</c:v>
                </c:pt>
                <c:pt idx="245">
                  <c:v>-3533.1073442650622</c:v>
                </c:pt>
                <c:pt idx="246">
                  <c:v>-3529.1031509132454</c:v>
                </c:pt>
                <c:pt idx="247">
                  <c:v>-3524.6420441981577</c:v>
                </c:pt>
                <c:pt idx="248">
                  <c:v>-3519.6437620622642</c:v>
                </c:pt>
                <c:pt idx="249">
                  <c:v>-3514.0090420252936</c:v>
                </c:pt>
                <c:pt idx="250">
                  <c:v>-3507.6138710134128</c:v>
                </c:pt>
                <c:pt idx="251">
                  <c:v>-3500.3015813808547</c:v>
                </c:pt>
                <c:pt idx="252">
                  <c:v>-3491.8718152542137</c:v>
                </c:pt>
                <c:pt idx="253">
                  <c:v>-3482.0648487638446</c:v>
                </c:pt>
                <c:pt idx="254">
                  <c:v>-3470.5388964038789</c:v>
                </c:pt>
                <c:pt idx="255">
                  <c:v>-3456.836546376378</c:v>
                </c:pt>
                <c:pt idx="256">
                  <c:v>-3440.3339253835029</c:v>
                </c:pt>
                <c:pt idx="257">
                  <c:v>-3413.4802671756702</c:v>
                </c:pt>
                <c:pt idx="258">
                  <c:v>-3377.5755614305563</c:v>
                </c:pt>
                <c:pt idx="259">
                  <c:v>-3334.1133975044118</c:v>
                </c:pt>
                <c:pt idx="260">
                  <c:v>-3238.0656279709374</c:v>
                </c:pt>
                <c:pt idx="261">
                  <c:v>-3124.767072565031</c:v>
                </c:pt>
                <c:pt idx="262">
                  <c:v>-3003.1360790277954</c:v>
                </c:pt>
                <c:pt idx="263">
                  <c:v>-2870.2391541978545</c:v>
                </c:pt>
                <c:pt idx="264">
                  <c:v>-2721.4303622277416</c:v>
                </c:pt>
                <c:pt idx="265">
                  <c:v>-2548.7983910481621</c:v>
                </c:pt>
                <c:pt idx="266">
                  <c:v>-2337.4605625421323</c:v>
                </c:pt>
                <c:pt idx="267">
                  <c:v>-2050.9521165033857</c:v>
                </c:pt>
                <c:pt idx="268">
                  <c:v>-1624.5098857045778</c:v>
                </c:pt>
                <c:pt idx="269">
                  <c:v>-896.15770580672745</c:v>
                </c:pt>
                <c:pt idx="270">
                  <c:v>-1.0795673798890886E-11</c:v>
                </c:pt>
                <c:pt idx="271">
                  <c:v>896.15770580671051</c:v>
                </c:pt>
                <c:pt idx="272">
                  <c:v>1624.5098857045948</c:v>
                </c:pt>
                <c:pt idx="273">
                  <c:v>2050.9521165033775</c:v>
                </c:pt>
                <c:pt idx="274">
                  <c:v>2337.4605625421268</c:v>
                </c:pt>
                <c:pt idx="275">
                  <c:v>2548.7983910481562</c:v>
                </c:pt>
                <c:pt idx="276">
                  <c:v>2721.4303622277353</c:v>
                </c:pt>
                <c:pt idx="277">
                  <c:v>2870.2391541978595</c:v>
                </c:pt>
                <c:pt idx="278">
                  <c:v>3003.1360790277909</c:v>
                </c:pt>
                <c:pt idx="279">
                  <c:v>3124.7670725650269</c:v>
                </c:pt>
                <c:pt idx="280">
                  <c:v>3238.0656279709324</c:v>
                </c:pt>
                <c:pt idx="281">
                  <c:v>3334.1133975044181</c:v>
                </c:pt>
                <c:pt idx="282">
                  <c:v>3377.5755614305513</c:v>
                </c:pt>
                <c:pt idx="283">
                  <c:v>3413.4802671756679</c:v>
                </c:pt>
                <c:pt idx="284">
                  <c:v>3440.3339253834997</c:v>
                </c:pt>
                <c:pt idx="285">
                  <c:v>3456.8365463763739</c:v>
                </c:pt>
                <c:pt idx="286">
                  <c:v>3470.5388964038812</c:v>
                </c:pt>
                <c:pt idx="287">
                  <c:v>3482.0648487638423</c:v>
                </c:pt>
                <c:pt idx="288">
                  <c:v>3491.8718152542097</c:v>
                </c:pt>
                <c:pt idx="289">
                  <c:v>3500.3015813808533</c:v>
                </c:pt>
                <c:pt idx="290">
                  <c:v>3507.6138710134173</c:v>
                </c:pt>
                <c:pt idx="291">
                  <c:v>3514.0090420252941</c:v>
                </c:pt>
                <c:pt idx="292">
                  <c:v>3519.6437620622642</c:v>
                </c:pt>
                <c:pt idx="293">
                  <c:v>3524.6420441981595</c:v>
                </c:pt>
                <c:pt idx="294">
                  <c:v>3529.103150913244</c:v>
                </c:pt>
                <c:pt idx="295">
                  <c:v>3533.107344265065</c:v>
                </c:pt>
                <c:pt idx="296">
                  <c:v>3536.7201291867123</c:v>
                </c:pt>
                <c:pt idx="297">
                  <c:v>3539.9954259131027</c:v>
                </c:pt>
                <c:pt idx="298">
                  <c:v>3542.9779703996996</c:v>
                </c:pt>
                <c:pt idx="299">
                  <c:v>3545.7051507927781</c:v>
                </c:pt>
                <c:pt idx="300">
                  <c:v>3547.5956888293717</c:v>
                </c:pt>
                <c:pt idx="301">
                  <c:v>3549.3070031416582</c:v>
                </c:pt>
                <c:pt idx="302">
                  <c:v>3550.8669574402729</c:v>
                </c:pt>
                <c:pt idx="303">
                  <c:v>3552.2932971619534</c:v>
                </c:pt>
                <c:pt idx="304">
                  <c:v>3553.6012185167206</c:v>
                </c:pt>
                <c:pt idx="305">
                  <c:v>3554.8037969544453</c:v>
                </c:pt>
                <c:pt idx="306">
                  <c:v>3555.912333757607</c:v>
                </c:pt>
                <c:pt idx="307">
                  <c:v>3556.9366381776008</c:v>
                </c:pt>
                <c:pt idx="308">
                  <c:v>3557.8852584716606</c:v>
                </c:pt>
                <c:pt idx="309">
                  <c:v>3558.7656721659296</c:v>
                </c:pt>
                <c:pt idx="310">
                  <c:v>3559.5844435685467</c:v>
                </c:pt>
                <c:pt idx="311">
                  <c:v>3560.3473548338825</c:v>
                </c:pt>
                <c:pt idx="312">
                  <c:v>3561.0595155310348</c:v>
                </c:pt>
                <c:pt idx="313">
                  <c:v>3561.7254546744803</c:v>
                </c:pt>
                <c:pt idx="314">
                  <c:v>3562.3491983343019</c:v>
                </c:pt>
                <c:pt idx="315">
                  <c:v>3562.934335380141</c:v>
                </c:pt>
                <c:pt idx="316">
                  <c:v>3563.4840733668898</c:v>
                </c:pt>
                <c:pt idx="317">
                  <c:v>3564.0012862363455</c:v>
                </c:pt>
                <c:pt idx="318">
                  <c:v>3564.4885551676089</c:v>
                </c:pt>
                <c:pt idx="319">
                  <c:v>3564.9482036826057</c:v>
                </c:pt>
                <c:pt idx="320">
                  <c:v>3565.3823279136245</c:v>
                </c:pt>
                <c:pt idx="321">
                  <c:v>3565.7928227800808</c:v>
                </c:pt>
                <c:pt idx="322">
                  <c:v>3566.1814046941267</c:v>
                </c:pt>
                <c:pt idx="323">
                  <c:v>3566.5496313134749</c:v>
                </c:pt>
                <c:pt idx="324">
                  <c:v>3566.8989187701586</c:v>
                </c:pt>
                <c:pt idx="325">
                  <c:v>3567.2305567402423</c:v>
                </c:pt>
                <c:pt idx="326">
                  <c:v>3567.5457216558102</c:v>
                </c:pt>
                <c:pt idx="327">
                  <c:v>3567.8454883160266</c:v>
                </c:pt>
                <c:pt idx="328">
                  <c:v>3568.13084011726</c:v>
                </c:pt>
                <c:pt idx="329">
                  <c:v>3568.4026780849599</c:v>
                </c:pt>
                <c:pt idx="330">
                  <c:v>3568.6618288632062</c:v>
                </c:pt>
                <c:pt idx="331">
                  <c:v>3568.9090518000662</c:v>
                </c:pt>
                <c:pt idx="332">
                  <c:v>3569.1450452402009</c:v>
                </c:pt>
                <c:pt idx="333">
                  <c:v>3569.3704521254845</c:v>
                </c:pt>
                <c:pt idx="334">
                  <c:v>3569.5858649857787</c:v>
                </c:pt>
                <c:pt idx="335">
                  <c:v>3569.7918304007253</c:v>
                </c:pt>
                <c:pt idx="336">
                  <c:v>3569.988852983337</c:v>
                </c:pt>
                <c:pt idx="337">
                  <c:v>3570.1773989550175</c:v>
                </c:pt>
                <c:pt idx="338">
                  <c:v>3570.3578993478322</c:v>
                </c:pt>
                <c:pt idx="339">
                  <c:v>3570.5307528811481</c:v>
                </c:pt>
                <c:pt idx="340">
                  <c:v>3570.6963285497086</c:v>
                </c:pt>
                <c:pt idx="341">
                  <c:v>3570.8549679527391</c:v>
                </c:pt>
                <c:pt idx="342">
                  <c:v>3571.0069873897733</c:v>
                </c:pt>
                <c:pt idx="343">
                  <c:v>3571.1526797533411</c:v>
                </c:pt>
                <c:pt idx="344">
                  <c:v>3571.2923162342272</c:v>
                </c:pt>
                <c:pt idx="345">
                  <c:v>3571.4261478608878</c:v>
                </c:pt>
                <c:pt idx="346">
                  <c:v>3571.5544068920472</c:v>
                </c:pt>
                <c:pt idx="347">
                  <c:v>3571.6773080657053</c:v>
                </c:pt>
                <c:pt idx="348">
                  <c:v>3571.7950497348011</c:v>
                </c:pt>
                <c:pt idx="349">
                  <c:v>3571.9078148859289</c:v>
                </c:pt>
                <c:pt idx="350">
                  <c:v>3572.0157720568336</c:v>
                </c:pt>
                <c:pt idx="351">
                  <c:v>3572.1190761650168</c:v>
                </c:pt>
                <c:pt idx="352">
                  <c:v>3572.217869245962</c:v>
                </c:pt>
                <c:pt idx="353">
                  <c:v>3572.3122811175958</c:v>
                </c:pt>
                <c:pt idx="354">
                  <c:v>3572.4024299686066</c:v>
                </c:pt>
                <c:pt idx="355">
                  <c:v>3572.4884228830701</c:v>
                </c:pt>
                <c:pt idx="356">
                  <c:v>3572.5703562998374</c:v>
                </c:pt>
                <c:pt idx="357">
                  <c:v>3572.6483164136826</c:v>
                </c:pt>
                <c:pt idx="358">
                  <c:v>3572.7223795223476</c:v>
                </c:pt>
                <c:pt idx="359">
                  <c:v>3572.7926123180132</c:v>
                </c:pt>
                <c:pt idx="360">
                  <c:v>3572.8590721303899</c:v>
                </c:pt>
                <c:pt idx="361">
                  <c:v>3572.8590721303899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0.23738888302375188</c:v>
                </c:pt>
                <c:pt idx="2">
                  <c:v>0.47492246508776931</c:v>
                </c:pt>
                <c:pt idx="3">
                  <c:v>0.71274579824936379</c:v>
                </c:pt>
                <c:pt idx="4">
                  <c:v>0.95100464243172389</c:v>
                </c:pt>
                <c:pt idx="5" formatCode="0.00000">
                  <c:v>1.1898458239525327</c:v>
                </c:pt>
                <c:pt idx="6" formatCode="0.00000">
                  <c:v>1.4294175996132026</c:v>
                </c:pt>
                <c:pt idx="7">
                  <c:v>1.6698700282796153</c:v>
                </c:pt>
                <c:pt idx="8">
                  <c:v>1.9113553519525113</c:v>
                </c:pt>
                <c:pt idx="9">
                  <c:v>2.1540283884135762</c:v>
                </c:pt>
                <c:pt idx="10">
                  <c:v>2.3980469376353315</c:v>
                </c:pt>
                <c:pt idx="11">
                  <c:v>2.6435722042727776</c:v>
                </c:pt>
                <c:pt idx="12">
                  <c:v>2.8907692387123465</c:v>
                </c:pt>
                <c:pt idx="13">
                  <c:v>3.1398073993076649</c:v>
                </c:pt>
                <c:pt idx="14">
                  <c:v>3.3908608386677317</c:v>
                </c:pt>
                <c:pt idx="15">
                  <c:v>3.6441090170631472</c:v>
                </c:pt>
                <c:pt idx="16">
                  <c:v>3.8997372463196824</c:v>
                </c:pt>
                <c:pt idx="17">
                  <c:v>4.1579372678375419</c:v>
                </c:pt>
                <c:pt idx="18">
                  <c:v>4.4189078687672465</c:v>
                </c:pt>
                <c:pt idx="19">
                  <c:v>4.6828555407397747</c:v>
                </c:pt>
                <c:pt idx="20">
                  <c:v>4.9499951860203506</c:v>
                </c:pt>
                <c:pt idx="21">
                  <c:v>5.2205508764821396</c:v>
                </c:pt>
                <c:pt idx="22">
                  <c:v>5.4947566713588456</c:v>
                </c:pt>
                <c:pt idx="23">
                  <c:v>5.7728575004506633</c:v>
                </c:pt>
                <c:pt idx="24">
                  <c:v>6.0551101201958772</c:v>
                </c:pt>
                <c:pt idx="25">
                  <c:v>6.3417841509076425</c:v>
                </c:pt>
                <c:pt idx="26">
                  <c:v>6.6331632044949407</c:v>
                </c:pt>
                <c:pt idx="27">
                  <c:v>6.9295461131246157</c:v>
                </c:pt>
                <c:pt idx="28">
                  <c:v>7.2312482705968248</c:v>
                </c:pt>
                <c:pt idx="29">
                  <c:v>7.5386030997576192</c:v>
                </c:pt>
                <c:pt idx="30">
                  <c:v>7.8519636609785266</c:v>
                </c:pt>
                <c:pt idx="31">
                  <c:v>8.1717044187749721</c:v>
                </c:pt>
                <c:pt idx="32">
                  <c:v>8.4982231859666175</c:v>
                </c:pt>
                <c:pt idx="33">
                  <c:v>8.8319432674860767</c:v>
                </c:pt>
                <c:pt idx="34">
                  <c:v>9.1733158290572661</c:v>
                </c:pt>
                <c:pt idx="35">
                  <c:v>9.5228225196519816</c:v>
                </c:pt>
                <c:pt idx="36">
                  <c:v>9.8809783808730582</c:v>
                </c:pt>
                <c:pt idx="37">
                  <c:v>10.248335081397636</c:v>
                </c:pt>
                <c:pt idx="38">
                  <c:v>10.625484520492408</c:v>
                </c:pt>
                <c:pt idx="39">
                  <c:v>11.01306285145265</c:v>
                </c:pt>
                <c:pt idx="40">
                  <c:v>11.411754984011351</c:v>
                </c:pt>
                <c:pt idx="41">
                  <c:v>11.822299634301634</c:v>
                </c:pt>
                <c:pt idx="42">
                  <c:v>12.245495002451026</c:v>
                </c:pt>
                <c:pt idx="43">
                  <c:v>12.682205171472015</c:v>
                </c:pt>
                <c:pt idx="44">
                  <c:v>13.133367337375786</c:v>
                </c:pt>
                <c:pt idx="45">
                  <c:v>13.599999999999637</c:v>
                </c:pt>
                <c:pt idx="46">
                  <c:v>14.083212267551152</c:v>
                </c:pt>
                <c:pt idx="47">
                  <c:v>14.584214456335394</c:v>
                </c:pt>
                <c:pt idx="48">
                  <c:v>15.104330201676477</c:v>
                </c:pt>
                <c:pt idx="49">
                  <c:v>15.645010338205156</c:v>
                </c:pt>
                <c:pt idx="50">
                  <c:v>16.207848859279967</c:v>
                </c:pt>
                <c:pt idx="51">
                  <c:v>16.794601328875981</c:v>
                </c:pt>
                <c:pt idx="52">
                  <c:v>17.407206197825964</c:v>
                </c:pt>
                <c:pt idx="53">
                  <c:v>18.047809574038638</c:v>
                </c:pt>
                <c:pt idx="54">
                  <c:v>18.718794118407551</c:v>
                </c:pt>
                <c:pt idx="55">
                  <c:v>19.422812891692956</c:v>
                </c:pt>
                <c:pt idx="56">
                  <c:v>20.162829171773595</c:v>
                </c:pt>
                <c:pt idx="57">
                  <c:v>20.942163507878924</c:v>
                </c:pt>
                <c:pt idx="58">
                  <c:v>21.76454959495786</c:v>
                </c:pt>
                <c:pt idx="59">
                  <c:v>22.634200959965344</c:v>
                </c:pt>
                <c:pt idx="60">
                  <c:v>23.555890982937218</c:v>
                </c:pt>
                <c:pt idx="61">
                  <c:v>24.535049471691401</c:v>
                </c:pt>
                <c:pt idx="62">
                  <c:v>25.577879928710811</c:v>
                </c:pt>
                <c:pt idx="63">
                  <c:v>26.691502874870459</c:v>
                </c:pt>
                <c:pt idx="64">
                  <c:v>27.884132245478668</c:v>
                </c:pt>
                <c:pt idx="65">
                  <c:v>29.165294118930614</c:v>
                </c:pt>
                <c:pt idx="66">
                  <c:v>30.546100125097926</c:v>
                </c:pt>
                <c:pt idx="67">
                  <c:v>32.039592175202237</c:v>
                </c:pt>
                <c:pt idx="68">
                  <c:v>33.661181206461563</c:v>
                </c:pt>
                <c:pt idx="69">
                  <c:v>35.429211279835222</c:v>
                </c:pt>
                <c:pt idx="70">
                  <c:v>37.365692904582467</c:v>
                </c:pt>
                <c:pt idx="71">
                  <c:v>39.497267936391019</c:v>
                </c:pt>
                <c:pt idx="72">
                  <c:v>41.856496105583027</c:v>
                </c:pt>
                <c:pt idx="73">
                  <c:v>44.483595611383905</c:v>
                </c:pt>
                <c:pt idx="74">
                  <c:v>47.428836436236224</c:v>
                </c:pt>
                <c:pt idx="75">
                  <c:v>50.75589098293608</c:v>
                </c:pt>
                <c:pt idx="76">
                  <c:v>54.546620696087302</c:v>
                </c:pt>
                <c:pt idx="77">
                  <c:v>58.908071890264459</c:v>
                </c:pt>
                <c:pt idx="78">
                  <c:v>63.982969488907251</c:v>
                </c:pt>
                <c:pt idx="79">
                  <c:v>69.943130950603432</c:v>
                </c:pt>
                <c:pt idx="80">
                  <c:v>74.600488068603838</c:v>
                </c:pt>
                <c:pt idx="81">
                  <c:v>79.041506693721772</c:v>
                </c:pt>
                <c:pt idx="82">
                  <c:v>83.762569409924026</c:v>
                </c:pt>
                <c:pt idx="83">
                  <c:v>88.889560398315709</c:v>
                </c:pt>
                <c:pt idx="84">
                  <c:v>94.611023020838118</c:v>
                </c:pt>
                <c:pt idx="85">
                  <c:v>101.22805059005123</c:v>
                </c:pt>
                <c:pt idx="86">
                  <c:v>109.26661747517717</c:v>
                </c:pt>
                <c:pt idx="87">
                  <c:v>119.70907821910671</c:v>
                </c:pt>
                <c:pt idx="88">
                  <c:v>134.29896736034436</c:v>
                </c:pt>
                <c:pt idx="89">
                  <c:v>155.90972791710254</c:v>
                </c:pt>
                <c:pt idx="90">
                  <c:v>170.99994239683608</c:v>
                </c:pt>
                <c:pt idx="91">
                  <c:v>155.9097279171026</c:v>
                </c:pt>
                <c:pt idx="92">
                  <c:v>134.29896736034436</c:v>
                </c:pt>
                <c:pt idx="93">
                  <c:v>119.70907821910676</c:v>
                </c:pt>
                <c:pt idx="94">
                  <c:v>109.26661747517726</c:v>
                </c:pt>
                <c:pt idx="95">
                  <c:v>101.2280505900513</c:v>
                </c:pt>
                <c:pt idx="96">
                  <c:v>94.61102302083799</c:v>
                </c:pt>
                <c:pt idx="97">
                  <c:v>88.889560398315822</c:v>
                </c:pt>
                <c:pt idx="98">
                  <c:v>83.762569409924367</c:v>
                </c:pt>
                <c:pt idx="99">
                  <c:v>79.041506693721757</c:v>
                </c:pt>
                <c:pt idx="100">
                  <c:v>74.600488068603724</c:v>
                </c:pt>
                <c:pt idx="101">
                  <c:v>69.943130950603148</c:v>
                </c:pt>
                <c:pt idx="102">
                  <c:v>63.982969488907109</c:v>
                </c:pt>
                <c:pt idx="103">
                  <c:v>58.908071890264864</c:v>
                </c:pt>
                <c:pt idx="104">
                  <c:v>54.546620696087572</c:v>
                </c:pt>
                <c:pt idx="105">
                  <c:v>50.75589098293608</c:v>
                </c:pt>
                <c:pt idx="106">
                  <c:v>47.428836436236907</c:v>
                </c:pt>
                <c:pt idx="107">
                  <c:v>44.483595611384182</c:v>
                </c:pt>
                <c:pt idx="108">
                  <c:v>41.856496105583851</c:v>
                </c:pt>
                <c:pt idx="109">
                  <c:v>39.497267936390202</c:v>
                </c:pt>
                <c:pt idx="110">
                  <c:v>37.365692904583696</c:v>
                </c:pt>
                <c:pt idx="111">
                  <c:v>35.429211279834959</c:v>
                </c:pt>
                <c:pt idx="112">
                  <c:v>33.661181206460881</c:v>
                </c:pt>
                <c:pt idx="113">
                  <c:v>32.03959217520196</c:v>
                </c:pt>
                <c:pt idx="114">
                  <c:v>30.546100125097926</c:v>
                </c:pt>
                <c:pt idx="115">
                  <c:v>29.165294118930891</c:v>
                </c:pt>
                <c:pt idx="116">
                  <c:v>27.884132245478121</c:v>
                </c:pt>
                <c:pt idx="117">
                  <c:v>26.691502874871002</c:v>
                </c:pt>
                <c:pt idx="118">
                  <c:v>25.577879928709173</c:v>
                </c:pt>
                <c:pt idx="119">
                  <c:v>24.535049471690854</c:v>
                </c:pt>
                <c:pt idx="120">
                  <c:v>23.555890982936944</c:v>
                </c:pt>
                <c:pt idx="121">
                  <c:v>22.634200959966982</c:v>
                </c:pt>
                <c:pt idx="122">
                  <c:v>21.76454959495868</c:v>
                </c:pt>
                <c:pt idx="123">
                  <c:v>20.942163507878924</c:v>
                </c:pt>
                <c:pt idx="124">
                  <c:v>20.162829171772501</c:v>
                </c:pt>
                <c:pt idx="125">
                  <c:v>19.422812891692683</c:v>
                </c:pt>
                <c:pt idx="126">
                  <c:v>18.718794118408912</c:v>
                </c:pt>
                <c:pt idx="127">
                  <c:v>18.047809574037</c:v>
                </c:pt>
                <c:pt idx="128">
                  <c:v>17.40720619782569</c:v>
                </c:pt>
                <c:pt idx="129">
                  <c:v>16.794601328877071</c:v>
                </c:pt>
                <c:pt idx="130">
                  <c:v>16.207848859280514</c:v>
                </c:pt>
                <c:pt idx="131">
                  <c:v>15.645010338205974</c:v>
                </c:pt>
                <c:pt idx="132">
                  <c:v>15.104330201676477</c:v>
                </c:pt>
                <c:pt idx="133">
                  <c:v>14.584214456337303</c:v>
                </c:pt>
                <c:pt idx="134">
                  <c:v>14.083212267552245</c:v>
                </c:pt>
                <c:pt idx="135">
                  <c:v>13.600000000000183</c:v>
                </c:pt>
                <c:pt idx="136">
                  <c:v>13.133367337374967</c:v>
                </c:pt>
                <c:pt idx="137">
                  <c:v>12.682205171471741</c:v>
                </c:pt>
                <c:pt idx="138">
                  <c:v>12.245495002450753</c:v>
                </c:pt>
                <c:pt idx="139">
                  <c:v>11.822299634301363</c:v>
                </c:pt>
                <c:pt idx="140">
                  <c:v>11.411754984011077</c:v>
                </c:pt>
                <c:pt idx="141">
                  <c:v>11.01306285145265</c:v>
                </c:pt>
                <c:pt idx="142">
                  <c:v>10.625484520491046</c:v>
                </c:pt>
                <c:pt idx="143">
                  <c:v>10.248335081397636</c:v>
                </c:pt>
                <c:pt idx="144">
                  <c:v>9.8809783808730582</c:v>
                </c:pt>
                <c:pt idx="145">
                  <c:v>9.5228225196503455</c:v>
                </c:pt>
                <c:pt idx="146">
                  <c:v>9.1733158290572661</c:v>
                </c:pt>
                <c:pt idx="147">
                  <c:v>8.8319432674858049</c:v>
                </c:pt>
                <c:pt idx="148">
                  <c:v>8.4982231859660722</c:v>
                </c:pt>
                <c:pt idx="149">
                  <c:v>8.171704418774425</c:v>
                </c:pt>
                <c:pt idx="150">
                  <c:v>7.8519636609787993</c:v>
                </c:pt>
                <c:pt idx="151">
                  <c:v>7.5386030997568012</c:v>
                </c:pt>
                <c:pt idx="152">
                  <c:v>7.2312482705960068</c:v>
                </c:pt>
                <c:pt idx="153">
                  <c:v>6.9295461131246157</c:v>
                </c:pt>
                <c:pt idx="154">
                  <c:v>6.6331632044952125</c:v>
                </c:pt>
                <c:pt idx="155">
                  <c:v>6.3417841509084614</c:v>
                </c:pt>
                <c:pt idx="156">
                  <c:v>6.055110120195331</c:v>
                </c:pt>
                <c:pt idx="157">
                  <c:v>5.7728575004503915</c:v>
                </c:pt>
                <c:pt idx="158">
                  <c:v>5.4947566713577549</c:v>
                </c:pt>
                <c:pt idx="159">
                  <c:v>5.2205508764817301</c:v>
                </c:pt>
                <c:pt idx="160">
                  <c:v>4.9499951860203506</c:v>
                </c:pt>
                <c:pt idx="161">
                  <c:v>4.6828555407396379</c:v>
                </c:pt>
                <c:pt idx="162">
                  <c:v>4.4189078687680645</c:v>
                </c:pt>
                <c:pt idx="163">
                  <c:v>4.1579372678375419</c:v>
                </c:pt>
                <c:pt idx="164">
                  <c:v>3.8997372463200914</c:v>
                </c:pt>
                <c:pt idx="165">
                  <c:v>3.6441090170635562</c:v>
                </c:pt>
                <c:pt idx="166">
                  <c:v>3.3908608386674586</c:v>
                </c:pt>
                <c:pt idx="167">
                  <c:v>3.1398073993076649</c:v>
                </c:pt>
                <c:pt idx="168">
                  <c:v>2.8907692387122097</c:v>
                </c:pt>
                <c:pt idx="169">
                  <c:v>2.6435722042727776</c:v>
                </c:pt>
                <c:pt idx="170">
                  <c:v>2.3980469376351268</c:v>
                </c:pt>
                <c:pt idx="171">
                  <c:v>2.154028388413781</c:v>
                </c:pt>
                <c:pt idx="172">
                  <c:v>1.9113553519525113</c:v>
                </c:pt>
                <c:pt idx="173">
                  <c:v>1.6698700282795471</c:v>
                </c:pt>
                <c:pt idx="174">
                  <c:v>1.4294175996132708</c:v>
                </c:pt>
                <c:pt idx="175">
                  <c:v>1.1898458239525327</c:v>
                </c:pt>
                <c:pt idx="176">
                  <c:v>0.95100464243172389</c:v>
                </c:pt>
                <c:pt idx="177">
                  <c:v>0.71274579824932971</c:v>
                </c:pt>
                <c:pt idx="178">
                  <c:v>0.47492246508778641</c:v>
                </c:pt>
                <c:pt idx="179">
                  <c:v>0.23738888302377747</c:v>
                </c:pt>
                <c:pt idx="180">
                  <c:v>6.9155534667118379E-15</c:v>
                </c:pt>
                <c:pt idx="181">
                  <c:v>-0.23738888302377747</c:v>
                </c:pt>
                <c:pt idx="182">
                  <c:v>-0.47492246508776931</c:v>
                </c:pt>
                <c:pt idx="183">
                  <c:v>-0.71274579824936379</c:v>
                </c:pt>
                <c:pt idx="184">
                  <c:v>-0.95100464243165572</c:v>
                </c:pt>
                <c:pt idx="185">
                  <c:v>-1.1898458239524645</c:v>
                </c:pt>
                <c:pt idx="186">
                  <c:v>-1.4294175996132026</c:v>
                </c:pt>
                <c:pt idx="187">
                  <c:v>-1.6698700282794789</c:v>
                </c:pt>
                <c:pt idx="188">
                  <c:v>-1.9113553519525797</c:v>
                </c:pt>
                <c:pt idx="189">
                  <c:v>-2.154028388413781</c:v>
                </c:pt>
                <c:pt idx="190">
                  <c:v>-2.3980469376353315</c:v>
                </c:pt>
                <c:pt idx="191">
                  <c:v>-2.643572204272914</c:v>
                </c:pt>
                <c:pt idx="192">
                  <c:v>-2.8907692387122097</c:v>
                </c:pt>
                <c:pt idx="193">
                  <c:v>-3.1398073993075286</c:v>
                </c:pt>
                <c:pt idx="194">
                  <c:v>-3.3908608386669132</c:v>
                </c:pt>
                <c:pt idx="195">
                  <c:v>-3.6441090170631472</c:v>
                </c:pt>
                <c:pt idx="196">
                  <c:v>-3.8997372463198192</c:v>
                </c:pt>
                <c:pt idx="197">
                  <c:v>-4.1579372678375419</c:v>
                </c:pt>
                <c:pt idx="198">
                  <c:v>-4.4189078687676551</c:v>
                </c:pt>
                <c:pt idx="199">
                  <c:v>-4.6828555407395012</c:v>
                </c:pt>
                <c:pt idx="200">
                  <c:v>-4.9499951860204874</c:v>
                </c:pt>
                <c:pt idx="201">
                  <c:v>-5.2205508764822754</c:v>
                </c:pt>
                <c:pt idx="202">
                  <c:v>-5.4947566713585729</c:v>
                </c:pt>
                <c:pt idx="203">
                  <c:v>-5.7728575004506633</c:v>
                </c:pt>
                <c:pt idx="204">
                  <c:v>-6.0551101201961499</c:v>
                </c:pt>
                <c:pt idx="205">
                  <c:v>-6.3417841509079151</c:v>
                </c:pt>
                <c:pt idx="206">
                  <c:v>-6.6331632044957587</c:v>
                </c:pt>
                <c:pt idx="207">
                  <c:v>-6.9295461131246157</c:v>
                </c:pt>
                <c:pt idx="208">
                  <c:v>-7.2312482705960068</c:v>
                </c:pt>
                <c:pt idx="209">
                  <c:v>-7.5386030997581663</c:v>
                </c:pt>
                <c:pt idx="210">
                  <c:v>-7.8519636609787993</c:v>
                </c:pt>
                <c:pt idx="211">
                  <c:v>-8.1717044187749721</c:v>
                </c:pt>
                <c:pt idx="212">
                  <c:v>-8.4982231859668911</c:v>
                </c:pt>
                <c:pt idx="213">
                  <c:v>-8.8319432674860767</c:v>
                </c:pt>
                <c:pt idx="214">
                  <c:v>-9.1733158290572661</c:v>
                </c:pt>
                <c:pt idx="215">
                  <c:v>-9.5228225196514362</c:v>
                </c:pt>
                <c:pt idx="216">
                  <c:v>-9.8809783808725129</c:v>
                </c:pt>
                <c:pt idx="217">
                  <c:v>-10.248335081398453</c:v>
                </c:pt>
                <c:pt idx="218">
                  <c:v>-10.625484520491046</c:v>
                </c:pt>
                <c:pt idx="219">
                  <c:v>-11.013062851452105</c:v>
                </c:pt>
                <c:pt idx="220">
                  <c:v>-11.411754984011351</c:v>
                </c:pt>
                <c:pt idx="221">
                  <c:v>-11.822299634299997</c:v>
                </c:pt>
                <c:pt idx="222">
                  <c:v>-12.245495002450753</c:v>
                </c:pt>
                <c:pt idx="223">
                  <c:v>-12.682205171472015</c:v>
                </c:pt>
                <c:pt idx="224">
                  <c:v>-13.133367337374967</c:v>
                </c:pt>
                <c:pt idx="225">
                  <c:v>-13.600000000000183</c:v>
                </c:pt>
                <c:pt idx="226">
                  <c:v>-14.083212267552245</c:v>
                </c:pt>
                <c:pt idx="227">
                  <c:v>-14.584214456335122</c:v>
                </c:pt>
                <c:pt idx="228">
                  <c:v>-15.10433020167784</c:v>
                </c:pt>
                <c:pt idx="229">
                  <c:v>-15.645010338205703</c:v>
                </c:pt>
                <c:pt idx="230">
                  <c:v>-16.207848859280514</c:v>
                </c:pt>
                <c:pt idx="231">
                  <c:v>-16.794601328876251</c:v>
                </c:pt>
                <c:pt idx="232">
                  <c:v>-17.407206197825417</c:v>
                </c:pt>
                <c:pt idx="233">
                  <c:v>-18.047809574038094</c:v>
                </c:pt>
                <c:pt idx="234">
                  <c:v>-18.718794118408095</c:v>
                </c:pt>
                <c:pt idx="235">
                  <c:v>-19.422812891692413</c:v>
                </c:pt>
                <c:pt idx="236">
                  <c:v>-20.162829171773865</c:v>
                </c:pt>
                <c:pt idx="237">
                  <c:v>-20.942163507878377</c:v>
                </c:pt>
                <c:pt idx="238">
                  <c:v>-21.76454959495786</c:v>
                </c:pt>
                <c:pt idx="239">
                  <c:v>-22.634200959967803</c:v>
                </c:pt>
                <c:pt idx="240">
                  <c:v>-23.5558909829364</c:v>
                </c:pt>
                <c:pt idx="241">
                  <c:v>-24.535049471691945</c:v>
                </c:pt>
                <c:pt idx="242">
                  <c:v>-25.577879928710537</c:v>
                </c:pt>
                <c:pt idx="243">
                  <c:v>-26.691502874870459</c:v>
                </c:pt>
                <c:pt idx="244">
                  <c:v>-27.884132245477577</c:v>
                </c:pt>
                <c:pt idx="245">
                  <c:v>-29.165294118930614</c:v>
                </c:pt>
                <c:pt idx="246">
                  <c:v>-30.546100125097109</c:v>
                </c:pt>
                <c:pt idx="247">
                  <c:v>-32.039592175202507</c:v>
                </c:pt>
                <c:pt idx="248">
                  <c:v>-33.661181206461286</c:v>
                </c:pt>
                <c:pt idx="249">
                  <c:v>-35.429211279835776</c:v>
                </c:pt>
                <c:pt idx="250">
                  <c:v>-37.365692904582602</c:v>
                </c:pt>
                <c:pt idx="251">
                  <c:v>-39.497267936390472</c:v>
                </c:pt>
                <c:pt idx="252">
                  <c:v>-41.856496105583027</c:v>
                </c:pt>
                <c:pt idx="253">
                  <c:v>-44.483595611383905</c:v>
                </c:pt>
                <c:pt idx="254">
                  <c:v>-47.428836436236502</c:v>
                </c:pt>
                <c:pt idx="255">
                  <c:v>-50.755890982936627</c:v>
                </c:pt>
                <c:pt idx="256">
                  <c:v>-54.546620696087302</c:v>
                </c:pt>
                <c:pt idx="257">
                  <c:v>-58.908071890264864</c:v>
                </c:pt>
                <c:pt idx="258">
                  <c:v>-63.982969488906022</c:v>
                </c:pt>
                <c:pt idx="259">
                  <c:v>-69.943130950603432</c:v>
                </c:pt>
                <c:pt idx="260">
                  <c:v>-74.600488068603909</c:v>
                </c:pt>
                <c:pt idx="261">
                  <c:v>-79.041506693721459</c:v>
                </c:pt>
                <c:pt idx="262">
                  <c:v>-83.762569409923842</c:v>
                </c:pt>
                <c:pt idx="263">
                  <c:v>-88.889560398315879</c:v>
                </c:pt>
                <c:pt idx="264">
                  <c:v>-94.611023020838118</c:v>
                </c:pt>
                <c:pt idx="265">
                  <c:v>-101.22805059005123</c:v>
                </c:pt>
                <c:pt idx="266">
                  <c:v>-109.26661747517717</c:v>
                </c:pt>
                <c:pt idx="267">
                  <c:v>-119.70907821910656</c:v>
                </c:pt>
                <c:pt idx="268">
                  <c:v>-134.29896736034462</c:v>
                </c:pt>
                <c:pt idx="269">
                  <c:v>-155.9097279171026</c:v>
                </c:pt>
                <c:pt idx="270">
                  <c:v>-170.99994239683608</c:v>
                </c:pt>
                <c:pt idx="271">
                  <c:v>-155.90972791710286</c:v>
                </c:pt>
                <c:pt idx="272">
                  <c:v>-134.29896736034414</c:v>
                </c:pt>
                <c:pt idx="273">
                  <c:v>-119.70907821910667</c:v>
                </c:pt>
                <c:pt idx="274">
                  <c:v>-109.26661747517731</c:v>
                </c:pt>
                <c:pt idx="275">
                  <c:v>-101.22805059005134</c:v>
                </c:pt>
                <c:pt idx="276">
                  <c:v>-94.611023020838303</c:v>
                </c:pt>
                <c:pt idx="277">
                  <c:v>-88.889560398315894</c:v>
                </c:pt>
                <c:pt idx="278">
                  <c:v>-83.762569409923969</c:v>
                </c:pt>
                <c:pt idx="279">
                  <c:v>-79.041506693721814</c:v>
                </c:pt>
                <c:pt idx="280">
                  <c:v>-74.600488068604065</c:v>
                </c:pt>
                <c:pt idx="281">
                  <c:v>-69.94313095060302</c:v>
                </c:pt>
                <c:pt idx="282">
                  <c:v>-63.982969488907109</c:v>
                </c:pt>
                <c:pt idx="283">
                  <c:v>-58.908071890264459</c:v>
                </c:pt>
                <c:pt idx="284">
                  <c:v>-54.546620696087572</c:v>
                </c:pt>
                <c:pt idx="285">
                  <c:v>-50.755890982936485</c:v>
                </c:pt>
                <c:pt idx="286">
                  <c:v>-47.428836436235684</c:v>
                </c:pt>
                <c:pt idx="287">
                  <c:v>-44.483595611383635</c:v>
                </c:pt>
                <c:pt idx="288">
                  <c:v>-41.856496105583304</c:v>
                </c:pt>
                <c:pt idx="289">
                  <c:v>-39.497267936392248</c:v>
                </c:pt>
                <c:pt idx="290">
                  <c:v>-37.36569290458219</c:v>
                </c:pt>
                <c:pt idx="291">
                  <c:v>-35.429211279835634</c:v>
                </c:pt>
                <c:pt idx="292">
                  <c:v>-33.661181206461563</c:v>
                </c:pt>
                <c:pt idx="293">
                  <c:v>-32.039592175203325</c:v>
                </c:pt>
                <c:pt idx="294">
                  <c:v>-30.546100125096565</c:v>
                </c:pt>
                <c:pt idx="295">
                  <c:v>-29.165294118930341</c:v>
                </c:pt>
                <c:pt idx="296">
                  <c:v>-27.884132245478941</c:v>
                </c:pt>
                <c:pt idx="297">
                  <c:v>-26.691502874869364</c:v>
                </c:pt>
                <c:pt idx="298">
                  <c:v>-25.577879928709443</c:v>
                </c:pt>
                <c:pt idx="299">
                  <c:v>-24.535049471691401</c:v>
                </c:pt>
                <c:pt idx="300">
                  <c:v>-23.55589098293667</c:v>
                </c:pt>
                <c:pt idx="301">
                  <c:v>-22.634200959966165</c:v>
                </c:pt>
                <c:pt idx="302">
                  <c:v>-21.764549594959227</c:v>
                </c:pt>
                <c:pt idx="303">
                  <c:v>-20.942163507877556</c:v>
                </c:pt>
                <c:pt idx="304">
                  <c:v>-20.162829171773595</c:v>
                </c:pt>
                <c:pt idx="305">
                  <c:v>-19.422812891692956</c:v>
                </c:pt>
                <c:pt idx="306">
                  <c:v>-18.718794118408095</c:v>
                </c:pt>
                <c:pt idx="307">
                  <c:v>-18.04780957403673</c:v>
                </c:pt>
                <c:pt idx="308">
                  <c:v>-17.40720619782569</c:v>
                </c:pt>
                <c:pt idx="309">
                  <c:v>-16.794601328875981</c:v>
                </c:pt>
                <c:pt idx="310">
                  <c:v>-16.207848859280237</c:v>
                </c:pt>
                <c:pt idx="311">
                  <c:v>-15.645010338205703</c:v>
                </c:pt>
                <c:pt idx="312">
                  <c:v>-15.104330201676749</c:v>
                </c:pt>
                <c:pt idx="313">
                  <c:v>-14.58421445633785</c:v>
                </c:pt>
                <c:pt idx="314">
                  <c:v>-14.083212267552518</c:v>
                </c:pt>
                <c:pt idx="315">
                  <c:v>-13.600000000000456</c:v>
                </c:pt>
                <c:pt idx="316">
                  <c:v>-13.133367337376058</c:v>
                </c:pt>
                <c:pt idx="317">
                  <c:v>-12.682205171472834</c:v>
                </c:pt>
                <c:pt idx="318">
                  <c:v>-12.245495002449388</c:v>
                </c:pt>
                <c:pt idx="319">
                  <c:v>-11.822299634302182</c:v>
                </c:pt>
                <c:pt idx="320">
                  <c:v>-11.411754984012168</c:v>
                </c:pt>
                <c:pt idx="321">
                  <c:v>-11.013062851451831</c:v>
                </c:pt>
                <c:pt idx="322">
                  <c:v>-10.625484520491046</c:v>
                </c:pt>
                <c:pt idx="323">
                  <c:v>-10.248335081397364</c:v>
                </c:pt>
                <c:pt idx="324">
                  <c:v>-9.8809783808722393</c:v>
                </c:pt>
                <c:pt idx="325">
                  <c:v>-9.5228225196530722</c:v>
                </c:pt>
                <c:pt idx="326">
                  <c:v>-9.1733158290561736</c:v>
                </c:pt>
                <c:pt idx="327">
                  <c:v>-8.8319432674858049</c:v>
                </c:pt>
                <c:pt idx="328">
                  <c:v>-8.4982231859668911</c:v>
                </c:pt>
                <c:pt idx="329">
                  <c:v>-8.1717044187752439</c:v>
                </c:pt>
                <c:pt idx="330">
                  <c:v>-7.8519636609785266</c:v>
                </c:pt>
                <c:pt idx="331">
                  <c:v>-7.5386030997573474</c:v>
                </c:pt>
                <c:pt idx="332">
                  <c:v>-7.2312482705962804</c:v>
                </c:pt>
                <c:pt idx="333">
                  <c:v>-6.9295461131240694</c:v>
                </c:pt>
                <c:pt idx="334">
                  <c:v>-6.633163204495486</c:v>
                </c:pt>
                <c:pt idx="335">
                  <c:v>-6.3417841509076425</c:v>
                </c:pt>
                <c:pt idx="336">
                  <c:v>-6.0551101201961499</c:v>
                </c:pt>
                <c:pt idx="337">
                  <c:v>-5.7728575004506633</c:v>
                </c:pt>
                <c:pt idx="338">
                  <c:v>-5.4947566713583003</c:v>
                </c:pt>
                <c:pt idx="339">
                  <c:v>-5.2205508764822754</c:v>
                </c:pt>
                <c:pt idx="340">
                  <c:v>-4.9499951860207601</c:v>
                </c:pt>
                <c:pt idx="341">
                  <c:v>-4.6828555407395012</c:v>
                </c:pt>
                <c:pt idx="342">
                  <c:v>-4.4189078687676551</c:v>
                </c:pt>
                <c:pt idx="343">
                  <c:v>-4.1579372678379514</c:v>
                </c:pt>
                <c:pt idx="344">
                  <c:v>-3.8997372463198192</c:v>
                </c:pt>
                <c:pt idx="345">
                  <c:v>-3.6441090170632835</c:v>
                </c:pt>
                <c:pt idx="346">
                  <c:v>-3.3908608386671859</c:v>
                </c:pt>
                <c:pt idx="347">
                  <c:v>-3.1398073993078017</c:v>
                </c:pt>
                <c:pt idx="348">
                  <c:v>-2.8907692387123465</c:v>
                </c:pt>
                <c:pt idx="349">
                  <c:v>-2.6435722042727776</c:v>
                </c:pt>
                <c:pt idx="350">
                  <c:v>-2.3980469376352631</c:v>
                </c:pt>
                <c:pt idx="351">
                  <c:v>-2.1540283884136446</c:v>
                </c:pt>
                <c:pt idx="352">
                  <c:v>-1.9113553519525797</c:v>
                </c:pt>
                <c:pt idx="353">
                  <c:v>-1.6698700282794789</c:v>
                </c:pt>
                <c:pt idx="354">
                  <c:v>-1.4294175996132026</c:v>
                </c:pt>
                <c:pt idx="355">
                  <c:v>-1.189845823952669</c:v>
                </c:pt>
                <c:pt idx="356">
                  <c:v>-0.95100464243175797</c:v>
                </c:pt>
                <c:pt idx="357">
                  <c:v>-0.71274579824932971</c:v>
                </c:pt>
                <c:pt idx="358">
                  <c:v>-0.47492246508780339</c:v>
                </c:pt>
                <c:pt idx="359">
                  <c:v>-0.23738888302376038</c:v>
                </c:pt>
                <c:pt idx="360">
                  <c:v>-5.3045941043024731E-15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-168.91967774432348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168.91967774489481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1.2239999917451755E-5</c:v>
                </c:pt>
                <c:pt idx="1">
                  <c:v>2.3537704759065528</c:v>
                </c:pt>
                <c:pt idx="2">
                  <c:v>26.845487985573179</c:v>
                </c:pt>
                <c:pt idx="3">
                  <c:v>50.610793518167895</c:v>
                </c:pt>
                <c:pt idx="4">
                  <c:v>73.650484017030649</c:v>
                </c:pt>
                <c:pt idx="5">
                  <c:v>95.965330980087657</c:v>
                </c:pt>
                <c:pt idx="6">
                  <c:v>117.55608059189409</c:v>
                </c:pt>
                <c:pt idx="7">
                  <c:v>138.42345384830969</c:v>
                </c:pt>
                <c:pt idx="8">
                  <c:v>158.56814668041849</c:v>
                </c:pt>
                <c:pt idx="9">
                  <c:v>177.99083007072684</c:v>
                </c:pt>
                <c:pt idx="10">
                  <c:v>196.69215016711721</c:v>
                </c:pt>
                <c:pt idx="11">
                  <c:v>209.7047316244107</c:v>
                </c:pt>
                <c:pt idx="12">
                  <c:v>214.40726995951371</c:v>
                </c:pt>
                <c:pt idx="13">
                  <c:v>219.06774461087099</c:v>
                </c:pt>
                <c:pt idx="14">
                  <c:v>223.49864800254591</c:v>
                </c:pt>
                <c:pt idx="15">
                  <c:v>226.7617471226761</c:v>
                </c:pt>
                <c:pt idx="16">
                  <c:v>233.13462321918712</c:v>
                </c:pt>
                <c:pt idx="17">
                  <c:v>239.91834833985919</c:v>
                </c:pt>
                <c:pt idx="18">
                  <c:v>246.64421907827574</c:v>
                </c:pt>
                <c:pt idx="19">
                  <c:v>253.2700670509507</c:v>
                </c:pt>
                <c:pt idx="20">
                  <c:v>259.75234589427805</c:v>
                </c:pt>
                <c:pt idx="21">
                  <c:v>266.04671715019771</c:v>
                </c:pt>
                <c:pt idx="22">
                  <c:v>272.10861958907816</c:v>
                </c:pt>
                <c:pt idx="23">
                  <c:v>277.89379943567337</c:v>
                </c:pt>
                <c:pt idx="24">
                  <c:v>283.35878407908945</c:v>
                </c:pt>
                <c:pt idx="25">
                  <c:v>288.46128762013143</c:v>
                </c:pt>
                <c:pt idx="26">
                  <c:v>293.1605423143572</c:v>
                </c:pt>
                <c:pt idx="27">
                  <c:v>297.41755500605842</c:v>
                </c:pt>
                <c:pt idx="28">
                  <c:v>301.19529176306725</c:v>
                </c:pt>
                <c:pt idx="29">
                  <c:v>304.45879685390042</c:v>
                </c:pt>
                <c:pt idx="30">
                  <c:v>307.17525411398799</c:v>
                </c:pt>
                <c:pt idx="31">
                  <c:v>309.31399960889956</c:v>
                </c:pt>
                <c:pt idx="32">
                  <c:v>310.84071738880522</c:v>
                </c:pt>
                <c:pt idx="33">
                  <c:v>311.65439333765562</c:v>
                </c:pt>
                <c:pt idx="34">
                  <c:v>311.79186049621273</c:v>
                </c:pt>
                <c:pt idx="35">
                  <c:v>311.21272966836699</c:v>
                </c:pt>
                <c:pt idx="36">
                  <c:v>309.8780987273089</c:v>
                </c:pt>
                <c:pt idx="37">
                  <c:v>307.77770700861322</c:v>
                </c:pt>
                <c:pt idx="38">
                  <c:v>304.9344326636371</c:v>
                </c:pt>
                <c:pt idx="39">
                  <c:v>301.33256422954315</c:v>
                </c:pt>
                <c:pt idx="40">
                  <c:v>296.95767710266244</c:v>
                </c:pt>
                <c:pt idx="41">
                  <c:v>291.79652733848962</c:v>
                </c:pt>
                <c:pt idx="42">
                  <c:v>285.83695115134844</c:v>
                </c:pt>
                <c:pt idx="43">
                  <c:v>279.0677706160057</c:v>
                </c:pt>
                <c:pt idx="44">
                  <c:v>271.4787058042325</c:v>
                </c:pt>
                <c:pt idx="45">
                  <c:v>263.06029339109932</c:v>
                </c:pt>
                <c:pt idx="46">
                  <c:v>253.80381158718512</c:v>
                </c:pt>
                <c:pt idx="47">
                  <c:v>243.70121117591424</c:v>
                </c:pt>
                <c:pt idx="48">
                  <c:v>232.74505235225362</c:v>
                </c:pt>
                <c:pt idx="49">
                  <c:v>220.92844700847593</c:v>
                </c:pt>
                <c:pt idx="50">
                  <c:v>208.24500610393383</c:v>
                </c:pt>
                <c:pt idx="51">
                  <c:v>194.68879174458439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-285.02826999999996</c:v>
                </c:pt>
                <c:pt idx="3">
                  <c:v>-232.15653999999995</c:v>
                </c:pt>
                <c:pt idx="4">
                  <c:v>-179.28480999999994</c:v>
                </c:pt>
                <c:pt idx="5">
                  <c:v>-126.41307999999992</c:v>
                </c:pt>
                <c:pt idx="6">
                  <c:v>-73.541349999999909</c:v>
                </c:pt>
                <c:pt idx="7">
                  <c:v>-20.669619999999902</c:v>
                </c:pt>
                <c:pt idx="8">
                  <c:v>32.202110000000104</c:v>
                </c:pt>
                <c:pt idx="9">
                  <c:v>85.073840000000104</c:v>
                </c:pt>
                <c:pt idx="10">
                  <c:v>137.94557000000012</c:v>
                </c:pt>
                <c:pt idx="11">
                  <c:v>190.81730000000013</c:v>
                </c:pt>
                <c:pt idx="12">
                  <c:v>243.68903000000014</c:v>
                </c:pt>
                <c:pt idx="13">
                  <c:v>296.56076000000013</c:v>
                </c:pt>
                <c:pt idx="14">
                  <c:v>349.43249000000014</c:v>
                </c:pt>
                <c:pt idx="15">
                  <c:v>402.30422000000016</c:v>
                </c:pt>
                <c:pt idx="16">
                  <c:v>455.17595000000017</c:v>
                </c:pt>
                <c:pt idx="17">
                  <c:v>508.04768000000018</c:v>
                </c:pt>
                <c:pt idx="18">
                  <c:v>560.9194100000002</c:v>
                </c:pt>
                <c:pt idx="19">
                  <c:v>613.79114000000015</c:v>
                </c:pt>
                <c:pt idx="20">
                  <c:v>666.66287000000011</c:v>
                </c:pt>
                <c:pt idx="21">
                  <c:v>719.53460000000007</c:v>
                </c:pt>
                <c:pt idx="22">
                  <c:v>772.40633000000003</c:v>
                </c:pt>
                <c:pt idx="23">
                  <c:v>825.27805999999998</c:v>
                </c:pt>
                <c:pt idx="24">
                  <c:v>878.14978999999994</c:v>
                </c:pt>
                <c:pt idx="25">
                  <c:v>931.0215199999999</c:v>
                </c:pt>
                <c:pt idx="26">
                  <c:v>983.89324999999985</c:v>
                </c:pt>
                <c:pt idx="27">
                  <c:v>1036.7649799999999</c:v>
                </c:pt>
                <c:pt idx="28">
                  <c:v>1089.63671</c:v>
                </c:pt>
                <c:pt idx="29">
                  <c:v>1142.5084400000001</c:v>
                </c:pt>
                <c:pt idx="30">
                  <c:v>1195.3801700000001</c:v>
                </c:pt>
                <c:pt idx="31">
                  <c:v>1248.2519000000002</c:v>
                </c:pt>
                <c:pt idx="32">
                  <c:v>1301.1236300000003</c:v>
                </c:pt>
                <c:pt idx="33">
                  <c:v>1353.9953600000003</c:v>
                </c:pt>
                <c:pt idx="34">
                  <c:v>1406.8670900000004</c:v>
                </c:pt>
                <c:pt idx="35">
                  <c:v>1459.7388200000005</c:v>
                </c:pt>
                <c:pt idx="36">
                  <c:v>1512.6105500000006</c:v>
                </c:pt>
                <c:pt idx="37">
                  <c:v>1565.4822800000006</c:v>
                </c:pt>
                <c:pt idx="38">
                  <c:v>1618.3540100000007</c:v>
                </c:pt>
                <c:pt idx="39">
                  <c:v>1671.2257400000008</c:v>
                </c:pt>
                <c:pt idx="40">
                  <c:v>1724.0974700000008</c:v>
                </c:pt>
                <c:pt idx="41">
                  <c:v>1776.9692000000009</c:v>
                </c:pt>
                <c:pt idx="42">
                  <c:v>1829.840930000001</c:v>
                </c:pt>
                <c:pt idx="43">
                  <c:v>1882.7126600000011</c:v>
                </c:pt>
                <c:pt idx="44">
                  <c:v>1935.5843900000011</c:v>
                </c:pt>
                <c:pt idx="45">
                  <c:v>1988.4561200000012</c:v>
                </c:pt>
                <c:pt idx="46">
                  <c:v>2041.3278500000013</c:v>
                </c:pt>
                <c:pt idx="47">
                  <c:v>2094.1995800000013</c:v>
                </c:pt>
                <c:pt idx="48">
                  <c:v>2147.0713100000012</c:v>
                </c:pt>
                <c:pt idx="49">
                  <c:v>2199.943040000001</c:v>
                </c:pt>
                <c:pt idx="50">
                  <c:v>2252.8147700000009</c:v>
                </c:pt>
                <c:pt idx="51">
                  <c:v>2305.6865000000007</c:v>
                </c:pt>
                <c:pt idx="52">
                  <c:v>2305.6865000000007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14.142135623730951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14.142135623730951</c:v>
                </c:pt>
                <c:pt idx="1">
                  <c:v>238.88849921811894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500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473075</xdr:colOff>
      <xdr:row>127</xdr:row>
      <xdr:rowOff>41275</xdr:rowOff>
    </xdr:from>
    <xdr:to>
      <xdr:col>15</xdr:col>
      <xdr:colOff>241300</xdr:colOff>
      <xdr:row>170</xdr:row>
      <xdr:rowOff>111125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AA490"/>
  <sheetViews>
    <sheetView tabSelected="1" topLeftCell="A133" workbookViewId="0">
      <selection activeCell="B120" sqref="B120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3" max="13" width="9.28515625" bestFit="1" customWidth="1"/>
    <col min="14" max="14" width="12.42578125" customWidth="1"/>
    <col min="22" max="22" width="11.85546875" customWidth="1"/>
    <col min="23" max="23" width="11" bestFit="1" customWidth="1"/>
    <col min="25" max="25" width="12" bestFit="1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121</v>
      </c>
      <c r="H3" s="6">
        <f>G3</f>
        <v>121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8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6">
        <v>8</v>
      </c>
      <c r="C5" t="s">
        <v>6</v>
      </c>
      <c r="D5" s="5">
        <f>B5</f>
        <v>8</v>
      </c>
      <c r="E5" s="5">
        <f>B6</f>
        <v>120</v>
      </c>
      <c r="G5" t="s">
        <v>33</v>
      </c>
    </row>
    <row r="6" spans="1:8" x14ac:dyDescent="0.25">
      <c r="A6" s="2" t="s">
        <v>3</v>
      </c>
      <c r="B6" s="36">
        <v>120</v>
      </c>
      <c r="C6" t="s">
        <v>6</v>
      </c>
      <c r="D6" s="5">
        <v>0</v>
      </c>
      <c r="E6" s="5">
        <f>B6</f>
        <v>120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4</v>
      </c>
      <c r="H7">
        <f>B6/2</f>
        <v>60</v>
      </c>
    </row>
    <row r="9" spans="1:8" x14ac:dyDescent="0.25">
      <c r="A9" t="s">
        <v>8</v>
      </c>
    </row>
    <row r="10" spans="1:8" x14ac:dyDescent="0.25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5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5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4</v>
      </c>
      <c r="E14" s="36">
        <v>12</v>
      </c>
      <c r="F14" s="27" t="s">
        <v>92</v>
      </c>
    </row>
    <row r="15" spans="1:8" x14ac:dyDescent="0.25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60</v>
      </c>
    </row>
    <row r="16" spans="1:8" x14ac:dyDescent="0.25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4</v>
      </c>
      <c r="E16" s="36">
        <v>108</v>
      </c>
    </row>
    <row r="17" spans="1:5" x14ac:dyDescent="0.25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4</v>
      </c>
      <c r="E17" s="36">
        <v>116</v>
      </c>
    </row>
    <row r="18" spans="1:5" x14ac:dyDescent="0.25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5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5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5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5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5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5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5">
      <c r="A26" s="26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960</v>
      </c>
      <c r="C28" t="s">
        <v>18</v>
      </c>
    </row>
    <row r="29" spans="1:5" x14ac:dyDescent="0.25">
      <c r="A29" s="2" t="s">
        <v>19</v>
      </c>
      <c r="B29">
        <f>B28*B2</f>
        <v>4800</v>
      </c>
      <c r="C29" t="s">
        <v>20</v>
      </c>
    </row>
    <row r="30" spans="1:5" x14ac:dyDescent="0.25">
      <c r="A30" s="2" t="s">
        <v>21</v>
      </c>
      <c r="B30">
        <f>B29*(B6/2)</f>
        <v>288000</v>
      </c>
      <c r="C30" t="s">
        <v>23</v>
      </c>
    </row>
    <row r="31" spans="1:5" x14ac:dyDescent="0.25">
      <c r="A31" s="2" t="s">
        <v>22</v>
      </c>
      <c r="B31">
        <f>B29*(B5/2)</f>
        <v>19200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838.19999999999993</v>
      </c>
      <c r="F35" s="6">
        <f t="shared" ref="F35:F45" ca="1" si="5">D35*D14</f>
        <v>279.39999999999998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4191</v>
      </c>
      <c r="F36" s="6">
        <f t="shared" ca="1" si="5"/>
        <v>279.39999999999998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7543.7999999999993</v>
      </c>
      <c r="F37" s="6">
        <f t="shared" ca="1" si="5"/>
        <v>279.39999999999998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8102.5999999999995</v>
      </c>
      <c r="F38" s="6">
        <f t="shared" ca="1" si="5"/>
        <v>279.39999999999998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20955</v>
      </c>
      <c r="F46" s="6">
        <f t="shared" ca="1" si="6"/>
        <v>1397</v>
      </c>
    </row>
    <row r="48" spans="1:6" x14ac:dyDescent="0.25">
      <c r="A48" s="2" t="s">
        <v>28</v>
      </c>
      <c r="B48" s="6">
        <f ca="1">B29+D46</f>
        <v>5149.25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308955</v>
      </c>
      <c r="D49" s="1">
        <f ca="1">B50/B48</f>
        <v>4</v>
      </c>
      <c r="E49" s="4">
        <f ca="1">B49/B48</f>
        <v>60</v>
      </c>
    </row>
    <row r="50" spans="1:21" x14ac:dyDescent="0.25">
      <c r="A50" s="2" t="s">
        <v>30</v>
      </c>
      <c r="B50" s="6">
        <f ca="1">F46+B31</f>
        <v>20597</v>
      </c>
    </row>
    <row r="52" spans="1:21" x14ac:dyDescent="0.25">
      <c r="A52" s="27" t="s">
        <v>34</v>
      </c>
    </row>
    <row r="53" spans="1:21" x14ac:dyDescent="0.25">
      <c r="A53" s="2" t="s">
        <v>36</v>
      </c>
      <c r="B53" s="34">
        <v>269.83088316589345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-4</v>
      </c>
      <c r="B57" s="7">
        <f ca="1">E3-$E$49</f>
        <v>-60</v>
      </c>
      <c r="C57" s="4">
        <f ca="1">A57*COS(RADIANS(-1*$B$53))+B57*SIN(RADIANS(-1*$B$53))</f>
        <v>-59.987932068682348</v>
      </c>
      <c r="D57" s="4">
        <f ca="1">-1*A57*SIN(RADIANS(-1*$B$53))+B57*COS(RADIANS(-1*$B$53))</f>
        <v>4.1770810529784317</v>
      </c>
      <c r="F57" t="s">
        <v>40</v>
      </c>
      <c r="G57">
        <f ca="1">MAX(D57:D61)-MIN(D57:D61)</f>
        <v>8.3541621059568634</v>
      </c>
      <c r="H57" t="s">
        <v>6</v>
      </c>
      <c r="T57" t="s">
        <v>82</v>
      </c>
    </row>
    <row r="58" spans="1:21" x14ac:dyDescent="0.25">
      <c r="A58" s="6">
        <f ca="1">D4-$D$49</f>
        <v>4</v>
      </c>
      <c r="B58" s="7">
        <f t="shared" ref="B58:B61" ca="1" si="7">E4-$E$49</f>
        <v>-60</v>
      </c>
      <c r="C58" s="4">
        <f t="shared" ref="C58:C61" ca="1" si="8">A58*COS(RADIANS(-1*$B$53))+B58*SIN(RADIANS(-1*$B$53))</f>
        <v>-60.011545199000885</v>
      </c>
      <c r="D58" s="4">
        <f t="shared" ref="D58:D61" ca="1" si="9">-1*A58*SIN(RADIANS(-1*$B$53))+B58*COS(RADIANS(-1*$B$53))</f>
        <v>-3.8228840982004506</v>
      </c>
      <c r="F58" t="s">
        <v>62</v>
      </c>
      <c r="G58" s="7">
        <f ca="1">MAX(D57:D61)</f>
        <v>4.1770810529784317</v>
      </c>
      <c r="T58" t="s">
        <v>0</v>
      </c>
      <c r="U58" t="s">
        <v>1</v>
      </c>
    </row>
    <row r="59" spans="1:21" x14ac:dyDescent="0.25">
      <c r="A59" s="6">
        <f ca="1">D5-$D$49</f>
        <v>4</v>
      </c>
      <c r="B59" s="7">
        <f t="shared" ca="1" si="7"/>
        <v>60</v>
      </c>
      <c r="C59" s="4">
        <f t="shared" ca="1" si="8"/>
        <v>59.987932068682348</v>
      </c>
      <c r="D59" s="4">
        <f t="shared" ca="1" si="9"/>
        <v>-4.1770810529784317</v>
      </c>
      <c r="T59">
        <f ca="1">MAX(MAX(C57:C61),MAX(D57:D61))</f>
        <v>60.011545199000885</v>
      </c>
      <c r="U59">
        <f ca="1">T59</f>
        <v>60.011545199000885</v>
      </c>
    </row>
    <row r="60" spans="1:21" x14ac:dyDescent="0.25">
      <c r="A60" s="6">
        <f ca="1">D6-$D$49</f>
        <v>-4</v>
      </c>
      <c r="B60" s="7">
        <f t="shared" ca="1" si="7"/>
        <v>60</v>
      </c>
      <c r="C60" s="4">
        <f t="shared" ca="1" si="8"/>
        <v>60.011545199000885</v>
      </c>
      <c r="D60" s="4">
        <f t="shared" ca="1" si="9"/>
        <v>3.8228840982004506</v>
      </c>
      <c r="T60">
        <f ca="1">-1*T59</f>
        <v>-60.011545199000885</v>
      </c>
      <c r="U60">
        <f ca="1">-1*U59</f>
        <v>-60.011545199000885</v>
      </c>
    </row>
    <row r="61" spans="1:21" x14ac:dyDescent="0.25">
      <c r="A61" s="6">
        <f ca="1">D7-$D$49</f>
        <v>-4</v>
      </c>
      <c r="B61" s="7">
        <f t="shared" ca="1" si="7"/>
        <v>-60</v>
      </c>
      <c r="C61" s="4">
        <f t="shared" ca="1" si="8"/>
        <v>-59.987932068682348</v>
      </c>
      <c r="D61" s="4">
        <f t="shared" ca="1" si="9"/>
        <v>4.1770810529784317</v>
      </c>
    </row>
    <row r="62" spans="1:21" x14ac:dyDescent="0.25">
      <c r="A62" s="6"/>
    </row>
    <row r="63" spans="1:21" x14ac:dyDescent="0.25">
      <c r="A63" s="28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0</v>
      </c>
      <c r="E64" s="6">
        <f ca="1">E13-$E$49</f>
        <v>-56</v>
      </c>
      <c r="F64" s="4">
        <f ca="1">IF(C64&gt;0,D64*COS(RADIANS(-1*$B$53))+E64*SIN(RADIANS(-1*$B$53)),0)</f>
        <v>-55.999756058252174</v>
      </c>
      <c r="G64" s="4">
        <f ca="1">IF(C64&gt;0,-1*D64*SIN(RADIANS(-1*$B$53))+E64*COS(RADIANS(-1*$B$53)),0)</f>
        <v>0.16529191222972436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0</v>
      </c>
      <c r="E65" s="6">
        <f t="shared" ref="E65:E75" ca="1" si="12">E14-$E$49</f>
        <v>-48</v>
      </c>
      <c r="F65" s="4">
        <f t="shared" ref="F65:F75" ca="1" si="13">IF(C65&gt;0,D65*COS(RADIANS(-1*$B$53))+E65*SIN(RADIANS(-1*$B$53)),0)</f>
        <v>-47.99979090707329</v>
      </c>
      <c r="G65" s="4">
        <f t="shared" ref="G65:G75" ca="1" si="14">IF(C65&gt;0,-1*D65*SIN(RADIANS(-1*$B$53))+E65*COS(RADIANS(-1*$B$53)),0)</f>
        <v>0.14167878191119232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0</v>
      </c>
      <c r="E66" s="6">
        <f t="shared" ca="1" si="12"/>
        <v>0</v>
      </c>
      <c r="F66" s="4">
        <f t="shared" ca="1" si="13"/>
        <v>0</v>
      </c>
      <c r="G66" s="4">
        <f t="shared" ca="1" si="14"/>
        <v>0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48</v>
      </c>
      <c r="F67" s="4">
        <f t="shared" ca="1" si="13"/>
        <v>47.99979090707329</v>
      </c>
      <c r="G67" s="4">
        <f t="shared" ca="1" si="14"/>
        <v>-0.14167878191119232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0</v>
      </c>
      <c r="E68" s="6">
        <f t="shared" ca="1" si="12"/>
        <v>56</v>
      </c>
      <c r="F68" s="4">
        <f t="shared" ca="1" si="13"/>
        <v>55.999756058252174</v>
      </c>
      <c r="G68" s="4">
        <f t="shared" ca="1" si="14"/>
        <v>-0.16529191222972436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-4</v>
      </c>
      <c r="E69" s="6">
        <f t="shared" ca="1" si="12"/>
        <v>-60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-4</v>
      </c>
      <c r="E70" s="6">
        <f t="shared" ca="1" si="12"/>
        <v>-60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-4</v>
      </c>
      <c r="E71" s="6">
        <f t="shared" ca="1" si="12"/>
        <v>-60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-4</v>
      </c>
      <c r="E72" s="6">
        <f t="shared" ca="1" si="12"/>
        <v>-60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-4</v>
      </c>
      <c r="E73" s="6">
        <f t="shared" ca="1" si="12"/>
        <v>-60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-4</v>
      </c>
      <c r="E74" s="6">
        <f t="shared" ca="1" si="12"/>
        <v>-60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-4</v>
      </c>
      <c r="E75" s="6">
        <f t="shared" ca="1" si="12"/>
        <v>-60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>
        <f ca="1">MIN(G64:G75)</f>
        <v>-0.16529191222972436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4">
        <v>2.7975005591642699</v>
      </c>
      <c r="C78" t="s">
        <v>6</v>
      </c>
      <c r="D78" s="4">
        <f ca="1">MIN(C57:C61)</f>
        <v>-60.011545199000885</v>
      </c>
      <c r="E78" s="4">
        <f ca="1">MAX(D57:D61)-B78</f>
        <v>1.3795804938141618</v>
      </c>
    </row>
    <row r="79" spans="1:7" x14ac:dyDescent="0.25">
      <c r="A79" s="2"/>
      <c r="D79" s="4">
        <f ca="1">MAX(C57:C61)</f>
        <v>60.011545199000885</v>
      </c>
      <c r="E79" s="4">
        <f ca="1">E78</f>
        <v>1.3795804938141618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2.2380004473314159</v>
      </c>
      <c r="C81" t="s">
        <v>6</v>
      </c>
      <c r="D81" t="s">
        <v>0</v>
      </c>
      <c r="E81" t="s">
        <v>1</v>
      </c>
    </row>
    <row r="82" spans="1:12" x14ac:dyDescent="0.25">
      <c r="D82" s="4">
        <f ca="1">MIN(C57:C61)</f>
        <v>-60.011545199000885</v>
      </c>
      <c r="E82" s="4">
        <f ca="1">MAX(D57:D61)-B81</f>
        <v>1.9390806056470158</v>
      </c>
    </row>
    <row r="83" spans="1:12" x14ac:dyDescent="0.25">
      <c r="D83" s="4">
        <f ca="1">MAX(C57:C61)</f>
        <v>60.011545199000885</v>
      </c>
      <c r="E83" s="4">
        <f ca="1">E82</f>
        <v>1.9390806056470158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>
        <f t="shared" ref="B88:C91" ca="1" si="15">C57</f>
        <v>-59.987932068682348</v>
      </c>
      <c r="C88" s="4">
        <f t="shared" ca="1" si="15"/>
        <v>4.1770810529784317</v>
      </c>
      <c r="D88" s="4">
        <f t="shared" ref="D88:E91" ca="1" si="16">C58</f>
        <v>-60.011545199000885</v>
      </c>
      <c r="E88" s="4">
        <f t="shared" ca="1" si="16"/>
        <v>-3.8228840982004506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338.79308008978967</v>
      </c>
      <c r="H88" s="4">
        <f ca="1">IF(OR(F88=1,F88=2),IF(G88="V",B88,(E$82-C88+(G88*B88))/G88),NA())</f>
        <v>-59.994537871984868</v>
      </c>
      <c r="I88" s="4">
        <f ca="1">IF(OR(F88=1,F88=2),E$82,NA())</f>
        <v>1.9390806056470158</v>
      </c>
      <c r="J88" s="5">
        <f ca="1">IF(F88=0,0,IF(F88=1,-0.5*B$85*(H88+D88)*(I88-E88),IF(F88=2,-0.5*B$85*(B88+H88)*(C88-I88),IF(F88=3,-0.5*B$85*(B88+D88)*(C88-E88),0))))</f>
        <v>570.60674547317547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1744.9498314035602</v>
      </c>
      <c r="L88" s="5">
        <f ca="1">IF(F88=1,(1/6)*B$85*(POWER(H88,2)+H88*D88+POWER(D88,2))*(E88-I88),IF(F88=2,(1/6)*B$85*(POWER(B88,2)+B88*H88+POWER(H88,2))*(I88-C88),IF(F88=3,(1/6)*B$85*(POWER(B88,2)+B88*D88+POWER(D88,2))*(E88-C88),0)))</f>
        <v>-17115.701688963054</v>
      </c>
    </row>
    <row r="89" spans="1:12" x14ac:dyDescent="0.25">
      <c r="A89">
        <v>2</v>
      </c>
      <c r="B89" s="4">
        <f t="shared" ca="1" si="15"/>
        <v>-60.011545199000885</v>
      </c>
      <c r="C89" s="4">
        <f t="shared" ca="1" si="15"/>
        <v>-3.8228840982004506</v>
      </c>
      <c r="D89" s="4">
        <f t="shared" ca="1" si="16"/>
        <v>59.987932068682348</v>
      </c>
      <c r="E89" s="4">
        <f t="shared" ca="1" si="16"/>
        <v>-4.1770810529784317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-2.9516541475249325E-3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t="shared" ref="J89:J91" ca="1" si="21">IF(F89=0,0,IF(F89=1,-0.5*B$85*(H89+D89)*(I89-E89),IF(F89=2,-0.5*B$85*(B89+H89)*(C89-I89),IF(F89=3,-0.5*B$85*(B89+D89)*(C89-E89),0))))</f>
        <v>0</v>
      </c>
      <c r="K89" s="5">
        <f t="shared" ref="K89:K91" ca="1" si="22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3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4">
        <f t="shared" ca="1" si="15"/>
        <v>59.987932068682348</v>
      </c>
      <c r="C90" s="4">
        <f t="shared" ca="1" si="15"/>
        <v>-4.1770810529784317</v>
      </c>
      <c r="D90" s="4">
        <f t="shared" ca="1" si="16"/>
        <v>60.011545199000885</v>
      </c>
      <c r="E90" s="4">
        <f t="shared" ca="1" si="16"/>
        <v>3.8228840982004506</v>
      </c>
      <c r="F90" s="1">
        <f t="shared" ca="1" si="17"/>
        <v>1</v>
      </c>
      <c r="G90" s="1">
        <f t="shared" ca="1" si="18"/>
        <v>338.79308008978967</v>
      </c>
      <c r="H90" s="4">
        <f t="shared" ca="1" si="19"/>
        <v>60.005984862608962</v>
      </c>
      <c r="I90" s="4">
        <f t="shared" ca="1" si="20"/>
        <v>1.9390806056470158</v>
      </c>
      <c r="J90" s="5">
        <f t="shared" ca="1" si="21"/>
        <v>480.4400648826072</v>
      </c>
      <c r="K90" s="5">
        <f t="shared" ca="1" si="22"/>
        <v>1384.14633651914</v>
      </c>
      <c r="L90" s="5">
        <f t="shared" ca="1" si="23"/>
        <v>14415.307492776245</v>
      </c>
    </row>
    <row r="91" spans="1:12" ht="15.75" thickBot="1" x14ac:dyDescent="0.3">
      <c r="A91">
        <v>4</v>
      </c>
      <c r="B91" s="4">
        <f t="shared" ca="1" si="15"/>
        <v>60.011545199000885</v>
      </c>
      <c r="C91" s="4">
        <f t="shared" ca="1" si="15"/>
        <v>3.8228840982004506</v>
      </c>
      <c r="D91" s="4">
        <f t="shared" ca="1" si="16"/>
        <v>-59.987932068682348</v>
      </c>
      <c r="E91" s="4">
        <f t="shared" ca="1" si="16"/>
        <v>4.1770810529784317</v>
      </c>
      <c r="F91" s="1">
        <f t="shared" ca="1" si="17"/>
        <v>3</v>
      </c>
      <c r="G91" s="1">
        <f t="shared" ca="1" si="18"/>
        <v>-2.9516541475249325E-3</v>
      </c>
      <c r="H91" s="4" t="e">
        <f t="shared" ca="1" si="19"/>
        <v>#N/A</v>
      </c>
      <c r="I91" s="4" t="e">
        <f t="shared" ca="1" si="20"/>
        <v>#N/A</v>
      </c>
      <c r="J91" s="24">
        <f t="shared" ca="1" si="21"/>
        <v>1.7772860059653325E-2</v>
      </c>
      <c r="K91" s="24">
        <f t="shared" ca="1" si="22"/>
        <v>-5.2607436612170071</v>
      </c>
      <c r="L91" s="24">
        <f t="shared" ca="1" si="23"/>
        <v>903.19447073592823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>
        <f ca="1">SUM(J88:J91)</f>
        <v>1051.0645832158425</v>
      </c>
      <c r="K92" s="5">
        <f ca="1">SUM(K88:K91)</f>
        <v>3123.8354242614832</v>
      </c>
      <c r="L92" s="5">
        <f ca="1">SUM(L88:L91)*-1</f>
        <v>1797.1997254508813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8">
        <f>A64</f>
        <v>1</v>
      </c>
      <c r="B98" s="7">
        <f ca="1">C13</f>
        <v>1.27</v>
      </c>
      <c r="C98">
        <f t="shared" ca="1" si="24"/>
        <v>-55.999756058252174</v>
      </c>
      <c r="D98">
        <f t="shared" ca="1" si="25"/>
        <v>0.16529191222972436</v>
      </c>
      <c r="E98" s="7">
        <f ca="1">G$58-D98</f>
        <v>4.0117891407487072</v>
      </c>
      <c r="F98" s="11">
        <f ca="1">IF(B98=0,0,((B$78-E98)/B$78)*B$96)</f>
        <v>-1.3021858861903455E-3</v>
      </c>
      <c r="G98" s="4">
        <f ca="1">IF(AND(F98&gt;0,E98&lt;=B$81),MIN((F98*B$11),B$10)-B$85,MAX(F98*B$11,-1*B$10))</f>
        <v>-39.065576585710367</v>
      </c>
      <c r="H98" s="4">
        <f ca="1">G98*B98</f>
        <v>-49.61328226385217</v>
      </c>
      <c r="I98" s="4">
        <f ca="1">H98*D98</f>
        <v>-8.2006742973851932</v>
      </c>
      <c r="J98" s="4">
        <f ca="1">H98*C98</f>
        <v>2778.3317040249308</v>
      </c>
    </row>
    <row r="99" spans="1:10" x14ac:dyDescent="0.25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-47.99979090707329</v>
      </c>
      <c r="D99">
        <f t="shared" ca="1" si="25"/>
        <v>0.14167878191119232</v>
      </c>
      <c r="E99" s="7">
        <f t="shared" ref="E99:E109" ca="1" si="28">G$58-D99</f>
        <v>4.0354022710672393</v>
      </c>
      <c r="F99" s="11">
        <f t="shared" ref="F99:F109" ca="1" si="29">IF(B99=0,0,((B$78-E99)/B$78)*B$96)</f>
        <v>-1.3275082728914081E-3</v>
      </c>
      <c r="G99" s="4">
        <f t="shared" ref="G99:G109" ca="1" si="30">IF(AND(F99&gt;0,E99&lt;=B$81),MIN((F99*B$11),B$10)-B$85,MAX(F99*B$11,-1*B$10))</f>
        <v>-39.825248186742243</v>
      </c>
      <c r="H99" s="4">
        <f t="shared" ref="H99:H109" ca="1" si="31">G99*B99</f>
        <v>-50.578065197162651</v>
      </c>
      <c r="I99" s="4">
        <f t="shared" ref="I99:I109" ca="1" si="32">H99*D99</f>
        <v>-7.165838668558874</v>
      </c>
      <c r="J99" s="4">
        <f t="shared" ref="J99:J109" ca="1" si="33">H99*C99</f>
        <v>2427.7365539481279</v>
      </c>
    </row>
    <row r="100" spans="1:10" x14ac:dyDescent="0.25">
      <c r="A100" s="8">
        <f t="shared" si="26"/>
        <v>3</v>
      </c>
      <c r="B100" s="7">
        <f t="shared" ca="1" si="27"/>
        <v>1.27</v>
      </c>
      <c r="C100">
        <f t="shared" ca="1" si="24"/>
        <v>0</v>
      </c>
      <c r="D100">
        <f t="shared" ca="1" si="25"/>
        <v>0</v>
      </c>
      <c r="E100" s="7">
        <f t="shared" ca="1" si="28"/>
        <v>4.1770810529784317</v>
      </c>
      <c r="F100" s="11">
        <f t="shared" ca="1" si="29"/>
        <v>-1.479442593097783E-3</v>
      </c>
      <c r="G100" s="4">
        <f t="shared" ca="1" si="30"/>
        <v>-44.383277792933491</v>
      </c>
      <c r="H100" s="4">
        <f t="shared" ca="1" si="31"/>
        <v>-56.366762797025537</v>
      </c>
      <c r="I100" s="4">
        <f t="shared" ca="1" si="32"/>
        <v>0</v>
      </c>
      <c r="J100" s="4">
        <f t="shared" ca="1" si="33"/>
        <v>0</v>
      </c>
    </row>
    <row r="101" spans="1:10" x14ac:dyDescent="0.25">
      <c r="A101" s="8">
        <f t="shared" si="26"/>
        <v>4</v>
      </c>
      <c r="B101" s="7">
        <f t="shared" ca="1" si="27"/>
        <v>1.27</v>
      </c>
      <c r="C101">
        <f t="shared" ca="1" si="24"/>
        <v>47.99979090707329</v>
      </c>
      <c r="D101">
        <f t="shared" ca="1" si="25"/>
        <v>-0.14167878191119232</v>
      </c>
      <c r="E101" s="7">
        <f t="shared" ca="1" si="28"/>
        <v>4.3187598348896241</v>
      </c>
      <c r="F101" s="11">
        <f t="shared" ca="1" si="29"/>
        <v>-1.6313769133041581E-3</v>
      </c>
      <c r="G101" s="4">
        <f t="shared" ca="1" si="30"/>
        <v>-48.941307399124746</v>
      </c>
      <c r="H101" s="4">
        <f t="shared" ca="1" si="31"/>
        <v>-62.155460396888429</v>
      </c>
      <c r="I101" s="4">
        <f t="shared" ca="1" si="32"/>
        <v>8.8061099181605069</v>
      </c>
      <c r="J101" s="4">
        <f t="shared" ca="1" si="33"/>
        <v>-2983.4491027835193</v>
      </c>
    </row>
    <row r="102" spans="1:10" x14ac:dyDescent="0.25">
      <c r="A102" s="8">
        <f t="shared" si="26"/>
        <v>5</v>
      </c>
      <c r="B102" s="7">
        <f t="shared" ca="1" si="27"/>
        <v>1.27</v>
      </c>
      <c r="C102">
        <f t="shared" ca="1" si="24"/>
        <v>55.999756058252174</v>
      </c>
      <c r="D102">
        <f t="shared" ca="1" si="25"/>
        <v>-0.16529191222972436</v>
      </c>
      <c r="E102" s="7">
        <f t="shared" ca="1" si="28"/>
        <v>4.3423729652081562</v>
      </c>
      <c r="F102" s="11">
        <f t="shared" ca="1" si="29"/>
        <v>-1.6566993000052207E-3</v>
      </c>
      <c r="G102" s="4">
        <f t="shared" ca="1" si="30"/>
        <v>-49.700979000156622</v>
      </c>
      <c r="H102" s="4">
        <f t="shared" ca="1" si="31"/>
        <v>-63.12024333019891</v>
      </c>
      <c r="I102" s="4">
        <f t="shared" ca="1" si="32"/>
        <v>10.433265720454083</v>
      </c>
      <c r="J102" s="4">
        <f t="shared" ca="1" si="33"/>
        <v>-3534.7182288286576</v>
      </c>
    </row>
    <row r="103" spans="1:10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4.1770810529784317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1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4.1770810529784317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1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4.1770810529784317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</row>
    <row r="106" spans="1:1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4.1770810529784317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</row>
    <row r="107" spans="1:1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4.1770810529784317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</row>
    <row r="108" spans="1:1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4.1770810529784317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</row>
    <row r="109" spans="1:1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4.1770810529784317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10" ht="15.75" thickTop="1" x14ac:dyDescent="0.25">
      <c r="F110" s="11">
        <f ca="1">MIN(F98:F109)</f>
        <v>-1.6566993000052207E-3</v>
      </c>
      <c r="H110" s="4">
        <f ca="1">SUM(H98:H109)</f>
        <v>-281.83381398512768</v>
      </c>
      <c r="I110" s="4">
        <f ca="1">SUM(I98:I109)</f>
        <v>3.8728626726705215</v>
      </c>
      <c r="J110" s="4">
        <f ca="1">SUM(J98:J109)*-1</f>
        <v>1312.0990736391186</v>
      </c>
    </row>
    <row r="113" spans="1:27" x14ac:dyDescent="0.25">
      <c r="A113" s="2" t="s">
        <v>67</v>
      </c>
      <c r="B113" s="31">
        <f ca="1">J92+H110</f>
        <v>769.23076923071483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0.65</v>
      </c>
    </row>
    <row r="114" spans="1:27" x14ac:dyDescent="0.25">
      <c r="A114" s="2" t="s">
        <v>69</v>
      </c>
      <c r="B114" s="4">
        <f ca="1">(((K92+I110)*COS(RADIANS(B53)))+((L92+J110)*SIN(RADIANS(B53))))</f>
        <v>-3118.51712758751</v>
      </c>
      <c r="C114" t="s">
        <v>23</v>
      </c>
      <c r="D114" s="4">
        <f ca="1">(B113*(E49-H7))</f>
        <v>0</v>
      </c>
      <c r="E114" t="s">
        <v>23</v>
      </c>
      <c r="F114" s="4">
        <f ca="1">B114+D114</f>
        <v>-3118.51712758751</v>
      </c>
      <c r="G114" s="10" t="str">
        <f>"= Mnx,gc"</f>
        <v>= Mnx,gc</v>
      </c>
      <c r="H114" s="4">
        <f ca="1">F114/12</f>
        <v>-259.87642729895919</v>
      </c>
      <c r="I114" t="s">
        <v>72</v>
      </c>
      <c r="J114" s="29">
        <f ca="1">H114*J113</f>
        <v>-168.91967774432348</v>
      </c>
      <c r="K114" t="s">
        <v>72</v>
      </c>
      <c r="P114" t="s">
        <v>87</v>
      </c>
    </row>
    <row r="115" spans="1:27" x14ac:dyDescent="0.25">
      <c r="A115" s="2" t="s">
        <v>70</v>
      </c>
      <c r="B115" s="4">
        <f ca="1">(-1*(K92+I110)*SIN(RADIANS(B53)))+((L92+J110)*COS(RADIANS(B53)))</f>
        <v>3118.5171275980579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3118.5171275980579</v>
      </c>
      <c r="G115" s="10" t="str">
        <f>"= Mny,gc"</f>
        <v>= Mny,gc</v>
      </c>
      <c r="H115" s="4">
        <f ca="1">F115/12</f>
        <v>259.87642729983816</v>
      </c>
      <c r="I115" t="s">
        <v>72</v>
      </c>
      <c r="J115" s="29">
        <f ca="1">H115*J113</f>
        <v>168.91967774489481</v>
      </c>
      <c r="K115" t="s">
        <v>72</v>
      </c>
      <c r="M115" t="s">
        <v>79</v>
      </c>
      <c r="N115" s="9">
        <f ca="1">DEGREES(ATAN2(J114,J115))</f>
        <v>134.99999999990311</v>
      </c>
      <c r="P115">
        <f ca="1">(-1*0.003*MAX(E98:E109))/(0.002-0.003)</f>
        <v>13.027118895624469</v>
      </c>
    </row>
    <row r="116" spans="1:27" x14ac:dyDescent="0.25">
      <c r="J116" s="30">
        <f ca="1">B113*J113</f>
        <v>499.99999999996464</v>
      </c>
      <c r="K116" t="s">
        <v>20</v>
      </c>
    </row>
    <row r="117" spans="1:27" x14ac:dyDescent="0.25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2305.6865000000003</v>
      </c>
      <c r="K117" t="s">
        <v>20</v>
      </c>
      <c r="M117">
        <f ca="1">SQRT((J114*J114)+(J115*J115))</f>
        <v>238.88849921811894</v>
      </c>
    </row>
    <row r="118" spans="1:27" x14ac:dyDescent="0.25">
      <c r="A118" s="2" t="s">
        <v>75</v>
      </c>
      <c r="B118" s="34">
        <v>500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7" x14ac:dyDescent="0.25">
      <c r="A119" s="2" t="s">
        <v>76</v>
      </c>
      <c r="B119" s="34">
        <v>-10</v>
      </c>
      <c r="C119" t="s">
        <v>72</v>
      </c>
      <c r="G119" s="2" t="s">
        <v>80</v>
      </c>
      <c r="H119" s="33">
        <v>100</v>
      </c>
      <c r="L119">
        <f ca="1">B118-J116</f>
        <v>3.5356606531422585E-11</v>
      </c>
      <c r="M119" s="50">
        <f ca="1">N115-B121</f>
        <v>-9.6889607448247261E-11</v>
      </c>
    </row>
    <row r="120" spans="1:27" x14ac:dyDescent="0.25">
      <c r="A120" s="2" t="s">
        <v>77</v>
      </c>
      <c r="B120" s="34">
        <v>10</v>
      </c>
      <c r="C120" t="s">
        <v>72</v>
      </c>
      <c r="D120">
        <f>B118</f>
        <v>500</v>
      </c>
      <c r="E120">
        <f>SQRT((B119*B119)+(B120*B120))</f>
        <v>14.142135623730951</v>
      </c>
      <c r="G120" s="2" t="s">
        <v>81</v>
      </c>
      <c r="H120" s="1">
        <v>101</v>
      </c>
    </row>
    <row r="121" spans="1:27" x14ac:dyDescent="0.25">
      <c r="A121" s="2" t="s">
        <v>78</v>
      </c>
      <c r="B121" s="12">
        <f>DEGREES(ATAN2(B119,B120))</f>
        <v>135</v>
      </c>
    </row>
    <row r="122" spans="1:27" x14ac:dyDescent="0.25">
      <c r="Q122">
        <f>D120</f>
        <v>500</v>
      </c>
      <c r="R122">
        <f>E120</f>
        <v>14.142135623730951</v>
      </c>
      <c r="U122">
        <v>4</v>
      </c>
    </row>
    <row r="123" spans="1:27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500</v>
      </c>
      <c r="R123">
        <f ca="1">SQRT((J114*J114)+(J115*J115))</f>
        <v>238.88849921811894</v>
      </c>
    </row>
    <row r="124" spans="1:27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7" ht="15.75" thickBot="1" x14ac:dyDescent="0.3">
      <c r="A125" s="16"/>
      <c r="B125" s="20"/>
      <c r="C125" s="15"/>
      <c r="D125" s="16"/>
      <c r="E125" s="17"/>
      <c r="F125" s="17"/>
      <c r="G125" s="16"/>
      <c r="H125" s="20">
        <f ca="1">J114</f>
        <v>-168.91967774432348</v>
      </c>
      <c r="I125" s="3">
        <f ca="1">J115</f>
        <v>168.91967774489481</v>
      </c>
      <c r="J125" s="16"/>
      <c r="K125" s="17"/>
      <c r="L125" s="13"/>
      <c r="M125" s="16"/>
      <c r="N125" s="17"/>
    </row>
    <row r="126" spans="1:27" x14ac:dyDescent="0.25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  <c r="V126" s="42" t="s">
        <v>94</v>
      </c>
      <c r="W126" s="51"/>
      <c r="X126" s="51"/>
      <c r="Y126" s="51"/>
      <c r="Z126" s="51"/>
      <c r="AA126" s="43"/>
    </row>
    <row r="127" spans="1:27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50</v>
      </c>
      <c r="V127" s="52" t="s">
        <v>103</v>
      </c>
      <c r="W127" s="53">
        <v>1.0000000000000001E-5</v>
      </c>
      <c r="X127" s="53"/>
      <c r="Y127" s="53"/>
      <c r="Z127" s="53"/>
      <c r="AA127" s="54"/>
    </row>
    <row r="128" spans="1:27" x14ac:dyDescent="0.25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52"/>
      <c r="W128" s="53"/>
      <c r="X128" s="53"/>
      <c r="Y128" s="53" t="s">
        <v>104</v>
      </c>
      <c r="Z128" s="53"/>
      <c r="AA128" s="54"/>
    </row>
    <row r="129" spans="1:27" ht="15.75" thickBot="1" x14ac:dyDescent="0.3">
      <c r="A129" s="37">
        <v>0</v>
      </c>
      <c r="B129" s="38">
        <v>3572.8590721303899</v>
      </c>
      <c r="C129" s="37">
        <v>0</v>
      </c>
      <c r="D129" s="16">
        <f>DEGREES(ATAN2(B129,C129))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1"/>
      <c r="Q129" s="41">
        <f ca="1">J118</f>
        <v>-342.9</v>
      </c>
      <c r="R129" s="41">
        <v>1.2239999917451755E-5</v>
      </c>
      <c r="S129" s="41">
        <v>2.3477794355868567E-16</v>
      </c>
      <c r="V129" s="55" t="s">
        <v>99</v>
      </c>
      <c r="W129" s="56"/>
      <c r="X129" s="56"/>
      <c r="Y129" s="56"/>
      <c r="Z129" s="56"/>
      <c r="AA129" s="54"/>
    </row>
    <row r="130" spans="1:27" x14ac:dyDescent="0.25">
      <c r="A130" s="39">
        <v>-1</v>
      </c>
      <c r="B130" s="38">
        <v>3572.7926123180137</v>
      </c>
      <c r="C130" s="37">
        <v>0.23738888302375188</v>
      </c>
      <c r="D130" s="16">
        <f t="shared" ref="D130:D193" si="34">DEGREES(ATAN2(B130,C130))</f>
        <v>3.8069327152313315E-3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1">
        <v>1</v>
      </c>
      <c r="Q130">
        <v>-337.9</v>
      </c>
      <c r="R130">
        <v>2.3537704759065528</v>
      </c>
      <c r="S130" s="41">
        <v>135.00000000173958</v>
      </c>
      <c r="V130" s="42" t="s">
        <v>95</v>
      </c>
      <c r="W130" s="43" t="s">
        <v>96</v>
      </c>
      <c r="X130" s="56" t="str">
        <f>"="</f>
        <v>=</v>
      </c>
      <c r="Y130" s="42">
        <v>-78.340337682902828</v>
      </c>
      <c r="Z130" s="43">
        <v>-16.657899021765843</v>
      </c>
      <c r="AA130" s="54"/>
    </row>
    <row r="131" spans="1:27" ht="15.75" thickBot="1" x14ac:dyDescent="0.3">
      <c r="A131" s="39">
        <v>-2</v>
      </c>
      <c r="B131" s="38">
        <v>3572.7223795223476</v>
      </c>
      <c r="C131" s="37">
        <v>0.47492246508776931</v>
      </c>
      <c r="D131" s="16">
        <f t="shared" si="34"/>
        <v>7.6163356103922672E-3</v>
      </c>
      <c r="E131" s="15"/>
      <c r="F131" s="15"/>
      <c r="G131" s="15"/>
      <c r="H131" s="15"/>
      <c r="I131" s="15"/>
      <c r="P131" s="41">
        <v>2</v>
      </c>
      <c r="Q131">
        <v>-285.02826999999996</v>
      </c>
      <c r="R131">
        <v>26.845487985573179</v>
      </c>
      <c r="S131" s="41">
        <v>134.9999999999178</v>
      </c>
      <c r="V131" s="44" t="s">
        <v>97</v>
      </c>
      <c r="W131" s="45" t="s">
        <v>98</v>
      </c>
      <c r="X131" s="56"/>
      <c r="Y131" s="44">
        <v>54296098.372793414</v>
      </c>
      <c r="Z131" s="45">
        <v>54296053.525429167</v>
      </c>
      <c r="AA131" s="54"/>
    </row>
    <row r="132" spans="1:27" ht="15.75" thickBot="1" x14ac:dyDescent="0.3">
      <c r="A132" s="37">
        <v>-3</v>
      </c>
      <c r="B132" s="37">
        <v>3572.6483164136826</v>
      </c>
      <c r="C132" s="37">
        <v>0.71274579824936379</v>
      </c>
      <c r="D132" s="16">
        <f t="shared" si="34"/>
        <v>1.1430547299036323E-2</v>
      </c>
      <c r="E132" s="15"/>
      <c r="F132" s="15"/>
      <c r="G132" s="15"/>
      <c r="H132" s="15"/>
      <c r="I132" s="15"/>
      <c r="P132" s="41">
        <v>3</v>
      </c>
      <c r="Q132">
        <v>-232.15653999999995</v>
      </c>
      <c r="R132">
        <v>50.610793518167895</v>
      </c>
      <c r="S132" s="41">
        <v>134.9999999999817</v>
      </c>
      <c r="V132" s="55"/>
      <c r="W132" s="56"/>
      <c r="X132" s="56"/>
      <c r="Y132" s="56"/>
      <c r="Z132" s="56"/>
      <c r="AA132" s="54"/>
    </row>
    <row r="133" spans="1:27" x14ac:dyDescent="0.25">
      <c r="A133" s="37">
        <v>-4</v>
      </c>
      <c r="B133" s="37">
        <v>3572.5703562998374</v>
      </c>
      <c r="C133" s="37">
        <v>0.95100464243172389</v>
      </c>
      <c r="D133" s="16">
        <f t="shared" si="34"/>
        <v>1.5251918251399597E-2</v>
      </c>
      <c r="E133" s="15"/>
      <c r="F133" s="15"/>
      <c r="G133" s="15"/>
      <c r="H133" s="15"/>
      <c r="I133" s="15"/>
      <c r="P133" s="41">
        <v>4</v>
      </c>
      <c r="Q133">
        <v>-179.28480999999994</v>
      </c>
      <c r="R133">
        <v>73.650484017030649</v>
      </c>
      <c r="S133" s="41">
        <v>135.00000000007407</v>
      </c>
      <c r="V133" s="55" t="str">
        <f>"-1*R,vector = "</f>
        <v xml:space="preserve">-1*R,vector = </v>
      </c>
      <c r="W133" s="46" t="s">
        <v>75</v>
      </c>
      <c r="X133" s="56" t="str">
        <f>"="</f>
        <v>=</v>
      </c>
      <c r="Y133" s="48">
        <f ca="1">(B118-J116)*-1</f>
        <v>-3.5356606531422585E-11</v>
      </c>
      <c r="Z133" s="56"/>
      <c r="AA133" s="54"/>
    </row>
    <row r="134" spans="1:27" ht="15.75" thickBot="1" x14ac:dyDescent="0.3">
      <c r="A134" s="39">
        <v>-5</v>
      </c>
      <c r="B134" s="38">
        <v>3572.4884228830711</v>
      </c>
      <c r="C134" s="40">
        <v>1.1898458239525327</v>
      </c>
      <c r="D134" s="16">
        <f t="shared" si="34"/>
        <v>1.9082816623368491E-2</v>
      </c>
      <c r="E134" s="15"/>
      <c r="F134" s="15"/>
      <c r="G134" s="15"/>
      <c r="H134" s="15"/>
      <c r="I134" s="15"/>
      <c r="P134" s="41">
        <v>5</v>
      </c>
      <c r="Q134">
        <v>-126.41307999999992</v>
      </c>
      <c r="R134">
        <v>95.965330980087657</v>
      </c>
      <c r="S134" s="41">
        <v>134.99999999999042</v>
      </c>
      <c r="V134" s="55"/>
      <c r="W134" s="47" t="s">
        <v>49</v>
      </c>
      <c r="X134" s="56"/>
      <c r="Y134" s="49">
        <f ca="1">(SQRT(POWER(B119-J114,2)+POWER(B120-J115,2)))*-1</f>
        <v>-224.74636359438799</v>
      </c>
      <c r="Z134" s="56"/>
      <c r="AA134" s="54"/>
    </row>
    <row r="135" spans="1:27" ht="15.75" thickBot="1" x14ac:dyDescent="0.3">
      <c r="A135" s="39">
        <v>-6</v>
      </c>
      <c r="B135" s="38">
        <v>3572.4024299686066</v>
      </c>
      <c r="C135" s="40">
        <v>1.4294175996132026</v>
      </c>
      <c r="D135" s="16">
        <f t="shared" si="34"/>
        <v>2.2925634178763869E-2</v>
      </c>
      <c r="E135" s="15"/>
      <c r="F135" s="15"/>
      <c r="G135" s="15"/>
      <c r="H135" s="15"/>
      <c r="I135" s="15"/>
      <c r="P135" s="41">
        <v>6</v>
      </c>
      <c r="Q135">
        <v>-73.541349999999909</v>
      </c>
      <c r="R135">
        <v>117.55608059189409</v>
      </c>
      <c r="S135" s="41">
        <v>135.00000000009808</v>
      </c>
      <c r="V135" s="55"/>
      <c r="W135" s="56"/>
      <c r="X135" s="56"/>
      <c r="Y135" s="56"/>
      <c r="Z135" s="56"/>
      <c r="AA135" s="54"/>
    </row>
    <row r="136" spans="1:27" x14ac:dyDescent="0.25">
      <c r="A136" s="37">
        <v>-7</v>
      </c>
      <c r="B136" s="37">
        <v>3572.3122811175954</v>
      </c>
      <c r="C136" s="37">
        <v>1.6698700282796153</v>
      </c>
      <c r="D136" s="16">
        <f t="shared" si="34"/>
        <v>2.6782792336733075E-2</v>
      </c>
      <c r="E136" s="15"/>
      <c r="F136" s="15"/>
      <c r="G136" s="15"/>
      <c r="H136" s="15"/>
      <c r="I136" s="15"/>
      <c r="P136" s="41">
        <v>7</v>
      </c>
      <c r="Q136">
        <v>-20.669619999999902</v>
      </c>
      <c r="R136">
        <v>138.42345384830969</v>
      </c>
      <c r="S136" s="41">
        <v>135.00000000005508</v>
      </c>
      <c r="V136" s="55"/>
      <c r="W136" s="56" t="str">
        <f>"J^-1*R"</f>
        <v>J^-1*R</v>
      </c>
      <c r="X136" s="56" t="s">
        <v>100</v>
      </c>
      <c r="Y136" s="48" cm="1">
        <f t="array" aca="1" ref="Y136:Y137" ca="1">MMULT(MINVERSE(Y130:Z131),Y133:Y134)</f>
        <v>1.1178497097633083E-6</v>
      </c>
      <c r="Z136" s="56"/>
      <c r="AA136" s="54"/>
    </row>
    <row r="137" spans="1:27" ht="15.75" thickBot="1" x14ac:dyDescent="0.3">
      <c r="A137" s="37">
        <v>-8</v>
      </c>
      <c r="B137" s="38">
        <v>3572.2178692459629</v>
      </c>
      <c r="C137" s="37">
        <v>1.9113553519525113</v>
      </c>
      <c r="D137" s="16">
        <f t="shared" si="34"/>
        <v>3.0656748377145441E-2</v>
      </c>
      <c r="E137" s="15"/>
      <c r="F137" s="15"/>
      <c r="G137" s="15"/>
      <c r="H137" s="15"/>
      <c r="I137" s="15"/>
      <c r="P137" s="41">
        <v>8</v>
      </c>
      <c r="Q137">
        <v>32.202110000000104</v>
      </c>
      <c r="R137">
        <v>158.56814668041849</v>
      </c>
      <c r="S137" s="41">
        <v>135.0000000000289</v>
      </c>
      <c r="V137" s="55"/>
      <c r="W137" s="56"/>
      <c r="X137" s="56"/>
      <c r="Y137" s="49">
        <f ca="1"/>
        <v>-5.2571268603897856E-6</v>
      </c>
      <c r="Z137" s="56"/>
      <c r="AA137" s="54"/>
    </row>
    <row r="138" spans="1:27" x14ac:dyDescent="0.25">
      <c r="A138" s="39">
        <v>-9</v>
      </c>
      <c r="B138" s="38">
        <v>3572.1190761650168</v>
      </c>
      <c r="C138" s="37">
        <v>2.1540283884135762</v>
      </c>
      <c r="D138" s="16">
        <f t="shared" si="34"/>
        <v>3.4550001838383262E-2</v>
      </c>
      <c r="E138" s="15"/>
      <c r="F138" s="15"/>
      <c r="G138" s="15"/>
      <c r="H138" s="15"/>
      <c r="I138" s="15"/>
      <c r="P138" s="41">
        <v>9</v>
      </c>
      <c r="Q138">
        <v>85.073840000000104</v>
      </c>
      <c r="R138">
        <v>177.99083007072684</v>
      </c>
      <c r="S138" s="41">
        <v>134.99999999995654</v>
      </c>
      <c r="V138" s="55"/>
      <c r="W138" s="56" t="s">
        <v>102</v>
      </c>
      <c r="X138" s="56" t="str">
        <f>"= "</f>
        <v xml:space="preserve">= </v>
      </c>
      <c r="Y138" s="48">
        <f ca="1">Y136+B78</f>
        <v>2.7975016770139796</v>
      </c>
      <c r="Z138" s="56"/>
      <c r="AA138" s="54"/>
    </row>
    <row r="139" spans="1:27" ht="15.75" thickBot="1" x14ac:dyDescent="0.3">
      <c r="A139" s="39">
        <v>-10</v>
      </c>
      <c r="B139" s="37">
        <v>3572.0157720568341</v>
      </c>
      <c r="C139" s="37">
        <v>2.3980469376353315</v>
      </c>
      <c r="D139" s="16">
        <f t="shared" si="34"/>
        <v>3.8465101143677217E-2</v>
      </c>
      <c r="E139" s="15"/>
      <c r="F139" s="15"/>
      <c r="G139" s="15"/>
      <c r="H139" s="15"/>
      <c r="I139" s="15"/>
      <c r="P139" s="41">
        <v>10</v>
      </c>
      <c r="Q139">
        <v>137.94557000000012</v>
      </c>
      <c r="R139">
        <v>196.69215016711721</v>
      </c>
      <c r="S139" s="41">
        <v>134.99999999994682</v>
      </c>
      <c r="V139" s="55"/>
      <c r="W139" s="56" t="s">
        <v>101</v>
      </c>
      <c r="X139" s="56"/>
      <c r="Y139" s="49">
        <f ca="1">Y137+B53</f>
        <v>269.83087790876658</v>
      </c>
      <c r="Z139" s="56"/>
      <c r="AA139" s="54"/>
    </row>
    <row r="140" spans="1:27" ht="15.75" thickBot="1" x14ac:dyDescent="0.3">
      <c r="A140" s="37">
        <v>-11</v>
      </c>
      <c r="B140" s="37">
        <v>3571.9078148859285</v>
      </c>
      <c r="C140" s="37">
        <v>2.6435722042727776</v>
      </c>
      <c r="D140" s="16">
        <f t="shared" si="34"/>
        <v>4.2404650494241226E-2</v>
      </c>
      <c r="E140" s="15"/>
      <c r="F140" s="15"/>
      <c r="G140" s="15"/>
      <c r="H140" s="15"/>
      <c r="I140" s="15"/>
      <c r="P140" s="41">
        <v>11</v>
      </c>
      <c r="Q140">
        <v>190.81730000000013</v>
      </c>
      <c r="R140">
        <v>209.7047316244107</v>
      </c>
      <c r="S140" s="41">
        <v>135.00000000003354</v>
      </c>
      <c r="V140" s="44"/>
      <c r="W140" s="57"/>
      <c r="X140" s="57"/>
      <c r="Y140" s="57"/>
      <c r="Z140" s="57"/>
      <c r="AA140" s="45"/>
    </row>
    <row r="141" spans="1:27" x14ac:dyDescent="0.25">
      <c r="A141" s="37">
        <v>-12</v>
      </c>
      <c r="B141" s="37">
        <v>3571.7950497348015</v>
      </c>
      <c r="C141" s="37">
        <v>2.8907692387123465</v>
      </c>
      <c r="D141" s="16">
        <f t="shared" si="34"/>
        <v>4.6371317070230747E-2</v>
      </c>
      <c r="E141" s="15"/>
      <c r="F141" s="15"/>
      <c r="G141" s="15"/>
      <c r="H141" s="15"/>
      <c r="I141" s="15"/>
      <c r="P141" s="41">
        <v>12</v>
      </c>
      <c r="Q141">
        <v>243.68903000000014</v>
      </c>
      <c r="R141">
        <v>214.40726995951371</v>
      </c>
      <c r="S141" s="41">
        <v>134.99999999998334</v>
      </c>
    </row>
    <row r="142" spans="1:27" x14ac:dyDescent="0.25">
      <c r="A142" s="39">
        <v>-13</v>
      </c>
      <c r="B142" s="37">
        <v>3571.6773080657053</v>
      </c>
      <c r="C142" s="37">
        <v>3.1398073993076649</v>
      </c>
      <c r="D142" s="16">
        <f t="shared" si="34"/>
        <v>5.0367838583005413E-2</v>
      </c>
      <c r="E142" s="15"/>
      <c r="F142" s="15"/>
      <c r="G142" s="15"/>
      <c r="H142" s="15"/>
      <c r="I142" s="15"/>
      <c r="P142" s="41">
        <v>13</v>
      </c>
      <c r="Q142">
        <v>296.56076000000013</v>
      </c>
      <c r="R142">
        <v>219.06774461087099</v>
      </c>
      <c r="S142" s="41">
        <v>134.99999999995543</v>
      </c>
    </row>
    <row r="143" spans="1:27" x14ac:dyDescent="0.25">
      <c r="A143" s="39">
        <v>-14</v>
      </c>
      <c r="B143" s="37">
        <v>3571.5544068920458</v>
      </c>
      <c r="C143" s="37">
        <v>3.3908608386677317</v>
      </c>
      <c r="D143" s="16">
        <f t="shared" si="34"/>
        <v>5.4397031226331494E-2</v>
      </c>
      <c r="E143" s="15"/>
      <c r="F143" s="15"/>
      <c r="G143" s="15"/>
      <c r="H143" s="15"/>
      <c r="I143" s="15"/>
      <c r="P143" s="41">
        <v>14</v>
      </c>
      <c r="Q143">
        <v>349.43249000000014</v>
      </c>
      <c r="R143">
        <v>223.49864800254591</v>
      </c>
      <c r="S143" s="41">
        <v>134.99999999998022</v>
      </c>
    </row>
    <row r="144" spans="1:27" x14ac:dyDescent="0.25">
      <c r="A144" s="37">
        <v>-15</v>
      </c>
      <c r="B144" s="37">
        <v>3571.4261478608873</v>
      </c>
      <c r="C144" s="37">
        <v>3.6441090170631472</v>
      </c>
      <c r="D144" s="16">
        <f t="shared" si="34"/>
        <v>5.8461798077337868E-2</v>
      </c>
      <c r="E144" s="15"/>
      <c r="F144" s="15"/>
      <c r="G144" s="15"/>
      <c r="H144" s="16"/>
      <c r="I144" s="19"/>
      <c r="P144" s="41">
        <v>15</v>
      </c>
      <c r="Q144">
        <v>402.30422000000016</v>
      </c>
      <c r="R144">
        <v>226.7617471226761</v>
      </c>
      <c r="S144" s="41">
        <v>135.00000000006429</v>
      </c>
    </row>
    <row r="145" spans="1:19" x14ac:dyDescent="0.25">
      <c r="A145" s="37">
        <v>-16</v>
      </c>
      <c r="B145" s="37">
        <v>3571.2923162342272</v>
      </c>
      <c r="C145" s="37">
        <v>3.8997372463196824</v>
      </c>
      <c r="D145" s="16">
        <f t="shared" si="34"/>
        <v>6.256513800327354E-2</v>
      </c>
      <c r="E145" s="15"/>
      <c r="F145" s="15"/>
      <c r="G145" s="15"/>
      <c r="H145" s="16"/>
      <c r="I145" s="19"/>
      <c r="P145" s="41">
        <v>16</v>
      </c>
      <c r="Q145">
        <v>455.17595000000017</v>
      </c>
      <c r="R145">
        <v>233.13462321918712</v>
      </c>
      <c r="S145" s="41">
        <v>135.00000000001006</v>
      </c>
    </row>
    <row r="146" spans="1:19" x14ac:dyDescent="0.25">
      <c r="A146" s="39">
        <v>-17</v>
      </c>
      <c r="B146" s="37">
        <v>3571.152679753342</v>
      </c>
      <c r="C146" s="37">
        <v>4.1579372678375419</v>
      </c>
      <c r="D146" s="16">
        <f t="shared" si="34"/>
        <v>6.6710155134762472E-2</v>
      </c>
      <c r="E146" s="15"/>
      <c r="F146" s="15"/>
      <c r="G146" s="15"/>
      <c r="H146" s="15"/>
      <c r="I146" s="15"/>
      <c r="P146" s="41">
        <v>17</v>
      </c>
      <c r="Q146">
        <v>508.04768000000018</v>
      </c>
      <c r="R146">
        <v>239.91834833985919</v>
      </c>
      <c r="S146" s="41">
        <v>135.0000000000467</v>
      </c>
    </row>
    <row r="147" spans="1:19" x14ac:dyDescent="0.25">
      <c r="A147" s="39">
        <v>-18</v>
      </c>
      <c r="B147" s="41">
        <v>3571.0069873897696</v>
      </c>
      <c r="C147" s="41">
        <v>4.4189078687672465</v>
      </c>
      <c r="D147" s="16">
        <f t="shared" si="34"/>
        <v>7.0900068972494013E-2</v>
      </c>
      <c r="P147" s="41">
        <v>18</v>
      </c>
      <c r="Q147">
        <v>560.9194100000002</v>
      </c>
      <c r="R147">
        <v>246.64421907827574</v>
      </c>
      <c r="S147" s="41">
        <v>134.99999999995009</v>
      </c>
    </row>
    <row r="148" spans="1:19" x14ac:dyDescent="0.25">
      <c r="A148" s="37">
        <v>-19</v>
      </c>
      <c r="B148" s="41">
        <v>3570.85496795274</v>
      </c>
      <c r="C148" s="41">
        <v>4.6828555407397747</v>
      </c>
      <c r="D148" s="16">
        <f t="shared" si="34"/>
        <v>7.5138225201057729E-2</v>
      </c>
      <c r="P148" s="41">
        <v>19</v>
      </c>
      <c r="Q148">
        <v>613.79114000000015</v>
      </c>
      <c r="R148">
        <v>253.2700670509507</v>
      </c>
      <c r="S148" s="41">
        <v>135.00000000008606</v>
      </c>
    </row>
    <row r="149" spans="1:19" x14ac:dyDescent="0.25">
      <c r="A149" s="37">
        <v>-20</v>
      </c>
      <c r="B149" s="41">
        <v>3570.6963285497063</v>
      </c>
      <c r="C149" s="41">
        <v>4.9499951860203506</v>
      </c>
      <c r="D149" s="16">
        <f t="shared" si="34"/>
        <v>7.9428107291132533E-2</v>
      </c>
      <c r="P149" s="41">
        <v>20</v>
      </c>
      <c r="Q149">
        <v>666.66287000000011</v>
      </c>
      <c r="R149">
        <v>259.75234589427805</v>
      </c>
      <c r="S149" s="41">
        <v>135.00000000004877</v>
      </c>
    </row>
    <row r="150" spans="1:19" x14ac:dyDescent="0.25">
      <c r="A150" s="39">
        <v>-21</v>
      </c>
      <c r="B150" s="41">
        <v>3570.5307528811486</v>
      </c>
      <c r="C150" s="41">
        <v>5.2205508764821396</v>
      </c>
      <c r="D150" s="16">
        <f t="shared" si="34"/>
        <v>8.3773348980375931E-2</v>
      </c>
      <c r="P150" s="41">
        <v>21</v>
      </c>
      <c r="Q150">
        <v>719.53460000000007</v>
      </c>
      <c r="R150">
        <v>266.04671715019771</v>
      </c>
      <c r="S150" s="41">
        <v>135.00000000007029</v>
      </c>
    </row>
    <row r="151" spans="1:19" x14ac:dyDescent="0.25">
      <c r="A151" s="39">
        <v>-22</v>
      </c>
      <c r="B151" s="41">
        <v>3570.3578993478327</v>
      </c>
      <c r="C151" s="41">
        <v>5.4947566713588456</v>
      </c>
      <c r="D151" s="16">
        <f t="shared" si="34"/>
        <v>8.8177747732975917E-2</v>
      </c>
      <c r="P151" s="41">
        <v>22</v>
      </c>
      <c r="Q151">
        <v>772.40633000000003</v>
      </c>
      <c r="R151">
        <v>272.10861958907816</v>
      </c>
      <c r="S151" s="41">
        <v>135.00000000008919</v>
      </c>
    </row>
    <row r="152" spans="1:19" x14ac:dyDescent="0.25">
      <c r="A152" s="37">
        <v>-23</v>
      </c>
      <c r="B152" s="41">
        <v>3570.1773989550165</v>
      </c>
      <c r="C152" s="41">
        <v>5.7728575004506633</v>
      </c>
      <c r="D152" s="16">
        <f t="shared" si="34"/>
        <v>9.2645279289748708E-2</v>
      </c>
      <c r="P152" s="41">
        <v>23</v>
      </c>
      <c r="Q152">
        <v>825.27805999999998</v>
      </c>
      <c r="R152">
        <v>277.89379943567337</v>
      </c>
      <c r="S152" s="41">
        <v>135.00000000005261</v>
      </c>
    </row>
    <row r="153" spans="1:19" x14ac:dyDescent="0.25">
      <c r="A153" s="37">
        <v>-24</v>
      </c>
      <c r="B153" s="41">
        <v>3569.9888529833356</v>
      </c>
      <c r="C153" s="41">
        <v>6.0551101201958772</v>
      </c>
      <c r="D153" s="16">
        <f t="shared" si="34"/>
        <v>9.7180113433516568E-2</v>
      </c>
      <c r="P153" s="41">
        <v>24</v>
      </c>
      <c r="Q153">
        <v>878.14978999999994</v>
      </c>
      <c r="R153">
        <v>283.35878407908945</v>
      </c>
      <c r="S153" s="41">
        <v>135.00000000009825</v>
      </c>
    </row>
    <row r="154" spans="1:19" x14ac:dyDescent="0.25">
      <c r="A154" s="39">
        <v>-25</v>
      </c>
      <c r="B154" s="41">
        <v>3569.7918304007267</v>
      </c>
      <c r="C154" s="41">
        <v>6.3417841509076425</v>
      </c>
      <c r="D154" s="16">
        <f t="shared" si="34"/>
        <v>0.10178663110944641</v>
      </c>
      <c r="P154" s="41">
        <v>25</v>
      </c>
      <c r="Q154">
        <v>931.0215199999999</v>
      </c>
      <c r="R154">
        <v>288.46128762013143</v>
      </c>
      <c r="S154" s="41">
        <v>135.00000000002942</v>
      </c>
    </row>
    <row r="155" spans="1:19" x14ac:dyDescent="0.25">
      <c r="A155" s="39">
        <v>-26</v>
      </c>
      <c r="B155" s="41">
        <v>3569.5858649857773</v>
      </c>
      <c r="C155" s="41">
        <v>6.6331632044949407</v>
      </c>
      <c r="D155" s="16">
        <f t="shared" si="34"/>
        <v>0.10646944305740039</v>
      </c>
      <c r="P155" s="41">
        <v>26</v>
      </c>
      <c r="Q155">
        <v>983.89324999999985</v>
      </c>
      <c r="R155">
        <v>293.1605423143572</v>
      </c>
      <c r="S155" s="41">
        <v>135.00000000005542</v>
      </c>
    </row>
    <row r="156" spans="1:19" x14ac:dyDescent="0.25">
      <c r="A156" s="37">
        <v>-27</v>
      </c>
      <c r="B156" s="41">
        <v>3569.3704521254845</v>
      </c>
      <c r="C156" s="41">
        <v>6.9295461131246157</v>
      </c>
      <c r="D156" s="16">
        <f t="shared" si="34"/>
        <v>0.11123341013289241</v>
      </c>
      <c r="P156" s="41">
        <v>27</v>
      </c>
      <c r="Q156">
        <v>1036.7649799999999</v>
      </c>
      <c r="R156">
        <v>297.41755500605842</v>
      </c>
      <c r="S156" s="41">
        <v>134.99999999996891</v>
      </c>
    </row>
    <row r="157" spans="1:19" x14ac:dyDescent="0.25">
      <c r="A157" s="37">
        <v>-28</v>
      </c>
      <c r="B157" s="41">
        <v>3569.1450452402041</v>
      </c>
      <c r="C157" s="41">
        <v>7.2312482705968248</v>
      </c>
      <c r="D157" s="16">
        <f t="shared" si="34"/>
        <v>0.11608366551595441</v>
      </c>
      <c r="P157" s="41">
        <v>28</v>
      </c>
      <c r="Q157">
        <v>1089.63671</v>
      </c>
      <c r="R157">
        <v>301.19529176306725</v>
      </c>
      <c r="S157" s="41">
        <v>135.00000000004201</v>
      </c>
    </row>
    <row r="158" spans="1:19" x14ac:dyDescent="0.25">
      <c r="A158" s="39">
        <v>-29</v>
      </c>
      <c r="B158" s="41">
        <v>3568.9090518000671</v>
      </c>
      <c r="C158" s="41">
        <v>7.5386030997576192</v>
      </c>
      <c r="D158" s="16">
        <f t="shared" si="34"/>
        <v>0.12102563903327411</v>
      </c>
      <c r="P158" s="41">
        <v>29</v>
      </c>
      <c r="Q158">
        <v>1142.5084400000001</v>
      </c>
      <c r="R158">
        <v>304.45879685390042</v>
      </c>
      <c r="S158" s="41">
        <v>135.0000000000079</v>
      </c>
    </row>
    <row r="159" spans="1:19" x14ac:dyDescent="0.25">
      <c r="A159" s="39">
        <v>-30</v>
      </c>
      <c r="B159" s="41">
        <v>3568.6618288632076</v>
      </c>
      <c r="C159" s="41">
        <v>7.8519636609785266</v>
      </c>
      <c r="D159" s="16">
        <f t="shared" si="34"/>
        <v>0.12606508384917117</v>
      </c>
      <c r="P159" s="41">
        <v>30</v>
      </c>
      <c r="Q159">
        <v>1195.3801700000001</v>
      </c>
      <c r="R159">
        <v>307.17525411398799</v>
      </c>
      <c r="S159" s="41">
        <v>135.00000000009703</v>
      </c>
    </row>
    <row r="160" spans="1:19" x14ac:dyDescent="0.25">
      <c r="A160" s="37">
        <v>-31</v>
      </c>
      <c r="B160" s="41">
        <v>3568.4026780849608</v>
      </c>
      <c r="C160" s="41">
        <v>8.1717044187749721</v>
      </c>
      <c r="D160" s="16">
        <f t="shared" si="34"/>
        <v>0.13120810581530967</v>
      </c>
      <c r="P160" s="41">
        <v>31</v>
      </c>
      <c r="Q160">
        <v>1248.2519000000002</v>
      </c>
      <c r="R160">
        <v>309.31399960889956</v>
      </c>
      <c r="S160" s="41">
        <v>134.99999999995617</v>
      </c>
    </row>
    <row r="161" spans="1:19" x14ac:dyDescent="0.25">
      <c r="A161" s="37">
        <v>-32</v>
      </c>
      <c r="B161" s="41">
        <v>3568.1308401172587</v>
      </c>
      <c r="C161" s="41">
        <v>8.4982231859666175</v>
      </c>
      <c r="D161" s="16">
        <f t="shared" si="34"/>
        <v>0.13646119580994065</v>
      </c>
      <c r="P161" s="41">
        <v>32</v>
      </c>
      <c r="Q161">
        <v>1301.1236300000003</v>
      </c>
      <c r="R161">
        <v>310.84071738880522</v>
      </c>
      <c r="S161" s="41">
        <v>134.99999999992795</v>
      </c>
    </row>
    <row r="162" spans="1:19" x14ac:dyDescent="0.25">
      <c r="A162" s="39">
        <v>-33</v>
      </c>
      <c r="B162" s="41">
        <v>3567.8454883160271</v>
      </c>
      <c r="C162" s="41">
        <v>8.8319432674860767</v>
      </c>
      <c r="D162" s="16">
        <f t="shared" si="34"/>
        <v>0.14183126544395749</v>
      </c>
      <c r="P162" s="41">
        <v>33</v>
      </c>
      <c r="Q162">
        <v>1353.9953600000003</v>
      </c>
      <c r="R162">
        <v>311.65439333765562</v>
      </c>
      <c r="S162" s="41">
        <v>134.99999999999238</v>
      </c>
    </row>
    <row r="163" spans="1:19" x14ac:dyDescent="0.25">
      <c r="A163" s="39">
        <v>-34</v>
      </c>
      <c r="B163" s="41">
        <v>3567.5457216558129</v>
      </c>
      <c r="C163" s="41">
        <v>9.1733158290572661</v>
      </c>
      <c r="D163" s="16">
        <f t="shared" si="34"/>
        <v>0.14732568656531098</v>
      </c>
      <c r="P163" s="41">
        <v>34</v>
      </c>
      <c r="Q163">
        <v>1406.8670900000004</v>
      </c>
      <c r="R163">
        <v>311.79186049621273</v>
      </c>
      <c r="S163" s="41">
        <v>134.99999999999923</v>
      </c>
    </row>
    <row r="164" spans="1:19" x14ac:dyDescent="0.25">
      <c r="A164" s="37">
        <v>-35</v>
      </c>
      <c r="B164" s="41">
        <v>3567.23055674024</v>
      </c>
      <c r="C164" s="41">
        <v>9.5228225196519816</v>
      </c>
      <c r="D164" s="16">
        <f t="shared" si="34"/>
        <v>0.15295233505724118</v>
      </c>
      <c r="P164" s="41">
        <v>35</v>
      </c>
      <c r="Q164">
        <v>1459.7388200000005</v>
      </c>
      <c r="R164">
        <v>311.21272966836699</v>
      </c>
      <c r="S164" s="41">
        <v>135.00000000002319</v>
      </c>
    </row>
    <row r="165" spans="1:19" x14ac:dyDescent="0.25">
      <c r="A165" s="37">
        <v>-36</v>
      </c>
      <c r="B165" s="41">
        <v>3566.8989187701563</v>
      </c>
      <c r="C165" s="41">
        <v>9.8809783808730582</v>
      </c>
      <c r="D165" s="16">
        <f t="shared" si="34"/>
        <v>0.15871963950008905</v>
      </c>
      <c r="P165" s="41">
        <v>36</v>
      </c>
      <c r="Q165">
        <v>1512.6105500000006</v>
      </c>
      <c r="R165">
        <v>309.8780987273089</v>
      </c>
      <c r="S165" s="41">
        <v>135.00000000002132</v>
      </c>
    </row>
    <row r="166" spans="1:19" x14ac:dyDescent="0.25">
      <c r="A166" s="39">
        <v>-37</v>
      </c>
      <c r="B166" s="41">
        <v>3566.549631313474</v>
      </c>
      <c r="C166" s="41">
        <v>10.248335081397636</v>
      </c>
      <c r="D166" s="16">
        <f t="shared" si="34"/>
        <v>0.16463663535351672</v>
      </c>
      <c r="P166" s="41">
        <v>37</v>
      </c>
      <c r="Q166">
        <v>1565.4822800000006</v>
      </c>
      <c r="R166">
        <v>307.77770700861322</v>
      </c>
      <c r="S166" s="41">
        <v>134.99999999991934</v>
      </c>
    </row>
    <row r="167" spans="1:19" x14ac:dyDescent="0.25">
      <c r="A167" s="39">
        <v>-38</v>
      </c>
      <c r="B167" s="41">
        <v>3566.181404694129</v>
      </c>
      <c r="C167" s="41">
        <v>10.625484520492408</v>
      </c>
      <c r="D167" s="16">
        <f t="shared" si="34"/>
        <v>0.17071302541905981</v>
      </c>
      <c r="P167" s="41">
        <v>38</v>
      </c>
      <c r="Q167">
        <v>1618.3540100000007</v>
      </c>
      <c r="R167">
        <v>304.9344326636371</v>
      </c>
      <c r="S167" s="41">
        <v>135.00000000008993</v>
      </c>
    </row>
    <row r="168" spans="1:19" x14ac:dyDescent="0.25">
      <c r="A168" s="37">
        <v>-39</v>
      </c>
      <c r="B168" s="41">
        <v>3565.792822780084</v>
      </c>
      <c r="C168" s="41">
        <v>11.01306285145265</v>
      </c>
      <c r="D168" s="16">
        <f t="shared" si="34"/>
        <v>0.17695924746366942</v>
      </c>
      <c r="P168" s="41">
        <v>39</v>
      </c>
      <c r="Q168">
        <v>1671.2257400000008</v>
      </c>
      <c r="R168">
        <v>301.33256422954315</v>
      </c>
      <c r="S168" s="41">
        <v>135.00000000001506</v>
      </c>
    </row>
    <row r="169" spans="1:19" x14ac:dyDescent="0.25">
      <c r="A169" s="37">
        <v>-40</v>
      </c>
      <c r="B169" s="41">
        <v>3565.3823279136268</v>
      </c>
      <c r="C169" s="41">
        <v>11.411754984011351</v>
      </c>
      <c r="D169" s="16">
        <f t="shared" si="34"/>
        <v>0.18338655002947968</v>
      </c>
      <c r="P169" s="41">
        <v>40</v>
      </c>
      <c r="Q169">
        <v>1724.0974700000008</v>
      </c>
      <c r="R169">
        <v>296.95767710266244</v>
      </c>
      <c r="S169" s="41">
        <v>135.00000000001745</v>
      </c>
    </row>
    <row r="170" spans="1:19" x14ac:dyDescent="0.25">
      <c r="A170" s="39">
        <v>-41</v>
      </c>
      <c r="B170" s="41">
        <v>3564.9482036826057</v>
      </c>
      <c r="C170" s="41">
        <v>11.822299634301634</v>
      </c>
      <c r="D170" s="16">
        <f t="shared" si="34"/>
        <v>0.19000707762413849</v>
      </c>
      <c r="P170" s="41">
        <v>41</v>
      </c>
      <c r="Q170">
        <v>1776.9692000000009</v>
      </c>
      <c r="R170">
        <v>291.79652733848962</v>
      </c>
      <c r="S170" s="41">
        <v>135.0000000000235</v>
      </c>
    </row>
    <row r="171" spans="1:19" x14ac:dyDescent="0.25">
      <c r="A171" s="39">
        <v>-42</v>
      </c>
      <c r="B171" s="41">
        <v>3564.488555167613</v>
      </c>
      <c r="C171" s="41">
        <v>12.245495002451026</v>
      </c>
      <c r="D171" s="16">
        <f t="shared" si="34"/>
        <v>0.19683396669082337</v>
      </c>
      <c r="P171" s="41">
        <v>42</v>
      </c>
      <c r="Q171">
        <v>1829.840930000001</v>
      </c>
      <c r="R171">
        <v>285.83695115134844</v>
      </c>
      <c r="S171" s="41">
        <v>135.00000000001597</v>
      </c>
    </row>
    <row r="172" spans="1:19" x14ac:dyDescent="0.25">
      <c r="A172" s="37">
        <v>-43</v>
      </c>
      <c r="B172" s="41">
        <v>3564.0012862363451</v>
      </c>
      <c r="C172" s="41">
        <v>12.682205171472015</v>
      </c>
      <c r="D172" s="16">
        <f t="shared" si="34"/>
        <v>0.20388145399960067</v>
      </c>
      <c r="P172" s="41">
        <v>43</v>
      </c>
      <c r="Q172">
        <v>1882.7126600000011</v>
      </c>
      <c r="R172">
        <v>279.0677706160057</v>
      </c>
      <c r="S172" s="41">
        <v>135.00000000009925</v>
      </c>
    </row>
    <row r="173" spans="1:19" x14ac:dyDescent="0.25">
      <c r="A173" s="37">
        <v>-44</v>
      </c>
      <c r="B173" s="41">
        <v>3563.4840733668916</v>
      </c>
      <c r="C173" s="41">
        <v>13.133367337375786</v>
      </c>
      <c r="D173" s="16">
        <f t="shared" si="34"/>
        <v>0.21116499939387171</v>
      </c>
      <c r="P173" s="41">
        <v>44</v>
      </c>
      <c r="Q173">
        <v>1935.5843900000011</v>
      </c>
      <c r="R173">
        <v>271.4787058042325</v>
      </c>
      <c r="S173" s="41">
        <v>134.99999999997297</v>
      </c>
    </row>
    <row r="174" spans="1:19" x14ac:dyDescent="0.25">
      <c r="A174" s="39">
        <v>-45</v>
      </c>
      <c r="B174" s="41">
        <v>3562.9343353801423</v>
      </c>
      <c r="C174" s="41">
        <v>13.599999999999637</v>
      </c>
      <c r="D174" s="16">
        <f t="shared" si="34"/>
        <v>0.21870142517810642</v>
      </c>
      <c r="P174" s="41">
        <v>45</v>
      </c>
      <c r="Q174">
        <v>1988.4561200000012</v>
      </c>
      <c r="R174">
        <v>263.06029339109932</v>
      </c>
      <c r="S174" s="41">
        <v>134.99999999991817</v>
      </c>
    </row>
    <row r="175" spans="1:19" x14ac:dyDescent="0.25">
      <c r="A175" s="39">
        <v>-46</v>
      </c>
      <c r="B175" s="41">
        <v>3562.3491983342974</v>
      </c>
      <c r="C175" s="41">
        <v>14.083212267551152</v>
      </c>
      <c r="D175" s="16">
        <f t="shared" si="34"/>
        <v>0.22650907485887428</v>
      </c>
      <c r="P175" s="41">
        <v>46</v>
      </c>
      <c r="Q175">
        <v>2041.3278500000013</v>
      </c>
      <c r="R175">
        <v>253.80381158718512</v>
      </c>
      <c r="S175" s="41">
        <v>135.0000000000253</v>
      </c>
    </row>
    <row r="176" spans="1:19" x14ac:dyDescent="0.25">
      <c r="A176" s="37">
        <v>-47</v>
      </c>
      <c r="B176" s="41">
        <v>3561.7254546744794</v>
      </c>
      <c r="C176" s="41">
        <v>14.584214456335394</v>
      </c>
      <c r="D176" s="16">
        <f t="shared" si="34"/>
        <v>0.23460799446936248</v>
      </c>
      <c r="P176" s="41">
        <v>47</v>
      </c>
      <c r="Q176">
        <v>2094.1995800000013</v>
      </c>
      <c r="R176">
        <v>243.70121117591424</v>
      </c>
      <c r="S176" s="41">
        <v>135.00000000001094</v>
      </c>
    </row>
    <row r="177" spans="1:19" x14ac:dyDescent="0.25">
      <c r="A177" s="37">
        <v>-48</v>
      </c>
      <c r="B177" s="41">
        <v>3561.0595155310402</v>
      </c>
      <c r="C177" s="41">
        <v>15.104330201676477</v>
      </c>
      <c r="D177" s="16">
        <f t="shared" si="34"/>
        <v>0.24302014033999531</v>
      </c>
      <c r="P177" s="41">
        <v>48</v>
      </c>
      <c r="Q177">
        <v>2147.0713100000012</v>
      </c>
      <c r="R177">
        <v>232.74505235225362</v>
      </c>
      <c r="S177" s="41">
        <v>134.99999999994839</v>
      </c>
    </row>
    <row r="178" spans="1:19" x14ac:dyDescent="0.25">
      <c r="A178" s="39">
        <v>-49</v>
      </c>
      <c r="B178" s="41">
        <v>3560.3473548338793</v>
      </c>
      <c r="C178" s="41">
        <v>15.645010338205156</v>
      </c>
      <c r="D178" s="16">
        <f t="shared" si="34"/>
        <v>0.25176961795244895</v>
      </c>
      <c r="P178" s="41">
        <v>49</v>
      </c>
      <c r="Q178">
        <v>2199.943040000001</v>
      </c>
      <c r="R178">
        <v>220.92844700847593</v>
      </c>
      <c r="S178" s="41">
        <v>134.99999999996581</v>
      </c>
    </row>
    <row r="179" spans="1:19" x14ac:dyDescent="0.25">
      <c r="A179" s="39">
        <v>-50</v>
      </c>
      <c r="B179" s="41">
        <v>3559.5844435685472</v>
      </c>
      <c r="C179" s="41">
        <v>16.207848859279967</v>
      </c>
      <c r="D179" s="16">
        <f t="shared" si="34"/>
        <v>0.26088295747211226</v>
      </c>
      <c r="P179" s="41">
        <v>50</v>
      </c>
      <c r="Q179">
        <v>2252.8147700000009</v>
      </c>
      <c r="R179">
        <v>208.24500610393383</v>
      </c>
      <c r="S179" s="41">
        <v>135.00000000001256</v>
      </c>
    </row>
    <row r="180" spans="1:19" x14ac:dyDescent="0.25">
      <c r="A180" s="37">
        <v>-51</v>
      </c>
      <c r="B180" s="41">
        <v>3558.7656721659309</v>
      </c>
      <c r="C180" s="41">
        <v>16.794601328875981</v>
      </c>
      <c r="D180" s="16">
        <f t="shared" si="34"/>
        <v>0.27038943273516441</v>
      </c>
      <c r="P180" s="41">
        <v>51</v>
      </c>
      <c r="Q180">
        <v>2305.6865000000007</v>
      </c>
      <c r="R180">
        <v>194.68879174458439</v>
      </c>
      <c r="S180" s="41">
        <v>134.99999999996538</v>
      </c>
    </row>
    <row r="181" spans="1:19" x14ac:dyDescent="0.25">
      <c r="A181" s="37">
        <v>-52</v>
      </c>
      <c r="B181" s="41">
        <v>3557.8852584716628</v>
      </c>
      <c r="C181" s="41">
        <v>17.407206197825964</v>
      </c>
      <c r="D181" s="16">
        <f t="shared" si="34"/>
        <v>0.28032143194456804</v>
      </c>
      <c r="P181" s="41">
        <v>52</v>
      </c>
      <c r="Q181">
        <v>2305.6865000000007</v>
      </c>
      <c r="R181">
        <v>0</v>
      </c>
      <c r="S181" s="41">
        <v>90</v>
      </c>
    </row>
    <row r="182" spans="1:19" x14ac:dyDescent="0.25">
      <c r="A182" s="39">
        <v>-53</v>
      </c>
      <c r="B182" s="41">
        <v>3556.936638177604</v>
      </c>
      <c r="C182" s="41">
        <v>18.047809574038638</v>
      </c>
      <c r="D182" s="16">
        <f t="shared" si="34"/>
        <v>0.29071489017296465</v>
      </c>
      <c r="P182" s="41">
        <v>53</v>
      </c>
      <c r="S182" s="41">
        <v>90</v>
      </c>
    </row>
    <row r="183" spans="1:19" x14ac:dyDescent="0.25">
      <c r="A183" s="39">
        <v>-54</v>
      </c>
      <c r="B183" s="41">
        <v>3555.9123337576107</v>
      </c>
      <c r="C183" s="41">
        <v>18.718794118407551</v>
      </c>
      <c r="D183" s="16">
        <f t="shared" si="34"/>
        <v>0.30160979610033856</v>
      </c>
      <c r="P183" s="41">
        <v>54</v>
      </c>
      <c r="S183" s="41">
        <v>90.000000000000014</v>
      </c>
    </row>
    <row r="184" spans="1:19" x14ac:dyDescent="0.25">
      <c r="A184" s="37">
        <v>-55</v>
      </c>
      <c r="B184" s="41">
        <v>3554.8037969544498</v>
      </c>
      <c r="C184" s="41">
        <v>19.422812891692956</v>
      </c>
      <c r="D184" s="16">
        <f t="shared" si="34"/>
        <v>0.31305078836359412</v>
      </c>
      <c r="P184" s="41">
        <v>55</v>
      </c>
      <c r="S184" s="41">
        <v>90</v>
      </c>
    </row>
    <row r="185" spans="1:19" x14ac:dyDescent="0.25">
      <c r="A185" s="37">
        <v>-56</v>
      </c>
      <c r="B185" s="41">
        <v>3553.6012185167201</v>
      </c>
      <c r="C185" s="41">
        <v>20.162829171773595</v>
      </c>
      <c r="D185" s="16">
        <f t="shared" si="34"/>
        <v>0.32508786066207079</v>
      </c>
      <c r="P185" s="41">
        <v>56</v>
      </c>
      <c r="S185" s="41">
        <v>90</v>
      </c>
    </row>
    <row r="186" spans="1:19" x14ac:dyDescent="0.25">
      <c r="A186" s="39">
        <v>-57</v>
      </c>
      <c r="B186" s="41">
        <v>3552.2932971619543</v>
      </c>
      <c r="C186" s="41">
        <v>20.942163507878924</v>
      </c>
      <c r="D186" s="16">
        <f t="shared" si="34"/>
        <v>0.33777719960453728</v>
      </c>
      <c r="P186" s="41">
        <v>57</v>
      </c>
      <c r="S186" s="41">
        <v>90</v>
      </c>
    </row>
    <row r="187" spans="1:19" x14ac:dyDescent="0.25">
      <c r="A187" s="39">
        <v>-58</v>
      </c>
      <c r="B187" s="41">
        <v>3550.8669574402711</v>
      </c>
      <c r="C187" s="41">
        <v>21.76454959495786</v>
      </c>
      <c r="D187" s="16">
        <f t="shared" si="34"/>
        <v>0.35118218555275477</v>
      </c>
      <c r="P187" s="41">
        <v>58</v>
      </c>
      <c r="S187" s="41">
        <v>90</v>
      </c>
    </row>
    <row r="188" spans="1:19" x14ac:dyDescent="0.25">
      <c r="A188" s="37">
        <v>-59</v>
      </c>
      <c r="B188" s="41">
        <v>3549.3070031416587</v>
      </c>
      <c r="C188" s="41">
        <v>22.634200959965344</v>
      </c>
      <c r="D188" s="16">
        <f t="shared" si="34"/>
        <v>0.36537459490184843</v>
      </c>
      <c r="P188" s="41">
        <v>59</v>
      </c>
      <c r="S188" s="41">
        <v>89.999999999999986</v>
      </c>
    </row>
    <row r="189" spans="1:19" x14ac:dyDescent="0.25">
      <c r="A189" s="37">
        <v>-60</v>
      </c>
      <c r="B189" s="41">
        <v>3547.5956888293717</v>
      </c>
      <c r="C189" s="41">
        <v>23.555890982937218</v>
      </c>
      <c r="D189" s="16">
        <f t="shared" si="34"/>
        <v>0.3804360530112933</v>
      </c>
      <c r="P189" s="41">
        <v>60</v>
      </c>
      <c r="S189" s="41">
        <v>90</v>
      </c>
    </row>
    <row r="190" spans="1:19" x14ac:dyDescent="0.25">
      <c r="A190" s="39">
        <v>-61</v>
      </c>
      <c r="B190" s="41">
        <v>3545.705150792774</v>
      </c>
      <c r="C190" s="41">
        <v>24.535049471691401</v>
      </c>
      <c r="D190" s="16">
        <f t="shared" si="34"/>
        <v>0.39646058798981393</v>
      </c>
      <c r="P190" s="41">
        <v>61</v>
      </c>
      <c r="S190" s="41">
        <v>90</v>
      </c>
    </row>
    <row r="191" spans="1:19" x14ac:dyDescent="0.25">
      <c r="A191" s="39">
        <v>-62</v>
      </c>
      <c r="B191" s="41">
        <v>3542.9779703996996</v>
      </c>
      <c r="C191" s="41">
        <v>25.577879928710811</v>
      </c>
      <c r="D191" s="16">
        <f t="shared" si="34"/>
        <v>0.41362919043368196</v>
      </c>
      <c r="P191" s="41">
        <v>62</v>
      </c>
      <c r="S191" s="41">
        <v>90.000000000000014</v>
      </c>
    </row>
    <row r="192" spans="1:19" x14ac:dyDescent="0.25">
      <c r="A192" s="37">
        <v>-63</v>
      </c>
      <c r="B192" s="41">
        <v>3539.9954259131018</v>
      </c>
      <c r="C192" s="41">
        <v>26.691502874870459</v>
      </c>
      <c r="D192" s="16">
        <f t="shared" si="34"/>
        <v>0.43200097725339592</v>
      </c>
      <c r="P192" s="41">
        <v>63</v>
      </c>
      <c r="S192" s="41">
        <v>90</v>
      </c>
    </row>
    <row r="193" spans="1:19" x14ac:dyDescent="0.25">
      <c r="A193" s="37">
        <v>-64</v>
      </c>
      <c r="B193" s="41">
        <v>3536.7201291867141</v>
      </c>
      <c r="C193" s="41">
        <v>27.884132245478668</v>
      </c>
      <c r="D193" s="16">
        <f t="shared" si="34"/>
        <v>0.45172078440508162</v>
      </c>
      <c r="P193" s="41">
        <v>64</v>
      </c>
      <c r="S193" s="41">
        <v>90</v>
      </c>
    </row>
    <row r="194" spans="1:19" x14ac:dyDescent="0.25">
      <c r="A194" s="39">
        <v>-65</v>
      </c>
      <c r="B194" s="41">
        <v>3533.1073442650641</v>
      </c>
      <c r="C194" s="41">
        <v>29.165294118930614</v>
      </c>
      <c r="D194" s="16">
        <f t="shared" ref="D194:D257" si="35">DEGREES(ATAN2(B194,C194))</f>
        <v>0.47295769515215236</v>
      </c>
      <c r="P194" s="41">
        <v>65</v>
      </c>
      <c r="S194" s="41">
        <v>89.999999999999986</v>
      </c>
    </row>
    <row r="195" spans="1:19" x14ac:dyDescent="0.25">
      <c r="A195" s="39">
        <v>-66</v>
      </c>
      <c r="B195" s="41">
        <v>3529.1031509132499</v>
      </c>
      <c r="C195" s="41">
        <v>30.546100125097926</v>
      </c>
      <c r="D195" s="16">
        <f t="shared" si="35"/>
        <v>0.49591038827300787</v>
      </c>
      <c r="P195" s="41">
        <v>66</v>
      </c>
      <c r="S195" s="41">
        <v>89.999999999999986</v>
      </c>
    </row>
    <row r="196" spans="1:19" x14ac:dyDescent="0.25">
      <c r="A196" s="37">
        <v>-67</v>
      </c>
      <c r="B196" s="41">
        <v>3524.6420441981604</v>
      </c>
      <c r="C196" s="41">
        <v>32.039592175202237</v>
      </c>
      <c r="D196" s="16">
        <f t="shared" si="35"/>
        <v>0.52081397926696538</v>
      </c>
      <c r="P196" s="41">
        <v>67</v>
      </c>
      <c r="S196" s="41">
        <v>89.999999999999986</v>
      </c>
    </row>
    <row r="197" spans="1:19" x14ac:dyDescent="0.25">
      <c r="A197" s="37">
        <v>-68</v>
      </c>
      <c r="B197" s="41">
        <v>3519.6437620622642</v>
      </c>
      <c r="C197" s="41">
        <v>33.661181206461563</v>
      </c>
      <c r="D197" s="16">
        <f t="shared" si="35"/>
        <v>0.54794886874100501</v>
      </c>
      <c r="P197" s="41">
        <v>68</v>
      </c>
      <c r="S197" s="41">
        <v>90.000000000000014</v>
      </c>
    </row>
    <row r="198" spans="1:19" x14ac:dyDescent="0.25">
      <c r="A198" s="39">
        <v>-69</v>
      </c>
      <c r="B198" s="41">
        <v>3514.009042025295</v>
      </c>
      <c r="C198" s="41">
        <v>35.429211279835222</v>
      </c>
      <c r="D198" s="16">
        <f t="shared" si="35"/>
        <v>0.57765232669986344</v>
      </c>
      <c r="P198" s="41">
        <v>69</v>
      </c>
      <c r="S198" s="41">
        <v>90</v>
      </c>
    </row>
    <row r="199" spans="1:19" x14ac:dyDescent="0.25">
      <c r="A199" s="39">
        <v>-70</v>
      </c>
      <c r="B199" s="41">
        <v>3507.6138710134169</v>
      </c>
      <c r="C199" s="41">
        <v>37.365692904582467</v>
      </c>
      <c r="D199" s="16">
        <f t="shared" si="35"/>
        <v>0.61033386304158987</v>
      </c>
      <c r="P199" s="41">
        <v>70</v>
      </c>
      <c r="S199" s="41">
        <v>90</v>
      </c>
    </row>
    <row r="200" spans="1:19" x14ac:dyDescent="0.25">
      <c r="A200" s="37">
        <v>-71</v>
      </c>
      <c r="B200" s="41">
        <v>3500.3015813808533</v>
      </c>
      <c r="C200" s="41">
        <v>39.497267936391019</v>
      </c>
      <c r="D200" s="16">
        <f t="shared" si="35"/>
        <v>0.64649592643644471</v>
      </c>
      <c r="P200" s="41">
        <v>71</v>
      </c>
      <c r="S200" s="41">
        <v>90</v>
      </c>
    </row>
    <row r="201" spans="1:19" x14ac:dyDescent="0.25">
      <c r="A201" s="37">
        <v>-72</v>
      </c>
      <c r="B201" s="41">
        <v>3491.8718152542128</v>
      </c>
      <c r="C201" s="41">
        <v>41.856496105583027</v>
      </c>
      <c r="D201" s="16">
        <f t="shared" si="35"/>
        <v>0.68676224318055956</v>
      </c>
      <c r="P201" s="41">
        <v>72</v>
      </c>
      <c r="S201" s="41">
        <v>90.000000000000014</v>
      </c>
    </row>
    <row r="202" spans="1:19" x14ac:dyDescent="0.25">
      <c r="A202" s="39">
        <v>-73</v>
      </c>
      <c r="B202" s="41">
        <v>3482.0648487638427</v>
      </c>
      <c r="C202" s="41">
        <v>44.483595611383905</v>
      </c>
      <c r="D202" s="16">
        <f t="shared" si="35"/>
        <v>0.73191734157450672</v>
      </c>
      <c r="P202" s="41">
        <v>73</v>
      </c>
      <c r="S202" s="41">
        <v>89.999999999999986</v>
      </c>
    </row>
    <row r="203" spans="1:19" x14ac:dyDescent="0.25">
      <c r="A203" s="39">
        <v>-74</v>
      </c>
      <c r="B203" s="41">
        <v>3470.5388964038807</v>
      </c>
      <c r="C203" s="41">
        <v>47.428836436236224</v>
      </c>
      <c r="D203" s="16">
        <f t="shared" si="35"/>
        <v>0.78296284253196635</v>
      </c>
      <c r="P203" s="41">
        <v>74</v>
      </c>
      <c r="S203" s="41">
        <v>90.000000000000028</v>
      </c>
    </row>
    <row r="204" spans="1:19" x14ac:dyDescent="0.25">
      <c r="A204" s="37">
        <v>-75</v>
      </c>
      <c r="B204" s="41">
        <v>3456.8365463763789</v>
      </c>
      <c r="C204" s="41">
        <v>50.75589098293608</v>
      </c>
      <c r="D204" s="16">
        <f t="shared" si="35"/>
        <v>0.8411995613813289</v>
      </c>
      <c r="P204" s="41">
        <v>75</v>
      </c>
      <c r="S204" s="41">
        <v>90</v>
      </c>
    </row>
    <row r="205" spans="1:19" x14ac:dyDescent="0.25">
      <c r="A205" s="37">
        <v>-76</v>
      </c>
      <c r="B205" s="41">
        <v>3440.3339253835015</v>
      </c>
      <c r="C205" s="41">
        <v>54.546620696087302</v>
      </c>
      <c r="D205" s="16">
        <f t="shared" si="35"/>
        <v>0.90835057846504341</v>
      </c>
      <c r="P205" s="41">
        <v>76</v>
      </c>
      <c r="S205" s="41">
        <v>90.000000000000014</v>
      </c>
    </row>
    <row r="206" spans="1:19" x14ac:dyDescent="0.25">
      <c r="A206" s="39">
        <v>-77</v>
      </c>
      <c r="B206" s="41">
        <v>3413.4802671756684</v>
      </c>
      <c r="C206" s="41">
        <v>58.908071890264459</v>
      </c>
      <c r="D206" s="16">
        <f t="shared" si="35"/>
        <v>0.98868270145854598</v>
      </c>
      <c r="P206" s="41"/>
      <c r="S206" s="41"/>
    </row>
    <row r="207" spans="1:19" x14ac:dyDescent="0.25">
      <c r="A207" s="39">
        <v>-78</v>
      </c>
      <c r="B207" s="41">
        <v>3377.5755614305522</v>
      </c>
      <c r="C207" s="41">
        <v>63.982969488907251</v>
      </c>
      <c r="D207" s="16">
        <f t="shared" si="35"/>
        <v>1.0852505370204715</v>
      </c>
    </row>
    <row r="208" spans="1:19" x14ac:dyDescent="0.25">
      <c r="A208" s="37">
        <v>-79</v>
      </c>
      <c r="B208" s="41">
        <v>3334.1133975044158</v>
      </c>
      <c r="C208" s="41">
        <v>69.943130950603432</v>
      </c>
      <c r="D208" s="16">
        <f t="shared" si="35"/>
        <v>1.2017763117911444</v>
      </c>
    </row>
    <row r="209" spans="1:4" x14ac:dyDescent="0.25">
      <c r="A209" s="37">
        <v>-80</v>
      </c>
      <c r="B209" s="41">
        <v>3238.0656279709383</v>
      </c>
      <c r="C209" s="41">
        <v>74.600488068603838</v>
      </c>
      <c r="D209" s="16">
        <f t="shared" si="35"/>
        <v>1.3197808863737834</v>
      </c>
    </row>
    <row r="210" spans="1:4" x14ac:dyDescent="0.25">
      <c r="A210" s="39">
        <v>-81</v>
      </c>
      <c r="B210" s="41">
        <v>3124.7670725650296</v>
      </c>
      <c r="C210" s="41">
        <v>79.041506693721772</v>
      </c>
      <c r="D210" s="16">
        <f t="shared" si="35"/>
        <v>1.4489973512972956</v>
      </c>
    </row>
    <row r="211" spans="1:4" x14ac:dyDescent="0.25">
      <c r="A211" s="39">
        <v>-82</v>
      </c>
      <c r="B211" s="41">
        <v>3003.1360790277904</v>
      </c>
      <c r="C211" s="41">
        <v>83.762569409924026</v>
      </c>
      <c r="D211" s="16">
        <f t="shared" si="35"/>
        <v>1.5976624582652179</v>
      </c>
    </row>
    <row r="212" spans="1:4" x14ac:dyDescent="0.25">
      <c r="A212" s="37">
        <v>-83</v>
      </c>
      <c r="B212" s="41">
        <v>2870.2391541978577</v>
      </c>
      <c r="C212" s="41">
        <v>88.889560398315709</v>
      </c>
      <c r="D212" s="16">
        <f t="shared" si="35"/>
        <v>1.7738484774013916</v>
      </c>
    </row>
    <row r="213" spans="1:4" x14ac:dyDescent="0.25">
      <c r="A213" s="37">
        <v>-84</v>
      </c>
      <c r="B213" s="41">
        <v>2721.4303622277412</v>
      </c>
      <c r="C213" s="41">
        <v>94.611023020838118</v>
      </c>
      <c r="D213" s="16">
        <f t="shared" si="35"/>
        <v>1.9910963275416844</v>
      </c>
    </row>
    <row r="214" spans="1:4" x14ac:dyDescent="0.25">
      <c r="A214" s="39">
        <v>-85</v>
      </c>
      <c r="B214" s="41">
        <v>2548.7983910481598</v>
      </c>
      <c r="C214" s="41">
        <v>101.22805059005123</v>
      </c>
      <c r="D214" s="16">
        <f t="shared" si="35"/>
        <v>2.2743632605643747</v>
      </c>
    </row>
    <row r="215" spans="1:4" x14ac:dyDescent="0.25">
      <c r="A215" s="39">
        <v>-86</v>
      </c>
      <c r="B215" s="41">
        <v>2337.4605625421268</v>
      </c>
      <c r="C215" s="41">
        <v>109.26661747517717</v>
      </c>
      <c r="D215" s="16">
        <f t="shared" si="35"/>
        <v>2.6763924846564642</v>
      </c>
    </row>
    <row r="216" spans="1:4" x14ac:dyDescent="0.25">
      <c r="A216" s="37">
        <v>-87</v>
      </c>
      <c r="B216" s="41">
        <v>2050.9521165033784</v>
      </c>
      <c r="C216" s="41">
        <v>119.70907821910671</v>
      </c>
      <c r="D216" s="16">
        <f t="shared" si="35"/>
        <v>3.3404251419207354</v>
      </c>
    </row>
    <row r="217" spans="1:4" x14ac:dyDescent="0.25">
      <c r="A217" s="37">
        <v>-88</v>
      </c>
      <c r="B217" s="41">
        <v>1624.509885704588</v>
      </c>
      <c r="C217" s="41">
        <v>134.29896736034436</v>
      </c>
      <c r="D217" s="16">
        <f t="shared" si="35"/>
        <v>4.7259212863677131</v>
      </c>
    </row>
    <row r="218" spans="1:4" x14ac:dyDescent="0.25">
      <c r="A218" s="39">
        <v>-89</v>
      </c>
      <c r="B218" s="41">
        <v>896.157705806732</v>
      </c>
      <c r="C218" s="41">
        <v>155.90972791710254</v>
      </c>
      <c r="D218" s="16">
        <f t="shared" si="35"/>
        <v>9.8692954227531029</v>
      </c>
    </row>
    <row r="219" spans="1:4" x14ac:dyDescent="0.25">
      <c r="A219" s="39">
        <v>-90</v>
      </c>
      <c r="B219" s="41">
        <v>3.4135602367892006E-12</v>
      </c>
      <c r="C219" s="41">
        <v>170.99994239683608</v>
      </c>
      <c r="D219" s="16">
        <f t="shared" si="35"/>
        <v>89.999999999998849</v>
      </c>
    </row>
    <row r="220" spans="1:4" x14ac:dyDescent="0.25">
      <c r="A220" s="37">
        <v>-91</v>
      </c>
      <c r="B220" s="41">
        <v>-896.15770580672643</v>
      </c>
      <c r="C220" s="41">
        <v>155.9097279171026</v>
      </c>
      <c r="D220" s="16">
        <f t="shared" si="35"/>
        <v>170.13070457724686</v>
      </c>
    </row>
    <row r="221" spans="1:4" x14ac:dyDescent="0.25">
      <c r="A221" s="37">
        <v>-92</v>
      </c>
      <c r="B221" s="41">
        <v>-1624.5098857045843</v>
      </c>
      <c r="C221" s="41">
        <v>134.29896736034436</v>
      </c>
      <c r="D221" s="16">
        <f t="shared" si="35"/>
        <v>175.27407871363229</v>
      </c>
    </row>
    <row r="222" spans="1:4" x14ac:dyDescent="0.25">
      <c r="A222" s="39">
        <v>-93</v>
      </c>
      <c r="B222" s="41">
        <v>-2050.9521165033757</v>
      </c>
      <c r="C222" s="41">
        <v>119.70907821910676</v>
      </c>
      <c r="D222" s="16">
        <f t="shared" si="35"/>
        <v>176.65957485807925</v>
      </c>
    </row>
    <row r="223" spans="1:4" x14ac:dyDescent="0.25">
      <c r="A223" s="39">
        <v>-94</v>
      </c>
      <c r="B223" s="41">
        <v>-2337.4605625421282</v>
      </c>
      <c r="C223" s="41">
        <v>109.26661747517726</v>
      </c>
      <c r="D223" s="16">
        <f t="shared" si="35"/>
        <v>177.32360751534355</v>
      </c>
    </row>
    <row r="224" spans="1:4" x14ac:dyDescent="0.25">
      <c r="A224" s="37">
        <v>-95</v>
      </c>
      <c r="B224" s="41">
        <v>-2548.7983910481621</v>
      </c>
      <c r="C224" s="41">
        <v>101.2280505900513</v>
      </c>
      <c r="D224" s="16">
        <f t="shared" si="35"/>
        <v>177.72563673943563</v>
      </c>
    </row>
    <row r="225" spans="1:4" x14ac:dyDescent="0.25">
      <c r="A225" s="37">
        <v>-96</v>
      </c>
      <c r="B225" s="41">
        <v>-2721.4303622277425</v>
      </c>
      <c r="C225" s="41">
        <v>94.61102302083799</v>
      </c>
      <c r="D225" s="16">
        <f t="shared" si="35"/>
        <v>178.00890367245833</v>
      </c>
    </row>
    <row r="226" spans="1:4" x14ac:dyDescent="0.25">
      <c r="A226" s="39">
        <v>-97</v>
      </c>
      <c r="B226" s="41">
        <v>-2870.2391541978573</v>
      </c>
      <c r="C226" s="41">
        <v>88.889560398315822</v>
      </c>
      <c r="D226" s="16">
        <f t="shared" si="35"/>
        <v>178.2261515225986</v>
      </c>
    </row>
    <row r="227" spans="1:4" x14ac:dyDescent="0.25">
      <c r="A227" s="39">
        <v>-98</v>
      </c>
      <c r="B227" s="41">
        <v>-3003.1360790277895</v>
      </c>
      <c r="C227" s="41">
        <v>83.762569409924367</v>
      </c>
      <c r="D227" s="16">
        <f t="shared" si="35"/>
        <v>178.40233754173477</v>
      </c>
    </row>
    <row r="228" spans="1:4" x14ac:dyDescent="0.25">
      <c r="A228" s="37">
        <v>-99</v>
      </c>
      <c r="B228" s="41">
        <v>-3124.7670725650296</v>
      </c>
      <c r="C228" s="41">
        <v>79.041506693721757</v>
      </c>
      <c r="D228" s="16">
        <f t="shared" si="35"/>
        <v>178.55100264870271</v>
      </c>
    </row>
    <row r="229" spans="1:4" x14ac:dyDescent="0.25">
      <c r="A229" s="37">
        <v>-100</v>
      </c>
      <c r="B229" s="41">
        <v>-3238.0656279709351</v>
      </c>
      <c r="C229" s="41">
        <v>74.600488068603724</v>
      </c>
      <c r="D229" s="16">
        <f t="shared" si="35"/>
        <v>178.68021911362621</v>
      </c>
    </row>
    <row r="230" spans="1:4" x14ac:dyDescent="0.25">
      <c r="A230" s="39">
        <v>-101</v>
      </c>
      <c r="B230" s="41">
        <v>-3334.1133975044154</v>
      </c>
      <c r="C230" s="41">
        <v>69.943130950603148</v>
      </c>
      <c r="D230" s="16">
        <f t="shared" si="35"/>
        <v>178.79822368820885</v>
      </c>
    </row>
    <row r="231" spans="1:4" x14ac:dyDescent="0.25">
      <c r="A231" s="39">
        <v>-102</v>
      </c>
      <c r="B231" s="41">
        <v>-3377.5755614305531</v>
      </c>
      <c r="C231" s="41">
        <v>63.982969488907109</v>
      </c>
      <c r="D231" s="16">
        <f t="shared" si="35"/>
        <v>178.91474946297953</v>
      </c>
    </row>
    <row r="232" spans="1:4" x14ac:dyDescent="0.25">
      <c r="A232" s="37">
        <v>-103</v>
      </c>
      <c r="B232" s="41">
        <v>-3413.4802671756679</v>
      </c>
      <c r="C232" s="41">
        <v>58.908071890264864</v>
      </c>
      <c r="D232" s="16">
        <f t="shared" si="35"/>
        <v>179.01131729854146</v>
      </c>
    </row>
    <row r="233" spans="1:4" x14ac:dyDescent="0.25">
      <c r="A233" s="37">
        <v>-104</v>
      </c>
      <c r="B233" s="41">
        <v>-3440.3339253835034</v>
      </c>
      <c r="C233" s="41">
        <v>54.546620696087572</v>
      </c>
      <c r="D233" s="16">
        <f t="shared" si="35"/>
        <v>179.09164942153495</v>
      </c>
    </row>
    <row r="234" spans="1:4" x14ac:dyDescent="0.25">
      <c r="A234" s="39">
        <v>-105</v>
      </c>
      <c r="B234" s="41">
        <v>-3456.8365463763794</v>
      </c>
      <c r="C234" s="41">
        <v>50.75589098293608</v>
      </c>
      <c r="D234" s="16">
        <f t="shared" si="35"/>
        <v>179.15880043861867</v>
      </c>
    </row>
    <row r="235" spans="1:4" x14ac:dyDescent="0.25">
      <c r="A235" s="39">
        <v>-106</v>
      </c>
      <c r="B235" s="41">
        <v>-3470.5388964038807</v>
      </c>
      <c r="C235" s="41">
        <v>47.428836436236907</v>
      </c>
      <c r="D235" s="16">
        <f t="shared" si="35"/>
        <v>179.21703715746801</v>
      </c>
    </row>
    <row r="236" spans="1:4" x14ac:dyDescent="0.25">
      <c r="A236" s="37">
        <v>-107</v>
      </c>
      <c r="B236" s="41">
        <v>-3482.0648487638437</v>
      </c>
      <c r="C236" s="41">
        <v>44.483595611384182</v>
      </c>
      <c r="D236" s="16">
        <f t="shared" si="35"/>
        <v>179.2680826584255</v>
      </c>
    </row>
    <row r="237" spans="1:4" x14ac:dyDescent="0.25">
      <c r="A237" s="37">
        <v>-108</v>
      </c>
      <c r="B237" s="41">
        <v>-3491.8718152542115</v>
      </c>
      <c r="C237" s="41">
        <v>41.856496105583851</v>
      </c>
      <c r="D237" s="16">
        <f t="shared" si="35"/>
        <v>179.3132377568194</v>
      </c>
    </row>
    <row r="238" spans="1:4" x14ac:dyDescent="0.25">
      <c r="A238" s="39">
        <v>-109</v>
      </c>
      <c r="B238" s="41">
        <v>-3500.3015813808565</v>
      </c>
      <c r="C238" s="41">
        <v>39.497267936390202</v>
      </c>
      <c r="D238" s="16">
        <f t="shared" si="35"/>
        <v>179.35350407356356</v>
      </c>
    </row>
    <row r="239" spans="1:4" x14ac:dyDescent="0.25">
      <c r="A239" s="39">
        <v>-110</v>
      </c>
      <c r="B239" s="41">
        <v>-3507.613871013416</v>
      </c>
      <c r="C239" s="41">
        <v>37.365692904583696</v>
      </c>
      <c r="D239" s="16">
        <f t="shared" si="35"/>
        <v>179.3896661369584</v>
      </c>
    </row>
    <row r="240" spans="1:4" x14ac:dyDescent="0.25">
      <c r="A240" s="37">
        <v>-111</v>
      </c>
      <c r="B240" s="41">
        <v>-3514.0090420252936</v>
      </c>
      <c r="C240" s="41">
        <v>35.429211279834959</v>
      </c>
      <c r="D240" s="16">
        <f t="shared" si="35"/>
        <v>179.42234767330015</v>
      </c>
    </row>
    <row r="241" spans="1:4" x14ac:dyDescent="0.25">
      <c r="A241" s="37">
        <v>-112</v>
      </c>
      <c r="B241" s="41">
        <v>-3519.6437620622637</v>
      </c>
      <c r="C241" s="41">
        <v>33.661181206460881</v>
      </c>
      <c r="D241" s="16">
        <f t="shared" si="35"/>
        <v>179.452051131259</v>
      </c>
    </row>
    <row r="242" spans="1:4" x14ac:dyDescent="0.25">
      <c r="A242" s="39">
        <v>-113</v>
      </c>
      <c r="B242" s="41">
        <v>-3524.6420441981577</v>
      </c>
      <c r="C242" s="41">
        <v>32.03959217520196</v>
      </c>
      <c r="D242" s="16">
        <f t="shared" si="35"/>
        <v>179.47918602073304</v>
      </c>
    </row>
    <row r="243" spans="1:4" x14ac:dyDescent="0.25">
      <c r="A243" s="39">
        <v>-114</v>
      </c>
      <c r="B243" s="41">
        <v>-3529.103150913249</v>
      </c>
      <c r="C243" s="41">
        <v>30.546100125097926</v>
      </c>
      <c r="D243" s="16">
        <f t="shared" si="35"/>
        <v>179.50408961172698</v>
      </c>
    </row>
    <row r="244" spans="1:4" x14ac:dyDescent="0.25">
      <c r="A244" s="37">
        <v>-115</v>
      </c>
      <c r="B244" s="41">
        <v>-3533.107344265065</v>
      </c>
      <c r="C244" s="41">
        <v>29.165294118930891</v>
      </c>
      <c r="D244" s="16">
        <f t="shared" si="35"/>
        <v>179.52704230484784</v>
      </c>
    </row>
    <row r="245" spans="1:4" x14ac:dyDescent="0.25">
      <c r="A245" s="37">
        <v>-116</v>
      </c>
      <c r="B245" s="41">
        <v>-3536.7201291867109</v>
      </c>
      <c r="C245" s="41">
        <v>27.884132245478121</v>
      </c>
      <c r="D245" s="16">
        <f t="shared" si="35"/>
        <v>179.54827921559493</v>
      </c>
    </row>
    <row r="246" spans="1:4" x14ac:dyDescent="0.25">
      <c r="A246" s="39">
        <v>-117</v>
      </c>
      <c r="B246" s="41">
        <v>-3539.9954259131046</v>
      </c>
      <c r="C246" s="41">
        <v>26.691502874871002</v>
      </c>
      <c r="D246" s="16">
        <f t="shared" si="35"/>
        <v>179.56799902274659</v>
      </c>
    </row>
    <row r="247" spans="1:4" x14ac:dyDescent="0.25">
      <c r="A247" s="39">
        <v>-118</v>
      </c>
      <c r="B247" s="41">
        <v>-3542.9779703997001</v>
      </c>
      <c r="C247" s="41">
        <v>25.577879928709173</v>
      </c>
      <c r="D247" s="16">
        <f t="shared" si="35"/>
        <v>179.58637080956635</v>
      </c>
    </row>
    <row r="248" spans="1:4" x14ac:dyDescent="0.25">
      <c r="A248" s="37">
        <v>-119</v>
      </c>
      <c r="B248" s="41">
        <v>-3545.7051507927749</v>
      </c>
      <c r="C248" s="41">
        <v>24.535049471690854</v>
      </c>
      <c r="D248" s="16">
        <f t="shared" si="35"/>
        <v>179.60353941201021</v>
      </c>
    </row>
    <row r="249" spans="1:4" x14ac:dyDescent="0.25">
      <c r="A249" s="37">
        <v>-120</v>
      </c>
      <c r="B249" s="41">
        <v>-3547.5956888293695</v>
      </c>
      <c r="C249" s="41">
        <v>23.555890982936944</v>
      </c>
      <c r="D249" s="16">
        <f t="shared" si="35"/>
        <v>179.61956394698871</v>
      </c>
    </row>
    <row r="250" spans="1:4" x14ac:dyDescent="0.25">
      <c r="A250" s="39">
        <v>-121</v>
      </c>
      <c r="B250" s="41">
        <v>-3549.3070031416605</v>
      </c>
      <c r="C250" s="41">
        <v>22.634200959966982</v>
      </c>
      <c r="D250" s="16">
        <f t="shared" si="35"/>
        <v>179.63462540509812</v>
      </c>
    </row>
    <row r="251" spans="1:4" x14ac:dyDescent="0.25">
      <c r="A251" s="39">
        <v>-122</v>
      </c>
      <c r="B251" s="41">
        <v>-3550.8669574402738</v>
      </c>
      <c r="C251" s="41">
        <v>21.76454959495868</v>
      </c>
      <c r="D251" s="16">
        <f t="shared" si="35"/>
        <v>179.64881781444723</v>
      </c>
    </row>
    <row r="252" spans="1:4" x14ac:dyDescent="0.25">
      <c r="A252" s="37">
        <v>-123</v>
      </c>
      <c r="B252" s="41">
        <v>-3552.2932971619521</v>
      </c>
      <c r="C252" s="41">
        <v>20.942163507878924</v>
      </c>
      <c r="D252" s="16">
        <f t="shared" si="35"/>
        <v>179.66222280039545</v>
      </c>
    </row>
    <row r="253" spans="1:4" x14ac:dyDescent="0.25">
      <c r="A253" s="37">
        <v>-124</v>
      </c>
      <c r="B253" s="41">
        <v>-3553.6012185167201</v>
      </c>
      <c r="C253" s="41">
        <v>20.162829171772501</v>
      </c>
      <c r="D253" s="16">
        <f t="shared" si="35"/>
        <v>179.67491213933795</v>
      </c>
    </row>
    <row r="254" spans="1:4" x14ac:dyDescent="0.25">
      <c r="A254" s="39">
        <v>-125</v>
      </c>
      <c r="B254" s="41">
        <v>-3554.8037969544494</v>
      </c>
      <c r="C254" s="41">
        <v>19.422812891692683</v>
      </c>
      <c r="D254" s="16">
        <f t="shared" si="35"/>
        <v>179.6869492116364</v>
      </c>
    </row>
    <row r="255" spans="1:4" x14ac:dyDescent="0.25">
      <c r="A255" s="39">
        <v>-126</v>
      </c>
      <c r="B255" s="41">
        <v>-3555.9123337576111</v>
      </c>
      <c r="C255" s="41">
        <v>18.718794118408912</v>
      </c>
      <c r="D255" s="16">
        <f t="shared" si="35"/>
        <v>179.69839020389963</v>
      </c>
    </row>
    <row r="256" spans="1:4" x14ac:dyDescent="0.25">
      <c r="A256" s="37">
        <v>-127</v>
      </c>
      <c r="B256" s="41">
        <v>-3556.9366381776013</v>
      </c>
      <c r="C256" s="41">
        <v>18.047809574037</v>
      </c>
      <c r="D256" s="16">
        <f t="shared" si="35"/>
        <v>179.70928510982705</v>
      </c>
    </row>
    <row r="257" spans="1:4" x14ac:dyDescent="0.25">
      <c r="A257" s="37">
        <v>-128</v>
      </c>
      <c r="B257" s="41">
        <v>-3557.8852584716619</v>
      </c>
      <c r="C257" s="41">
        <v>17.40720619782569</v>
      </c>
      <c r="D257" s="16">
        <f t="shared" si="35"/>
        <v>179.71967856805543</v>
      </c>
    </row>
    <row r="258" spans="1:4" x14ac:dyDescent="0.25">
      <c r="A258" s="39">
        <v>-129</v>
      </c>
      <c r="B258" s="41">
        <v>-3558.7656721659359</v>
      </c>
      <c r="C258" s="41">
        <v>16.794601328877071</v>
      </c>
      <c r="D258" s="16">
        <f t="shared" ref="D258:D321" si="36">DEGREES(ATAN2(B258,C258))</f>
        <v>179.72961056726484</v>
      </c>
    </row>
    <row r="259" spans="1:4" x14ac:dyDescent="0.25">
      <c r="A259" s="39">
        <v>-130</v>
      </c>
      <c r="B259" s="41">
        <v>-3559.5844435685472</v>
      </c>
      <c r="C259" s="41">
        <v>16.207848859280514</v>
      </c>
      <c r="D259" s="16">
        <f t="shared" si="36"/>
        <v>179.73911704252788</v>
      </c>
    </row>
    <row r="260" spans="1:4" x14ac:dyDescent="0.25">
      <c r="A260" s="37">
        <v>-131</v>
      </c>
      <c r="B260" s="41">
        <v>-3560.347354833882</v>
      </c>
      <c r="C260" s="41">
        <v>15.645010338205974</v>
      </c>
      <c r="D260" s="16">
        <f t="shared" si="36"/>
        <v>179.74823038204752</v>
      </c>
    </row>
    <row r="261" spans="1:4" x14ac:dyDescent="0.25">
      <c r="A261" s="37">
        <v>-132</v>
      </c>
      <c r="B261" s="41">
        <v>-3561.059515531038</v>
      </c>
      <c r="C261" s="41">
        <v>15.104330201676477</v>
      </c>
      <c r="D261" s="16">
        <f t="shared" si="36"/>
        <v>179.75697985966002</v>
      </c>
    </row>
    <row r="262" spans="1:4" x14ac:dyDescent="0.25">
      <c r="A262" s="39">
        <v>-133</v>
      </c>
      <c r="B262" s="41">
        <v>-3561.7254546744784</v>
      </c>
      <c r="C262" s="41">
        <v>14.584214456337303</v>
      </c>
      <c r="D262" s="16">
        <f t="shared" si="36"/>
        <v>179.76539200553063</v>
      </c>
    </row>
    <row r="263" spans="1:4" x14ac:dyDescent="0.25">
      <c r="A263" s="39">
        <v>-134</v>
      </c>
      <c r="B263" s="41">
        <v>-3562.3491983342997</v>
      </c>
      <c r="C263" s="41">
        <v>14.083212267552245</v>
      </c>
      <c r="D263" s="16">
        <f t="shared" si="36"/>
        <v>179.77349092514112</v>
      </c>
    </row>
    <row r="264" spans="1:4" x14ac:dyDescent="0.25">
      <c r="A264" s="37">
        <v>-135</v>
      </c>
      <c r="B264" s="41">
        <v>-3562.9343353801423</v>
      </c>
      <c r="C264" s="41">
        <v>13.600000000000183</v>
      </c>
      <c r="D264" s="16">
        <f t="shared" si="36"/>
        <v>179.78129857482188</v>
      </c>
    </row>
    <row r="265" spans="1:4" x14ac:dyDescent="0.25">
      <c r="A265" s="37">
        <v>-136</v>
      </c>
      <c r="B265" s="41">
        <v>-3563.4840733668916</v>
      </c>
      <c r="C265" s="41">
        <v>13.133367337374967</v>
      </c>
      <c r="D265" s="16">
        <f t="shared" si="36"/>
        <v>179.78883500060616</v>
      </c>
    </row>
    <row r="266" spans="1:4" x14ac:dyDescent="0.25">
      <c r="A266" s="39">
        <v>-137</v>
      </c>
      <c r="B266" s="41">
        <v>-3564.0012862363469</v>
      </c>
      <c r="C266" s="41">
        <v>12.682205171471741</v>
      </c>
      <c r="D266" s="16">
        <f t="shared" si="36"/>
        <v>179.7961185460004</v>
      </c>
    </row>
    <row r="267" spans="1:4" x14ac:dyDescent="0.25">
      <c r="A267" s="39">
        <v>-138</v>
      </c>
      <c r="B267" s="41">
        <v>-3564.4885551676111</v>
      </c>
      <c r="C267" s="41">
        <v>12.245495002450753</v>
      </c>
      <c r="D267" s="16">
        <f t="shared" si="36"/>
        <v>179.80316603330917</v>
      </c>
    </row>
    <row r="268" spans="1:4" x14ac:dyDescent="0.25">
      <c r="A268" s="37">
        <v>-139</v>
      </c>
      <c r="B268" s="41">
        <v>-3564.9482036826057</v>
      </c>
      <c r="C268" s="41">
        <v>11.822299634301363</v>
      </c>
      <c r="D268" s="16">
        <f t="shared" si="36"/>
        <v>179.80999292237587</v>
      </c>
    </row>
    <row r="269" spans="1:4" x14ac:dyDescent="0.25">
      <c r="A269" s="37">
        <v>-140</v>
      </c>
      <c r="B269" s="41">
        <v>-3565.3823279136268</v>
      </c>
      <c r="C269" s="41">
        <v>11.411754984011077</v>
      </c>
      <c r="D269" s="16">
        <f t="shared" si="36"/>
        <v>179.81661344997053</v>
      </c>
    </row>
    <row r="270" spans="1:4" x14ac:dyDescent="0.25">
      <c r="A270" s="39">
        <v>-141</v>
      </c>
      <c r="B270" s="41">
        <v>-3565.7928227800849</v>
      </c>
      <c r="C270" s="41">
        <v>11.01306285145265</v>
      </c>
      <c r="D270" s="16">
        <f t="shared" si="36"/>
        <v>179.82304075253634</v>
      </c>
    </row>
    <row r="271" spans="1:4" x14ac:dyDescent="0.25">
      <c r="A271" s="39">
        <v>-142</v>
      </c>
      <c r="B271" s="41">
        <v>-3566.1814046941308</v>
      </c>
      <c r="C271" s="41">
        <v>10.625484520491046</v>
      </c>
      <c r="D271" s="16">
        <f t="shared" si="36"/>
        <v>179.82928697458098</v>
      </c>
    </row>
    <row r="272" spans="1:4" x14ac:dyDescent="0.25">
      <c r="A272" s="37">
        <v>-143</v>
      </c>
      <c r="B272" s="41">
        <v>-3566.5496313134736</v>
      </c>
      <c r="C272" s="41">
        <v>10.248335081397636</v>
      </c>
      <c r="D272" s="16">
        <f t="shared" si="36"/>
        <v>179.8353633646465</v>
      </c>
    </row>
    <row r="273" spans="1:4" x14ac:dyDescent="0.25">
      <c r="A273" s="37">
        <v>-144</v>
      </c>
      <c r="B273" s="41">
        <v>-3566.8989187701559</v>
      </c>
      <c r="C273" s="41">
        <v>9.8809783808730582</v>
      </c>
      <c r="D273" s="16">
        <f t="shared" si="36"/>
        <v>179.84128036049989</v>
      </c>
    </row>
    <row r="274" spans="1:4" x14ac:dyDescent="0.25">
      <c r="A274" s="39">
        <v>-145</v>
      </c>
      <c r="B274" s="41">
        <v>-3567.2305567402386</v>
      </c>
      <c r="C274" s="41">
        <v>9.5228225196503455</v>
      </c>
      <c r="D274" s="16">
        <f t="shared" si="36"/>
        <v>179.84704766494278</v>
      </c>
    </row>
    <row r="275" spans="1:4" x14ac:dyDescent="0.25">
      <c r="A275" s="39">
        <v>-146</v>
      </c>
      <c r="B275" s="41">
        <v>-3567.5457216558116</v>
      </c>
      <c r="C275" s="41">
        <v>9.1733158290572661</v>
      </c>
      <c r="D275" s="16">
        <f t="shared" si="36"/>
        <v>179.85267431343468</v>
      </c>
    </row>
    <row r="276" spans="1:4" x14ac:dyDescent="0.25">
      <c r="A276" s="37">
        <v>-147</v>
      </c>
      <c r="B276" s="41">
        <v>-3567.8454883160271</v>
      </c>
      <c r="C276" s="41">
        <v>8.8319432674858049</v>
      </c>
      <c r="D276" s="16">
        <f t="shared" si="36"/>
        <v>179.85816873455605</v>
      </c>
    </row>
    <row r="277" spans="1:4" x14ac:dyDescent="0.25">
      <c r="A277" s="37">
        <v>-148</v>
      </c>
      <c r="B277" s="41">
        <v>-3568.1308401172578</v>
      </c>
      <c r="C277" s="41">
        <v>8.4982231859660722</v>
      </c>
      <c r="D277" s="16">
        <f t="shared" si="36"/>
        <v>179.86353880419009</v>
      </c>
    </row>
    <row r="278" spans="1:4" x14ac:dyDescent="0.25">
      <c r="A278" s="39">
        <v>-149</v>
      </c>
      <c r="B278" s="41">
        <v>-3568.4026780849586</v>
      </c>
      <c r="C278" s="41">
        <v>8.171704418774425</v>
      </c>
      <c r="D278" s="16">
        <f t="shared" si="36"/>
        <v>179.86879189418468</v>
      </c>
    </row>
    <row r="279" spans="1:4" x14ac:dyDescent="0.25">
      <c r="A279" s="39">
        <v>-150</v>
      </c>
      <c r="B279" s="41">
        <v>-3568.6618288632071</v>
      </c>
      <c r="C279" s="41">
        <v>7.8519636609787993</v>
      </c>
      <c r="D279" s="16">
        <f t="shared" si="36"/>
        <v>179.87393491615083</v>
      </c>
    </row>
    <row r="280" spans="1:4" x14ac:dyDescent="0.25">
      <c r="A280" s="37">
        <v>-151</v>
      </c>
      <c r="B280" s="41">
        <v>-3568.9090518000662</v>
      </c>
      <c r="C280" s="41">
        <v>7.5386030997568012</v>
      </c>
      <c r="D280" s="16">
        <f t="shared" si="36"/>
        <v>179.87897436096674</v>
      </c>
    </row>
    <row r="281" spans="1:4" x14ac:dyDescent="0.25">
      <c r="A281" s="37">
        <v>-152</v>
      </c>
      <c r="B281" s="41">
        <v>-3569.1450452402032</v>
      </c>
      <c r="C281" s="41">
        <v>7.2312482705960068</v>
      </c>
      <c r="D281" s="16">
        <f t="shared" si="36"/>
        <v>179.88391633448404</v>
      </c>
    </row>
    <row r="282" spans="1:4" x14ac:dyDescent="0.25">
      <c r="A282" s="39">
        <v>-153</v>
      </c>
      <c r="B282" s="41">
        <v>-3569.3704521254845</v>
      </c>
      <c r="C282" s="41">
        <v>6.9295461131246157</v>
      </c>
      <c r="D282" s="16">
        <f t="shared" si="36"/>
        <v>179.88876658986712</v>
      </c>
    </row>
    <row r="283" spans="1:4" x14ac:dyDescent="0.25">
      <c r="A283" s="39">
        <v>-154</v>
      </c>
      <c r="B283" s="41">
        <v>-3569.5858649857778</v>
      </c>
      <c r="C283" s="41">
        <v>6.6331632044952125</v>
      </c>
      <c r="D283" s="16">
        <f t="shared" si="36"/>
        <v>179.89353055694261</v>
      </c>
    </row>
    <row r="284" spans="1:4" x14ac:dyDescent="0.25">
      <c r="A284" s="37">
        <v>-155</v>
      </c>
      <c r="B284" s="41">
        <v>-3569.7918304007285</v>
      </c>
      <c r="C284" s="41">
        <v>6.3417841509084614</v>
      </c>
      <c r="D284" s="16">
        <f t="shared" si="36"/>
        <v>179.89821336889054</v>
      </c>
    </row>
    <row r="285" spans="1:4" x14ac:dyDescent="0.25">
      <c r="A285" s="37">
        <v>-156</v>
      </c>
      <c r="B285" s="41">
        <v>-3569.988852983332</v>
      </c>
      <c r="C285" s="41">
        <v>6.055110120195331</v>
      </c>
      <c r="D285" s="16">
        <f t="shared" si="36"/>
        <v>179.9028198865665</v>
      </c>
    </row>
    <row r="286" spans="1:4" x14ac:dyDescent="0.25">
      <c r="A286" s="39">
        <v>-157</v>
      </c>
      <c r="B286" s="41">
        <v>-3570.177398955017</v>
      </c>
      <c r="C286" s="41">
        <v>5.7728575004503915</v>
      </c>
      <c r="D286" s="16">
        <f t="shared" si="36"/>
        <v>179.90735472071026</v>
      </c>
    </row>
    <row r="287" spans="1:4" x14ac:dyDescent="0.25">
      <c r="A287" s="39">
        <v>-158</v>
      </c>
      <c r="B287" s="41">
        <v>-3570.3578993478322</v>
      </c>
      <c r="C287" s="41">
        <v>5.4947566713577549</v>
      </c>
      <c r="D287" s="16">
        <f t="shared" si="36"/>
        <v>179.91182225226706</v>
      </c>
    </row>
    <row r="288" spans="1:4" x14ac:dyDescent="0.25">
      <c r="A288" s="37">
        <v>-159</v>
      </c>
      <c r="B288" s="41">
        <v>-3570.5307528811486</v>
      </c>
      <c r="C288" s="41">
        <v>5.2205508764817301</v>
      </c>
      <c r="D288" s="16">
        <f t="shared" si="36"/>
        <v>179.91622665101963</v>
      </c>
    </row>
    <row r="289" spans="1:4" x14ac:dyDescent="0.25">
      <c r="A289" s="37">
        <v>-160</v>
      </c>
      <c r="B289" s="41">
        <v>-3570.6963285497036</v>
      </c>
      <c r="C289" s="41">
        <v>4.9499951860203506</v>
      </c>
      <c r="D289" s="16">
        <f t="shared" si="36"/>
        <v>179.92057189270886</v>
      </c>
    </row>
    <row r="290" spans="1:4" x14ac:dyDescent="0.25">
      <c r="A290" s="39">
        <v>-161</v>
      </c>
      <c r="B290" s="41">
        <v>-3570.8549679527382</v>
      </c>
      <c r="C290" s="41">
        <v>4.6828555407396379</v>
      </c>
      <c r="D290" s="16">
        <f t="shared" si="36"/>
        <v>179.92486177479893</v>
      </c>
    </row>
    <row r="291" spans="1:4" x14ac:dyDescent="0.25">
      <c r="A291" s="39">
        <v>-162</v>
      </c>
      <c r="B291" s="41">
        <v>-3571.0069873897728</v>
      </c>
      <c r="C291" s="41">
        <v>4.4189078687680645</v>
      </c>
      <c r="D291" s="16">
        <f t="shared" si="36"/>
        <v>179.92909993102748</v>
      </c>
    </row>
    <row r="292" spans="1:4" x14ac:dyDescent="0.25">
      <c r="A292" s="37">
        <v>-163</v>
      </c>
      <c r="B292" s="41">
        <v>-3571.152679753342</v>
      </c>
      <c r="C292" s="41">
        <v>4.1579372678375419</v>
      </c>
      <c r="D292" s="16">
        <f t="shared" si="36"/>
        <v>179.93328984486521</v>
      </c>
    </row>
    <row r="293" spans="1:4" x14ac:dyDescent="0.25">
      <c r="A293" s="37">
        <v>-164</v>
      </c>
      <c r="B293" s="41">
        <v>-3571.2923162342286</v>
      </c>
      <c r="C293" s="41">
        <v>3.8997372463200914</v>
      </c>
      <c r="D293" s="16">
        <f t="shared" si="36"/>
        <v>179.93743486199671</v>
      </c>
    </row>
    <row r="294" spans="1:4" x14ac:dyDescent="0.25">
      <c r="A294" s="39">
        <v>-165</v>
      </c>
      <c r="B294" s="41">
        <v>-3571.4261478608892</v>
      </c>
      <c r="C294" s="41">
        <v>3.6441090170635562</v>
      </c>
      <c r="D294" s="16">
        <f t="shared" si="36"/>
        <v>179.94153820192267</v>
      </c>
    </row>
    <row r="295" spans="1:4" x14ac:dyDescent="0.25">
      <c r="A295" s="39">
        <v>-166</v>
      </c>
      <c r="B295" s="41">
        <v>-3571.5544068920458</v>
      </c>
      <c r="C295" s="41">
        <v>3.3908608386674586</v>
      </c>
      <c r="D295" s="16">
        <f t="shared" si="36"/>
        <v>179.94560296877367</v>
      </c>
    </row>
    <row r="296" spans="1:4" x14ac:dyDescent="0.25">
      <c r="A296" s="37">
        <v>-167</v>
      </c>
      <c r="B296" s="41">
        <v>-3571.6773080657049</v>
      </c>
      <c r="C296" s="41">
        <v>3.1398073993076649</v>
      </c>
      <c r="D296" s="16">
        <f t="shared" si="36"/>
        <v>179.94963216141699</v>
      </c>
    </row>
    <row r="297" spans="1:4" x14ac:dyDescent="0.25">
      <c r="A297" s="37">
        <v>-168</v>
      </c>
      <c r="B297" s="41">
        <v>-3571.7950497348011</v>
      </c>
      <c r="C297" s="41">
        <v>2.8907692387122097</v>
      </c>
      <c r="D297" s="16">
        <f t="shared" si="36"/>
        <v>179.95362868292978</v>
      </c>
    </row>
    <row r="298" spans="1:4" x14ac:dyDescent="0.25">
      <c r="A298" s="39">
        <v>-169</v>
      </c>
      <c r="B298" s="41">
        <v>-3571.9078148859285</v>
      </c>
      <c r="C298" s="41">
        <v>2.6435722042727776</v>
      </c>
      <c r="D298" s="16">
        <f t="shared" si="36"/>
        <v>179.95759534950577</v>
      </c>
    </row>
    <row r="299" spans="1:4" x14ac:dyDescent="0.25">
      <c r="A299" s="39">
        <v>-170</v>
      </c>
      <c r="B299" s="41">
        <v>-3572.0157720568327</v>
      </c>
      <c r="C299" s="41">
        <v>2.3980469376351268</v>
      </c>
      <c r="D299" s="16">
        <f t="shared" si="36"/>
        <v>179.96153489885631</v>
      </c>
    </row>
    <row r="300" spans="1:4" x14ac:dyDescent="0.25">
      <c r="A300" s="37">
        <v>-171</v>
      </c>
      <c r="B300" s="41">
        <v>-3572.1190761650168</v>
      </c>
      <c r="C300" s="41">
        <v>2.154028388413781</v>
      </c>
      <c r="D300" s="16">
        <f t="shared" si="36"/>
        <v>179.9654499981616</v>
      </c>
    </row>
    <row r="301" spans="1:4" x14ac:dyDescent="0.25">
      <c r="A301" s="37">
        <v>-172</v>
      </c>
      <c r="B301" s="41">
        <v>-3572.2178692459624</v>
      </c>
      <c r="C301" s="41">
        <v>1.9113553519525113</v>
      </c>
      <c r="D301" s="16">
        <f t="shared" si="36"/>
        <v>179.96934325162286</v>
      </c>
    </row>
    <row r="302" spans="1:4" x14ac:dyDescent="0.25">
      <c r="A302" s="39">
        <v>-173</v>
      </c>
      <c r="B302" s="41">
        <v>-3572.3122811175958</v>
      </c>
      <c r="C302" s="41">
        <v>1.6698700282795471</v>
      </c>
      <c r="D302" s="16">
        <f t="shared" si="36"/>
        <v>179.97321720766328</v>
      </c>
    </row>
    <row r="303" spans="1:4" x14ac:dyDescent="0.25">
      <c r="A303" s="39">
        <v>-174</v>
      </c>
      <c r="B303" s="41">
        <v>-3572.4024299686075</v>
      </c>
      <c r="C303" s="41">
        <v>1.4294175996132708</v>
      </c>
      <c r="D303" s="16">
        <f t="shared" si="36"/>
        <v>179.97707436582124</v>
      </c>
    </row>
    <row r="304" spans="1:4" x14ac:dyDescent="0.25">
      <c r="A304" s="37">
        <v>-175</v>
      </c>
      <c r="B304" s="41">
        <v>-3572.4884228830701</v>
      </c>
      <c r="C304" s="41">
        <v>1.1898458239525327</v>
      </c>
      <c r="D304" s="16">
        <f t="shared" si="36"/>
        <v>179.98091718337662</v>
      </c>
    </row>
    <row r="305" spans="1:4" x14ac:dyDescent="0.25">
      <c r="A305" s="37">
        <v>-176</v>
      </c>
      <c r="B305" s="41">
        <v>-3572.5703562998374</v>
      </c>
      <c r="C305" s="41">
        <v>0.95100464243172389</v>
      </c>
      <c r="D305" s="16">
        <f t="shared" si="36"/>
        <v>179.98474808174859</v>
      </c>
    </row>
    <row r="306" spans="1:4" x14ac:dyDescent="0.25">
      <c r="A306" s="39">
        <v>-177</v>
      </c>
      <c r="B306" s="41">
        <v>-3572.6483164136816</v>
      </c>
      <c r="C306" s="41">
        <v>0.71274579824932971</v>
      </c>
      <c r="D306" s="16">
        <f t="shared" si="36"/>
        <v>179.98856945270097</v>
      </c>
    </row>
    <row r="307" spans="1:4" x14ac:dyDescent="0.25">
      <c r="A307" s="39">
        <v>-178</v>
      </c>
      <c r="B307" s="41">
        <v>-3572.7223795223485</v>
      </c>
      <c r="C307" s="41">
        <v>0.47492246508778641</v>
      </c>
      <c r="D307" s="16">
        <f t="shared" si="36"/>
        <v>179.99238366438962</v>
      </c>
    </row>
    <row r="308" spans="1:4" x14ac:dyDescent="0.25">
      <c r="A308" s="37">
        <v>-179</v>
      </c>
      <c r="B308" s="41">
        <v>-3572.7926123180137</v>
      </c>
      <c r="C308" s="41">
        <v>0.23738888302377747</v>
      </c>
      <c r="D308" s="16">
        <f t="shared" si="36"/>
        <v>179.99619306728476</v>
      </c>
    </row>
    <row r="309" spans="1:4" x14ac:dyDescent="0.25">
      <c r="A309" s="37">
        <v>-180</v>
      </c>
      <c r="B309" s="41">
        <v>-3572.8590721303899</v>
      </c>
      <c r="C309" s="41">
        <v>6.9155534667118379E-15</v>
      </c>
      <c r="D309" s="16">
        <f t="shared" si="36"/>
        <v>180</v>
      </c>
    </row>
    <row r="310" spans="1:4" x14ac:dyDescent="0.25">
      <c r="A310" s="39">
        <v>-181</v>
      </c>
      <c r="B310" s="41">
        <v>-3572.7926123180132</v>
      </c>
      <c r="C310" s="41">
        <v>-0.23738888302377747</v>
      </c>
      <c r="D310" s="16">
        <f t="shared" si="36"/>
        <v>-179.99619306728476</v>
      </c>
    </row>
    <row r="311" spans="1:4" x14ac:dyDescent="0.25">
      <c r="A311" s="39">
        <v>-182</v>
      </c>
      <c r="B311" s="41">
        <v>-3572.7223795223476</v>
      </c>
      <c r="C311" s="41">
        <v>-0.47492246508776931</v>
      </c>
      <c r="D311" s="16">
        <f t="shared" si="36"/>
        <v>-179.99238366438962</v>
      </c>
    </row>
    <row r="312" spans="1:4" x14ac:dyDescent="0.25">
      <c r="A312" s="37">
        <v>-183</v>
      </c>
      <c r="B312" s="41">
        <v>-3572.6483164136816</v>
      </c>
      <c r="C312" s="41">
        <v>-0.71274579824936379</v>
      </c>
      <c r="D312" s="16">
        <f t="shared" si="36"/>
        <v>-179.98856945270097</v>
      </c>
    </row>
    <row r="313" spans="1:4" x14ac:dyDescent="0.25">
      <c r="A313" s="37">
        <v>-184</v>
      </c>
      <c r="B313" s="41">
        <v>-3572.5703562998374</v>
      </c>
      <c r="C313" s="41">
        <v>-0.95100464243165572</v>
      </c>
      <c r="D313" s="16">
        <f t="shared" si="36"/>
        <v>-179.98474808174859</v>
      </c>
    </row>
    <row r="314" spans="1:4" x14ac:dyDescent="0.25">
      <c r="A314" s="39">
        <v>-185</v>
      </c>
      <c r="B314" s="41">
        <v>-3572.4884228830701</v>
      </c>
      <c r="C314" s="41">
        <v>-1.1898458239524645</v>
      </c>
      <c r="D314" s="16">
        <f t="shared" si="36"/>
        <v>-179.98091718337662</v>
      </c>
    </row>
    <row r="315" spans="1:4" x14ac:dyDescent="0.25">
      <c r="A315" s="39">
        <v>-186</v>
      </c>
      <c r="B315" s="41">
        <v>-3572.4024299686071</v>
      </c>
      <c r="C315" s="41">
        <v>-1.4294175996132026</v>
      </c>
      <c r="D315" s="16">
        <f t="shared" si="36"/>
        <v>-179.97707436582124</v>
      </c>
    </row>
    <row r="316" spans="1:4" x14ac:dyDescent="0.25">
      <c r="A316" s="37">
        <v>-187</v>
      </c>
      <c r="B316" s="41">
        <v>-3572.3122811175954</v>
      </c>
      <c r="C316" s="41">
        <v>-1.6698700282794789</v>
      </c>
      <c r="D316" s="16">
        <f t="shared" si="36"/>
        <v>-179.97321720766328</v>
      </c>
    </row>
    <row r="317" spans="1:4" x14ac:dyDescent="0.25">
      <c r="A317" s="37">
        <v>-188</v>
      </c>
      <c r="B317" s="41">
        <v>-3572.217869245962</v>
      </c>
      <c r="C317" s="41">
        <v>-1.9113553519525797</v>
      </c>
      <c r="D317" s="16">
        <f t="shared" si="36"/>
        <v>-179.96934325162286</v>
      </c>
    </row>
    <row r="318" spans="1:4" x14ac:dyDescent="0.25">
      <c r="A318" s="39">
        <v>-189</v>
      </c>
      <c r="B318" s="41">
        <v>-3572.1190761650168</v>
      </c>
      <c r="C318" s="41">
        <v>-2.154028388413781</v>
      </c>
      <c r="D318" s="16">
        <f t="shared" si="36"/>
        <v>-179.9654499981616</v>
      </c>
    </row>
    <row r="319" spans="1:4" x14ac:dyDescent="0.25">
      <c r="A319" s="39">
        <v>-190</v>
      </c>
      <c r="B319" s="41">
        <v>-3572.0157720568336</v>
      </c>
      <c r="C319" s="41">
        <v>-2.3980469376353315</v>
      </c>
      <c r="D319" s="16">
        <f t="shared" si="36"/>
        <v>-179.96153489885631</v>
      </c>
    </row>
    <row r="320" spans="1:4" x14ac:dyDescent="0.25">
      <c r="A320" s="37">
        <v>-191</v>
      </c>
      <c r="B320" s="41">
        <v>-3571.9078148859289</v>
      </c>
      <c r="C320" s="41">
        <v>-2.643572204272914</v>
      </c>
      <c r="D320" s="16">
        <f t="shared" si="36"/>
        <v>-179.95759534950577</v>
      </c>
    </row>
    <row r="321" spans="1:4" x14ac:dyDescent="0.25">
      <c r="A321" s="37">
        <v>-192</v>
      </c>
      <c r="B321" s="41">
        <v>-3571.7950497347997</v>
      </c>
      <c r="C321" s="41">
        <v>-2.8907692387122097</v>
      </c>
      <c r="D321" s="16">
        <f t="shared" si="36"/>
        <v>-179.95362868292978</v>
      </c>
    </row>
    <row r="322" spans="1:4" x14ac:dyDescent="0.25">
      <c r="A322" s="39">
        <v>-193</v>
      </c>
      <c r="B322" s="41">
        <v>-3571.6773080657049</v>
      </c>
      <c r="C322" s="41">
        <v>-3.1398073993075286</v>
      </c>
      <c r="D322" s="16">
        <f t="shared" ref="D322:D385" si="37">DEGREES(ATAN2(B322,C322))</f>
        <v>-179.94963216141699</v>
      </c>
    </row>
    <row r="323" spans="1:4" x14ac:dyDescent="0.25">
      <c r="A323" s="39">
        <v>-194</v>
      </c>
      <c r="B323" s="41">
        <v>-3571.5544068920444</v>
      </c>
      <c r="C323" s="41">
        <v>-3.3908608386669132</v>
      </c>
      <c r="D323" s="16">
        <f t="shared" si="37"/>
        <v>-179.9456029687737</v>
      </c>
    </row>
    <row r="324" spans="1:4" x14ac:dyDescent="0.25">
      <c r="A324" s="37">
        <v>-195</v>
      </c>
      <c r="B324" s="41">
        <v>-3571.4261478608878</v>
      </c>
      <c r="C324" s="41">
        <v>-3.6441090170631472</v>
      </c>
      <c r="D324" s="16">
        <f t="shared" si="37"/>
        <v>-179.94153820192267</v>
      </c>
    </row>
    <row r="325" spans="1:4" x14ac:dyDescent="0.25">
      <c r="A325" s="37">
        <v>-196</v>
      </c>
      <c r="B325" s="41">
        <v>-3571.2923162342272</v>
      </c>
      <c r="C325" s="41">
        <v>-3.8997372463198192</v>
      </c>
      <c r="D325" s="16">
        <f t="shared" si="37"/>
        <v>-179.93743486199671</v>
      </c>
    </row>
    <row r="326" spans="1:4" x14ac:dyDescent="0.25">
      <c r="A326" s="39">
        <v>-197</v>
      </c>
      <c r="B326" s="41">
        <v>-3571.152679753342</v>
      </c>
      <c r="C326" s="41">
        <v>-4.1579372678375419</v>
      </c>
      <c r="D326" s="16">
        <f t="shared" si="37"/>
        <v>-179.93328984486521</v>
      </c>
    </row>
    <row r="327" spans="1:4" x14ac:dyDescent="0.25">
      <c r="A327" s="39">
        <v>-198</v>
      </c>
      <c r="B327" s="41">
        <v>-3571.0069873897714</v>
      </c>
      <c r="C327" s="41">
        <v>-4.4189078687676551</v>
      </c>
      <c r="D327" s="16">
        <f t="shared" si="37"/>
        <v>-179.92909993102748</v>
      </c>
    </row>
    <row r="328" spans="1:4" x14ac:dyDescent="0.25">
      <c r="A328" s="37">
        <v>-199</v>
      </c>
      <c r="B328" s="41">
        <v>-3570.8549679527391</v>
      </c>
      <c r="C328" s="41">
        <v>-4.6828555407395012</v>
      </c>
      <c r="D328" s="16">
        <f t="shared" si="37"/>
        <v>-179.92486177479893</v>
      </c>
    </row>
    <row r="329" spans="1:4" x14ac:dyDescent="0.25">
      <c r="A329" s="37">
        <v>-200</v>
      </c>
      <c r="B329" s="41">
        <v>-3570.6963285497045</v>
      </c>
      <c r="C329" s="41">
        <v>-4.9499951860204874</v>
      </c>
      <c r="D329" s="16">
        <f t="shared" si="37"/>
        <v>-179.92057189270886</v>
      </c>
    </row>
    <row r="330" spans="1:4" x14ac:dyDescent="0.25">
      <c r="A330" s="39">
        <v>-201</v>
      </c>
      <c r="B330" s="41">
        <v>-3570.53075288115</v>
      </c>
      <c r="C330" s="41">
        <v>-5.2205508764822754</v>
      </c>
      <c r="D330" s="16">
        <f t="shared" si="37"/>
        <v>-179.9162266510196</v>
      </c>
    </row>
    <row r="331" spans="1:4" x14ac:dyDescent="0.25">
      <c r="A331" s="39">
        <v>-202</v>
      </c>
      <c r="B331" s="41">
        <v>-3570.3578993478322</v>
      </c>
      <c r="C331" s="41">
        <v>-5.4947566713585729</v>
      </c>
      <c r="D331" s="16">
        <f t="shared" si="37"/>
        <v>-179.91182225226703</v>
      </c>
    </row>
    <row r="332" spans="1:4" x14ac:dyDescent="0.25">
      <c r="A332" s="37">
        <v>-203</v>
      </c>
      <c r="B332" s="41">
        <v>-3570.1773989550165</v>
      </c>
      <c r="C332" s="41">
        <v>-5.7728575004506633</v>
      </c>
      <c r="D332" s="16">
        <f t="shared" si="37"/>
        <v>-179.90735472071026</v>
      </c>
    </row>
    <row r="333" spans="1:4" x14ac:dyDescent="0.25">
      <c r="A333" s="37">
        <v>-204</v>
      </c>
      <c r="B333" s="41">
        <v>-3569.9888529833356</v>
      </c>
      <c r="C333" s="41">
        <v>-6.0551101201961499</v>
      </c>
      <c r="D333" s="16">
        <f t="shared" si="37"/>
        <v>-179.90281988656648</v>
      </c>
    </row>
    <row r="334" spans="1:4" x14ac:dyDescent="0.25">
      <c r="A334" s="39">
        <v>-205</v>
      </c>
      <c r="B334" s="41">
        <v>-3569.7918304007253</v>
      </c>
      <c r="C334" s="41">
        <v>-6.3417841509079151</v>
      </c>
      <c r="D334" s="16">
        <f t="shared" si="37"/>
        <v>-179.89821336889054</v>
      </c>
    </row>
    <row r="335" spans="1:4" x14ac:dyDescent="0.25">
      <c r="A335" s="39">
        <v>-206</v>
      </c>
      <c r="B335" s="41">
        <v>-3569.5858649857769</v>
      </c>
      <c r="C335" s="41">
        <v>-6.6331632044957587</v>
      </c>
      <c r="D335" s="16">
        <f t="shared" si="37"/>
        <v>-179.89353055694258</v>
      </c>
    </row>
    <row r="336" spans="1:4" x14ac:dyDescent="0.25">
      <c r="A336" s="37">
        <v>-207</v>
      </c>
      <c r="B336" s="41">
        <v>-3569.3704521254845</v>
      </c>
      <c r="C336" s="41">
        <v>-6.9295461131246157</v>
      </c>
      <c r="D336" s="16">
        <f t="shared" si="37"/>
        <v>-179.88876658986712</v>
      </c>
    </row>
    <row r="337" spans="1:4" x14ac:dyDescent="0.25">
      <c r="A337" s="37">
        <v>-208</v>
      </c>
      <c r="B337" s="41">
        <v>-3569.1450452402032</v>
      </c>
      <c r="C337" s="41">
        <v>-7.2312482705960068</v>
      </c>
      <c r="D337" s="16">
        <f t="shared" si="37"/>
        <v>-179.88391633448404</v>
      </c>
    </row>
    <row r="338" spans="1:4" x14ac:dyDescent="0.25">
      <c r="A338" s="39">
        <v>-209</v>
      </c>
      <c r="B338" s="41">
        <v>-3568.9090518000676</v>
      </c>
      <c r="C338" s="41">
        <v>-7.5386030997581663</v>
      </c>
      <c r="D338" s="16">
        <f t="shared" si="37"/>
        <v>-179.87897436096671</v>
      </c>
    </row>
    <row r="339" spans="1:4" x14ac:dyDescent="0.25">
      <c r="A339" s="39">
        <v>-210</v>
      </c>
      <c r="B339" s="41">
        <v>-3568.6618288632067</v>
      </c>
      <c r="C339" s="41">
        <v>-7.8519636609787993</v>
      </c>
      <c r="D339" s="16">
        <f t="shared" si="37"/>
        <v>-179.87393491615083</v>
      </c>
    </row>
    <row r="340" spans="1:4" x14ac:dyDescent="0.25">
      <c r="A340" s="37">
        <v>-211</v>
      </c>
      <c r="B340" s="41">
        <v>-3568.4026780849608</v>
      </c>
      <c r="C340" s="41">
        <v>-8.1717044187749721</v>
      </c>
      <c r="D340" s="16">
        <f t="shared" si="37"/>
        <v>-179.86879189418468</v>
      </c>
    </row>
    <row r="341" spans="1:4" x14ac:dyDescent="0.25">
      <c r="A341" s="37">
        <v>-212</v>
      </c>
      <c r="B341" s="41">
        <v>-3568.1308401172582</v>
      </c>
      <c r="C341" s="41">
        <v>-8.4982231859668911</v>
      </c>
      <c r="D341" s="16">
        <f t="shared" si="37"/>
        <v>-179.86353880419006</v>
      </c>
    </row>
    <row r="342" spans="1:4" x14ac:dyDescent="0.25">
      <c r="A342" s="39">
        <v>-213</v>
      </c>
      <c r="B342" s="41">
        <v>-3567.8454883160271</v>
      </c>
      <c r="C342" s="41">
        <v>-8.8319432674860767</v>
      </c>
      <c r="D342" s="16">
        <f t="shared" si="37"/>
        <v>-179.85816873455605</v>
      </c>
    </row>
    <row r="343" spans="1:4" x14ac:dyDescent="0.25">
      <c r="A343" s="39">
        <v>-214</v>
      </c>
      <c r="B343" s="41">
        <v>-3567.5457216558125</v>
      </c>
      <c r="C343" s="41">
        <v>-9.1733158290572661</v>
      </c>
      <c r="D343" s="16">
        <f t="shared" si="37"/>
        <v>-179.85267431343468</v>
      </c>
    </row>
    <row r="344" spans="1:4" x14ac:dyDescent="0.25">
      <c r="A344" s="37">
        <v>-215</v>
      </c>
      <c r="B344" s="41">
        <v>-3567.23055674024</v>
      </c>
      <c r="C344" s="41">
        <v>-9.5228225196514362</v>
      </c>
      <c r="D344" s="16">
        <f t="shared" si="37"/>
        <v>-179.84704766494278</v>
      </c>
    </row>
    <row r="345" spans="1:4" x14ac:dyDescent="0.25">
      <c r="A345" s="37">
        <v>-216</v>
      </c>
      <c r="B345" s="41">
        <v>-3566.8989187701591</v>
      </c>
      <c r="C345" s="41">
        <v>-9.8809783808725129</v>
      </c>
      <c r="D345" s="16">
        <f t="shared" si="37"/>
        <v>-179.84128036049992</v>
      </c>
    </row>
    <row r="346" spans="1:4" x14ac:dyDescent="0.25">
      <c r="A346" s="39">
        <v>-217</v>
      </c>
      <c r="B346" s="41">
        <v>-3566.5496313134749</v>
      </c>
      <c r="C346" s="41">
        <v>-10.248335081398453</v>
      </c>
      <c r="D346" s="16">
        <f t="shared" si="37"/>
        <v>-179.83536336464647</v>
      </c>
    </row>
    <row r="347" spans="1:4" x14ac:dyDescent="0.25">
      <c r="A347" s="39">
        <v>-218</v>
      </c>
      <c r="B347" s="41">
        <v>-3566.1814046941267</v>
      </c>
      <c r="C347" s="41">
        <v>-10.625484520491046</v>
      </c>
      <c r="D347" s="16">
        <f t="shared" si="37"/>
        <v>-179.82928697458098</v>
      </c>
    </row>
    <row r="348" spans="1:4" x14ac:dyDescent="0.25">
      <c r="A348" s="37">
        <v>-219</v>
      </c>
      <c r="B348" s="41">
        <v>-3565.7928227800817</v>
      </c>
      <c r="C348" s="41">
        <v>-11.013062851452105</v>
      </c>
      <c r="D348" s="16">
        <f t="shared" si="37"/>
        <v>-179.82304075253634</v>
      </c>
    </row>
    <row r="349" spans="1:4" x14ac:dyDescent="0.25">
      <c r="A349" s="37">
        <v>-220</v>
      </c>
      <c r="B349" s="41">
        <v>-3565.3823279136268</v>
      </c>
      <c r="C349" s="41">
        <v>-11.411754984011351</v>
      </c>
      <c r="D349" s="16">
        <f t="shared" si="37"/>
        <v>-179.81661344997053</v>
      </c>
    </row>
    <row r="350" spans="1:4" x14ac:dyDescent="0.25">
      <c r="A350" s="39">
        <v>-221</v>
      </c>
      <c r="B350" s="41">
        <v>-3564.9482036826025</v>
      </c>
      <c r="C350" s="41">
        <v>-11.822299634299997</v>
      </c>
      <c r="D350" s="16">
        <f t="shared" si="37"/>
        <v>-179.80999292237587</v>
      </c>
    </row>
    <row r="351" spans="1:4" x14ac:dyDescent="0.25">
      <c r="A351" s="39">
        <v>-222</v>
      </c>
      <c r="B351" s="41">
        <v>-3564.488555167612</v>
      </c>
      <c r="C351" s="41">
        <v>-12.245495002450753</v>
      </c>
      <c r="D351" s="16">
        <f t="shared" si="37"/>
        <v>-179.80316603330917</v>
      </c>
    </row>
    <row r="352" spans="1:4" x14ac:dyDescent="0.25">
      <c r="A352" s="37">
        <v>-223</v>
      </c>
      <c r="B352" s="41">
        <v>-3564.0012862363451</v>
      </c>
      <c r="C352" s="41">
        <v>-12.682205171472015</v>
      </c>
      <c r="D352" s="16">
        <f t="shared" si="37"/>
        <v>-179.7961185460004</v>
      </c>
    </row>
    <row r="353" spans="1:4" x14ac:dyDescent="0.25">
      <c r="A353" s="37">
        <v>-224</v>
      </c>
      <c r="B353" s="41">
        <v>-3563.4840733668912</v>
      </c>
      <c r="C353" s="41">
        <v>-13.133367337374967</v>
      </c>
      <c r="D353" s="16">
        <f t="shared" si="37"/>
        <v>-179.78883500060616</v>
      </c>
    </row>
    <row r="354" spans="1:4" x14ac:dyDescent="0.25">
      <c r="A354" s="39">
        <v>-225</v>
      </c>
      <c r="B354" s="41">
        <v>-3562.9343353801432</v>
      </c>
      <c r="C354" s="41">
        <v>-13.600000000000183</v>
      </c>
      <c r="D354" s="16">
        <f t="shared" si="37"/>
        <v>-179.78129857482188</v>
      </c>
    </row>
    <row r="355" spans="1:4" x14ac:dyDescent="0.25">
      <c r="A355" s="39">
        <v>-226</v>
      </c>
      <c r="B355" s="41">
        <v>-3562.3491983342988</v>
      </c>
      <c r="C355" s="41">
        <v>-14.083212267552245</v>
      </c>
      <c r="D355" s="16">
        <f t="shared" si="37"/>
        <v>-179.77349092514112</v>
      </c>
    </row>
    <row r="356" spans="1:4" x14ac:dyDescent="0.25">
      <c r="A356" s="37">
        <v>-227</v>
      </c>
      <c r="B356" s="41">
        <v>-3561.7254546744794</v>
      </c>
      <c r="C356" s="41">
        <v>-14.584214456335122</v>
      </c>
      <c r="D356" s="16">
        <f t="shared" si="37"/>
        <v>-179.76539200553063</v>
      </c>
    </row>
    <row r="357" spans="1:4" x14ac:dyDescent="0.25">
      <c r="A357" s="37">
        <v>-228</v>
      </c>
      <c r="B357" s="41">
        <v>-3561.0595155310371</v>
      </c>
      <c r="C357" s="41">
        <v>-15.10433020167784</v>
      </c>
      <c r="D357" s="16">
        <f t="shared" si="37"/>
        <v>-179.75697985965999</v>
      </c>
    </row>
    <row r="358" spans="1:4" x14ac:dyDescent="0.25">
      <c r="A358" s="39">
        <v>-229</v>
      </c>
      <c r="B358" s="41">
        <v>-3560.3473548338798</v>
      </c>
      <c r="C358" s="41">
        <v>-15.645010338205703</v>
      </c>
      <c r="D358" s="16">
        <f t="shared" si="37"/>
        <v>-179.74823038204752</v>
      </c>
    </row>
    <row r="359" spans="1:4" x14ac:dyDescent="0.25">
      <c r="A359" s="39">
        <v>-230</v>
      </c>
      <c r="B359" s="41">
        <v>-3559.5844435685485</v>
      </c>
      <c r="C359" s="41">
        <v>-16.207848859280514</v>
      </c>
      <c r="D359" s="16">
        <f t="shared" si="37"/>
        <v>-179.73911704252788</v>
      </c>
    </row>
    <row r="360" spans="1:4" x14ac:dyDescent="0.25">
      <c r="A360" s="37">
        <v>-231</v>
      </c>
      <c r="B360" s="41">
        <v>-3558.7656721659314</v>
      </c>
      <c r="C360" s="41">
        <v>-16.794601328876251</v>
      </c>
      <c r="D360" s="16">
        <f t="shared" si="37"/>
        <v>-179.72961056726484</v>
      </c>
    </row>
    <row r="361" spans="1:4" x14ac:dyDescent="0.25">
      <c r="A361" s="37">
        <v>-232</v>
      </c>
      <c r="B361" s="41">
        <v>-3557.8852584716574</v>
      </c>
      <c r="C361" s="41">
        <v>-17.407206197825417</v>
      </c>
      <c r="D361" s="16">
        <f t="shared" si="37"/>
        <v>-179.71967856805543</v>
      </c>
    </row>
    <row r="362" spans="1:4" x14ac:dyDescent="0.25">
      <c r="A362" s="39">
        <v>-233</v>
      </c>
      <c r="B362" s="41">
        <v>-3556.9366381776022</v>
      </c>
      <c r="C362" s="41">
        <v>-18.047809574038094</v>
      </c>
      <c r="D362" s="16">
        <f t="shared" si="37"/>
        <v>-179.70928510982702</v>
      </c>
    </row>
    <row r="363" spans="1:4" x14ac:dyDescent="0.25">
      <c r="A363" s="39">
        <v>-234</v>
      </c>
      <c r="B363" s="41">
        <v>-3555.9123337576088</v>
      </c>
      <c r="C363" s="41">
        <v>-18.718794118408095</v>
      </c>
      <c r="D363" s="16">
        <f t="shared" si="37"/>
        <v>-179.69839020389963</v>
      </c>
    </row>
    <row r="364" spans="1:4" x14ac:dyDescent="0.25">
      <c r="A364" s="37">
        <v>-235</v>
      </c>
      <c r="B364" s="41">
        <v>-3554.8037969544494</v>
      </c>
      <c r="C364" s="41">
        <v>-19.422812891692413</v>
      </c>
      <c r="D364" s="16">
        <f t="shared" si="37"/>
        <v>-179.6869492116364</v>
      </c>
    </row>
    <row r="365" spans="1:4" x14ac:dyDescent="0.25">
      <c r="A365" s="37">
        <v>-236</v>
      </c>
      <c r="B365" s="41">
        <v>-3553.6012185167206</v>
      </c>
      <c r="C365" s="41">
        <v>-20.162829171773865</v>
      </c>
      <c r="D365" s="16">
        <f t="shared" si="37"/>
        <v>-179.67491213933792</v>
      </c>
    </row>
    <row r="366" spans="1:4" x14ac:dyDescent="0.25">
      <c r="A366" s="39">
        <v>-237</v>
      </c>
      <c r="B366" s="41">
        <v>-3552.2932971619543</v>
      </c>
      <c r="C366" s="41">
        <v>-20.942163507878377</v>
      </c>
      <c r="D366" s="16">
        <f t="shared" si="37"/>
        <v>-179.66222280039545</v>
      </c>
    </row>
    <row r="367" spans="1:4" x14ac:dyDescent="0.25">
      <c r="A367" s="39">
        <v>-238</v>
      </c>
      <c r="B367" s="41">
        <v>-3550.8669574402716</v>
      </c>
      <c r="C367" s="41">
        <v>-21.76454959495786</v>
      </c>
      <c r="D367" s="16">
        <f t="shared" si="37"/>
        <v>-179.64881781444723</v>
      </c>
    </row>
    <row r="368" spans="1:4" x14ac:dyDescent="0.25">
      <c r="A368" s="37">
        <v>-239</v>
      </c>
      <c r="B368" s="41">
        <v>-3549.3070031416601</v>
      </c>
      <c r="C368" s="41">
        <v>-22.634200959967803</v>
      </c>
      <c r="D368" s="16">
        <f t="shared" si="37"/>
        <v>-179.63462540509809</v>
      </c>
    </row>
    <row r="369" spans="1:4" x14ac:dyDescent="0.25">
      <c r="A369" s="37">
        <v>-240</v>
      </c>
      <c r="B369" s="41">
        <v>-3547.5956888293699</v>
      </c>
      <c r="C369" s="41">
        <v>-23.5558909829364</v>
      </c>
      <c r="D369" s="16">
        <f t="shared" si="37"/>
        <v>-179.61956394698871</v>
      </c>
    </row>
    <row r="370" spans="1:4" x14ac:dyDescent="0.25">
      <c r="A370" s="39">
        <v>-241</v>
      </c>
      <c r="B370" s="41">
        <v>-3545.7051507927786</v>
      </c>
      <c r="C370" s="41">
        <v>-24.535049471691945</v>
      </c>
      <c r="D370" s="16">
        <f t="shared" si="37"/>
        <v>-179.60353941201018</v>
      </c>
    </row>
    <row r="371" spans="1:4" x14ac:dyDescent="0.25">
      <c r="A371" s="39">
        <v>-242</v>
      </c>
      <c r="B371" s="41">
        <v>-3542.9779703997001</v>
      </c>
      <c r="C371" s="41">
        <v>-25.577879928710537</v>
      </c>
      <c r="D371" s="16">
        <f t="shared" si="37"/>
        <v>-179.58637080956632</v>
      </c>
    </row>
    <row r="372" spans="1:4" x14ac:dyDescent="0.25">
      <c r="A372" s="37">
        <v>-243</v>
      </c>
      <c r="B372" s="41">
        <v>-3539.9954259131023</v>
      </c>
      <c r="C372" s="41">
        <v>-26.691502874870459</v>
      </c>
      <c r="D372" s="16">
        <f t="shared" si="37"/>
        <v>-179.56799902274659</v>
      </c>
    </row>
    <row r="373" spans="1:4" x14ac:dyDescent="0.25">
      <c r="A373" s="37">
        <v>-244</v>
      </c>
      <c r="B373" s="41">
        <v>-3536.7201291867132</v>
      </c>
      <c r="C373" s="41">
        <v>-27.884132245477577</v>
      </c>
      <c r="D373" s="16">
        <f t="shared" si="37"/>
        <v>-179.54827921559493</v>
      </c>
    </row>
    <row r="374" spans="1:4" x14ac:dyDescent="0.25">
      <c r="A374" s="39">
        <v>-245</v>
      </c>
      <c r="B374" s="41">
        <v>-3533.1073442650622</v>
      </c>
      <c r="C374" s="41">
        <v>-29.165294118930614</v>
      </c>
      <c r="D374" s="16">
        <f t="shared" si="37"/>
        <v>-179.52704230484787</v>
      </c>
    </row>
    <row r="375" spans="1:4" x14ac:dyDescent="0.25">
      <c r="A375" s="39">
        <v>-246</v>
      </c>
      <c r="B375" s="41">
        <v>-3529.1031509132454</v>
      </c>
      <c r="C375" s="41">
        <v>-30.546100125097109</v>
      </c>
      <c r="D375" s="16">
        <f t="shared" si="37"/>
        <v>-179.50408961172701</v>
      </c>
    </row>
    <row r="376" spans="1:4" x14ac:dyDescent="0.25">
      <c r="A376" s="37">
        <v>-247</v>
      </c>
      <c r="B376" s="41">
        <v>-3524.6420441981577</v>
      </c>
      <c r="C376" s="41">
        <v>-32.039592175202507</v>
      </c>
      <c r="D376" s="16">
        <f t="shared" si="37"/>
        <v>-179.47918602073304</v>
      </c>
    </row>
    <row r="377" spans="1:4" x14ac:dyDescent="0.25">
      <c r="A377" s="37">
        <v>-248</v>
      </c>
      <c r="B377" s="41">
        <v>-3519.6437620622642</v>
      </c>
      <c r="C377" s="41">
        <v>-33.661181206461286</v>
      </c>
      <c r="D377" s="16">
        <f t="shared" si="37"/>
        <v>-179.452051131259</v>
      </c>
    </row>
    <row r="378" spans="1:4" x14ac:dyDescent="0.25">
      <c r="A378" s="39">
        <v>-249</v>
      </c>
      <c r="B378" s="41">
        <v>-3514.0090420252936</v>
      </c>
      <c r="C378" s="41">
        <v>-35.429211279835776</v>
      </c>
      <c r="D378" s="16">
        <f t="shared" si="37"/>
        <v>-179.42234767330012</v>
      </c>
    </row>
    <row r="379" spans="1:4" x14ac:dyDescent="0.25">
      <c r="A379" s="39">
        <v>-250</v>
      </c>
      <c r="B379" s="41">
        <v>-3507.6138710134128</v>
      </c>
      <c r="C379" s="41">
        <v>-37.365692904582602</v>
      </c>
      <c r="D379" s="16">
        <f t="shared" si="37"/>
        <v>-179.38966613695843</v>
      </c>
    </row>
    <row r="380" spans="1:4" x14ac:dyDescent="0.25">
      <c r="A380" s="37">
        <v>-251</v>
      </c>
      <c r="B380" s="41">
        <v>-3500.3015813808547</v>
      </c>
      <c r="C380" s="41">
        <v>-39.497267936390472</v>
      </c>
      <c r="D380" s="16">
        <f t="shared" si="37"/>
        <v>-179.35350407356356</v>
      </c>
    </row>
    <row r="381" spans="1:4" x14ac:dyDescent="0.25">
      <c r="A381" s="37">
        <v>-252</v>
      </c>
      <c r="B381" s="41">
        <v>-3491.8718152542137</v>
      </c>
      <c r="C381" s="41">
        <v>-41.856496105583027</v>
      </c>
      <c r="D381" s="16">
        <f t="shared" si="37"/>
        <v>-179.31323775681943</v>
      </c>
    </row>
    <row r="382" spans="1:4" x14ac:dyDescent="0.25">
      <c r="A382" s="39">
        <v>-253</v>
      </c>
      <c r="B382" s="41">
        <v>-3482.0648487638446</v>
      </c>
      <c r="C382" s="41">
        <v>-44.483595611383905</v>
      </c>
      <c r="D382" s="16">
        <f t="shared" si="37"/>
        <v>-179.2680826584255</v>
      </c>
    </row>
    <row r="383" spans="1:4" x14ac:dyDescent="0.25">
      <c r="A383" s="39">
        <v>-254</v>
      </c>
      <c r="B383" s="41">
        <v>-3470.5388964038789</v>
      </c>
      <c r="C383" s="41">
        <v>-47.428836436236502</v>
      </c>
      <c r="D383" s="16">
        <f t="shared" si="37"/>
        <v>-179.21703715746801</v>
      </c>
    </row>
    <row r="384" spans="1:4" x14ac:dyDescent="0.25">
      <c r="A384" s="37">
        <v>-255</v>
      </c>
      <c r="B384" s="41">
        <v>-3456.836546376378</v>
      </c>
      <c r="C384" s="41">
        <v>-50.755890982936627</v>
      </c>
      <c r="D384" s="16">
        <f t="shared" si="37"/>
        <v>-179.15880043861867</v>
      </c>
    </row>
    <row r="385" spans="1:4" x14ac:dyDescent="0.25">
      <c r="A385" s="37">
        <v>-256</v>
      </c>
      <c r="B385" s="41">
        <v>-3440.3339253835029</v>
      </c>
      <c r="C385" s="41">
        <v>-54.546620696087302</v>
      </c>
      <c r="D385" s="16">
        <f t="shared" si="37"/>
        <v>-179.09164942153495</v>
      </c>
    </row>
    <row r="386" spans="1:4" x14ac:dyDescent="0.25">
      <c r="A386" s="39">
        <v>-257</v>
      </c>
      <c r="B386" s="41">
        <v>-3413.4802671756702</v>
      </c>
      <c r="C386" s="41">
        <v>-58.908071890264864</v>
      </c>
      <c r="D386" s="16">
        <f t="shared" ref="D386:D449" si="38">DEGREES(ATAN2(B386,C386))</f>
        <v>-179.01131729854146</v>
      </c>
    </row>
    <row r="387" spans="1:4" x14ac:dyDescent="0.25">
      <c r="A387" s="39">
        <v>-258</v>
      </c>
      <c r="B387" s="41">
        <v>-3377.5755614305563</v>
      </c>
      <c r="C387" s="41">
        <v>-63.982969488906022</v>
      </c>
      <c r="D387" s="16">
        <f t="shared" si="38"/>
        <v>-178.91474946297956</v>
      </c>
    </row>
    <row r="388" spans="1:4" x14ac:dyDescent="0.25">
      <c r="A388" s="37">
        <v>-259</v>
      </c>
      <c r="B388" s="41">
        <v>-3334.1133975044118</v>
      </c>
      <c r="C388" s="41">
        <v>-69.943130950603432</v>
      </c>
      <c r="D388" s="16">
        <f t="shared" si="38"/>
        <v>-178.79822368820885</v>
      </c>
    </row>
    <row r="389" spans="1:4" x14ac:dyDescent="0.25">
      <c r="A389" s="37">
        <v>-260</v>
      </c>
      <c r="B389" s="41">
        <v>-3238.0656279709374</v>
      </c>
      <c r="C389" s="41">
        <v>-74.600488068603909</v>
      </c>
      <c r="D389" s="16">
        <f t="shared" si="38"/>
        <v>-178.68021911362621</v>
      </c>
    </row>
    <row r="390" spans="1:4" x14ac:dyDescent="0.25">
      <c r="A390" s="39">
        <v>-261</v>
      </c>
      <c r="B390" s="41">
        <v>-3124.767072565031</v>
      </c>
      <c r="C390" s="41">
        <v>-79.041506693721459</v>
      </c>
      <c r="D390" s="16">
        <f t="shared" si="38"/>
        <v>-178.55100264870271</v>
      </c>
    </row>
    <row r="391" spans="1:4" x14ac:dyDescent="0.25">
      <c r="A391" s="39">
        <v>-262</v>
      </c>
      <c r="B391" s="41">
        <v>-3003.1360790277954</v>
      </c>
      <c r="C391" s="41">
        <v>-83.762569409923842</v>
      </c>
      <c r="D391" s="16">
        <f t="shared" si="38"/>
        <v>-178.40233754173479</v>
      </c>
    </row>
    <row r="392" spans="1:4" x14ac:dyDescent="0.25">
      <c r="A392" s="37">
        <v>-263</v>
      </c>
      <c r="B392" s="41">
        <v>-2870.2391541978545</v>
      </c>
      <c r="C392" s="41">
        <v>-88.889560398315879</v>
      </c>
      <c r="D392" s="16">
        <f t="shared" si="38"/>
        <v>-178.2261515225986</v>
      </c>
    </row>
    <row r="393" spans="1:4" x14ac:dyDescent="0.25">
      <c r="A393" s="37">
        <v>-264</v>
      </c>
      <c r="B393" s="41">
        <v>-2721.4303622277416</v>
      </c>
      <c r="C393" s="41">
        <v>-94.611023020838118</v>
      </c>
      <c r="D393" s="16">
        <f t="shared" si="38"/>
        <v>-178.00890367245833</v>
      </c>
    </row>
    <row r="394" spans="1:4" x14ac:dyDescent="0.25">
      <c r="A394" s="39">
        <v>-265</v>
      </c>
      <c r="B394" s="41">
        <v>-2548.7983910481621</v>
      </c>
      <c r="C394" s="41">
        <v>-101.22805059005123</v>
      </c>
      <c r="D394" s="16">
        <f t="shared" si="38"/>
        <v>-177.72563673943563</v>
      </c>
    </row>
    <row r="395" spans="1:4" x14ac:dyDescent="0.25">
      <c r="A395" s="39">
        <v>-266</v>
      </c>
      <c r="B395" s="41">
        <v>-2337.4605625421323</v>
      </c>
      <c r="C395" s="41">
        <v>-109.26661747517717</v>
      </c>
      <c r="D395" s="16">
        <f t="shared" si="38"/>
        <v>-177.32360751534355</v>
      </c>
    </row>
    <row r="396" spans="1:4" x14ac:dyDescent="0.25">
      <c r="A396" s="37">
        <v>-267</v>
      </c>
      <c r="B396" s="41">
        <v>-2050.9521165033857</v>
      </c>
      <c r="C396" s="41">
        <v>-119.70907821910656</v>
      </c>
      <c r="D396" s="16">
        <f t="shared" si="38"/>
        <v>-176.65957485807928</v>
      </c>
    </row>
    <row r="397" spans="1:4" x14ac:dyDescent="0.25">
      <c r="A397" s="37">
        <v>-268</v>
      </c>
      <c r="B397" s="41">
        <v>-1624.5098857045778</v>
      </c>
      <c r="C397" s="41">
        <v>-134.29896736034462</v>
      </c>
      <c r="D397" s="16">
        <f t="shared" si="38"/>
        <v>-175.27407871363226</v>
      </c>
    </row>
    <row r="398" spans="1:4" x14ac:dyDescent="0.25">
      <c r="A398" s="39">
        <v>-269</v>
      </c>
      <c r="B398" s="41">
        <v>-896.15770580672745</v>
      </c>
      <c r="C398" s="41">
        <v>-155.9097279171026</v>
      </c>
      <c r="D398" s="16">
        <f t="shared" si="38"/>
        <v>-170.13070457724686</v>
      </c>
    </row>
    <row r="399" spans="1:4" x14ac:dyDescent="0.25">
      <c r="A399" s="39">
        <v>-270</v>
      </c>
      <c r="B399" s="41">
        <v>-1.0795673798890886E-11</v>
      </c>
      <c r="C399" s="41">
        <v>-170.99994239683608</v>
      </c>
      <c r="D399" s="16">
        <f t="shared" si="38"/>
        <v>-90.00000000000361</v>
      </c>
    </row>
    <row r="400" spans="1:4" x14ac:dyDescent="0.25">
      <c r="A400" s="37">
        <v>-271</v>
      </c>
      <c r="B400" s="41">
        <v>896.15770580671051</v>
      </c>
      <c r="C400" s="41">
        <v>-155.90972791710286</v>
      </c>
      <c r="D400" s="16">
        <f t="shared" si="38"/>
        <v>-9.8692954227533534</v>
      </c>
    </row>
    <row r="401" spans="1:4" x14ac:dyDescent="0.25">
      <c r="A401" s="37">
        <v>-272</v>
      </c>
      <c r="B401" s="41">
        <v>1624.5098857045948</v>
      </c>
      <c r="C401" s="41">
        <v>-134.29896736034414</v>
      </c>
      <c r="D401" s="16">
        <f t="shared" si="38"/>
        <v>-4.7259212863676856</v>
      </c>
    </row>
    <row r="402" spans="1:4" x14ac:dyDescent="0.25">
      <c r="A402" s="39">
        <v>-273</v>
      </c>
      <c r="B402" s="41">
        <v>2050.9521165033775</v>
      </c>
      <c r="C402" s="41">
        <v>-119.70907821910667</v>
      </c>
      <c r="D402" s="16">
        <f t="shared" si="38"/>
        <v>-3.3404251419207354</v>
      </c>
    </row>
    <row r="403" spans="1:4" x14ac:dyDescent="0.25">
      <c r="A403" s="39">
        <v>-274</v>
      </c>
      <c r="B403" s="41">
        <v>2337.4605625421268</v>
      </c>
      <c r="C403" s="41">
        <v>-109.26661747517731</v>
      </c>
      <c r="D403" s="16">
        <f t="shared" si="38"/>
        <v>-2.6763924846564677</v>
      </c>
    </row>
    <row r="404" spans="1:4" x14ac:dyDescent="0.25">
      <c r="A404" s="37">
        <v>-275</v>
      </c>
      <c r="B404" s="41">
        <v>2548.7983910481562</v>
      </c>
      <c r="C404" s="41">
        <v>-101.22805059005134</v>
      </c>
      <c r="D404" s="16">
        <f t="shared" si="38"/>
        <v>-2.2743632605643809</v>
      </c>
    </row>
    <row r="405" spans="1:4" x14ac:dyDescent="0.25">
      <c r="A405" s="37">
        <v>-276</v>
      </c>
      <c r="B405" s="41">
        <v>2721.4303622277353</v>
      </c>
      <c r="C405" s="41">
        <v>-94.611023020838303</v>
      </c>
      <c r="D405" s="16">
        <f t="shared" si="38"/>
        <v>-1.9910963275416922</v>
      </c>
    </row>
    <row r="406" spans="1:4" x14ac:dyDescent="0.25">
      <c r="A406" s="39">
        <v>-277</v>
      </c>
      <c r="B406" s="41">
        <v>2870.2391541978595</v>
      </c>
      <c r="C406" s="41">
        <v>-88.889560398315894</v>
      </c>
      <c r="D406" s="16">
        <f t="shared" si="38"/>
        <v>-1.7738484774013941</v>
      </c>
    </row>
    <row r="407" spans="1:4" x14ac:dyDescent="0.25">
      <c r="A407" s="39">
        <v>-278</v>
      </c>
      <c r="B407" s="41">
        <v>3003.1360790277909</v>
      </c>
      <c r="C407" s="41">
        <v>-83.762569409923969</v>
      </c>
      <c r="D407" s="16">
        <f t="shared" si="38"/>
        <v>-1.5976624582652166</v>
      </c>
    </row>
    <row r="408" spans="1:4" x14ac:dyDescent="0.25">
      <c r="A408" s="37">
        <v>-279</v>
      </c>
      <c r="B408" s="41">
        <v>3124.7670725650269</v>
      </c>
      <c r="C408" s="41">
        <v>-79.041506693721814</v>
      </c>
      <c r="D408" s="16">
        <f t="shared" si="38"/>
        <v>-1.4489973512972976</v>
      </c>
    </row>
    <row r="409" spans="1:4" x14ac:dyDescent="0.25">
      <c r="A409" s="37">
        <v>-280</v>
      </c>
      <c r="B409" s="41">
        <v>3238.0656279709324</v>
      </c>
      <c r="C409" s="41">
        <v>-74.600488068604065</v>
      </c>
      <c r="D409" s="16">
        <f t="shared" si="38"/>
        <v>-1.3197808863737899</v>
      </c>
    </row>
    <row r="410" spans="1:4" x14ac:dyDescent="0.25">
      <c r="A410" s="39">
        <v>-281</v>
      </c>
      <c r="B410" s="41">
        <v>3334.1133975044181</v>
      </c>
      <c r="C410" s="41">
        <v>-69.94313095060302</v>
      </c>
      <c r="D410" s="16">
        <f t="shared" si="38"/>
        <v>-1.2017763117911364</v>
      </c>
    </row>
    <row r="411" spans="1:4" x14ac:dyDescent="0.25">
      <c r="A411" s="39">
        <v>-282</v>
      </c>
      <c r="B411" s="41">
        <v>3377.5755614305513</v>
      </c>
      <c r="C411" s="41">
        <v>-63.982969488907109</v>
      </c>
      <c r="D411" s="16">
        <f t="shared" si="38"/>
        <v>-1.0852505370204695</v>
      </c>
    </row>
    <row r="412" spans="1:4" x14ac:dyDescent="0.25">
      <c r="A412" s="37">
        <v>-283</v>
      </c>
      <c r="B412" s="41">
        <v>3413.4802671756679</v>
      </c>
      <c r="C412" s="41">
        <v>-58.908071890264459</v>
      </c>
      <c r="D412" s="16">
        <f t="shared" si="38"/>
        <v>-0.9886827014585462</v>
      </c>
    </row>
    <row r="413" spans="1:4" x14ac:dyDescent="0.25">
      <c r="A413" s="37">
        <v>-284</v>
      </c>
      <c r="B413" s="41">
        <v>3440.3339253834997</v>
      </c>
      <c r="C413" s="41">
        <v>-54.546620696087572</v>
      </c>
      <c r="D413" s="16">
        <f t="shared" si="38"/>
        <v>-0.90835057846504841</v>
      </c>
    </row>
    <row r="414" spans="1:4" x14ac:dyDescent="0.25">
      <c r="A414" s="39">
        <v>-285</v>
      </c>
      <c r="B414" s="41">
        <v>3456.8365463763739</v>
      </c>
      <c r="C414" s="41">
        <v>-50.755890982936485</v>
      </c>
      <c r="D414" s="16">
        <f t="shared" si="38"/>
        <v>-0.84119956138133689</v>
      </c>
    </row>
    <row r="415" spans="1:4" x14ac:dyDescent="0.25">
      <c r="A415" s="39">
        <v>-286</v>
      </c>
      <c r="B415" s="41">
        <v>3470.5388964038812</v>
      </c>
      <c r="C415" s="41">
        <v>-47.428836436235684</v>
      </c>
      <c r="D415" s="16">
        <f t="shared" si="38"/>
        <v>-0.78296284253195736</v>
      </c>
    </row>
    <row r="416" spans="1:4" x14ac:dyDescent="0.25">
      <c r="A416" s="37">
        <v>-287</v>
      </c>
      <c r="B416" s="41">
        <v>3482.0648487638423</v>
      </c>
      <c r="C416" s="41">
        <v>-44.483595611383635</v>
      </c>
      <c r="D416" s="16">
        <f t="shared" si="38"/>
        <v>-0.73191734157450239</v>
      </c>
    </row>
    <row r="417" spans="1:4" x14ac:dyDescent="0.25">
      <c r="A417" s="37">
        <v>-288</v>
      </c>
      <c r="B417" s="41">
        <v>3491.8718152542097</v>
      </c>
      <c r="C417" s="41">
        <v>-41.856496105583304</v>
      </c>
      <c r="D417" s="16">
        <f t="shared" si="38"/>
        <v>-0.68676224318056478</v>
      </c>
    </row>
    <row r="418" spans="1:4" x14ac:dyDescent="0.25">
      <c r="A418" s="39">
        <v>-289</v>
      </c>
      <c r="B418" s="41">
        <v>3500.3015813808533</v>
      </c>
      <c r="C418" s="41">
        <v>-39.497267936392248</v>
      </c>
      <c r="D418" s="16">
        <f t="shared" si="38"/>
        <v>-0.64649592643646492</v>
      </c>
    </row>
    <row r="419" spans="1:4" x14ac:dyDescent="0.25">
      <c r="A419" s="39">
        <v>-290</v>
      </c>
      <c r="B419" s="41">
        <v>3507.6138710134173</v>
      </c>
      <c r="C419" s="41">
        <v>-37.36569290458219</v>
      </c>
      <c r="D419" s="16">
        <f t="shared" si="38"/>
        <v>-0.61033386304158521</v>
      </c>
    </row>
    <row r="420" spans="1:4" x14ac:dyDescent="0.25">
      <c r="A420" s="37">
        <v>-291</v>
      </c>
      <c r="B420" s="41">
        <v>3514.0090420252941</v>
      </c>
      <c r="C420" s="41">
        <v>-35.429211279835634</v>
      </c>
      <c r="D420" s="16">
        <f t="shared" si="38"/>
        <v>-0.57765232669987032</v>
      </c>
    </row>
    <row r="421" spans="1:4" x14ac:dyDescent="0.25">
      <c r="A421" s="37">
        <v>-292</v>
      </c>
      <c r="B421" s="41">
        <v>3519.6437620622642</v>
      </c>
      <c r="C421" s="41">
        <v>-33.661181206461563</v>
      </c>
      <c r="D421" s="16">
        <f t="shared" si="38"/>
        <v>-0.54794886874100501</v>
      </c>
    </row>
    <row r="422" spans="1:4" x14ac:dyDescent="0.25">
      <c r="A422" s="39">
        <v>-293</v>
      </c>
      <c r="B422" s="41">
        <v>3524.6420441981595</v>
      </c>
      <c r="C422" s="41">
        <v>-32.039592175203325</v>
      </c>
      <c r="D422" s="16">
        <f t="shared" si="38"/>
        <v>-0.52081397926698314</v>
      </c>
    </row>
    <row r="423" spans="1:4" x14ac:dyDescent="0.25">
      <c r="A423" s="39">
        <v>-294</v>
      </c>
      <c r="B423" s="41">
        <v>3529.103150913244</v>
      </c>
      <c r="C423" s="41">
        <v>-30.546100125096565</v>
      </c>
      <c r="D423" s="16">
        <f t="shared" si="38"/>
        <v>-0.49591038827298661</v>
      </c>
    </row>
    <row r="424" spans="1:4" x14ac:dyDescent="0.25">
      <c r="A424" s="37">
        <v>-295</v>
      </c>
      <c r="B424" s="41">
        <v>3533.107344265065</v>
      </c>
      <c r="C424" s="41">
        <v>-29.165294118930341</v>
      </c>
      <c r="D424" s="16">
        <f t="shared" si="38"/>
        <v>-0.47295769515214781</v>
      </c>
    </row>
    <row r="425" spans="1:4" x14ac:dyDescent="0.25">
      <c r="A425" s="37">
        <v>-296</v>
      </c>
      <c r="B425" s="41">
        <v>3536.7201291867123</v>
      </c>
      <c r="C425" s="41">
        <v>-27.884132245478941</v>
      </c>
      <c r="D425" s="16">
        <f t="shared" si="38"/>
        <v>-0.45172078440508628</v>
      </c>
    </row>
    <row r="426" spans="1:4" x14ac:dyDescent="0.25">
      <c r="A426" s="39">
        <v>-297</v>
      </c>
      <c r="B426" s="41">
        <v>3539.9954259131027</v>
      </c>
      <c r="C426" s="41">
        <v>-26.691502874869364</v>
      </c>
      <c r="D426" s="16">
        <f t="shared" si="38"/>
        <v>-0.4320009772533781</v>
      </c>
    </row>
    <row r="427" spans="1:4" x14ac:dyDescent="0.25">
      <c r="A427" s="39">
        <v>-298</v>
      </c>
      <c r="B427" s="41">
        <v>3542.9779703996996</v>
      </c>
      <c r="C427" s="41">
        <v>-25.577879928709443</v>
      </c>
      <c r="D427" s="16">
        <f t="shared" si="38"/>
        <v>-0.41362919043365987</v>
      </c>
    </row>
    <row r="428" spans="1:4" x14ac:dyDescent="0.25">
      <c r="A428" s="37">
        <v>-299</v>
      </c>
      <c r="B428" s="41">
        <v>3545.7051507927781</v>
      </c>
      <c r="C428" s="41">
        <v>-24.535049471691401</v>
      </c>
      <c r="D428" s="16">
        <f t="shared" si="38"/>
        <v>-0.39646058798981343</v>
      </c>
    </row>
    <row r="429" spans="1:4" x14ac:dyDescent="0.25">
      <c r="A429" s="37">
        <v>-300</v>
      </c>
      <c r="B429" s="41">
        <v>3547.5956888293717</v>
      </c>
      <c r="C429" s="41">
        <v>-23.55589098293667</v>
      </c>
      <c r="D429" s="16">
        <f t="shared" si="38"/>
        <v>-0.38043605301128441</v>
      </c>
    </row>
    <row r="430" spans="1:4" x14ac:dyDescent="0.25">
      <c r="A430" s="39">
        <v>-301</v>
      </c>
      <c r="B430" s="41">
        <v>3549.3070031416582</v>
      </c>
      <c r="C430" s="41">
        <v>-22.634200959966165</v>
      </c>
      <c r="D430" s="16">
        <f t="shared" si="38"/>
        <v>-0.36537459490186169</v>
      </c>
    </row>
    <row r="431" spans="1:4" x14ac:dyDescent="0.25">
      <c r="A431" s="39">
        <v>-302</v>
      </c>
      <c r="B431" s="41">
        <v>3550.8669574402729</v>
      </c>
      <c r="C431" s="41">
        <v>-21.764549594959227</v>
      </c>
      <c r="D431" s="16">
        <f t="shared" si="38"/>
        <v>-0.35118218555277658</v>
      </c>
    </row>
    <row r="432" spans="1:4" x14ac:dyDescent="0.25">
      <c r="A432" s="37">
        <v>-303</v>
      </c>
      <c r="B432" s="41">
        <v>3552.2932971619534</v>
      </c>
      <c r="C432" s="41">
        <v>-20.942163507877556</v>
      </c>
      <c r="D432" s="16">
        <f t="shared" si="38"/>
        <v>-0.33777719960451535</v>
      </c>
    </row>
    <row r="433" spans="1:4" x14ac:dyDescent="0.25">
      <c r="A433" s="37">
        <v>-304</v>
      </c>
      <c r="B433" s="41">
        <v>3553.6012185167206</v>
      </c>
      <c r="C433" s="41">
        <v>-20.162829171773595</v>
      </c>
      <c r="D433" s="16">
        <f t="shared" si="38"/>
        <v>-0.32508786066207079</v>
      </c>
    </row>
    <row r="434" spans="1:4" x14ac:dyDescent="0.25">
      <c r="A434" s="39">
        <v>-305</v>
      </c>
      <c r="B434" s="41">
        <v>3554.8037969544453</v>
      </c>
      <c r="C434" s="41">
        <v>-19.422812891692956</v>
      </c>
      <c r="D434" s="16">
        <f t="shared" si="38"/>
        <v>-0.31305078836359451</v>
      </c>
    </row>
    <row r="435" spans="1:4" x14ac:dyDescent="0.25">
      <c r="A435" s="39">
        <v>-306</v>
      </c>
      <c r="B435" s="41">
        <v>3555.912333757607</v>
      </c>
      <c r="C435" s="41">
        <v>-18.718794118408095</v>
      </c>
      <c r="D435" s="16">
        <f t="shared" si="38"/>
        <v>-0.3016097961003476</v>
      </c>
    </row>
    <row r="436" spans="1:4" x14ac:dyDescent="0.25">
      <c r="A436" s="37">
        <v>-307</v>
      </c>
      <c r="B436" s="41">
        <v>3556.9366381776008</v>
      </c>
      <c r="C436" s="41">
        <v>-18.04780957403673</v>
      </c>
      <c r="D436" s="16">
        <f t="shared" si="38"/>
        <v>-0.29071489017293417</v>
      </c>
    </row>
    <row r="437" spans="1:4" x14ac:dyDescent="0.25">
      <c r="A437" s="37">
        <v>-308</v>
      </c>
      <c r="B437" s="41">
        <v>3557.8852584716606</v>
      </c>
      <c r="C437" s="41">
        <v>-17.40720619782569</v>
      </c>
      <c r="D437" s="16">
        <f t="shared" si="38"/>
        <v>-0.28032143194456383</v>
      </c>
    </row>
    <row r="438" spans="1:4" x14ac:dyDescent="0.25">
      <c r="A438" s="39">
        <v>-309</v>
      </c>
      <c r="B438" s="41">
        <v>3558.7656721659296</v>
      </c>
      <c r="C438" s="41">
        <v>-16.794601328875981</v>
      </c>
      <c r="D438" s="16">
        <f t="shared" si="38"/>
        <v>-0.27038943273516453</v>
      </c>
    </row>
    <row r="439" spans="1:4" x14ac:dyDescent="0.25">
      <c r="A439" s="39">
        <v>-310</v>
      </c>
      <c r="B439" s="41">
        <v>3559.5844435685467</v>
      </c>
      <c r="C439" s="41">
        <v>-16.207848859280237</v>
      </c>
      <c r="D439" s="16">
        <f t="shared" si="38"/>
        <v>-0.26088295747211665</v>
      </c>
    </row>
    <row r="440" spans="1:4" x14ac:dyDescent="0.25">
      <c r="A440" s="37">
        <v>-311</v>
      </c>
      <c r="B440" s="41">
        <v>3560.3473548338825</v>
      </c>
      <c r="C440" s="41">
        <v>-15.645010338205703</v>
      </c>
      <c r="D440" s="16">
        <f t="shared" si="38"/>
        <v>-0.25176961795245756</v>
      </c>
    </row>
    <row r="441" spans="1:4" x14ac:dyDescent="0.25">
      <c r="A441" s="37">
        <v>-312</v>
      </c>
      <c r="B441" s="41">
        <v>3561.0595155310348</v>
      </c>
      <c r="C441" s="41">
        <v>-15.104330201676749</v>
      </c>
      <c r="D441" s="16">
        <f t="shared" si="38"/>
        <v>-0.24302014034000008</v>
      </c>
    </row>
    <row r="442" spans="1:4" x14ac:dyDescent="0.25">
      <c r="A442" s="39">
        <v>-313</v>
      </c>
      <c r="B442" s="41">
        <v>3561.7254546744803</v>
      </c>
      <c r="C442" s="41">
        <v>-14.58421445633785</v>
      </c>
      <c r="D442" s="16">
        <f t="shared" si="38"/>
        <v>-0.23460799446940195</v>
      </c>
    </row>
    <row r="443" spans="1:4" x14ac:dyDescent="0.25">
      <c r="A443" s="39">
        <v>-314</v>
      </c>
      <c r="B443" s="41">
        <v>3562.3491983343019</v>
      </c>
      <c r="C443" s="41">
        <v>-14.083212267552518</v>
      </c>
      <c r="D443" s="16">
        <f t="shared" si="38"/>
        <v>-0.22650907485889596</v>
      </c>
    </row>
    <row r="444" spans="1:4" x14ac:dyDescent="0.25">
      <c r="A444" s="37">
        <v>-315</v>
      </c>
      <c r="B444" s="41">
        <v>3562.934335380141</v>
      </c>
      <c r="C444" s="41">
        <v>-13.600000000000456</v>
      </c>
      <c r="D444" s="16">
        <f t="shared" si="38"/>
        <v>-0.21870142517811966</v>
      </c>
    </row>
    <row r="445" spans="1:4" x14ac:dyDescent="0.25">
      <c r="A445" s="37">
        <v>-316</v>
      </c>
      <c r="B445" s="41">
        <v>3563.4840733668898</v>
      </c>
      <c r="C445" s="41">
        <v>-13.133367337376058</v>
      </c>
      <c r="D445" s="16">
        <f t="shared" si="38"/>
        <v>-0.21116499939387617</v>
      </c>
    </row>
    <row r="446" spans="1:4" x14ac:dyDescent="0.25">
      <c r="A446" s="39">
        <v>-317</v>
      </c>
      <c r="B446" s="41">
        <v>3564.0012862363455</v>
      </c>
      <c r="C446" s="41">
        <v>-12.682205171472834</v>
      </c>
      <c r="D446" s="16">
        <f t="shared" si="38"/>
        <v>-0.2038814539996138</v>
      </c>
    </row>
    <row r="447" spans="1:4" x14ac:dyDescent="0.25">
      <c r="A447" s="39">
        <v>-318</v>
      </c>
      <c r="B447" s="41">
        <v>3564.4885551676089</v>
      </c>
      <c r="C447" s="41">
        <v>-12.245495002449388</v>
      </c>
      <c r="D447" s="16">
        <f t="shared" si="38"/>
        <v>-0.19683396669079725</v>
      </c>
    </row>
    <row r="448" spans="1:4" x14ac:dyDescent="0.25">
      <c r="A448" s="37">
        <v>-319</v>
      </c>
      <c r="B448" s="41">
        <v>3564.9482036826057</v>
      </c>
      <c r="C448" s="41">
        <v>-11.822299634302182</v>
      </c>
      <c r="D448" s="16">
        <f t="shared" si="38"/>
        <v>-0.19000707762414729</v>
      </c>
    </row>
    <row r="449" spans="1:4" x14ac:dyDescent="0.25">
      <c r="A449" s="37">
        <v>-320</v>
      </c>
      <c r="B449" s="41">
        <v>3565.3823279136245</v>
      </c>
      <c r="C449" s="41">
        <v>-11.411754984012168</v>
      </c>
      <c r="D449" s="16">
        <f t="shared" si="38"/>
        <v>-0.18338655002949292</v>
      </c>
    </row>
    <row r="450" spans="1:4" x14ac:dyDescent="0.25">
      <c r="A450" s="39">
        <v>-321</v>
      </c>
      <c r="B450" s="41">
        <v>3565.7928227800808</v>
      </c>
      <c r="C450" s="41">
        <v>-11.013062851451831</v>
      </c>
      <c r="D450" s="16">
        <f t="shared" ref="D450:D490" si="39">DEGREES(ATAN2(B450,C450))</f>
        <v>-0.17695924746365643</v>
      </c>
    </row>
    <row r="451" spans="1:4" x14ac:dyDescent="0.25">
      <c r="A451" s="39">
        <v>-322</v>
      </c>
      <c r="B451" s="41">
        <v>3566.1814046941267</v>
      </c>
      <c r="C451" s="41">
        <v>-10.625484520491046</v>
      </c>
      <c r="D451" s="16">
        <f t="shared" si="39"/>
        <v>-0.17071302541903802</v>
      </c>
    </row>
    <row r="452" spans="1:4" x14ac:dyDescent="0.25">
      <c r="A452" s="37">
        <v>-323</v>
      </c>
      <c r="B452" s="41">
        <v>3566.5496313134749</v>
      </c>
      <c r="C452" s="41">
        <v>-10.248335081397364</v>
      </c>
      <c r="D452" s="16">
        <f t="shared" si="39"/>
        <v>-0.16463663535351228</v>
      </c>
    </row>
    <row r="453" spans="1:4" x14ac:dyDescent="0.25">
      <c r="A453" s="37">
        <v>-324</v>
      </c>
      <c r="B453" s="41">
        <v>3566.8989187701586</v>
      </c>
      <c r="C453" s="41">
        <v>-9.8809783808722393</v>
      </c>
      <c r="D453" s="16">
        <f t="shared" si="39"/>
        <v>-0.15871963950007581</v>
      </c>
    </row>
    <row r="454" spans="1:4" x14ac:dyDescent="0.25">
      <c r="A454" s="39">
        <v>-325</v>
      </c>
      <c r="B454" s="41">
        <v>3567.2305567402423</v>
      </c>
      <c r="C454" s="41">
        <v>-9.5228225196530722</v>
      </c>
      <c r="D454" s="16">
        <f t="shared" si="39"/>
        <v>-0.15295233505725858</v>
      </c>
    </row>
    <row r="455" spans="1:4" x14ac:dyDescent="0.25">
      <c r="A455" s="39">
        <v>-326</v>
      </c>
      <c r="B455" s="41">
        <v>3567.5457216558102</v>
      </c>
      <c r="C455" s="41">
        <v>-9.1733158290561736</v>
      </c>
      <c r="D455" s="16">
        <f t="shared" si="39"/>
        <v>-0.14732568656529355</v>
      </c>
    </row>
    <row r="456" spans="1:4" x14ac:dyDescent="0.25">
      <c r="A456" s="37">
        <v>-327</v>
      </c>
      <c r="B456" s="41">
        <v>3567.8454883160266</v>
      </c>
      <c r="C456" s="41">
        <v>-8.8319432674858049</v>
      </c>
      <c r="D456" s="16">
        <f t="shared" si="39"/>
        <v>-0.14183126544395314</v>
      </c>
    </row>
    <row r="457" spans="1:4" x14ac:dyDescent="0.25">
      <c r="A457" s="37">
        <v>-328</v>
      </c>
      <c r="B457" s="41">
        <v>3568.13084011726</v>
      </c>
      <c r="C457" s="41">
        <v>-8.4982231859668911</v>
      </c>
      <c r="D457" s="16">
        <f t="shared" si="39"/>
        <v>-0.13646119580994495</v>
      </c>
    </row>
    <row r="458" spans="1:4" x14ac:dyDescent="0.25">
      <c r="A458" s="39">
        <v>-329</v>
      </c>
      <c r="B458" s="41">
        <v>3568.4026780849599</v>
      </c>
      <c r="C458" s="41">
        <v>-8.1717044187752439</v>
      </c>
      <c r="D458" s="16">
        <f t="shared" si="39"/>
        <v>-0.13120810581531406</v>
      </c>
    </row>
    <row r="459" spans="1:4" x14ac:dyDescent="0.25">
      <c r="A459" s="39">
        <v>-330</v>
      </c>
      <c r="B459" s="41">
        <v>3568.6618288632062</v>
      </c>
      <c r="C459" s="41">
        <v>-7.8519636609785266</v>
      </c>
      <c r="D459" s="16">
        <f t="shared" si="39"/>
        <v>-0.12606508384917123</v>
      </c>
    </row>
    <row r="460" spans="1:4" x14ac:dyDescent="0.25">
      <c r="A460" s="37">
        <v>-331</v>
      </c>
      <c r="B460" s="41">
        <v>3568.9090518000662</v>
      </c>
      <c r="C460" s="41">
        <v>-7.5386030997573474</v>
      </c>
      <c r="D460" s="16">
        <f t="shared" si="39"/>
        <v>-0.12102563903326977</v>
      </c>
    </row>
    <row r="461" spans="1:4" x14ac:dyDescent="0.25">
      <c r="A461" s="37">
        <v>-332</v>
      </c>
      <c r="B461" s="41">
        <v>3569.1450452402009</v>
      </c>
      <c r="C461" s="41">
        <v>-7.2312482705962804</v>
      </c>
      <c r="D461" s="16">
        <f t="shared" si="39"/>
        <v>-0.11608366551594579</v>
      </c>
    </row>
    <row r="462" spans="1:4" x14ac:dyDescent="0.25">
      <c r="A462" s="39">
        <v>-333</v>
      </c>
      <c r="B462" s="41">
        <v>3569.3704521254845</v>
      </c>
      <c r="C462" s="41">
        <v>-6.9295461131240694</v>
      </c>
      <c r="D462" s="16">
        <f t="shared" si="39"/>
        <v>-0.11123341013288364</v>
      </c>
    </row>
    <row r="463" spans="1:4" x14ac:dyDescent="0.25">
      <c r="A463" s="39">
        <v>-334</v>
      </c>
      <c r="B463" s="41">
        <v>3569.5858649857787</v>
      </c>
      <c r="C463" s="41">
        <v>-6.633163204495486</v>
      </c>
      <c r="D463" s="16">
        <f t="shared" si="39"/>
        <v>-0.10646944305740912</v>
      </c>
    </row>
    <row r="464" spans="1:4" x14ac:dyDescent="0.25">
      <c r="A464" s="37">
        <v>-335</v>
      </c>
      <c r="B464" s="41">
        <v>3569.7918304007253</v>
      </c>
      <c r="C464" s="41">
        <v>-6.3417841509076425</v>
      </c>
      <c r="D464" s="16">
        <f t="shared" si="39"/>
        <v>-0.10178663110944645</v>
      </c>
    </row>
    <row r="465" spans="1:4" x14ac:dyDescent="0.25">
      <c r="A465" s="37">
        <v>-336</v>
      </c>
      <c r="B465" s="41">
        <v>3569.988852983337</v>
      </c>
      <c r="C465" s="41">
        <v>-6.0551101201961499</v>
      </c>
      <c r="D465" s="16">
        <f t="shared" si="39"/>
        <v>-9.7180113433520898E-2</v>
      </c>
    </row>
    <row r="466" spans="1:4" x14ac:dyDescent="0.25">
      <c r="A466" s="39">
        <v>-337</v>
      </c>
      <c r="B466" s="41">
        <v>3570.1773989550175</v>
      </c>
      <c r="C466" s="41">
        <v>-5.7728575004506633</v>
      </c>
      <c r="D466" s="16">
        <f t="shared" si="39"/>
        <v>-9.264527928974868E-2</v>
      </c>
    </row>
    <row r="467" spans="1:4" x14ac:dyDescent="0.25">
      <c r="A467" s="39">
        <v>-338</v>
      </c>
      <c r="B467" s="41">
        <v>3570.3578993478322</v>
      </c>
      <c r="C467" s="41">
        <v>-5.4947566713583003</v>
      </c>
      <c r="D467" s="16">
        <f t="shared" si="39"/>
        <v>-8.8177747732967188E-2</v>
      </c>
    </row>
    <row r="468" spans="1:4" x14ac:dyDescent="0.25">
      <c r="A468" s="37">
        <v>-339</v>
      </c>
      <c r="B468" s="41">
        <v>3570.5307528811481</v>
      </c>
      <c r="C468" s="41">
        <v>-5.2205508764822754</v>
      </c>
      <c r="D468" s="16">
        <f t="shared" si="39"/>
        <v>-8.3773348980378123E-2</v>
      </c>
    </row>
    <row r="469" spans="1:4" x14ac:dyDescent="0.25">
      <c r="A469" s="37">
        <v>-340</v>
      </c>
      <c r="B469" s="41">
        <v>3570.6963285497086</v>
      </c>
      <c r="C469" s="41">
        <v>-4.9499951860207601</v>
      </c>
      <c r="D469" s="16">
        <f t="shared" si="39"/>
        <v>-7.9428107291139055E-2</v>
      </c>
    </row>
    <row r="470" spans="1:4" x14ac:dyDescent="0.25">
      <c r="A470" s="39">
        <v>-341</v>
      </c>
      <c r="B470" s="41">
        <v>3570.8549679527391</v>
      </c>
      <c r="C470" s="41">
        <v>-4.6828555407395012</v>
      </c>
      <c r="D470" s="16">
        <f t="shared" si="39"/>
        <v>-7.5138225201053357E-2</v>
      </c>
    </row>
    <row r="471" spans="1:4" x14ac:dyDescent="0.25">
      <c r="A471" s="39">
        <v>-342</v>
      </c>
      <c r="B471" s="41">
        <v>3571.0069873897733</v>
      </c>
      <c r="C471" s="41">
        <v>-4.4189078687676551</v>
      </c>
      <c r="D471" s="16">
        <f t="shared" si="39"/>
        <v>-7.0900068972500507E-2</v>
      </c>
    </row>
    <row r="472" spans="1:4" x14ac:dyDescent="0.25">
      <c r="A472" s="37">
        <v>-343</v>
      </c>
      <c r="B472" s="41">
        <v>3571.1526797533411</v>
      </c>
      <c r="C472" s="41">
        <v>-4.1579372678379514</v>
      </c>
      <c r="D472" s="16">
        <f t="shared" si="39"/>
        <v>-6.671015513476905E-2</v>
      </c>
    </row>
    <row r="473" spans="1:4" x14ac:dyDescent="0.25">
      <c r="A473" s="37">
        <v>-344</v>
      </c>
      <c r="B473" s="41">
        <v>3571.2923162342272</v>
      </c>
      <c r="C473" s="41">
        <v>-3.8997372463198192</v>
      </c>
      <c r="D473" s="16">
        <f t="shared" si="39"/>
        <v>-6.2565138003275733E-2</v>
      </c>
    </row>
    <row r="474" spans="1:4" x14ac:dyDescent="0.25">
      <c r="A474" s="39">
        <v>-345</v>
      </c>
      <c r="B474" s="41">
        <v>3571.4261478608878</v>
      </c>
      <c r="C474" s="41">
        <v>-3.6441090170632835</v>
      </c>
      <c r="D474" s="16">
        <f t="shared" si="39"/>
        <v>-5.8461798077340053E-2</v>
      </c>
    </row>
    <row r="475" spans="1:4" x14ac:dyDescent="0.25">
      <c r="A475" s="39">
        <v>-346</v>
      </c>
      <c r="B475" s="41">
        <v>3571.5544068920472</v>
      </c>
      <c r="C475" s="41">
        <v>-3.3908608386671859</v>
      </c>
      <c r="D475" s="16">
        <f t="shared" si="39"/>
        <v>-5.4397031226322723E-2</v>
      </c>
    </row>
    <row r="476" spans="1:4" x14ac:dyDescent="0.25">
      <c r="A476" s="37">
        <v>-347</v>
      </c>
      <c r="B476" s="41">
        <v>3571.6773080657053</v>
      </c>
      <c r="C476" s="41">
        <v>-3.1398073993078017</v>
      </c>
      <c r="D476" s="16">
        <f t="shared" si="39"/>
        <v>-5.0367838583007613E-2</v>
      </c>
    </row>
    <row r="477" spans="1:4" x14ac:dyDescent="0.25">
      <c r="A477" s="37">
        <v>-348</v>
      </c>
      <c r="B477" s="41">
        <v>3571.7950497348011</v>
      </c>
      <c r="C477" s="41">
        <v>-2.8907692387123465</v>
      </c>
      <c r="D477" s="16">
        <f t="shared" si="39"/>
        <v>-4.6371317070230747E-2</v>
      </c>
    </row>
    <row r="478" spans="1:4" x14ac:dyDescent="0.25">
      <c r="A478" s="39">
        <v>-349</v>
      </c>
      <c r="B478" s="41">
        <v>3571.9078148859289</v>
      </c>
      <c r="C478" s="41">
        <v>-2.6435722042727776</v>
      </c>
      <c r="D478" s="16">
        <f t="shared" si="39"/>
        <v>-4.2404650494241219E-2</v>
      </c>
    </row>
    <row r="479" spans="1:4" x14ac:dyDescent="0.25">
      <c r="A479" s="39">
        <v>-350</v>
      </c>
      <c r="B479" s="41">
        <v>3572.0157720568336</v>
      </c>
      <c r="C479" s="41">
        <v>-2.3980469376352631</v>
      </c>
      <c r="D479" s="16">
        <f t="shared" si="39"/>
        <v>-3.8465101143676121E-2</v>
      </c>
    </row>
    <row r="480" spans="1:4" x14ac:dyDescent="0.25">
      <c r="A480" s="37">
        <v>-351</v>
      </c>
      <c r="B480" s="41">
        <v>3572.1190761650168</v>
      </c>
      <c r="C480" s="41">
        <v>-2.1540283884136446</v>
      </c>
      <c r="D480" s="16">
        <f t="shared" si="39"/>
        <v>-3.4550001838384366E-2</v>
      </c>
    </row>
    <row r="481" spans="1:4" x14ac:dyDescent="0.25">
      <c r="A481" s="37">
        <v>-352</v>
      </c>
      <c r="B481" s="41">
        <v>3572.217869245962</v>
      </c>
      <c r="C481" s="41">
        <v>-1.9113553519525797</v>
      </c>
      <c r="D481" s="16">
        <f t="shared" si="39"/>
        <v>-3.0656748377146544E-2</v>
      </c>
    </row>
    <row r="482" spans="1:4" x14ac:dyDescent="0.25">
      <c r="A482" s="39">
        <v>-353</v>
      </c>
      <c r="B482" s="41">
        <v>3572.3122811175958</v>
      </c>
      <c r="C482" s="41">
        <v>-1.6698700282794789</v>
      </c>
      <c r="D482" s="16">
        <f t="shared" si="39"/>
        <v>-2.6782792336730886E-2</v>
      </c>
    </row>
    <row r="483" spans="1:4" x14ac:dyDescent="0.25">
      <c r="A483" s="39">
        <v>-354</v>
      </c>
      <c r="B483" s="41">
        <v>3572.4024299686066</v>
      </c>
      <c r="C483" s="41">
        <v>-1.4294175996132026</v>
      </c>
      <c r="D483" s="16">
        <f t="shared" si="39"/>
        <v>-2.2925634178763869E-2</v>
      </c>
    </row>
    <row r="484" spans="1:4" x14ac:dyDescent="0.25">
      <c r="A484" s="37">
        <v>-355</v>
      </c>
      <c r="B484" s="41">
        <v>3572.4884228830701</v>
      </c>
      <c r="C484" s="41">
        <v>-1.189845823952669</v>
      </c>
      <c r="D484" s="16">
        <f t="shared" si="39"/>
        <v>-1.9082816623370684E-2</v>
      </c>
    </row>
    <row r="485" spans="1:4" x14ac:dyDescent="0.25">
      <c r="A485" s="37">
        <v>-356</v>
      </c>
      <c r="B485" s="41">
        <v>3572.5703562998374</v>
      </c>
      <c r="C485" s="41">
        <v>-0.95100464243175797</v>
      </c>
      <c r="D485" s="16">
        <f t="shared" si="39"/>
        <v>-1.5251918251400143E-2</v>
      </c>
    </row>
    <row r="486" spans="1:4" x14ac:dyDescent="0.25">
      <c r="A486" s="39">
        <v>-357</v>
      </c>
      <c r="B486" s="41">
        <v>3572.6483164136826</v>
      </c>
      <c r="C486" s="41">
        <v>-0.71274579824932971</v>
      </c>
      <c r="D486" s="16">
        <f t="shared" si="39"/>
        <v>-1.1430547299035776E-2</v>
      </c>
    </row>
    <row r="487" spans="1:4" x14ac:dyDescent="0.25">
      <c r="A487" s="39">
        <v>-358</v>
      </c>
      <c r="B487" s="41">
        <v>3572.7223795223476</v>
      </c>
      <c r="C487" s="41">
        <v>-0.47492246508780339</v>
      </c>
      <c r="D487" s="16">
        <f t="shared" si="39"/>
        <v>-7.6163356103928145E-3</v>
      </c>
    </row>
    <row r="488" spans="1:4" x14ac:dyDescent="0.25">
      <c r="A488" s="37">
        <v>-359</v>
      </c>
      <c r="B488" s="41">
        <v>3572.7926123180132</v>
      </c>
      <c r="C488" s="41">
        <v>-0.23738888302376038</v>
      </c>
      <c r="D488" s="16">
        <f t="shared" si="39"/>
        <v>-3.8069327152314685E-3</v>
      </c>
    </row>
    <row r="489" spans="1:4" x14ac:dyDescent="0.25">
      <c r="A489" s="37">
        <v>-360</v>
      </c>
      <c r="B489" s="41">
        <v>3572.8590721303899</v>
      </c>
      <c r="C489" s="41">
        <v>-5.3045941043024731E-15</v>
      </c>
      <c r="D489" s="16">
        <f t="shared" si="39"/>
        <v>-8.5066566598521321E-17</v>
      </c>
    </row>
    <row r="490" spans="1:4" x14ac:dyDescent="0.25">
      <c r="A490" s="41"/>
      <c r="B490" s="41">
        <f>B129</f>
        <v>3572.8590721303899</v>
      </c>
      <c r="C490" s="41">
        <f>C129</f>
        <v>0</v>
      </c>
      <c r="D490" s="16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2020-01-18T00:09:19Z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