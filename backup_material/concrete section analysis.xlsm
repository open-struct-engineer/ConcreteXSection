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B\Desktop\Spreadsheets\"/>
    </mc:Choice>
  </mc:AlternateContent>
  <xr:revisionPtr revIDLastSave="0" documentId="13_ncr:1_{0838D0E6-9112-45F1-ABEF-028F75C93FAE}" xr6:coauthVersionLast="45" xr6:coauthVersionMax="45" xr10:uidLastSave="{00000000-0000-0000-0000-000000000000}"/>
  <bookViews>
    <workbookView xWindow="-120" yWindow="-120" windowWidth="29040" windowHeight="15840" xr2:uid="{A97B9A5E-BB54-4E55-BD22-158AAF84A460}"/>
  </bookViews>
  <sheets>
    <sheet name="Cross Section Analysis" sheetId="1" r:id="rId1"/>
    <sheet name="Reference" sheetId="2" r:id="rId2"/>
  </sheets>
  <definedNames>
    <definedName name="solver_adj" localSheetId="0" hidden="1">'Cross Section Analysis'!$B$53,'Cross Section Analysis'!$B$78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'Cross Section Analysis'!$D$121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1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21" i="1" l="1"/>
  <c r="Q123" i="1" l="1"/>
  <c r="D120" i="1"/>
  <c r="Q122" i="1" s="1"/>
  <c r="E120" i="1"/>
  <c r="R122" i="1" s="1"/>
  <c r="C490" i="1" l="1"/>
  <c r="B490" i="1"/>
  <c r="C35" i="1" l="1"/>
  <c r="C36" i="1"/>
  <c r="C37" i="1"/>
  <c r="C38" i="1"/>
  <c r="C39" i="1"/>
  <c r="C40" i="1"/>
  <c r="C41" i="1"/>
  <c r="C42" i="1"/>
  <c r="C43" i="1"/>
  <c r="C44" i="1"/>
  <c r="C45" i="1"/>
  <c r="C34" i="1"/>
  <c r="C14" i="1"/>
  <c r="C15" i="1"/>
  <c r="C16" i="1"/>
  <c r="C17" i="1"/>
  <c r="C18" i="1"/>
  <c r="C19" i="1"/>
  <c r="C20" i="1"/>
  <c r="C21" i="1"/>
  <c r="C22" i="1"/>
  <c r="C23" i="1"/>
  <c r="C24" i="1"/>
  <c r="C13" i="1"/>
  <c r="G115" i="1"/>
  <c r="G114" i="1"/>
  <c r="D97" i="1"/>
  <c r="C97" i="1"/>
  <c r="B85" i="1"/>
  <c r="B3" i="1"/>
  <c r="J117" i="1" l="1"/>
  <c r="J118" i="1"/>
  <c r="Q129" i="1" s="1"/>
  <c r="B98" i="1"/>
  <c r="B4" i="1"/>
  <c r="B81" i="1" s="1"/>
  <c r="A75" i="1"/>
  <c r="A109" i="1" s="1"/>
  <c r="B75" i="1"/>
  <c r="A65" i="1"/>
  <c r="A99" i="1" s="1"/>
  <c r="B65" i="1"/>
  <c r="A66" i="1"/>
  <c r="A100" i="1" s="1"/>
  <c r="B66" i="1"/>
  <c r="A67" i="1"/>
  <c r="A101" i="1" s="1"/>
  <c r="B67" i="1"/>
  <c r="A68" i="1"/>
  <c r="A102" i="1" s="1"/>
  <c r="B68" i="1"/>
  <c r="A69" i="1"/>
  <c r="A103" i="1" s="1"/>
  <c r="B69" i="1"/>
  <c r="A70" i="1"/>
  <c r="A104" i="1" s="1"/>
  <c r="B70" i="1"/>
  <c r="A71" i="1"/>
  <c r="A105" i="1" s="1"/>
  <c r="B71" i="1"/>
  <c r="A72" i="1"/>
  <c r="A106" i="1" s="1"/>
  <c r="B72" i="1"/>
  <c r="A73" i="1"/>
  <c r="A107" i="1" s="1"/>
  <c r="B73" i="1"/>
  <c r="A74" i="1"/>
  <c r="A108" i="1" s="1"/>
  <c r="B74" i="1"/>
  <c r="B64" i="1"/>
  <c r="A64" i="1"/>
  <c r="A98" i="1" s="1"/>
  <c r="H7" i="1"/>
  <c r="G7" i="1"/>
  <c r="A35" i="1"/>
  <c r="A36" i="1"/>
  <c r="A37" i="1"/>
  <c r="A38" i="1"/>
  <c r="A39" i="1"/>
  <c r="A40" i="1"/>
  <c r="A41" i="1"/>
  <c r="A42" i="1"/>
  <c r="A43" i="1"/>
  <c r="A44" i="1"/>
  <c r="A45" i="1"/>
  <c r="A34" i="1"/>
  <c r="B28" i="1"/>
  <c r="B29" i="1" s="1"/>
  <c r="B30" i="1" s="1"/>
  <c r="B103" i="1"/>
  <c r="B104" i="1"/>
  <c r="B105" i="1"/>
  <c r="C72" i="1"/>
  <c r="B107" i="1"/>
  <c r="C74" i="1"/>
  <c r="C75" i="1"/>
  <c r="B34" i="1"/>
  <c r="F75" i="1" l="1"/>
  <c r="G75" i="1"/>
  <c r="F74" i="1"/>
  <c r="G74" i="1"/>
  <c r="B43" i="1"/>
  <c r="C70" i="1"/>
  <c r="B38" i="1"/>
  <c r="D38" i="1" s="1"/>
  <c r="E38" i="1" s="1"/>
  <c r="B102" i="1"/>
  <c r="C69" i="1"/>
  <c r="B37" i="1"/>
  <c r="D37" i="1" s="1"/>
  <c r="E37" i="1" s="1"/>
  <c r="B101" i="1"/>
  <c r="B44" i="1"/>
  <c r="D44" i="1" s="1"/>
  <c r="B108" i="1"/>
  <c r="B35" i="1"/>
  <c r="D35" i="1" s="1"/>
  <c r="F35" i="1" s="1"/>
  <c r="B99" i="1"/>
  <c r="B40" i="1"/>
  <c r="D40" i="1" s="1"/>
  <c r="E40" i="1" s="1"/>
  <c r="B45" i="1"/>
  <c r="D45" i="1" s="1"/>
  <c r="E45" i="1" s="1"/>
  <c r="B109" i="1"/>
  <c r="B36" i="1"/>
  <c r="D36" i="1" s="1"/>
  <c r="B100" i="1"/>
  <c r="B41" i="1"/>
  <c r="D41" i="1" s="1"/>
  <c r="F41" i="1" s="1"/>
  <c r="C71" i="1"/>
  <c r="B42" i="1"/>
  <c r="D42" i="1" s="1"/>
  <c r="E42" i="1" s="1"/>
  <c r="B106" i="1"/>
  <c r="B39" i="1"/>
  <c r="D39" i="1" s="1"/>
  <c r="E39" i="1" s="1"/>
  <c r="C73" i="1"/>
  <c r="C68" i="1"/>
  <c r="C67" i="1"/>
  <c r="C66" i="1"/>
  <c r="C65" i="1"/>
  <c r="C64" i="1"/>
  <c r="D34" i="1"/>
  <c r="B31" i="1"/>
  <c r="E6" i="1"/>
  <c r="E5" i="1"/>
  <c r="D5" i="1"/>
  <c r="D4" i="1"/>
  <c r="F34" i="1" l="1"/>
  <c r="E34" i="1"/>
  <c r="D43" i="1"/>
  <c r="E43" i="1" s="1"/>
  <c r="F39" i="1"/>
  <c r="E44" i="1"/>
  <c r="F44" i="1"/>
  <c r="F36" i="1"/>
  <c r="E36" i="1"/>
  <c r="E41" i="1"/>
  <c r="F42" i="1"/>
  <c r="F45" i="1"/>
  <c r="F37" i="1"/>
  <c r="F38" i="1"/>
  <c r="F40" i="1"/>
  <c r="E35" i="1"/>
  <c r="G3" i="1"/>
  <c r="H3" i="1" s="1"/>
  <c r="D46" i="1" l="1"/>
  <c r="B48" i="1" s="1"/>
  <c r="F43" i="1"/>
  <c r="F46" i="1" s="1"/>
  <c r="B50" i="1" s="1"/>
  <c r="E46" i="1"/>
  <c r="B49" i="1" s="1"/>
  <c r="D49" i="1" l="1"/>
  <c r="A60" i="1" s="1"/>
  <c r="E49" i="1"/>
  <c r="B60" i="1" s="1"/>
  <c r="C60" i="1" l="1"/>
  <c r="B91" i="1" s="1"/>
  <c r="D60" i="1"/>
  <c r="C91" i="1" s="1"/>
  <c r="B57" i="1"/>
  <c r="B58" i="1"/>
  <c r="B61" i="1"/>
  <c r="E67" i="1"/>
  <c r="A59" i="1"/>
  <c r="E74" i="1"/>
  <c r="D65" i="1"/>
  <c r="E75" i="1"/>
  <c r="D73" i="1"/>
  <c r="B59" i="1"/>
  <c r="E69" i="1"/>
  <c r="E68" i="1"/>
  <c r="E65" i="1"/>
  <c r="E72" i="1"/>
  <c r="A61" i="1"/>
  <c r="D72" i="1"/>
  <c r="D70" i="1"/>
  <c r="D71" i="1"/>
  <c r="D69" i="1"/>
  <c r="D66" i="1"/>
  <c r="A57" i="1"/>
  <c r="A58" i="1"/>
  <c r="D64" i="1"/>
  <c r="D68" i="1"/>
  <c r="D67" i="1"/>
  <c r="D74" i="1"/>
  <c r="D75" i="1"/>
  <c r="E64" i="1"/>
  <c r="E73" i="1"/>
  <c r="E70" i="1"/>
  <c r="E66" i="1"/>
  <c r="E71" i="1"/>
  <c r="G67" i="1" l="1"/>
  <c r="D101" i="1" s="1"/>
  <c r="F66" i="1"/>
  <c r="C100" i="1" s="1"/>
  <c r="G66" i="1"/>
  <c r="D100" i="1" s="1"/>
  <c r="F69" i="1"/>
  <c r="C103" i="1" s="1"/>
  <c r="G69" i="1"/>
  <c r="D103" i="1" s="1"/>
  <c r="F71" i="1"/>
  <c r="C105" i="1" s="1"/>
  <c r="G71" i="1"/>
  <c r="D105" i="1" s="1"/>
  <c r="F70" i="1"/>
  <c r="C104" i="1" s="1"/>
  <c r="G70" i="1"/>
  <c r="D104" i="1" s="1"/>
  <c r="G68" i="1"/>
  <c r="D102" i="1" s="1"/>
  <c r="F72" i="1"/>
  <c r="C106" i="1" s="1"/>
  <c r="G72" i="1"/>
  <c r="D106" i="1" s="1"/>
  <c r="G73" i="1"/>
  <c r="D107" i="1" s="1"/>
  <c r="G65" i="1"/>
  <c r="D99" i="1" s="1"/>
  <c r="F73" i="1"/>
  <c r="C107" i="1" s="1"/>
  <c r="G64" i="1"/>
  <c r="F65" i="1"/>
  <c r="C99" i="1" s="1"/>
  <c r="F64" i="1"/>
  <c r="C98" i="1" s="1"/>
  <c r="F67" i="1"/>
  <c r="C101" i="1" s="1"/>
  <c r="F68" i="1"/>
  <c r="C102" i="1" s="1"/>
  <c r="C109" i="1"/>
  <c r="D109" i="1"/>
  <c r="C108" i="1"/>
  <c r="D108" i="1"/>
  <c r="C61" i="1"/>
  <c r="D91" i="1" s="1"/>
  <c r="D61" i="1"/>
  <c r="E91" i="1" s="1"/>
  <c r="C58" i="1"/>
  <c r="D58" i="1"/>
  <c r="C59" i="1"/>
  <c r="D89" i="1" s="1"/>
  <c r="D59" i="1"/>
  <c r="C57" i="1"/>
  <c r="D57" i="1"/>
  <c r="C88" i="1" s="1"/>
  <c r="D90" i="1"/>
  <c r="E90" i="1"/>
  <c r="G76" i="1" l="1"/>
  <c r="D98" i="1"/>
  <c r="T59" i="1"/>
  <c r="D83" i="1"/>
  <c r="B90" i="1"/>
  <c r="B88" i="1"/>
  <c r="G91" i="1"/>
  <c r="G58" i="1"/>
  <c r="E103" i="1" s="1"/>
  <c r="E88" i="1"/>
  <c r="E82" i="1"/>
  <c r="F91" i="1" s="1"/>
  <c r="C89" i="1"/>
  <c r="D79" i="1"/>
  <c r="G57" i="1"/>
  <c r="E78" i="1"/>
  <c r="E79" i="1" s="1"/>
  <c r="E89" i="1"/>
  <c r="C90" i="1"/>
  <c r="D88" i="1"/>
  <c r="B89" i="1"/>
  <c r="D78" i="1"/>
  <c r="D82" i="1"/>
  <c r="U59" i="1" l="1"/>
  <c r="U60" i="1" s="1"/>
  <c r="T60" i="1"/>
  <c r="F90" i="1"/>
  <c r="F89" i="1"/>
  <c r="F88" i="1"/>
  <c r="I88" i="1" s="1"/>
  <c r="H91" i="1"/>
  <c r="G88" i="1"/>
  <c r="G90" i="1"/>
  <c r="E108" i="1"/>
  <c r="E98" i="1"/>
  <c r="E106" i="1"/>
  <c r="F106" i="1" s="1"/>
  <c r="E100" i="1"/>
  <c r="F100" i="1" s="1"/>
  <c r="G100" i="1" s="1"/>
  <c r="H100" i="1" s="1"/>
  <c r="J100" i="1" s="1"/>
  <c r="E105" i="1"/>
  <c r="F105" i="1" s="1"/>
  <c r="E102" i="1"/>
  <c r="F102" i="1" s="1"/>
  <c r="G102" i="1" s="1"/>
  <c r="H102" i="1" s="1"/>
  <c r="J102" i="1" s="1"/>
  <c r="E104" i="1"/>
  <c r="F104" i="1" s="1"/>
  <c r="E107" i="1"/>
  <c r="F107" i="1" s="1"/>
  <c r="E109" i="1"/>
  <c r="E99" i="1"/>
  <c r="F99" i="1" s="1"/>
  <c r="G99" i="1" s="1"/>
  <c r="H99" i="1" s="1"/>
  <c r="J99" i="1" s="1"/>
  <c r="E101" i="1"/>
  <c r="F101" i="1" s="1"/>
  <c r="G101" i="1" s="1"/>
  <c r="H101" i="1" s="1"/>
  <c r="J101" i="1" s="1"/>
  <c r="I91" i="1"/>
  <c r="E83" i="1"/>
  <c r="G89" i="1"/>
  <c r="F103" i="1"/>
  <c r="G103" i="1" s="1"/>
  <c r="H103" i="1" s="1"/>
  <c r="J103" i="1" s="1"/>
  <c r="F108" i="1"/>
  <c r="F109" i="1"/>
  <c r="P115" i="1" l="1"/>
  <c r="F98" i="1"/>
  <c r="G98" i="1" s="1"/>
  <c r="H98" i="1" s="1"/>
  <c r="J98" i="1" s="1"/>
  <c r="I100" i="1"/>
  <c r="I101" i="1"/>
  <c r="I99" i="1"/>
  <c r="H90" i="1"/>
  <c r="L91" i="1"/>
  <c r="H89" i="1"/>
  <c r="G106" i="1"/>
  <c r="H106" i="1" s="1"/>
  <c r="J106" i="1" s="1"/>
  <c r="G108" i="1"/>
  <c r="H108" i="1" s="1"/>
  <c r="J108" i="1" s="1"/>
  <c r="J91" i="1"/>
  <c r="K91" i="1"/>
  <c r="G109" i="1"/>
  <c r="H109" i="1" s="1"/>
  <c r="J109" i="1" s="1"/>
  <c r="H88" i="1"/>
  <c r="K88" i="1" s="1"/>
  <c r="I102" i="1"/>
  <c r="G105" i="1"/>
  <c r="H105" i="1" s="1"/>
  <c r="J105" i="1" s="1"/>
  <c r="I89" i="1"/>
  <c r="G107" i="1"/>
  <c r="H107" i="1" s="1"/>
  <c r="J107" i="1" s="1"/>
  <c r="G104" i="1"/>
  <c r="H104" i="1" s="1"/>
  <c r="J104" i="1" s="1"/>
  <c r="I90" i="1"/>
  <c r="I103" i="1"/>
  <c r="F110" i="1" l="1"/>
  <c r="J113" i="1" s="1"/>
  <c r="I98" i="1"/>
  <c r="J110" i="1"/>
  <c r="I104" i="1"/>
  <c r="I108" i="1"/>
  <c r="J90" i="1"/>
  <c r="K90" i="1"/>
  <c r="L90" i="1"/>
  <c r="J89" i="1"/>
  <c r="L89" i="1"/>
  <c r="K89" i="1"/>
  <c r="I106" i="1"/>
  <c r="L88" i="1"/>
  <c r="J88" i="1"/>
  <c r="I105" i="1"/>
  <c r="I109" i="1"/>
  <c r="H110" i="1"/>
  <c r="I107" i="1"/>
  <c r="L92" i="1" l="1"/>
  <c r="K92" i="1"/>
  <c r="J92" i="1"/>
  <c r="B113" i="1" s="1"/>
  <c r="D114" i="1" s="1"/>
  <c r="I110" i="1"/>
  <c r="J116" i="1" l="1"/>
  <c r="B114" i="1"/>
  <c r="D115" i="1"/>
  <c r="B115" i="1"/>
  <c r="F114" i="1" l="1"/>
  <c r="H114" i="1" s="1"/>
  <c r="J114" i="1" s="1"/>
  <c r="F115" i="1"/>
  <c r="H115" i="1" s="1"/>
  <c r="J115" i="1" s="1"/>
  <c r="M117" i="1" l="1"/>
  <c r="I125" i="1"/>
  <c r="H125" i="1"/>
  <c r="R123" i="1" l="1"/>
  <c r="N115" i="1"/>
</calcChain>
</file>

<file path=xl/sharedStrings.xml><?xml version="1.0" encoding="utf-8"?>
<sst xmlns="http://schemas.openxmlformats.org/spreadsheetml/2006/main" count="133" uniqueCount="88">
  <si>
    <t>x</t>
  </si>
  <si>
    <t>y</t>
  </si>
  <si>
    <t xml:space="preserve">B = </t>
  </si>
  <si>
    <t xml:space="preserve">H = </t>
  </si>
  <si>
    <t xml:space="preserve">F'c = </t>
  </si>
  <si>
    <t>ksi</t>
  </si>
  <si>
    <t>in</t>
  </si>
  <si>
    <t>Section Coordinates</t>
  </si>
  <si>
    <t>Reinf Steel:</t>
  </si>
  <si>
    <t xml:space="preserve">Fy = </t>
  </si>
  <si>
    <t>Bar #</t>
  </si>
  <si>
    <t>As (in^2)</t>
  </si>
  <si>
    <t xml:space="preserve">Es = </t>
  </si>
  <si>
    <t xml:space="preserve">Ec = </t>
  </si>
  <si>
    <t>plot_scale</t>
  </si>
  <si>
    <t>Plastic Center</t>
  </si>
  <si>
    <t>Concrete:</t>
  </si>
  <si>
    <t xml:space="preserve">Area = </t>
  </si>
  <si>
    <t>in^2</t>
  </si>
  <si>
    <t xml:space="preserve">CC = </t>
  </si>
  <si>
    <t>kips</t>
  </si>
  <si>
    <t xml:space="preserve">CC_Mx = </t>
  </si>
  <si>
    <t xml:space="preserve">CC_My = </t>
  </si>
  <si>
    <t>in-kips</t>
  </si>
  <si>
    <t>Steel:</t>
  </si>
  <si>
    <t>CS (kips)</t>
  </si>
  <si>
    <t>CS_Mx</t>
  </si>
  <si>
    <t>CS_My</t>
  </si>
  <si>
    <t>C =</t>
  </si>
  <si>
    <t>Mx =</t>
  </si>
  <si>
    <t xml:space="preserve">My = </t>
  </si>
  <si>
    <t>Xp:</t>
  </si>
  <si>
    <t>Yp:</t>
  </si>
  <si>
    <t>Geometric Center</t>
  </si>
  <si>
    <t>Coordinate Transformation to make plastic center = 0,0</t>
  </si>
  <si>
    <t xml:space="preserve">Beta1 = </t>
  </si>
  <si>
    <t>NA Angle:</t>
  </si>
  <si>
    <t>x'</t>
  </si>
  <si>
    <t>y'</t>
  </si>
  <si>
    <t>degrees</t>
  </si>
  <si>
    <t>Transformed H:</t>
  </si>
  <si>
    <t>NA Depth:</t>
  </si>
  <si>
    <t>Beta1*NA=</t>
  </si>
  <si>
    <t>X1</t>
  </si>
  <si>
    <t>Y1</t>
  </si>
  <si>
    <t>X2</t>
  </si>
  <si>
    <t>Y2</t>
  </si>
  <si>
    <t>Forces From Compression Block</t>
  </si>
  <si>
    <t>Edge Segment</t>
  </si>
  <si>
    <t>M</t>
  </si>
  <si>
    <t>Xna</t>
  </si>
  <si>
    <t>Yna</t>
  </si>
  <si>
    <t>Cc</t>
  </si>
  <si>
    <t>Cc_Mx</t>
  </si>
  <si>
    <t>Cc_My</t>
  </si>
  <si>
    <t xml:space="preserve">0.85*F'c = </t>
  </si>
  <si>
    <t>Forces from Steel</t>
  </si>
  <si>
    <t>Bar</t>
  </si>
  <si>
    <t xml:space="preserve">eu = </t>
  </si>
  <si>
    <t>Strain</t>
  </si>
  <si>
    <t>As</t>
  </si>
  <si>
    <t>depth:</t>
  </si>
  <si>
    <t>peak:</t>
  </si>
  <si>
    <t>Stress</t>
  </si>
  <si>
    <t>Ps</t>
  </si>
  <si>
    <t>Ps_Mx</t>
  </si>
  <si>
    <t>Ps_My</t>
  </si>
  <si>
    <t xml:space="preserve">Pn = </t>
  </si>
  <si>
    <t>Pn * ecc. From PC to GC</t>
  </si>
  <si>
    <t xml:space="preserve">Mnx,pc = </t>
  </si>
  <si>
    <t xml:space="preserve">Mny,pc = </t>
  </si>
  <si>
    <t xml:space="preserve">Fy -F'c </t>
  </si>
  <si>
    <t>ft-kips</t>
  </si>
  <si>
    <t xml:space="preserve">phi = </t>
  </si>
  <si>
    <t>Goal:</t>
  </si>
  <si>
    <t>P</t>
  </si>
  <si>
    <t>Mx</t>
  </si>
  <si>
    <t>My</t>
  </si>
  <si>
    <t xml:space="preserve">Theta = </t>
  </si>
  <si>
    <t xml:space="preserve">theta = </t>
  </si>
  <si>
    <t>Iterations to try:</t>
  </si>
  <si>
    <t>Iterations Used:</t>
  </si>
  <si>
    <t>scale</t>
  </si>
  <si>
    <t>max phiPn</t>
  </si>
  <si>
    <t>min phiPn</t>
  </si>
  <si>
    <t>Alpha</t>
  </si>
  <si>
    <t>points:</t>
  </si>
  <si>
    <t>Depth for all bars yield in compression: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</si>
</sst>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0"/>
    <numFmt numFmtId="167" formatCode="0.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2" borderId="0" xfId="0" applyFill="1"/>
    <xf numFmtId="0" fontId="0" fillId="2" borderId="0" xfId="0" applyFill="1" applyAlignment="1">
      <alignment horizontal="center"/>
    </xf>
    <xf numFmtId="2" fontId="0" fillId="0" borderId="0" xfId="0" applyNumberFormat="1" applyFill="1" applyAlignment="1">
      <alignment horizontal="center"/>
    </xf>
    <xf numFmtId="2" fontId="0" fillId="2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6" fontId="0" fillId="0" borderId="0" xfId="0" applyNumberFormat="1" applyAlignment="1">
      <alignment horizontal="left"/>
    </xf>
    <xf numFmtId="167" fontId="0" fillId="0" borderId="0" xfId="0" applyNumberFormat="1"/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0" xfId="0" applyFill="1"/>
    <xf numFmtId="0" fontId="2" fillId="0" borderId="0" xfId="0" applyFont="1" applyFill="1" applyAlignment="1">
      <alignment horizontal="left"/>
    </xf>
    <xf numFmtId="0" fontId="3" fillId="0" borderId="0" xfId="0" applyFont="1" applyFill="1"/>
    <xf numFmtId="0" fontId="3" fillId="0" borderId="0" xfId="0" applyFont="1" applyFill="1" applyAlignment="1">
      <alignment horizontal="right"/>
    </xf>
    <xf numFmtId="0" fontId="3" fillId="0" borderId="0" xfId="0" applyFont="1" applyFill="1" applyAlignment="1">
      <alignment horizontal="center"/>
    </xf>
    <xf numFmtId="166" fontId="3" fillId="0" borderId="0" xfId="0" applyNumberFormat="1" applyFont="1" applyFill="1" applyAlignment="1">
      <alignment horizontal="center"/>
    </xf>
    <xf numFmtId="164" fontId="3" fillId="0" borderId="0" xfId="0" applyNumberFormat="1" applyFont="1" applyFill="1"/>
    <xf numFmtId="164" fontId="3" fillId="0" borderId="0" xfId="0" applyNumberFormat="1" applyFont="1" applyFill="1" applyAlignment="1">
      <alignment horizontal="center"/>
    </xf>
    <xf numFmtId="166" fontId="3" fillId="0" borderId="0" xfId="0" applyNumberFormat="1" applyFont="1" applyFill="1"/>
    <xf numFmtId="2" fontId="3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right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/>
    <xf numFmtId="0" fontId="4" fillId="0" borderId="0" xfId="0" applyFont="1"/>
    <xf numFmtId="0" fontId="4" fillId="0" borderId="0" xfId="0" applyFont="1" applyAlignment="1">
      <alignment horizontal="left"/>
    </xf>
    <xf numFmtId="2" fontId="0" fillId="0" borderId="0" xfId="0" applyNumberFormat="1" applyAlignment="1">
      <alignment horizontal="right"/>
    </xf>
    <xf numFmtId="2" fontId="0" fillId="3" borderId="2" xfId="0" applyNumberForma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2" xfId="0" applyFill="1" applyBorder="1" applyAlignment="1">
      <alignment horizontal="center"/>
    </xf>
    <xf numFmtId="166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'Cross Section Analysis'!$D$3:$D$7</c:f>
              <c:numCache>
                <c:formatCode>0.00</c:formatCode>
                <c:ptCount val="5"/>
                <c:pt idx="0">
                  <c:v>0</c:v>
                </c:pt>
                <c:pt idx="1">
                  <c:v>20</c:v>
                </c:pt>
                <c:pt idx="2">
                  <c:v>20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'Cross Section Analysis'!$E$3:$E$7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30</c:v>
                </c:pt>
                <c:pt idx="3">
                  <c:v>30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042-49CA-9FFE-7F61A1310FE6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Analysis'!$D$13:$D$24</c:f>
              <c:numCache>
                <c:formatCode>0.00</c:formatCode>
                <c:ptCount val="12"/>
                <c:pt idx="0">
                  <c:v>4</c:v>
                </c:pt>
                <c:pt idx="1">
                  <c:v>16</c:v>
                </c:pt>
                <c:pt idx="2">
                  <c:v>16</c:v>
                </c:pt>
                <c:pt idx="3">
                  <c:v>10</c:v>
                </c:pt>
                <c:pt idx="4">
                  <c:v>4</c:v>
                </c:pt>
                <c:pt idx="5" formatCode="General">
                  <c:v>10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16</c:v>
                </c:pt>
                <c:pt idx="9" formatCode="General">
                  <c:v>16</c:v>
                </c:pt>
              </c:numCache>
            </c:numRef>
          </c:xVal>
          <c:yVal>
            <c:numRef>
              <c:f>'Cross Section Analysis'!$E$13:$E$24</c:f>
              <c:numCache>
                <c:formatCode>0.00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  <c:pt idx="5" formatCode="General">
                  <c:v>4</c:v>
                </c:pt>
                <c:pt idx="6" formatCode="General">
                  <c:v>11.33333</c:v>
                </c:pt>
                <c:pt idx="7" formatCode="General">
                  <c:v>18.66666</c:v>
                </c:pt>
                <c:pt idx="8" formatCode="General">
                  <c:v>11.33333</c:v>
                </c:pt>
                <c:pt idx="9" formatCode="General">
                  <c:v>18.66666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042-49CA-9FFE-7F61A1310FE6}"/>
            </c:ext>
          </c:extLst>
        </c:ser>
        <c:ser>
          <c:idx val="2"/>
          <c:order val="2"/>
          <c:tx>
            <c:v>_scale_point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'Cross Section Analysis'!$G$3:$G$4</c:f>
              <c:numCache>
                <c:formatCode>General</c:formatCode>
                <c:ptCount val="2"/>
                <c:pt idx="0" formatCode="0.00">
                  <c:v>30</c:v>
                </c:pt>
                <c:pt idx="1">
                  <c:v>-1</c:v>
                </c:pt>
              </c:numCache>
            </c:numRef>
          </c:xVal>
          <c:yVal>
            <c:numRef>
              <c:f>'Cross Section Analysis'!$H$3:$H$4</c:f>
              <c:numCache>
                <c:formatCode>General</c:formatCode>
                <c:ptCount val="2"/>
                <c:pt idx="0" formatCode="0.00">
                  <c:v>30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042-49CA-9FFE-7F61A1310FE6}"/>
            </c:ext>
          </c:extLst>
        </c:ser>
        <c:ser>
          <c:idx val="3"/>
          <c:order val="3"/>
          <c:tx>
            <c:v>PLASTIC CENTER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'Cross Section Analysis'!$D$49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'Cross Section Analysis'!$E$49</c:f>
              <c:numCache>
                <c:formatCode>0.000</c:formatCode>
                <c:ptCount val="1"/>
                <c:pt idx="0">
                  <c:v>14.999999622279303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42-49CA-9FFE-7F61A1310FE6}"/>
            </c:ext>
          </c:extLst>
        </c:ser>
        <c:ser>
          <c:idx val="4"/>
          <c:order val="4"/>
          <c:tx>
            <c:v>GEOMETRIC CENTER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0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'Cross Section Analysis'!$G$7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'Cross Section Analysis'!$H$7</c:f>
              <c:numCache>
                <c:formatCode>General</c:formatCode>
                <c:ptCount val="1"/>
                <c:pt idx="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042-49CA-9FFE-7F61A1310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TRANSFORMED X 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'Cross Section Analysis'!$C$57:$C$61</c:f>
              <c:numCache>
                <c:formatCode>0.000</c:formatCode>
                <c:ptCount val="5"/>
                <c:pt idx="0">
                  <c:v>-14.775533296036098</c:v>
                </c:pt>
                <c:pt idx="1">
                  <c:v>-15.217151556243824</c:v>
                </c:pt>
                <c:pt idx="2">
                  <c:v>14.775534051293306</c:v>
                </c:pt>
                <c:pt idx="3">
                  <c:v>15.217152311501032</c:v>
                </c:pt>
                <c:pt idx="4">
                  <c:v>-14.775533296036098</c:v>
                </c:pt>
              </c:numCache>
            </c:numRef>
          </c:xVal>
          <c:yVal>
            <c:numRef>
              <c:f>'Cross Section Analysis'!$D$57:$D$61</c:f>
              <c:numCache>
                <c:formatCode>0.000</c:formatCode>
                <c:ptCount val="5"/>
                <c:pt idx="0">
                  <c:v>10.328775555994422</c:v>
                </c:pt>
                <c:pt idx="1">
                  <c:v>-9.6663481823636666</c:v>
                </c:pt>
                <c:pt idx="2">
                  <c:v>-10.328775572675257</c:v>
                </c:pt>
                <c:pt idx="3">
                  <c:v>9.6663481656828321</c:v>
                </c:pt>
                <c:pt idx="4">
                  <c:v>10.328775555994422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F1-4499-A626-F3141CCA3A28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Analysis'!$F$64:$F$75</c:f>
              <c:numCache>
                <c:formatCode>0.000</c:formatCode>
                <c:ptCount val="12"/>
                <c:pt idx="0">
                  <c:v>-10.864832200406026</c:v>
                </c:pt>
                <c:pt idx="1">
                  <c:v>-11.129803156530661</c:v>
                </c:pt>
                <c:pt idx="2">
                  <c:v>10.864832955663234</c:v>
                </c:pt>
                <c:pt idx="3">
                  <c:v>10.997318433725551</c:v>
                </c:pt>
                <c:pt idx="4">
                  <c:v>11.129803911787869</c:v>
                </c:pt>
                <c:pt idx="5">
                  <c:v>-10.997317678468344</c:v>
                </c:pt>
                <c:pt idx="6">
                  <c:v>-3.5332901621953501</c:v>
                </c:pt>
                <c:pt idx="7">
                  <c:v>3.7982518760153257</c:v>
                </c:pt>
                <c:pt idx="8">
                  <c:v>-3.7982611183199864</c:v>
                </c:pt>
                <c:pt idx="9">
                  <c:v>3.5332809198906894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'Cross Section Analysis'!$G$64:$G$75</c:f>
              <c:numCache>
                <c:formatCode>0.000</c:formatCode>
                <c:ptCount val="12"/>
                <c:pt idx="0">
                  <c:v>6.241427156281258</c:v>
                </c:pt>
                <c:pt idx="1">
                  <c:v>-5.7556470867335943</c:v>
                </c:pt>
                <c:pt idx="2">
                  <c:v>-6.2414271729620934</c:v>
                </c:pt>
                <c:pt idx="3">
                  <c:v>-0.24289005145466766</c:v>
                </c:pt>
                <c:pt idx="4">
                  <c:v>5.7556470700527589</c:v>
                </c:pt>
                <c:pt idx="5">
                  <c:v>0.24289003477383195</c:v>
                </c:pt>
                <c:pt idx="6">
                  <c:v>6.0795005344748017</c:v>
                </c:pt>
                <c:pt idx="7">
                  <c:v>5.9175739126683453</c:v>
                </c:pt>
                <c:pt idx="8">
                  <c:v>-5.9175737085400506</c:v>
                </c:pt>
                <c:pt idx="9">
                  <c:v>-6.0795003303465069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F1-4499-A626-F3141CCA3A28}"/>
            </c:ext>
          </c:extLst>
        </c:ser>
        <c:ser>
          <c:idx val="2"/>
          <c:order val="2"/>
          <c:tx>
            <c:v>NA</c:v>
          </c:tx>
          <c:spPr>
            <a:ln w="12700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Analysis'!$D$78:$D$79</c:f>
              <c:numCache>
                <c:formatCode>0.000</c:formatCode>
                <c:ptCount val="2"/>
                <c:pt idx="0">
                  <c:v>-15.217151556243824</c:v>
                </c:pt>
                <c:pt idx="1">
                  <c:v>15.217152311501032</c:v>
                </c:pt>
              </c:numCache>
            </c:numRef>
          </c:xVal>
          <c:yVal>
            <c:numRef>
              <c:f>'Cross Section Analysis'!$E$78:$E$79</c:f>
              <c:numCache>
                <c:formatCode>0.000</c:formatCode>
                <c:ptCount val="2"/>
                <c:pt idx="0">
                  <c:v>9.1654858263747094</c:v>
                </c:pt>
                <c:pt idx="1">
                  <c:v>9.1654858263747094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F1-4499-A626-F3141CCA3A28}"/>
            </c:ext>
          </c:extLst>
        </c:ser>
        <c:ser>
          <c:idx val="3"/>
          <c:order val="3"/>
          <c:tx>
            <c:v>Compression Block Base</c:v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Analysis'!$D$82:$D$83</c:f>
              <c:numCache>
                <c:formatCode>0.000</c:formatCode>
                <c:ptCount val="2"/>
                <c:pt idx="0">
                  <c:v>-15.217151556243824</c:v>
                </c:pt>
                <c:pt idx="1">
                  <c:v>15.217152311501032</c:v>
                </c:pt>
              </c:numCache>
            </c:numRef>
          </c:xVal>
          <c:yVal>
            <c:numRef>
              <c:f>'Cross Section Analysis'!$E$82:$E$83</c:f>
              <c:numCache>
                <c:formatCode>0.000</c:formatCode>
                <c:ptCount val="2"/>
                <c:pt idx="0">
                  <c:v>9.3981437722986527</c:v>
                </c:pt>
                <c:pt idx="1">
                  <c:v>9.3981437722986527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3F1-4499-A626-F3141CCA3A28}"/>
            </c:ext>
          </c:extLst>
        </c:ser>
        <c:ser>
          <c:idx val="4"/>
          <c:order val="4"/>
          <c:tx>
            <c:v>cbloc_points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Analysis'!$H$88:$H$91</c:f>
              <c:numCache>
                <c:formatCode>0.000</c:formatCode>
                <c:ptCount val="4"/>
                <c:pt idx="0">
                  <c:v>-14.796087506882081</c:v>
                </c:pt>
                <c:pt idx="1">
                  <c:v>#N/A</c:v>
                </c:pt>
                <c:pt idx="2">
                  <c:v>15.211228669360263</c:v>
                </c:pt>
                <c:pt idx="3">
                  <c:v>#N/A</c:v>
                </c:pt>
              </c:numCache>
            </c:numRef>
          </c:xVal>
          <c:yVal>
            <c:numRef>
              <c:f>'Cross Section Analysis'!$I$88:$I$91</c:f>
              <c:numCache>
                <c:formatCode>0.000</c:formatCode>
                <c:ptCount val="4"/>
                <c:pt idx="0">
                  <c:v>9.3981437722986527</c:v>
                </c:pt>
                <c:pt idx="1">
                  <c:v>#N/A</c:v>
                </c:pt>
                <c:pt idx="2">
                  <c:v>9.3981437722986527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A5-4190-9AC0-CF117630758C}"/>
            </c:ext>
          </c:extLst>
        </c:ser>
        <c:ser>
          <c:idx val="5"/>
          <c:order val="5"/>
          <c:tx>
            <c:v>_scale</c:v>
          </c:tx>
          <c:spPr>
            <a:ln w="19050" cap="rnd">
              <a:noFill/>
              <a:round/>
            </a:ln>
            <a:effectLst/>
          </c:spPr>
          <c:marker>
            <c:symbol val="dot"/>
            <c:size val="2"/>
            <c:spPr>
              <a:solidFill>
                <a:schemeClr val="accent6"/>
              </a:solidFill>
              <a:ln w="9525">
                <a:solidFill>
                  <a:schemeClr val="bg1">
                    <a:lumMod val="85000"/>
                  </a:schemeClr>
                </a:solidFill>
              </a:ln>
              <a:effectLst/>
            </c:spPr>
          </c:marker>
          <c:xVal>
            <c:numRef>
              <c:f>'Cross Section Analysis'!$T$59:$T$60</c:f>
              <c:numCache>
                <c:formatCode>General</c:formatCode>
                <c:ptCount val="2"/>
                <c:pt idx="0">
                  <c:v>15.217152311501032</c:v>
                </c:pt>
                <c:pt idx="1">
                  <c:v>-15.217152311501032</c:v>
                </c:pt>
              </c:numCache>
            </c:numRef>
          </c:xVal>
          <c:yVal>
            <c:numRef>
              <c:f>'Cross Section Analysis'!$U$59:$U$60</c:f>
              <c:numCache>
                <c:formatCode>General</c:formatCode>
                <c:ptCount val="2"/>
                <c:pt idx="0">
                  <c:v>15.217152311501032</c:v>
                </c:pt>
                <c:pt idx="1">
                  <c:v>-15.217152311501032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27-4C63-A03A-DC06FDF14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Mx</a:t>
            </a:r>
            <a:r>
              <a:rPr lang="en-US" baseline="0"/>
              <a:t> vs My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'Cross Section Analysis'!$B$129:$B$490</c:f>
              <c:numCache>
                <c:formatCode>General</c:formatCode>
                <c:ptCount val="362"/>
                <c:pt idx="0">
                  <c:v>503.35407591590501</c:v>
                </c:pt>
                <c:pt idx="1">
                  <c:v>502.80060429434496</c:v>
                </c:pt>
                <c:pt idx="2">
                  <c:v>502.20804052036897</c:v>
                </c:pt>
                <c:pt idx="3">
                  <c:v>501.57572750723227</c:v>
                </c:pt>
                <c:pt idx="4">
                  <c:v>500.90291536333467</c:v>
                </c:pt>
                <c:pt idx="5">
                  <c:v>500.18875805908715</c:v>
                </c:pt>
                <c:pt idx="6">
                  <c:v>499.43230962018225</c:v>
                </c:pt>
                <c:pt idx="7">
                  <c:v>498.63251981461457</c:v>
                </c:pt>
                <c:pt idx="8">
                  <c:v>497.7882292930924</c:v>
                </c:pt>
                <c:pt idx="9">
                  <c:v>496.89816414265863</c:v>
                </c:pt>
                <c:pt idx="10">
                  <c:v>495.96092980358827</c:v>
                </c:pt>
                <c:pt idx="11">
                  <c:v>494.97500429621363</c:v>
                </c:pt>
                <c:pt idx="12">
                  <c:v>493.93873069475052</c:v>
                </c:pt>
                <c:pt idx="13">
                  <c:v>492.85030878195647</c:v>
                </c:pt>
                <c:pt idx="14">
                  <c:v>491.70778580347411</c:v>
                </c:pt>
                <c:pt idx="15">
                  <c:v>490.5090462362507</c:v>
                </c:pt>
                <c:pt idx="16">
                  <c:v>489.25180047170744</c:v>
                </c:pt>
                <c:pt idx="17">
                  <c:v>487.93357230065408</c:v>
                </c:pt>
                <c:pt idx="18">
                  <c:v>486.55168507493073</c:v>
                </c:pt>
                <c:pt idx="19">
                  <c:v>485.10324640207358</c:v>
                </c:pt>
                <c:pt idx="20">
                  <c:v>483.5851312117311</c:v>
                </c:pt>
                <c:pt idx="21">
                  <c:v>481.99396300953873</c:v>
                </c:pt>
                <c:pt idx="22">
                  <c:v>480.32609311100458</c:v>
                </c:pt>
                <c:pt idx="23">
                  <c:v>478.57757761783517</c:v>
                </c:pt>
                <c:pt idx="24">
                  <c:v>476.74415186743573</c:v>
                </c:pt>
                <c:pt idx="25">
                  <c:v>474.78898269498694</c:v>
                </c:pt>
                <c:pt idx="26">
                  <c:v>471.950589452016</c:v>
                </c:pt>
                <c:pt idx="27">
                  <c:v>469.01102689529637</c:v>
                </c:pt>
                <c:pt idx="28">
                  <c:v>467.04202712853015</c:v>
                </c:pt>
                <c:pt idx="29">
                  <c:v>463.8784245056263</c:v>
                </c:pt>
                <c:pt idx="30">
                  <c:v>460.5928412102574</c:v>
                </c:pt>
                <c:pt idx="31">
                  <c:v>457.17720939935703</c:v>
                </c:pt>
                <c:pt idx="32">
                  <c:v>453.62278752538612</c:v>
                </c:pt>
                <c:pt idx="33">
                  <c:v>449.92008950831053</c:v>
                </c:pt>
                <c:pt idx="34">
                  <c:v>446.05880508827431</c:v>
                </c:pt>
                <c:pt idx="35">
                  <c:v>442.027773238804</c:v>
                </c:pt>
                <c:pt idx="36">
                  <c:v>438.96569208584322</c:v>
                </c:pt>
                <c:pt idx="37">
                  <c:v>434.8209278887245</c:v>
                </c:pt>
                <c:pt idx="38">
                  <c:v>430.67170579138593</c:v>
                </c:pt>
                <c:pt idx="39">
                  <c:v>426.51269262242943</c:v>
                </c:pt>
                <c:pt idx="40">
                  <c:v>422.33850749629283</c:v>
                </c:pt>
                <c:pt idx="41">
                  <c:v>418.14368723618497</c:v>
                </c:pt>
                <c:pt idx="42">
                  <c:v>413.92265090699681</c:v>
                </c:pt>
                <c:pt idx="43">
                  <c:v>409.66966291331801</c:v>
                </c:pt>
                <c:pt idx="44">
                  <c:v>405.37879408533337</c:v>
                </c:pt>
                <c:pt idx="45">
                  <c:v>400.75797937722228</c:v>
                </c:pt>
                <c:pt idx="46">
                  <c:v>395.93532743463447</c:v>
                </c:pt>
                <c:pt idx="47">
                  <c:v>391.06174847810973</c:v>
                </c:pt>
                <c:pt idx="48">
                  <c:v>386.1301574297778</c:v>
                </c:pt>
                <c:pt idx="49">
                  <c:v>381.13306572844238</c:v>
                </c:pt>
                <c:pt idx="50">
                  <c:v>376.06251760117254</c:v>
                </c:pt>
                <c:pt idx="51">
                  <c:v>370.91001838310143</c:v>
                </c:pt>
                <c:pt idx="52">
                  <c:v>365.66645332450679</c:v>
                </c:pt>
                <c:pt idx="53">
                  <c:v>360.32199501512645</c:v>
                </c:pt>
                <c:pt idx="54">
                  <c:v>354.86599717495181</c:v>
                </c:pt>
                <c:pt idx="55">
                  <c:v>349.28687207849214</c:v>
                </c:pt>
                <c:pt idx="56">
                  <c:v>343.57194827742211</c:v>
                </c:pt>
                <c:pt idx="57">
                  <c:v>337.70730452253241</c:v>
                </c:pt>
                <c:pt idx="58">
                  <c:v>331.67757481470505</c:v>
                </c:pt>
                <c:pt idx="59">
                  <c:v>325.46571827384497</c:v>
                </c:pt>
                <c:pt idx="60">
                  <c:v>319.05274591592536</c:v>
                </c:pt>
                <c:pt idx="61">
                  <c:v>312.41739435469032</c:v>
                </c:pt>
                <c:pt idx="62">
                  <c:v>307.74963834525391</c:v>
                </c:pt>
                <c:pt idx="63">
                  <c:v>300.65533669716166</c:v>
                </c:pt>
                <c:pt idx="64">
                  <c:v>293.15395449981332</c:v>
                </c:pt>
                <c:pt idx="65">
                  <c:v>285.31321659895997</c:v>
                </c:pt>
                <c:pt idx="66">
                  <c:v>277.10077392028484</c:v>
                </c:pt>
                <c:pt idx="67">
                  <c:v>268.47139937670102</c:v>
                </c:pt>
                <c:pt idx="68">
                  <c:v>259.37244584581146</c:v>
                </c:pt>
                <c:pt idx="69">
                  <c:v>249.74219438004482</c:v>
                </c:pt>
                <c:pt idx="70">
                  <c:v>239.50774008087822</c:v>
                </c:pt>
                <c:pt idx="71">
                  <c:v>228.5822564352417</c:v>
                </c:pt>
                <c:pt idx="72">
                  <c:v>216.8614127274067</c:v>
                </c:pt>
                <c:pt idx="73">
                  <c:v>204.28755167309586</c:v>
                </c:pt>
                <c:pt idx="74">
                  <c:v>191.54820082732908</c:v>
                </c:pt>
                <c:pt idx="75">
                  <c:v>178.84737855684594</c:v>
                </c:pt>
                <c:pt idx="76">
                  <c:v>166.17383729581513</c:v>
                </c:pt>
                <c:pt idx="77">
                  <c:v>153.5163061195137</c:v>
                </c:pt>
                <c:pt idx="78">
                  <c:v>142.05534007525253</c:v>
                </c:pt>
                <c:pt idx="79">
                  <c:v>129.39129240342137</c:v>
                </c:pt>
                <c:pt idx="80">
                  <c:v>116.8154470316405</c:v>
                </c:pt>
                <c:pt idx="81">
                  <c:v>104.30711702879501</c:v>
                </c:pt>
                <c:pt idx="82">
                  <c:v>91.763708105075509</c:v>
                </c:pt>
                <c:pt idx="83">
                  <c:v>79.173355306347489</c:v>
                </c:pt>
                <c:pt idx="84">
                  <c:v>67.189567201785735</c:v>
                </c:pt>
                <c:pt idx="85">
                  <c:v>55.606678736415539</c:v>
                </c:pt>
                <c:pt idx="86">
                  <c:v>47.216984521169493</c:v>
                </c:pt>
                <c:pt idx="87">
                  <c:v>35.526316135558375</c:v>
                </c:pt>
                <c:pt idx="88">
                  <c:v>23.767673014935745</c:v>
                </c:pt>
                <c:pt idx="89">
                  <c:v>11.929552578265746</c:v>
                </c:pt>
                <c:pt idx="90">
                  <c:v>-4.7522857859169887E-5</c:v>
                </c:pt>
                <c:pt idx="91">
                  <c:v>-11.929647763880231</c:v>
                </c:pt>
                <c:pt idx="92">
                  <c:v>-23.767768339542275</c:v>
                </c:pt>
                <c:pt idx="93">
                  <c:v>-35.526411598006554</c:v>
                </c:pt>
                <c:pt idx="94">
                  <c:v>-47.217080120120421</c:v>
                </c:pt>
                <c:pt idx="95">
                  <c:v>-55.606774687468452</c:v>
                </c:pt>
                <c:pt idx="96">
                  <c:v>-67.189663283066082</c:v>
                </c:pt>
                <c:pt idx="97">
                  <c:v>-79.17345165702875</c:v>
                </c:pt>
                <c:pt idx="98">
                  <c:v>-91.763804670043527</c:v>
                </c:pt>
                <c:pt idx="99">
                  <c:v>-104.30721380257621</c:v>
                </c:pt>
                <c:pt idx="100">
                  <c:v>-116.81554400893495</c:v>
                </c:pt>
                <c:pt idx="101">
                  <c:v>-129.39138762673556</c:v>
                </c:pt>
                <c:pt idx="102">
                  <c:v>-142.05543482851317</c:v>
                </c:pt>
                <c:pt idx="103">
                  <c:v>-153.5163977165422</c:v>
                </c:pt>
                <c:pt idx="104">
                  <c:v>-166.17392844030101</c:v>
                </c:pt>
                <c:pt idx="105">
                  <c:v>-178.84746925757673</c:v>
                </c:pt>
                <c:pt idx="106">
                  <c:v>-191.54829109237389</c:v>
                </c:pt>
                <c:pt idx="107">
                  <c:v>-204.28764150984065</c:v>
                </c:pt>
                <c:pt idx="108">
                  <c:v>-216.86150276221517</c:v>
                </c:pt>
                <c:pt idx="109">
                  <c:v>-228.58234705496258</c:v>
                </c:pt>
                <c:pt idx="110">
                  <c:v>-239.50783133221765</c:v>
                </c:pt>
                <c:pt idx="111">
                  <c:v>-249.7422863042037</c:v>
                </c:pt>
                <c:pt idx="112">
                  <c:v>-259.37253847935386</c:v>
                </c:pt>
                <c:pt idx="113">
                  <c:v>-268.47149275224177</c:v>
                </c:pt>
                <c:pt idx="114">
                  <c:v>-277.1008680669521</c:v>
                </c:pt>
                <c:pt idx="115">
                  <c:v>-285.31331154319003</c:v>
                </c:pt>
                <c:pt idx="116">
                  <c:v>-293.15405026541475</c:v>
                </c:pt>
                <c:pt idx="117">
                  <c:v>-300.65544043782154</c:v>
                </c:pt>
                <c:pt idx="118">
                  <c:v>-307.74974320412986</c:v>
                </c:pt>
                <c:pt idx="119">
                  <c:v>-312.41749996919447</c:v>
                </c:pt>
                <c:pt idx="120">
                  <c:v>-319.05285268744342</c:v>
                </c:pt>
                <c:pt idx="121">
                  <c:v>-325.46582621946703</c:v>
                </c:pt>
                <c:pt idx="122">
                  <c:v>-331.67768395042953</c:v>
                </c:pt>
                <c:pt idx="123">
                  <c:v>-337.70741486368894</c:v>
                </c:pt>
                <c:pt idx="124">
                  <c:v>-343.57205983862724</c:v>
                </c:pt>
                <c:pt idx="125">
                  <c:v>-349.28698487387032</c:v>
                </c:pt>
                <c:pt idx="126">
                  <c:v>-354.86611121829065</c:v>
                </c:pt>
                <c:pt idx="127">
                  <c:v>-360.32211032002402</c:v>
                </c:pt>
                <c:pt idx="128">
                  <c:v>-365.66656990423382</c:v>
                </c:pt>
                <c:pt idx="129">
                  <c:v>-370.91013625113959</c:v>
                </c:pt>
                <c:pt idx="130">
                  <c:v>-376.06263677077277</c:v>
                </c:pt>
                <c:pt idx="131">
                  <c:v>-381.13318621316819</c:v>
                </c:pt>
                <c:pt idx="132">
                  <c:v>-386.13027924332761</c:v>
                </c:pt>
                <c:pt idx="133">
                  <c:v>-391.06187163442087</c:v>
                </c:pt>
                <c:pt idx="134">
                  <c:v>-395.93545194790681</c:v>
                </c:pt>
                <c:pt idx="135">
                  <c:v>-400.75810526218953</c:v>
                </c:pt>
                <c:pt idx="136">
                  <c:v>-405.37892266955635</c:v>
                </c:pt>
                <c:pt idx="137">
                  <c:v>-409.66979293141492</c:v>
                </c:pt>
                <c:pt idx="138">
                  <c:v>-413.92278237308915</c:v>
                </c:pt>
                <c:pt idx="139">
                  <c:v>-418.14382016491936</c:v>
                </c:pt>
                <c:pt idx="140">
                  <c:v>-422.3386419032384</c:v>
                </c:pt>
                <c:pt idx="141">
                  <c:v>-426.51282852383048</c:v>
                </c:pt>
                <c:pt idx="142">
                  <c:v>-430.6718432041859</c:v>
                </c:pt>
                <c:pt idx="143">
                  <c:v>-434.82106683089938</c:v>
                </c:pt>
                <c:pt idx="144">
                  <c:v>-438.96583257603936</c:v>
                </c:pt>
                <c:pt idx="145">
                  <c:v>-442.02791267294776</c:v>
                </c:pt>
                <c:pt idx="146">
                  <c:v>-446.05894532145913</c:v>
                </c:pt>
                <c:pt idx="147">
                  <c:v>-449.92023051532902</c:v>
                </c:pt>
                <c:pt idx="148">
                  <c:v>-453.62292930215045</c:v>
                </c:pt>
                <c:pt idx="149">
                  <c:v>-457.17735194222968</c:v>
                </c:pt>
                <c:pt idx="150">
                  <c:v>-460.59298451633884</c:v>
                </c:pt>
                <c:pt idx="151">
                  <c:v>-463.87856857231782</c:v>
                </c:pt>
                <c:pt idx="152">
                  <c:v>-467.04217195391857</c:v>
                </c:pt>
                <c:pt idx="153">
                  <c:v>-469.01117201719075</c:v>
                </c:pt>
                <c:pt idx="154">
                  <c:v>-471.95073532873801</c:v>
                </c:pt>
                <c:pt idx="155">
                  <c:v>-474.78912932614685</c:v>
                </c:pt>
                <c:pt idx="156">
                  <c:v>-476.74430103835334</c:v>
                </c:pt>
                <c:pt idx="157">
                  <c:v>-478.57772760160759</c:v>
                </c:pt>
                <c:pt idx="158">
                  <c:v>-480.32624390827863</c:v>
                </c:pt>
                <c:pt idx="159">
                  <c:v>-481.99411462132196</c:v>
                </c:pt>
                <c:pt idx="160">
                  <c:v>-483.58528363946687</c:v>
                </c:pt>
                <c:pt idx="161">
                  <c:v>-485.10339964799459</c:v>
                </c:pt>
                <c:pt idx="162">
                  <c:v>-486.55183914165627</c:v>
                </c:pt>
                <c:pt idx="163">
                  <c:v>-487.9337271913534</c:v>
                </c:pt>
                <c:pt idx="164">
                  <c:v>-489.25195619007536</c:v>
                </c:pt>
                <c:pt idx="165">
                  <c:v>-490.50920278639205</c:v>
                </c:pt>
                <c:pt idx="166">
                  <c:v>-491.70794319014908</c:v>
                </c:pt>
                <c:pt idx="167">
                  <c:v>-492.85046701063845</c:v>
                </c:pt>
                <c:pt idx="168">
                  <c:v>-493.9388897713298</c:v>
                </c:pt>
                <c:pt idx="169">
                  <c:v>-494.97516422732059</c:v>
                </c:pt>
                <c:pt idx="170">
                  <c:v>-495.96109059638616</c:v>
                </c:pt>
                <c:pt idx="171">
                  <c:v>-496.89832580489792</c:v>
                </c:pt>
                <c:pt idx="172">
                  <c:v>-497.78839183324624</c:v>
                </c:pt>
                <c:pt idx="173">
                  <c:v>-498.63268324200891</c:v>
                </c:pt>
                <c:pt idx="174">
                  <c:v>-499.43247394445319</c:v>
                </c:pt>
                <c:pt idx="175">
                  <c:v>-500.18892329089334</c:v>
                </c:pt>
                <c:pt idx="176">
                  <c:v>-500.90308151422175</c:v>
                </c:pt>
                <c:pt idx="177">
                  <c:v>-501.57589458934154</c:v>
                </c:pt>
                <c:pt idx="178">
                  <c:v>-502.20820854663435</c:v>
                </c:pt>
                <c:pt idx="179">
                  <c:v>-502.80077327875665</c:v>
                </c:pt>
                <c:pt idx="180">
                  <c:v>-503.35424587329203</c:v>
                </c:pt>
                <c:pt idx="181">
                  <c:v>-502.80077327875642</c:v>
                </c:pt>
                <c:pt idx="182">
                  <c:v>-502.20820854663413</c:v>
                </c:pt>
                <c:pt idx="183">
                  <c:v>-501.57589458934149</c:v>
                </c:pt>
                <c:pt idx="184">
                  <c:v>-500.90308151422164</c:v>
                </c:pt>
                <c:pt idx="185">
                  <c:v>-500.18892329089363</c:v>
                </c:pt>
                <c:pt idx="186">
                  <c:v>-499.43247394445342</c:v>
                </c:pt>
                <c:pt idx="187">
                  <c:v>-498.63268324200925</c:v>
                </c:pt>
                <c:pt idx="188">
                  <c:v>-497.78839183324601</c:v>
                </c:pt>
                <c:pt idx="189">
                  <c:v>-496.89832580489815</c:v>
                </c:pt>
                <c:pt idx="190">
                  <c:v>-495.96109059638655</c:v>
                </c:pt>
                <c:pt idx="191">
                  <c:v>-494.97516422732065</c:v>
                </c:pt>
                <c:pt idx="192">
                  <c:v>-493.93888977132974</c:v>
                </c:pt>
                <c:pt idx="193">
                  <c:v>-492.85046701063823</c:v>
                </c:pt>
                <c:pt idx="194">
                  <c:v>-491.70794319014874</c:v>
                </c:pt>
                <c:pt idx="195">
                  <c:v>-490.50920278639217</c:v>
                </c:pt>
                <c:pt idx="196">
                  <c:v>-489.25195619007525</c:v>
                </c:pt>
                <c:pt idx="197">
                  <c:v>-487.933727191353</c:v>
                </c:pt>
                <c:pt idx="198">
                  <c:v>-486.5518391416565</c:v>
                </c:pt>
                <c:pt idx="199">
                  <c:v>-485.10339964799437</c:v>
                </c:pt>
                <c:pt idx="200">
                  <c:v>-483.58528363946709</c:v>
                </c:pt>
                <c:pt idx="201">
                  <c:v>-481.99411462132196</c:v>
                </c:pt>
                <c:pt idx="202">
                  <c:v>-480.32624390827868</c:v>
                </c:pt>
                <c:pt idx="203">
                  <c:v>-478.57772760160748</c:v>
                </c:pt>
                <c:pt idx="204">
                  <c:v>-476.74430103835351</c:v>
                </c:pt>
                <c:pt idx="205">
                  <c:v>-474.78912932614685</c:v>
                </c:pt>
                <c:pt idx="206">
                  <c:v>-471.95073532873784</c:v>
                </c:pt>
                <c:pt idx="207">
                  <c:v>-469.01117201719086</c:v>
                </c:pt>
                <c:pt idx="208">
                  <c:v>-467.0421719539184</c:v>
                </c:pt>
                <c:pt idx="209">
                  <c:v>-463.87856857231804</c:v>
                </c:pt>
                <c:pt idx="210">
                  <c:v>-460.59298451633879</c:v>
                </c:pt>
                <c:pt idx="211">
                  <c:v>-457.17735194222968</c:v>
                </c:pt>
                <c:pt idx="212">
                  <c:v>-453.62292930215045</c:v>
                </c:pt>
                <c:pt idx="213">
                  <c:v>-449.92023051532902</c:v>
                </c:pt>
                <c:pt idx="214">
                  <c:v>-446.05894532145936</c:v>
                </c:pt>
                <c:pt idx="215">
                  <c:v>-442.02791267294793</c:v>
                </c:pt>
                <c:pt idx="216">
                  <c:v>-438.96583257603953</c:v>
                </c:pt>
                <c:pt idx="217">
                  <c:v>-434.82106683089921</c:v>
                </c:pt>
                <c:pt idx="218">
                  <c:v>-430.67184320418573</c:v>
                </c:pt>
                <c:pt idx="219">
                  <c:v>-426.51282852383059</c:v>
                </c:pt>
                <c:pt idx="220">
                  <c:v>-422.33864190323862</c:v>
                </c:pt>
                <c:pt idx="221">
                  <c:v>-418.14382016491948</c:v>
                </c:pt>
                <c:pt idx="222">
                  <c:v>-413.92278237308966</c:v>
                </c:pt>
                <c:pt idx="223">
                  <c:v>-409.6697929314148</c:v>
                </c:pt>
                <c:pt idx="224">
                  <c:v>-405.37892266955623</c:v>
                </c:pt>
                <c:pt idx="225">
                  <c:v>-400.75810526218976</c:v>
                </c:pt>
                <c:pt idx="226">
                  <c:v>-395.93545194790664</c:v>
                </c:pt>
                <c:pt idx="227">
                  <c:v>-391.0618716344211</c:v>
                </c:pt>
                <c:pt idx="228">
                  <c:v>-386.13027924332761</c:v>
                </c:pt>
                <c:pt idx="229">
                  <c:v>-381.13318621316807</c:v>
                </c:pt>
                <c:pt idx="230">
                  <c:v>-376.06263677077277</c:v>
                </c:pt>
                <c:pt idx="231">
                  <c:v>-370.91013625113982</c:v>
                </c:pt>
                <c:pt idx="232">
                  <c:v>-365.6665699042336</c:v>
                </c:pt>
                <c:pt idx="233">
                  <c:v>-360.32211032002402</c:v>
                </c:pt>
                <c:pt idx="234">
                  <c:v>-354.86611121829071</c:v>
                </c:pt>
                <c:pt idx="235">
                  <c:v>-349.28698487387061</c:v>
                </c:pt>
                <c:pt idx="236">
                  <c:v>-343.57205983862713</c:v>
                </c:pt>
                <c:pt idx="237">
                  <c:v>-337.70741486368883</c:v>
                </c:pt>
                <c:pt idx="238">
                  <c:v>-331.67768395042958</c:v>
                </c:pt>
                <c:pt idx="239">
                  <c:v>-325.46582621946692</c:v>
                </c:pt>
                <c:pt idx="240">
                  <c:v>-319.05285268744342</c:v>
                </c:pt>
                <c:pt idx="241">
                  <c:v>-312.41749996919452</c:v>
                </c:pt>
                <c:pt idx="242">
                  <c:v>-307.74974320412986</c:v>
                </c:pt>
                <c:pt idx="243">
                  <c:v>-300.65544043782182</c:v>
                </c:pt>
                <c:pt idx="244">
                  <c:v>-293.15405026541475</c:v>
                </c:pt>
                <c:pt idx="245">
                  <c:v>-285.31331154319003</c:v>
                </c:pt>
                <c:pt idx="246">
                  <c:v>-277.10086806695205</c:v>
                </c:pt>
                <c:pt idx="247">
                  <c:v>-268.47149275224177</c:v>
                </c:pt>
                <c:pt idx="248">
                  <c:v>-259.37253847935403</c:v>
                </c:pt>
                <c:pt idx="249">
                  <c:v>-249.74228630420399</c:v>
                </c:pt>
                <c:pt idx="250">
                  <c:v>-239.50783133221728</c:v>
                </c:pt>
                <c:pt idx="251">
                  <c:v>-228.58234705496258</c:v>
                </c:pt>
                <c:pt idx="252">
                  <c:v>-216.86150276221531</c:v>
                </c:pt>
                <c:pt idx="253">
                  <c:v>-204.28764150984119</c:v>
                </c:pt>
                <c:pt idx="254">
                  <c:v>-191.54829109237357</c:v>
                </c:pt>
                <c:pt idx="255">
                  <c:v>-178.84746925757656</c:v>
                </c:pt>
                <c:pt idx="256">
                  <c:v>-166.17392844030115</c:v>
                </c:pt>
                <c:pt idx="257">
                  <c:v>-153.51639771654229</c:v>
                </c:pt>
                <c:pt idx="258">
                  <c:v>-142.05543482851351</c:v>
                </c:pt>
                <c:pt idx="259">
                  <c:v>-129.39138762673525</c:v>
                </c:pt>
                <c:pt idx="260">
                  <c:v>-116.81554400893495</c:v>
                </c:pt>
                <c:pt idx="261">
                  <c:v>-104.30721380257619</c:v>
                </c:pt>
                <c:pt idx="262">
                  <c:v>-91.763804670043854</c:v>
                </c:pt>
                <c:pt idx="263">
                  <c:v>-79.173451657028778</c:v>
                </c:pt>
                <c:pt idx="264">
                  <c:v>-67.18966328306584</c:v>
                </c:pt>
                <c:pt idx="265">
                  <c:v>-55.606774687468395</c:v>
                </c:pt>
                <c:pt idx="266">
                  <c:v>-47.217080120120528</c:v>
                </c:pt>
                <c:pt idx="267">
                  <c:v>-35.526411598007073</c:v>
                </c:pt>
                <c:pt idx="268">
                  <c:v>-23.767768339542183</c:v>
                </c:pt>
                <c:pt idx="269">
                  <c:v>-11.929647763880219</c:v>
                </c:pt>
                <c:pt idx="270">
                  <c:v>-4.752285807747537E-5</c:v>
                </c:pt>
                <c:pt idx="271">
                  <c:v>11.929552578265444</c:v>
                </c:pt>
                <c:pt idx="272">
                  <c:v>23.767673014935873</c:v>
                </c:pt>
                <c:pt idx="273">
                  <c:v>35.526316135558318</c:v>
                </c:pt>
                <c:pt idx="274">
                  <c:v>47.216984521169259</c:v>
                </c:pt>
                <c:pt idx="275">
                  <c:v>55.606678736415432</c:v>
                </c:pt>
                <c:pt idx="276">
                  <c:v>67.189567201785309</c:v>
                </c:pt>
                <c:pt idx="277">
                  <c:v>79.173355306347403</c:v>
                </c:pt>
                <c:pt idx="278">
                  <c:v>91.763708105075509</c:v>
                </c:pt>
                <c:pt idx="279">
                  <c:v>104.30711702879482</c:v>
                </c:pt>
                <c:pt idx="280">
                  <c:v>116.81544703164025</c:v>
                </c:pt>
                <c:pt idx="281">
                  <c:v>129.39129240342163</c:v>
                </c:pt>
                <c:pt idx="282">
                  <c:v>142.0553400752525</c:v>
                </c:pt>
                <c:pt idx="283">
                  <c:v>153.5163061195135</c:v>
                </c:pt>
                <c:pt idx="284">
                  <c:v>166.17383729581496</c:v>
                </c:pt>
                <c:pt idx="285">
                  <c:v>178.84737855684565</c:v>
                </c:pt>
                <c:pt idx="286">
                  <c:v>191.54820082732917</c:v>
                </c:pt>
                <c:pt idx="287">
                  <c:v>204.28755167309558</c:v>
                </c:pt>
                <c:pt idx="288">
                  <c:v>216.86141272740653</c:v>
                </c:pt>
                <c:pt idx="289">
                  <c:v>228.58225643524153</c:v>
                </c:pt>
                <c:pt idx="290">
                  <c:v>239.50774008087839</c:v>
                </c:pt>
                <c:pt idx="291">
                  <c:v>249.74219438004482</c:v>
                </c:pt>
                <c:pt idx="292">
                  <c:v>259.37244584581146</c:v>
                </c:pt>
                <c:pt idx="293">
                  <c:v>268.47139937670079</c:v>
                </c:pt>
                <c:pt idx="294">
                  <c:v>277.10077392028444</c:v>
                </c:pt>
                <c:pt idx="295">
                  <c:v>285.31321659896008</c:v>
                </c:pt>
                <c:pt idx="296">
                  <c:v>293.15395449981332</c:v>
                </c:pt>
                <c:pt idx="297">
                  <c:v>300.65533669716166</c:v>
                </c:pt>
                <c:pt idx="298">
                  <c:v>307.74963834525369</c:v>
                </c:pt>
                <c:pt idx="299">
                  <c:v>312.41739435469066</c:v>
                </c:pt>
                <c:pt idx="300">
                  <c:v>319.05274591592547</c:v>
                </c:pt>
                <c:pt idx="301">
                  <c:v>325.46571827384497</c:v>
                </c:pt>
                <c:pt idx="302">
                  <c:v>331.67757481470494</c:v>
                </c:pt>
                <c:pt idx="303">
                  <c:v>337.7073045225323</c:v>
                </c:pt>
                <c:pt idx="304">
                  <c:v>343.571948277422</c:v>
                </c:pt>
                <c:pt idx="305">
                  <c:v>349.28687207849197</c:v>
                </c:pt>
                <c:pt idx="306">
                  <c:v>354.86599717495193</c:v>
                </c:pt>
                <c:pt idx="307">
                  <c:v>360.32199501512611</c:v>
                </c:pt>
                <c:pt idx="308">
                  <c:v>365.6664533245069</c:v>
                </c:pt>
                <c:pt idx="309">
                  <c:v>370.91001838310132</c:v>
                </c:pt>
                <c:pt idx="310">
                  <c:v>376.0625176011722</c:v>
                </c:pt>
                <c:pt idx="311">
                  <c:v>381.13306572844215</c:v>
                </c:pt>
                <c:pt idx="312">
                  <c:v>386.13015742977751</c:v>
                </c:pt>
                <c:pt idx="313">
                  <c:v>391.06174847810956</c:v>
                </c:pt>
                <c:pt idx="314">
                  <c:v>395.93532743463447</c:v>
                </c:pt>
                <c:pt idx="315">
                  <c:v>400.75797937722211</c:v>
                </c:pt>
                <c:pt idx="316">
                  <c:v>405.37879408533314</c:v>
                </c:pt>
                <c:pt idx="317">
                  <c:v>409.66966291331818</c:v>
                </c:pt>
                <c:pt idx="318">
                  <c:v>413.92265090699698</c:v>
                </c:pt>
                <c:pt idx="319">
                  <c:v>418.14368723618452</c:v>
                </c:pt>
                <c:pt idx="320">
                  <c:v>422.33850749629283</c:v>
                </c:pt>
                <c:pt idx="321">
                  <c:v>426.5126926224292</c:v>
                </c:pt>
                <c:pt idx="322">
                  <c:v>430.67170579138593</c:v>
                </c:pt>
                <c:pt idx="323">
                  <c:v>434.82092788872455</c:v>
                </c:pt>
                <c:pt idx="324">
                  <c:v>438.96569208584327</c:v>
                </c:pt>
                <c:pt idx="325">
                  <c:v>442.02777323880406</c:v>
                </c:pt>
                <c:pt idx="326">
                  <c:v>446.05880508827448</c:v>
                </c:pt>
                <c:pt idx="327">
                  <c:v>449.92008950831053</c:v>
                </c:pt>
                <c:pt idx="328">
                  <c:v>453.6227875253864</c:v>
                </c:pt>
                <c:pt idx="329">
                  <c:v>457.17720939935697</c:v>
                </c:pt>
                <c:pt idx="330">
                  <c:v>460.59284121025695</c:v>
                </c:pt>
                <c:pt idx="331">
                  <c:v>463.8784245056263</c:v>
                </c:pt>
                <c:pt idx="332">
                  <c:v>467.04202712852953</c:v>
                </c:pt>
                <c:pt idx="333">
                  <c:v>469.01102689529631</c:v>
                </c:pt>
                <c:pt idx="334">
                  <c:v>471.95058945201583</c:v>
                </c:pt>
                <c:pt idx="335">
                  <c:v>474.78898269498706</c:v>
                </c:pt>
                <c:pt idx="336">
                  <c:v>476.74415186743619</c:v>
                </c:pt>
                <c:pt idx="337">
                  <c:v>478.57757761783495</c:v>
                </c:pt>
                <c:pt idx="338">
                  <c:v>480.32609311100441</c:v>
                </c:pt>
                <c:pt idx="339">
                  <c:v>481.99396300953856</c:v>
                </c:pt>
                <c:pt idx="340">
                  <c:v>483.58513121173127</c:v>
                </c:pt>
                <c:pt idx="341">
                  <c:v>485.10324640207352</c:v>
                </c:pt>
                <c:pt idx="342">
                  <c:v>486.5516850749309</c:v>
                </c:pt>
                <c:pt idx="343">
                  <c:v>487.93357230065374</c:v>
                </c:pt>
                <c:pt idx="344">
                  <c:v>489.25180047170744</c:v>
                </c:pt>
                <c:pt idx="345">
                  <c:v>490.50904623625087</c:v>
                </c:pt>
                <c:pt idx="346">
                  <c:v>491.70778580347422</c:v>
                </c:pt>
                <c:pt idx="347">
                  <c:v>492.85030878195624</c:v>
                </c:pt>
                <c:pt idx="348">
                  <c:v>493.93873069475018</c:v>
                </c:pt>
                <c:pt idx="349">
                  <c:v>494.97500429621317</c:v>
                </c:pt>
                <c:pt idx="350">
                  <c:v>495.96092980358827</c:v>
                </c:pt>
                <c:pt idx="351">
                  <c:v>496.8981641426588</c:v>
                </c:pt>
                <c:pt idx="352">
                  <c:v>497.78822929309189</c:v>
                </c:pt>
                <c:pt idx="353">
                  <c:v>498.63251981461502</c:v>
                </c:pt>
                <c:pt idx="354">
                  <c:v>499.43230962018225</c:v>
                </c:pt>
                <c:pt idx="355">
                  <c:v>500.18875805908715</c:v>
                </c:pt>
                <c:pt idx="356">
                  <c:v>500.90291536333473</c:v>
                </c:pt>
                <c:pt idx="357">
                  <c:v>501.57572750723193</c:v>
                </c:pt>
                <c:pt idx="358">
                  <c:v>502.20804052036885</c:v>
                </c:pt>
                <c:pt idx="359">
                  <c:v>502.80060429434479</c:v>
                </c:pt>
                <c:pt idx="360">
                  <c:v>503.35407591590479</c:v>
                </c:pt>
                <c:pt idx="361">
                  <c:v>503.35407591590501</c:v>
                </c:pt>
              </c:numCache>
            </c:numRef>
          </c:xVal>
          <c:yVal>
            <c:numRef>
              <c:f>'Cross Section Analysis'!$C$129:$C$490</c:f>
              <c:numCache>
                <c:formatCode>General</c:formatCode>
                <c:ptCount val="362"/>
                <c:pt idx="0">
                  <c:v>0</c:v>
                </c:pt>
                <c:pt idx="1">
                  <c:v>3.4955882770385869</c:v>
                </c:pt>
                <c:pt idx="2">
                  <c:v>6.9805138063724774</c:v>
                </c:pt>
                <c:pt idx="3">
                  <c:v>10.45717574188861</c:v>
                </c:pt>
                <c:pt idx="4">
                  <c:v>13.927945283405867</c:v>
                </c:pt>
                <c:pt idx="5" formatCode="0.00000">
                  <c:v>17.395172656182687</c:v>
                </c:pt>
                <c:pt idx="6" formatCode="0.00000">
                  <c:v>20.861193924308015</c:v>
                </c:pt>
                <c:pt idx="7">
                  <c:v>24.328337683440441</c:v>
                </c:pt>
                <c:pt idx="8">
                  <c:v>27.798931676586541</c:v>
                </c:pt>
                <c:pt idx="9">
                  <c:v>31.275309375409616</c:v>
                </c:pt>
                <c:pt idx="10">
                  <c:v>34.759816568815353</c:v>
                </c:pt>
                <c:pt idx="11">
                  <c:v>38.254818000329514</c:v>
                </c:pt>
                <c:pt idx="12">
                  <c:v>41.762704095986358</c:v>
                </c:pt>
                <c:pt idx="13">
                  <c:v>45.285897825169911</c:v>
                </c:pt>
                <c:pt idx="14">
                  <c:v>48.826861737980259</c:v>
                </c:pt>
                <c:pt idx="15">
                  <c:v>52.388105224382429</c:v>
                </c:pt>
                <c:pt idx="16">
                  <c:v>55.972192042566171</c:v>
                </c:pt>
                <c:pt idx="17">
                  <c:v>59.581748166640281</c:v>
                </c:pt>
                <c:pt idx="18">
                  <c:v>63.219470007130688</c:v>
                </c:pt>
                <c:pt idx="19">
                  <c:v>66.888133061681572</c:v>
                </c:pt>
                <c:pt idx="20">
                  <c:v>70.590601058039596</c:v>
                </c:pt>
                <c:pt idx="21">
                  <c:v>74.32983565683854</c:v>
                </c:pt>
                <c:pt idx="22">
                  <c:v>78.108906788068751</c:v>
                </c:pt>
                <c:pt idx="23">
                  <c:v>81.931003702422487</c:v>
                </c:pt>
                <c:pt idx="24">
                  <c:v>85.79944682720695</c:v>
                </c:pt>
                <c:pt idx="25">
                  <c:v>89.727942463979446</c:v>
                </c:pt>
                <c:pt idx="26">
                  <c:v>93.960325457508276</c:v>
                </c:pt>
                <c:pt idx="27">
                  <c:v>98.249831386122082</c:v>
                </c:pt>
                <c:pt idx="28">
                  <c:v>100.78654061625217</c:v>
                </c:pt>
                <c:pt idx="29">
                  <c:v>105.20169905434219</c:v>
                </c:pt>
                <c:pt idx="30">
                  <c:v>109.68710613047706</c:v>
                </c:pt>
                <c:pt idx="31">
                  <c:v>114.24759724460284</c:v>
                </c:pt>
                <c:pt idx="32">
                  <c:v>118.88827936149944</c:v>
                </c:pt>
                <c:pt idx="33">
                  <c:v>123.61455686129581</c:v>
                </c:pt>
                <c:pt idx="34">
                  <c:v>128.43215998368308</c:v>
                </c:pt>
                <c:pt idx="35">
                  <c:v>133.34709135964951</c:v>
                </c:pt>
                <c:pt idx="36">
                  <c:v>136.5928277547381</c:v>
                </c:pt>
                <c:pt idx="37">
                  <c:v>141.39087717562234</c:v>
                </c:pt>
                <c:pt idx="38">
                  <c:v>146.06480861694382</c:v>
                </c:pt>
                <c:pt idx="39">
                  <c:v>150.62620926479036</c:v>
                </c:pt>
                <c:pt idx="40">
                  <c:v>155.08576032828509</c:v>
                </c:pt>
                <c:pt idx="41">
                  <c:v>159.45335159955221</c:v>
                </c:pt>
                <c:pt idx="42">
                  <c:v>163.73818172173168</c:v>
                </c:pt>
                <c:pt idx="43">
                  <c:v>167.9488464770086</c:v>
                </c:pt>
                <c:pt idx="44">
                  <c:v>172.09341702267832</c:v>
                </c:pt>
                <c:pt idx="45">
                  <c:v>176.15251227041972</c:v>
                </c:pt>
                <c:pt idx="46">
                  <c:v>180.14036438583545</c:v>
                </c:pt>
                <c:pt idx="47">
                  <c:v>184.07768146957017</c:v>
                </c:pt>
                <c:pt idx="48">
                  <c:v>187.9712236255792</c:v>
                </c:pt>
                <c:pt idx="49">
                  <c:v>191.82749177213435</c:v>
                </c:pt>
                <c:pt idx="50">
                  <c:v>195.65277419624803</c:v>
                </c:pt>
                <c:pt idx="51">
                  <c:v>199.45319041207824</c:v>
                </c:pt>
                <c:pt idx="52">
                  <c:v>203.23473300475268</c:v>
                </c:pt>
                <c:pt idx="53">
                  <c:v>207.00330809794397</c:v>
                </c:pt>
                <c:pt idx="54">
                  <c:v>210.76477505979059</c:v>
                </c:pt>
                <c:pt idx="55">
                  <c:v>214.52498605298189</c:v>
                </c:pt>
                <c:pt idx="56">
                  <c:v>218.2898260449133</c:v>
                </c:pt>
                <c:pt idx="57">
                  <c:v>222.06525392102716</c:v>
                </c:pt>
                <c:pt idx="58">
                  <c:v>225.85734539137809</c:v>
                </c:pt>
                <c:pt idx="59">
                  <c:v>229.67233845090388</c:v>
                </c:pt>
                <c:pt idx="60">
                  <c:v>233.51668225080661</c:v>
                </c:pt>
                <c:pt idx="61">
                  <c:v>237.39709036758441</c:v>
                </c:pt>
                <c:pt idx="62">
                  <c:v>240.30264045359738</c:v>
                </c:pt>
                <c:pt idx="63">
                  <c:v>244.24587561647573</c:v>
                </c:pt>
                <c:pt idx="64">
                  <c:v>248.09328162888164</c:v>
                </c:pt>
                <c:pt idx="65">
                  <c:v>251.98733198466567</c:v>
                </c:pt>
                <c:pt idx="66">
                  <c:v>255.945761693149</c:v>
                </c:pt>
                <c:pt idx="67">
                  <c:v>259.97758540672146</c:v>
                </c:pt>
                <c:pt idx="68">
                  <c:v>264.09262016091157</c:v>
                </c:pt>
                <c:pt idx="69">
                  <c:v>268.30163224516525</c:v>
                </c:pt>
                <c:pt idx="70">
                  <c:v>272.61651379884523</c:v>
                </c:pt>
                <c:pt idx="71">
                  <c:v>277.05049739004676</c:v>
                </c:pt>
                <c:pt idx="72">
                  <c:v>281.61841962771064</c:v>
                </c:pt>
                <c:pt idx="73">
                  <c:v>286.31424089497835</c:v>
                </c:pt>
                <c:pt idx="74">
                  <c:v>290.89158341660948</c:v>
                </c:pt>
                <c:pt idx="75">
                  <c:v>295.28648739203226</c:v>
                </c:pt>
                <c:pt idx="76">
                  <c:v>299.50837834512026</c:v>
                </c:pt>
                <c:pt idx="77">
                  <c:v>303.56616541840617</c:v>
                </c:pt>
                <c:pt idx="78">
                  <c:v>307.09772237234989</c:v>
                </c:pt>
                <c:pt idx="79">
                  <c:v>310.84899142949877</c:v>
                </c:pt>
                <c:pt idx="80">
                  <c:v>314.112349705182</c:v>
                </c:pt>
                <c:pt idx="81">
                  <c:v>316.92973693439359</c:v>
                </c:pt>
                <c:pt idx="82">
                  <c:v>319.60504877283728</c:v>
                </c:pt>
                <c:pt idx="83">
                  <c:v>322.14392864925964</c:v>
                </c:pt>
                <c:pt idx="84">
                  <c:v>323.88107506204909</c:v>
                </c:pt>
                <c:pt idx="85">
                  <c:v>325.0199318188146</c:v>
                </c:pt>
                <c:pt idx="86">
                  <c:v>325.69762900503542</c:v>
                </c:pt>
                <c:pt idx="87">
                  <c:v>326.52796971550788</c:v>
                </c:pt>
                <c:pt idx="88">
                  <c:v>327.20747493881566</c:v>
                </c:pt>
                <c:pt idx="89">
                  <c:v>327.73772267428382</c:v>
                </c:pt>
                <c:pt idx="90">
                  <c:v>328.11995568405348</c:v>
                </c:pt>
                <c:pt idx="91">
                  <c:v>327.73772255355044</c:v>
                </c:pt>
                <c:pt idx="92">
                  <c:v>327.20747470199547</c:v>
                </c:pt>
                <c:pt idx="93">
                  <c:v>326.5279693667249</c:v>
                </c:pt>
                <c:pt idx="94">
                  <c:v>325.69762854840491</c:v>
                </c:pt>
                <c:pt idx="95">
                  <c:v>325.01993127380183</c:v>
                </c:pt>
                <c:pt idx="96">
                  <c:v>323.88107441944982</c:v>
                </c:pt>
                <c:pt idx="97">
                  <c:v>322.14392780229554</c:v>
                </c:pt>
                <c:pt idx="98">
                  <c:v>319.6050478247198</c:v>
                </c:pt>
                <c:pt idx="99">
                  <c:v>316.92973588936462</c:v>
                </c:pt>
                <c:pt idx="100">
                  <c:v>314.1123485673599</c:v>
                </c:pt>
                <c:pt idx="101">
                  <c:v>310.84899575753258</c:v>
                </c:pt>
                <c:pt idx="102">
                  <c:v>307.09772704840452</c:v>
                </c:pt>
                <c:pt idx="103">
                  <c:v>303.56617048046576</c:v>
                </c:pt>
                <c:pt idx="104">
                  <c:v>299.50838374903077</c:v>
                </c:pt>
                <c:pt idx="105">
                  <c:v>295.28649313371119</c:v>
                </c:pt>
                <c:pt idx="106">
                  <c:v>290.89158949247167</c:v>
                </c:pt>
                <c:pt idx="107">
                  <c:v>286.3142473017237</c:v>
                </c:pt>
                <c:pt idx="108">
                  <c:v>281.61842615327078</c:v>
                </c:pt>
                <c:pt idx="109">
                  <c:v>277.05050389725557</c:v>
                </c:pt>
                <c:pt idx="110">
                  <c:v>272.6165202632971</c:v>
                </c:pt>
                <c:pt idx="111">
                  <c:v>268.30163864342109</c:v>
                </c:pt>
                <c:pt idx="112">
                  <c:v>264.09262647049701</c:v>
                </c:pt>
                <c:pt idx="113">
                  <c:v>259.97759160596348</c:v>
                </c:pt>
                <c:pt idx="114">
                  <c:v>255.94576776087479</c:v>
                </c:pt>
                <c:pt idx="115">
                  <c:v>251.98733790058961</c:v>
                </c:pt>
                <c:pt idx="116">
                  <c:v>248.09328737294501</c:v>
                </c:pt>
                <c:pt idx="117">
                  <c:v>244.24589109523001</c:v>
                </c:pt>
                <c:pt idx="118">
                  <c:v>240.30265585879729</c:v>
                </c:pt>
                <c:pt idx="119">
                  <c:v>237.39710562005087</c:v>
                </c:pt>
                <c:pt idx="120">
                  <c:v>233.5166973677207</c:v>
                </c:pt>
                <c:pt idx="121">
                  <c:v>229.6723534034771</c:v>
                </c:pt>
                <c:pt idx="122">
                  <c:v>225.85736015090737</c:v>
                </c:pt>
                <c:pt idx="123">
                  <c:v>222.06526845898449</c:v>
                </c:pt>
                <c:pt idx="124">
                  <c:v>218.28984033268918</c:v>
                </c:pt>
                <c:pt idx="125">
                  <c:v>214.52500006184724</c:v>
                </c:pt>
                <c:pt idx="126">
                  <c:v>210.76478876081077</c:v>
                </c:pt>
                <c:pt idx="127">
                  <c:v>207.003321461892</c:v>
                </c:pt>
                <c:pt idx="128">
                  <c:v>203.23474600188277</c:v>
                </c:pt>
                <c:pt idx="129">
                  <c:v>199.45320301224157</c:v>
                </c:pt>
                <c:pt idx="130">
                  <c:v>195.65278636853472</c:v>
                </c:pt>
                <c:pt idx="131">
                  <c:v>191.82750348496896</c:v>
                </c:pt>
                <c:pt idx="132">
                  <c:v>187.97123484649168</c:v>
                </c:pt>
                <c:pt idx="133">
                  <c:v>184.07769216508868</c:v>
                </c:pt>
                <c:pt idx="134">
                  <c:v>180.14037452134514</c:v>
                </c:pt>
                <c:pt idx="135">
                  <c:v>176.15252181008543</c:v>
                </c:pt>
                <c:pt idx="136">
                  <c:v>172.09342604586175</c:v>
                </c:pt>
                <c:pt idx="137">
                  <c:v>167.94885483007931</c:v>
                </c:pt>
                <c:pt idx="138">
                  <c:v>163.73818936495701</c:v>
                </c:pt>
                <c:pt idx="139">
                  <c:v>159.45335849131322</c:v>
                </c:pt>
                <c:pt idx="140">
                  <c:v>155.08576642492881</c:v>
                </c:pt>
                <c:pt idx="141">
                  <c:v>150.62621452034648</c:v>
                </c:pt>
                <c:pt idx="142">
                  <c:v>146.06481298288054</c:v>
                </c:pt>
                <c:pt idx="143">
                  <c:v>141.39088060060186</c:v>
                </c:pt>
                <c:pt idx="144">
                  <c:v>136.59283018427439</c:v>
                </c:pt>
                <c:pt idx="145">
                  <c:v>133.34709292767496</c:v>
                </c:pt>
                <c:pt idx="146">
                  <c:v>128.43216151211971</c:v>
                </c:pt>
                <c:pt idx="147">
                  <c:v>123.61455837676296</c:v>
                </c:pt>
                <c:pt idx="148">
                  <c:v>118.88828086301389</c:v>
                </c:pt>
                <c:pt idx="149">
                  <c:v>114.24759873116912</c:v>
                </c:pt>
                <c:pt idx="150">
                  <c:v>109.68710760109552</c:v>
                </c:pt>
                <c:pt idx="151">
                  <c:v>105.201700507992</c:v>
                </c:pt>
                <c:pt idx="152">
                  <c:v>100.78654205190081</c:v>
                </c:pt>
                <c:pt idx="153">
                  <c:v>98.249832809375675</c:v>
                </c:pt>
                <c:pt idx="154">
                  <c:v>93.960326860579741</c:v>
                </c:pt>
                <c:pt idx="155">
                  <c:v>89.727943845765864</c:v>
                </c:pt>
                <c:pt idx="156">
                  <c:v>85.799447639469037</c:v>
                </c:pt>
                <c:pt idx="157">
                  <c:v>81.931004494138989</c:v>
                </c:pt>
                <c:pt idx="158">
                  <c:v>78.108907558378675</c:v>
                </c:pt>
                <c:pt idx="159">
                  <c:v>74.329836404854817</c:v>
                </c:pt>
                <c:pt idx="160">
                  <c:v>70.59060178284669</c:v>
                </c:pt>
                <c:pt idx="161">
                  <c:v>66.888133762338057</c:v>
                </c:pt>
                <c:pt idx="162">
                  <c:v>63.219470682661409</c:v>
                </c:pt>
                <c:pt idx="163">
                  <c:v>59.581748816036061</c:v>
                </c:pt>
                <c:pt idx="164">
                  <c:v>55.972192664780373</c:v>
                </c:pt>
                <c:pt idx="165">
                  <c:v>52.38810581832621</c:v>
                </c:pt>
                <c:pt idx="166">
                  <c:v>48.826862302522862</c:v>
                </c:pt>
                <c:pt idx="167">
                  <c:v>45.285898359135039</c:v>
                </c:pt>
                <c:pt idx="168">
                  <c:v>41.762704598145568</c:v>
                </c:pt>
                <c:pt idx="169">
                  <c:v>38.254818469401322</c:v>
                </c:pt>
                <c:pt idx="170">
                  <c:v>34.759817003458558</c:v>
                </c:pt>
                <c:pt idx="171">
                  <c:v>31.275309774220545</c:v>
                </c:pt>
                <c:pt idx="172">
                  <c:v>27.798932038093366</c:v>
                </c:pt>
                <c:pt idx="173">
                  <c:v>24.32833800609918</c:v>
                </c:pt>
                <c:pt idx="174">
                  <c:v>20.861194206493948</c:v>
                </c:pt>
                <c:pt idx="175">
                  <c:v>17.395172896187635</c:v>
                </c:pt>
                <c:pt idx="176">
                  <c:v>13.927945479430605</c:v>
                </c:pt>
                <c:pt idx="177">
                  <c:v>10.457175892033716</c:v>
                </c:pt>
                <c:pt idx="178">
                  <c:v>6.9805139086320418</c:v>
                </c:pt>
                <c:pt idx="179">
                  <c:v>3.4955883292913867</c:v>
                </c:pt>
                <c:pt idx="180">
                  <c:v>4.6273269129433299E-14</c:v>
                </c:pt>
                <c:pt idx="181">
                  <c:v>-3.4955883292915702</c:v>
                </c:pt>
                <c:pt idx="182">
                  <c:v>-6.9805139086320267</c:v>
                </c:pt>
                <c:pt idx="183">
                  <c:v>-10.457175892033746</c:v>
                </c:pt>
                <c:pt idx="184">
                  <c:v>-13.927945479430589</c:v>
                </c:pt>
                <c:pt idx="185">
                  <c:v>-17.395172896187596</c:v>
                </c:pt>
                <c:pt idx="186">
                  <c:v>-20.861194206493916</c:v>
                </c:pt>
                <c:pt idx="187">
                  <c:v>-24.328338006099113</c:v>
                </c:pt>
                <c:pt idx="188">
                  <c:v>-27.798932038093444</c:v>
                </c:pt>
                <c:pt idx="189">
                  <c:v>-31.275309774220457</c:v>
                </c:pt>
                <c:pt idx="190">
                  <c:v>-34.75981700345865</c:v>
                </c:pt>
                <c:pt idx="191">
                  <c:v>-38.254818469401222</c:v>
                </c:pt>
                <c:pt idx="192">
                  <c:v>-41.762704598145518</c:v>
                </c:pt>
                <c:pt idx="193">
                  <c:v>-45.285898359135011</c:v>
                </c:pt>
                <c:pt idx="194">
                  <c:v>-48.826862302522805</c:v>
                </c:pt>
                <c:pt idx="195">
                  <c:v>-52.388105818326281</c:v>
                </c:pt>
                <c:pt idx="196">
                  <c:v>-55.97219266478016</c:v>
                </c:pt>
                <c:pt idx="197">
                  <c:v>-59.581748816036118</c:v>
                </c:pt>
                <c:pt idx="198">
                  <c:v>-63.219470682661367</c:v>
                </c:pt>
                <c:pt idx="199">
                  <c:v>-66.8881337623381</c:v>
                </c:pt>
                <c:pt idx="200">
                  <c:v>-70.590601782846647</c:v>
                </c:pt>
                <c:pt idx="201">
                  <c:v>-74.329836404854902</c:v>
                </c:pt>
                <c:pt idx="202">
                  <c:v>-78.108907558378746</c:v>
                </c:pt>
                <c:pt idx="203">
                  <c:v>-81.931004494138762</c:v>
                </c:pt>
                <c:pt idx="204">
                  <c:v>-85.799447639469022</c:v>
                </c:pt>
                <c:pt idx="205">
                  <c:v>-89.72794384576585</c:v>
                </c:pt>
                <c:pt idx="206">
                  <c:v>-93.960326860579883</c:v>
                </c:pt>
                <c:pt idx="207">
                  <c:v>-98.249832809375533</c:v>
                </c:pt>
                <c:pt idx="208">
                  <c:v>-100.78654205190091</c:v>
                </c:pt>
                <c:pt idx="209">
                  <c:v>-105.20170050799175</c:v>
                </c:pt>
                <c:pt idx="210">
                  <c:v>-109.68710760109548</c:v>
                </c:pt>
                <c:pt idx="211">
                  <c:v>-114.24759873116896</c:v>
                </c:pt>
                <c:pt idx="212">
                  <c:v>-118.88828086301378</c:v>
                </c:pt>
                <c:pt idx="213">
                  <c:v>-123.61455837676289</c:v>
                </c:pt>
                <c:pt idx="214">
                  <c:v>-128.43216151211959</c:v>
                </c:pt>
                <c:pt idx="215">
                  <c:v>-133.34709292767488</c:v>
                </c:pt>
                <c:pt idx="216">
                  <c:v>-136.59283018427442</c:v>
                </c:pt>
                <c:pt idx="217">
                  <c:v>-141.39088060060203</c:v>
                </c:pt>
                <c:pt idx="218">
                  <c:v>-146.0648129828806</c:v>
                </c:pt>
                <c:pt idx="219">
                  <c:v>-150.62621452034642</c:v>
                </c:pt>
                <c:pt idx="220">
                  <c:v>-155.08576642492855</c:v>
                </c:pt>
                <c:pt idx="221">
                  <c:v>-159.45335849131322</c:v>
                </c:pt>
                <c:pt idx="222">
                  <c:v>-163.73818936495701</c:v>
                </c:pt>
                <c:pt idx="223">
                  <c:v>-167.94885483007943</c:v>
                </c:pt>
                <c:pt idx="224">
                  <c:v>-172.09342604586189</c:v>
                </c:pt>
                <c:pt idx="225">
                  <c:v>-176.15252181008529</c:v>
                </c:pt>
                <c:pt idx="226">
                  <c:v>-180.14037452134528</c:v>
                </c:pt>
                <c:pt idx="227">
                  <c:v>-184.07769216508868</c:v>
                </c:pt>
                <c:pt idx="228">
                  <c:v>-187.97123484649165</c:v>
                </c:pt>
                <c:pt idx="229">
                  <c:v>-191.82750348496907</c:v>
                </c:pt>
                <c:pt idx="230">
                  <c:v>-195.65278636853463</c:v>
                </c:pt>
                <c:pt idx="231">
                  <c:v>-199.45320301224132</c:v>
                </c:pt>
                <c:pt idx="232">
                  <c:v>-203.2347460018828</c:v>
                </c:pt>
                <c:pt idx="233">
                  <c:v>-207.00332146189206</c:v>
                </c:pt>
                <c:pt idx="234">
                  <c:v>-210.76478876081075</c:v>
                </c:pt>
                <c:pt idx="235">
                  <c:v>-214.52500006184721</c:v>
                </c:pt>
                <c:pt idx="236">
                  <c:v>-218.28984033268935</c:v>
                </c:pt>
                <c:pt idx="237">
                  <c:v>-222.06526845898475</c:v>
                </c:pt>
                <c:pt idx="238">
                  <c:v>-225.8573601509076</c:v>
                </c:pt>
                <c:pt idx="239">
                  <c:v>-229.67235340347688</c:v>
                </c:pt>
                <c:pt idx="240">
                  <c:v>-233.5166973677207</c:v>
                </c:pt>
                <c:pt idx="241">
                  <c:v>-237.39710562005106</c:v>
                </c:pt>
                <c:pt idx="242">
                  <c:v>-240.30265585879732</c:v>
                </c:pt>
                <c:pt idx="243">
                  <c:v>-244.24589109522981</c:v>
                </c:pt>
                <c:pt idx="244">
                  <c:v>-248.09328737294481</c:v>
                </c:pt>
                <c:pt idx="245">
                  <c:v>-251.98733790058952</c:v>
                </c:pt>
                <c:pt idx="246">
                  <c:v>-255.94576776087493</c:v>
                </c:pt>
                <c:pt idx="247">
                  <c:v>-259.97759160596331</c:v>
                </c:pt>
                <c:pt idx="248">
                  <c:v>-264.09262647049684</c:v>
                </c:pt>
                <c:pt idx="249">
                  <c:v>-268.30163864342103</c:v>
                </c:pt>
                <c:pt idx="250">
                  <c:v>-272.6165202632971</c:v>
                </c:pt>
                <c:pt idx="251">
                  <c:v>-277.05050389725557</c:v>
                </c:pt>
                <c:pt idx="252">
                  <c:v>-281.6184261532706</c:v>
                </c:pt>
                <c:pt idx="253">
                  <c:v>-286.31424730172341</c:v>
                </c:pt>
                <c:pt idx="254">
                  <c:v>-290.89158949247184</c:v>
                </c:pt>
                <c:pt idx="255">
                  <c:v>-295.28649313371108</c:v>
                </c:pt>
                <c:pt idx="256">
                  <c:v>-299.50838374903071</c:v>
                </c:pt>
                <c:pt idx="257">
                  <c:v>-303.56617048046559</c:v>
                </c:pt>
                <c:pt idx="258">
                  <c:v>-307.09772704840447</c:v>
                </c:pt>
                <c:pt idx="259">
                  <c:v>-310.8489957575328</c:v>
                </c:pt>
                <c:pt idx="260">
                  <c:v>-314.1123485673599</c:v>
                </c:pt>
                <c:pt idx="261">
                  <c:v>-316.92973588936457</c:v>
                </c:pt>
                <c:pt idx="262">
                  <c:v>-319.60504782471946</c:v>
                </c:pt>
                <c:pt idx="263">
                  <c:v>-322.14392780229548</c:v>
                </c:pt>
                <c:pt idx="264">
                  <c:v>-323.88107441944993</c:v>
                </c:pt>
                <c:pt idx="265">
                  <c:v>-325.01993127380172</c:v>
                </c:pt>
                <c:pt idx="266">
                  <c:v>-325.69762854840491</c:v>
                </c:pt>
                <c:pt idx="267">
                  <c:v>-326.52796936672485</c:v>
                </c:pt>
                <c:pt idx="268">
                  <c:v>-327.20747470199535</c:v>
                </c:pt>
                <c:pt idx="269">
                  <c:v>-327.73772255355044</c:v>
                </c:pt>
                <c:pt idx="270">
                  <c:v>-328.11995568405348</c:v>
                </c:pt>
                <c:pt idx="271">
                  <c:v>-327.73772267428416</c:v>
                </c:pt>
                <c:pt idx="272">
                  <c:v>-327.20747493881561</c:v>
                </c:pt>
                <c:pt idx="273">
                  <c:v>-326.52796971550788</c:v>
                </c:pt>
                <c:pt idx="274">
                  <c:v>-325.69762900503548</c:v>
                </c:pt>
                <c:pt idx="275">
                  <c:v>-325.01993181881454</c:v>
                </c:pt>
                <c:pt idx="276">
                  <c:v>-323.88107506204932</c:v>
                </c:pt>
                <c:pt idx="277">
                  <c:v>-322.14392864925981</c:v>
                </c:pt>
                <c:pt idx="278">
                  <c:v>-319.60504877283734</c:v>
                </c:pt>
                <c:pt idx="279">
                  <c:v>-316.9297369343937</c:v>
                </c:pt>
                <c:pt idx="280">
                  <c:v>-314.11234970518251</c:v>
                </c:pt>
                <c:pt idx="281">
                  <c:v>-310.84899142949865</c:v>
                </c:pt>
                <c:pt idx="282">
                  <c:v>-307.09772237234989</c:v>
                </c:pt>
                <c:pt idx="283">
                  <c:v>-303.56616541840617</c:v>
                </c:pt>
                <c:pt idx="284">
                  <c:v>-299.50837834512049</c:v>
                </c:pt>
                <c:pt idx="285">
                  <c:v>-295.28648739203271</c:v>
                </c:pt>
                <c:pt idx="286">
                  <c:v>-290.89158341660919</c:v>
                </c:pt>
                <c:pt idx="287">
                  <c:v>-286.31424089497835</c:v>
                </c:pt>
                <c:pt idx="288">
                  <c:v>-281.61841962771121</c:v>
                </c:pt>
                <c:pt idx="289">
                  <c:v>-277.05049739004755</c:v>
                </c:pt>
                <c:pt idx="290">
                  <c:v>-272.61651379884512</c:v>
                </c:pt>
                <c:pt idx="291">
                  <c:v>-268.30163224516525</c:v>
                </c:pt>
                <c:pt idx="292">
                  <c:v>-264.09262016091157</c:v>
                </c:pt>
                <c:pt idx="293">
                  <c:v>-259.97758540672135</c:v>
                </c:pt>
                <c:pt idx="294">
                  <c:v>-255.94576169314905</c:v>
                </c:pt>
                <c:pt idx="295">
                  <c:v>-251.98733198466553</c:v>
                </c:pt>
                <c:pt idx="296">
                  <c:v>-248.09328162888173</c:v>
                </c:pt>
                <c:pt idx="297">
                  <c:v>-244.24587561647556</c:v>
                </c:pt>
                <c:pt idx="298">
                  <c:v>-240.30264045359743</c:v>
                </c:pt>
                <c:pt idx="299">
                  <c:v>-237.3970903675845</c:v>
                </c:pt>
                <c:pt idx="300">
                  <c:v>-233.51668225080658</c:v>
                </c:pt>
                <c:pt idx="301">
                  <c:v>-229.67233845090388</c:v>
                </c:pt>
                <c:pt idx="302">
                  <c:v>-225.85734539137815</c:v>
                </c:pt>
                <c:pt idx="303">
                  <c:v>-222.06525392102708</c:v>
                </c:pt>
                <c:pt idx="304">
                  <c:v>-218.28982604491293</c:v>
                </c:pt>
                <c:pt idx="305">
                  <c:v>-214.52498605298189</c:v>
                </c:pt>
                <c:pt idx="306">
                  <c:v>-210.76477505979065</c:v>
                </c:pt>
                <c:pt idx="307">
                  <c:v>-207.00330809794397</c:v>
                </c:pt>
                <c:pt idx="308">
                  <c:v>-203.2347330047526</c:v>
                </c:pt>
                <c:pt idx="309">
                  <c:v>-199.45319041207813</c:v>
                </c:pt>
                <c:pt idx="310">
                  <c:v>-195.65277419624792</c:v>
                </c:pt>
                <c:pt idx="311">
                  <c:v>-191.82749177213461</c:v>
                </c:pt>
                <c:pt idx="312">
                  <c:v>-187.9712236255794</c:v>
                </c:pt>
                <c:pt idx="313">
                  <c:v>-184.07768146956991</c:v>
                </c:pt>
                <c:pt idx="314">
                  <c:v>-180.14036438583545</c:v>
                </c:pt>
                <c:pt idx="315">
                  <c:v>-176.15251227041995</c:v>
                </c:pt>
                <c:pt idx="316">
                  <c:v>-172.09341702267838</c:v>
                </c:pt>
                <c:pt idx="317">
                  <c:v>-167.9488464770086</c:v>
                </c:pt>
                <c:pt idx="318">
                  <c:v>-163.73818172173145</c:v>
                </c:pt>
                <c:pt idx="319">
                  <c:v>-159.45335159955209</c:v>
                </c:pt>
                <c:pt idx="320">
                  <c:v>-155.08576032828506</c:v>
                </c:pt>
                <c:pt idx="321">
                  <c:v>-150.62620926479048</c:v>
                </c:pt>
                <c:pt idx="322">
                  <c:v>-146.06480861694379</c:v>
                </c:pt>
                <c:pt idx="323">
                  <c:v>-141.39087717562239</c:v>
                </c:pt>
                <c:pt idx="324">
                  <c:v>-136.5928277547381</c:v>
                </c:pt>
                <c:pt idx="325">
                  <c:v>-133.34709135964962</c:v>
                </c:pt>
                <c:pt idx="326">
                  <c:v>-128.43215998368302</c:v>
                </c:pt>
                <c:pt idx="327">
                  <c:v>-123.61455686129588</c:v>
                </c:pt>
                <c:pt idx="328">
                  <c:v>-118.88827936149973</c:v>
                </c:pt>
                <c:pt idx="329">
                  <c:v>-114.24759724460279</c:v>
                </c:pt>
                <c:pt idx="330">
                  <c:v>-109.68710613047743</c:v>
                </c:pt>
                <c:pt idx="331">
                  <c:v>-105.20169905434231</c:v>
                </c:pt>
                <c:pt idx="332">
                  <c:v>-100.7865406162521</c:v>
                </c:pt>
                <c:pt idx="333">
                  <c:v>-98.24983138612221</c:v>
                </c:pt>
                <c:pt idx="334">
                  <c:v>-93.960325457508276</c:v>
                </c:pt>
                <c:pt idx="335">
                  <c:v>-89.727942463979403</c:v>
                </c:pt>
                <c:pt idx="336">
                  <c:v>-85.799446827207063</c:v>
                </c:pt>
                <c:pt idx="337">
                  <c:v>-81.931003702422572</c:v>
                </c:pt>
                <c:pt idx="338">
                  <c:v>-78.108906788068836</c:v>
                </c:pt>
                <c:pt idx="339">
                  <c:v>-74.329835656838839</c:v>
                </c:pt>
                <c:pt idx="340">
                  <c:v>-70.590601058039368</c:v>
                </c:pt>
                <c:pt idx="341">
                  <c:v>-66.888133061681728</c:v>
                </c:pt>
                <c:pt idx="342">
                  <c:v>-63.219470007130703</c:v>
                </c:pt>
                <c:pt idx="343">
                  <c:v>-59.581748166640523</c:v>
                </c:pt>
                <c:pt idx="344">
                  <c:v>-55.972192042566206</c:v>
                </c:pt>
                <c:pt idx="345">
                  <c:v>-52.388105224382429</c:v>
                </c:pt>
                <c:pt idx="346">
                  <c:v>-48.826861737980309</c:v>
                </c:pt>
                <c:pt idx="347">
                  <c:v>-45.285897825170061</c:v>
                </c:pt>
                <c:pt idx="348">
                  <c:v>-41.762704095986329</c:v>
                </c:pt>
                <c:pt idx="349">
                  <c:v>-38.254818000329372</c:v>
                </c:pt>
                <c:pt idx="350">
                  <c:v>-34.759816568815204</c:v>
                </c:pt>
                <c:pt idx="351">
                  <c:v>-31.275309375409655</c:v>
                </c:pt>
                <c:pt idx="352">
                  <c:v>-27.798931676586822</c:v>
                </c:pt>
                <c:pt idx="353">
                  <c:v>-24.328337683440523</c:v>
                </c:pt>
                <c:pt idx="354">
                  <c:v>-20.861193924307834</c:v>
                </c:pt>
                <c:pt idx="355">
                  <c:v>-17.395172656182712</c:v>
                </c:pt>
                <c:pt idx="356">
                  <c:v>-13.927945283406061</c:v>
                </c:pt>
                <c:pt idx="357">
                  <c:v>-10.457175741888578</c:v>
                </c:pt>
                <c:pt idx="358">
                  <c:v>-6.9805138063725236</c:v>
                </c:pt>
                <c:pt idx="359">
                  <c:v>-3.4955882770385589</c:v>
                </c:pt>
                <c:pt idx="360">
                  <c:v>-1.0486259439183665E-13</c:v>
                </c:pt>
                <c:pt idx="36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35-104B-91C4-30CCC9729C73}"/>
            </c:ext>
          </c:extLst>
        </c:ser>
        <c:ser>
          <c:idx val="1"/>
          <c:order val="1"/>
          <c:tx>
            <c:v>goal</c:v>
          </c:tx>
          <c:spPr>
            <a:ln w="22225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x"/>
            <c:size val="7"/>
            <c:spPr>
              <a:noFill/>
              <a:ln w="15875">
                <a:solidFill>
                  <a:srgbClr val="FF0000"/>
                </a:solidFill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'Cross Section Analysis'!$B$119</c:f>
              <c:numCache>
                <c:formatCode>General</c:formatCode>
                <c:ptCount val="1"/>
                <c:pt idx="0">
                  <c:v>-100</c:v>
                </c:pt>
              </c:numCache>
            </c:numRef>
          </c:xVal>
          <c:yVal>
            <c:numRef>
              <c:f>'Cross Section Analysis'!$B$120</c:f>
              <c:numCache>
                <c:formatCode>General</c:formatCode>
                <c:ptCount val="1"/>
                <c:pt idx="0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35-104B-91C4-30CCC9729C73}"/>
            </c:ext>
          </c:extLst>
        </c:ser>
        <c:ser>
          <c:idx val="2"/>
          <c:order val="2"/>
          <c:tx>
            <c:v>goal_line</c:v>
          </c:tx>
          <c:spPr>
            <a:ln w="12700" cap="rnd">
              <a:solidFill>
                <a:schemeClr val="bg2">
                  <a:lumMod val="90000"/>
                </a:schemeClr>
              </a:solidFill>
              <a:prstDash val="sysDash"/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'Cross Section Analysis'!$H$124:$H$125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-15.839902502953633</c:v>
                </c:pt>
              </c:numCache>
            </c:numRef>
          </c:xVal>
          <c:yVal>
            <c:numRef>
              <c:f>'Cross Section Analysis'!$I$124:$I$125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55.439658760338347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335-104B-91C4-30CCC9729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P-M</a:t>
            </a:r>
            <a:endParaRPr lang="en-US" baseline="0"/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p_m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'Cross Section Analysis'!$R$129:$R$229</c:f>
              <c:numCache>
                <c:formatCode>General</c:formatCode>
                <c:ptCount val="101"/>
                <c:pt idx="0">
                  <c:v>0</c:v>
                </c:pt>
                <c:pt idx="1">
                  <c:v>#N/A</c:v>
                </c:pt>
                <c:pt idx="2">
                  <c:v>31.216914094959542</c:v>
                </c:pt>
                <c:pt idx="3">
                  <c:v>57.279625768621429</c:v>
                </c:pt>
                <c:pt idx="4">
                  <c:v>82.518119647496533</c:v>
                </c:pt>
                <c:pt idx="5">
                  <c:v>106.9391466789498</c:v>
                </c:pt>
                <c:pt idx="6">
                  <c:v>129.81978452680426</c:v>
                </c:pt>
                <c:pt idx="7">
                  <c:v>150.88678229083604</c:v>
                </c:pt>
                <c:pt idx="8">
                  <c:v>170.85432598616313</c:v>
                </c:pt>
                <c:pt idx="9">
                  <c:v>189.5934696608717</c:v>
                </c:pt>
                <c:pt idx="10">
                  <c:v>207.50118110422</c:v>
                </c:pt>
                <c:pt idx="11">
                  <c:v>225.27109307549918</c:v>
                </c:pt>
                <c:pt idx="12">
                  <c:v>243.09828026984562</c:v>
                </c:pt>
                <c:pt idx="13">
                  <c:v>260.97326578706316</c:v>
                </c:pt>
                <c:pt idx="14">
                  <c:v>278.88324292818601</c:v>
                </c:pt>
                <c:pt idx="15">
                  <c:v>296.81183381218642</c:v>
                </c:pt>
                <c:pt idx="16">
                  <c:v>314.73898997060405</c:v>
                </c:pt>
                <c:pt idx="17">
                  <c:v>332.6410626441438</c:v>
                </c:pt>
                <c:pt idx="18">
                  <c:v>350.49105424391979</c:v>
                </c:pt>
                <c:pt idx="19">
                  <c:v>368.25904255886331</c:v>
                </c:pt>
                <c:pt idx="20">
                  <c:v>385.91274951720595</c:v>
                </c:pt>
                <c:pt idx="21">
                  <c:v>403.2465981954648</c:v>
                </c:pt>
                <c:pt idx="22">
                  <c:v>420.52806451645461</c:v>
                </c:pt>
                <c:pt idx="23">
                  <c:v>436.61836160424235</c:v>
                </c:pt>
                <c:pt idx="24">
                  <c:v>451.24778617726639</c:v>
                </c:pt>
                <c:pt idx="25">
                  <c:v>465.2825502921421</c:v>
                </c:pt>
                <c:pt idx="26">
                  <c:v>479.62047470683723</c:v>
                </c:pt>
                <c:pt idx="27">
                  <c:v>490.94194521095363</c:v>
                </c:pt>
                <c:pt idx="28">
                  <c:v>494.76934391547928</c:v>
                </c:pt>
                <c:pt idx="29">
                  <c:v>498.22452968230749</c:v>
                </c:pt>
                <c:pt idx="30">
                  <c:v>498.76421568431186</c:v>
                </c:pt>
                <c:pt idx="31">
                  <c:v>499.2229487311476</c:v>
                </c:pt>
                <c:pt idx="32">
                  <c:v>499.48940679215485</c:v>
                </c:pt>
                <c:pt idx="33">
                  <c:v>499.52891466733439</c:v>
                </c:pt>
                <c:pt idx="34">
                  <c:v>499.29804178524068</c:v>
                </c:pt>
                <c:pt idx="35">
                  <c:v>498.12768915496588</c:v>
                </c:pt>
                <c:pt idx="36">
                  <c:v>496.74219362927101</c:v>
                </c:pt>
                <c:pt idx="37">
                  <c:v>494.60090865200448</c:v>
                </c:pt>
                <c:pt idx="38">
                  <c:v>491.30279451562751</c:v>
                </c:pt>
                <c:pt idx="39">
                  <c:v>487.07300210047964</c:v>
                </c:pt>
                <c:pt idx="40">
                  <c:v>481.33221053672804</c:v>
                </c:pt>
                <c:pt idx="41">
                  <c:v>477.73958976835877</c:v>
                </c:pt>
                <c:pt idx="42">
                  <c:v>477.69408371081272</c:v>
                </c:pt>
                <c:pt idx="43">
                  <c:v>477.54069122267998</c:v>
                </c:pt>
                <c:pt idx="44">
                  <c:v>477.26065176816672</c:v>
                </c:pt>
                <c:pt idx="45">
                  <c:v>476.83474135758814</c:v>
                </c:pt>
                <c:pt idx="46">
                  <c:v>475.1680529073833</c:v>
                </c:pt>
                <c:pt idx="47">
                  <c:v>474.39012951289681</c:v>
                </c:pt>
                <c:pt idx="48">
                  <c:v>473.19994865041735</c:v>
                </c:pt>
                <c:pt idx="49">
                  <c:v>471.58330484935635</c:v>
                </c:pt>
                <c:pt idx="50">
                  <c:v>469.72393855124886</c:v>
                </c:pt>
                <c:pt idx="51">
                  <c:v>467.60008700904837</c:v>
                </c:pt>
                <c:pt idx="52">
                  <c:v>465.19021736625791</c:v>
                </c:pt>
                <c:pt idx="53">
                  <c:v>462.47310666820567</c:v>
                </c:pt>
                <c:pt idx="54">
                  <c:v>459.42791383553441</c:v>
                </c:pt>
                <c:pt idx="55">
                  <c:v>456.03424316489026</c:v>
                </c:pt>
                <c:pt idx="56">
                  <c:v>452.27219915122987</c:v>
                </c:pt>
                <c:pt idx="57">
                  <c:v>448.12243263468781</c:v>
                </c:pt>
                <c:pt idx="58">
                  <c:v>443.56617845755994</c:v>
                </c:pt>
                <c:pt idx="59">
                  <c:v>438.54404799424918</c:v>
                </c:pt>
                <c:pt idx="60">
                  <c:v>432.89574701840252</c:v>
                </c:pt>
                <c:pt idx="61">
                  <c:v>426.59476028430782</c:v>
                </c:pt>
                <c:pt idx="62">
                  <c:v>419.80885132498503</c:v>
                </c:pt>
                <c:pt idx="63">
                  <c:v>412.52174672386889</c:v>
                </c:pt>
                <c:pt idx="64">
                  <c:v>404.71787835947828</c:v>
                </c:pt>
                <c:pt idx="65">
                  <c:v>396.38237236215781</c:v>
                </c:pt>
                <c:pt idx="66">
                  <c:v>387.50103410067788</c:v>
                </c:pt>
                <c:pt idx="67">
                  <c:v>378.06032990128625</c:v>
                </c:pt>
                <c:pt idx="68">
                  <c:v>367.78236714543056</c:v>
                </c:pt>
                <c:pt idx="69">
                  <c:v>356.55748561398946</c:v>
                </c:pt>
                <c:pt idx="70">
                  <c:v>344.83662993877209</c:v>
                </c:pt>
                <c:pt idx="71">
                  <c:v>332.4854362006397</c:v>
                </c:pt>
                <c:pt idx="72">
                  <c:v>319.49269711153789</c:v>
                </c:pt>
                <c:pt idx="73">
                  <c:v>305.79942675833144</c:v>
                </c:pt>
                <c:pt idx="74">
                  <c:v>290.99749842769694</c:v>
                </c:pt>
                <c:pt idx="75">
                  <c:v>275.27969384454184</c:v>
                </c:pt>
                <c:pt idx="76">
                  <c:v>258.86602296447677</c:v>
                </c:pt>
                <c:pt idx="77">
                  <c:v>0</c:v>
                </c:pt>
              </c:numCache>
            </c:numRef>
          </c:xVal>
          <c:yVal>
            <c:numRef>
              <c:f>'Cross Section Analysis'!$Q$129:$Q$229</c:f>
              <c:numCache>
                <c:formatCode>General</c:formatCode>
                <c:ptCount val="101"/>
                <c:pt idx="0">
                  <c:v>-685.79999999999984</c:v>
                </c:pt>
                <c:pt idx="1">
                  <c:v>-680.79999999999984</c:v>
                </c:pt>
                <c:pt idx="2">
                  <c:v>-649.13369333333321</c:v>
                </c:pt>
                <c:pt idx="3">
                  <c:v>-617.46738666666658</c:v>
                </c:pt>
                <c:pt idx="4">
                  <c:v>-585.80107999999996</c:v>
                </c:pt>
                <c:pt idx="5">
                  <c:v>-554.13477333333333</c:v>
                </c:pt>
                <c:pt idx="6">
                  <c:v>-522.4684666666667</c:v>
                </c:pt>
                <c:pt idx="7">
                  <c:v>-490.80216000000001</c:v>
                </c:pt>
                <c:pt idx="8">
                  <c:v>-459.13585333333333</c:v>
                </c:pt>
                <c:pt idx="9">
                  <c:v>-427.46954666666664</c:v>
                </c:pt>
                <c:pt idx="10">
                  <c:v>-395.80323999999996</c:v>
                </c:pt>
                <c:pt idx="11">
                  <c:v>-364.13693333333327</c:v>
                </c:pt>
                <c:pt idx="12">
                  <c:v>-332.47062666666659</c:v>
                </c:pt>
                <c:pt idx="13">
                  <c:v>-300.8043199999999</c:v>
                </c:pt>
                <c:pt idx="14">
                  <c:v>-269.13801333333322</c:v>
                </c:pt>
                <c:pt idx="15">
                  <c:v>-237.47170666666656</c:v>
                </c:pt>
                <c:pt idx="16">
                  <c:v>-205.80539999999991</c:v>
                </c:pt>
                <c:pt idx="17">
                  <c:v>-174.13909333333325</c:v>
                </c:pt>
                <c:pt idx="18">
                  <c:v>-142.47278666666659</c:v>
                </c:pt>
                <c:pt idx="19">
                  <c:v>-110.80647999999994</c:v>
                </c:pt>
                <c:pt idx="20">
                  <c:v>-79.14017333333328</c:v>
                </c:pt>
                <c:pt idx="21">
                  <c:v>-47.473866666666616</c:v>
                </c:pt>
                <c:pt idx="22">
                  <c:v>-15.807559999999953</c:v>
                </c:pt>
                <c:pt idx="23">
                  <c:v>15.858746666666711</c:v>
                </c:pt>
                <c:pt idx="24">
                  <c:v>47.525053333333375</c:v>
                </c:pt>
                <c:pt idx="25">
                  <c:v>79.191360000000032</c:v>
                </c:pt>
                <c:pt idx="26">
                  <c:v>110.85766666666669</c:v>
                </c:pt>
                <c:pt idx="27">
                  <c:v>142.52397333333334</c:v>
                </c:pt>
                <c:pt idx="28">
                  <c:v>174.19028</c:v>
                </c:pt>
                <c:pt idx="29">
                  <c:v>205.85658666666666</c:v>
                </c:pt>
                <c:pt idx="30">
                  <c:v>237.52289333333331</c:v>
                </c:pt>
                <c:pt idx="31">
                  <c:v>269.18919999999997</c:v>
                </c:pt>
                <c:pt idx="32">
                  <c:v>300.85550666666666</c:v>
                </c:pt>
                <c:pt idx="33">
                  <c:v>332.52181333333334</c:v>
                </c:pt>
                <c:pt idx="34">
                  <c:v>364.18812000000003</c:v>
                </c:pt>
                <c:pt idx="35">
                  <c:v>395.85442666666671</c:v>
                </c:pt>
                <c:pt idx="36">
                  <c:v>427.5207333333334</c:v>
                </c:pt>
                <c:pt idx="37">
                  <c:v>459.18704000000008</c:v>
                </c:pt>
                <c:pt idx="38">
                  <c:v>490.85334666666677</c:v>
                </c:pt>
                <c:pt idx="39">
                  <c:v>522.51965333333339</c:v>
                </c:pt>
                <c:pt idx="40">
                  <c:v>554.18596000000002</c:v>
                </c:pt>
                <c:pt idx="41">
                  <c:v>585.85226666666665</c:v>
                </c:pt>
                <c:pt idx="42">
                  <c:v>617.51857333333328</c:v>
                </c:pt>
                <c:pt idx="43">
                  <c:v>649.18487999999991</c:v>
                </c:pt>
                <c:pt idx="44">
                  <c:v>680.85118666666654</c:v>
                </c:pt>
                <c:pt idx="45">
                  <c:v>712.51749333333316</c:v>
                </c:pt>
                <c:pt idx="46">
                  <c:v>744.18379999999979</c:v>
                </c:pt>
                <c:pt idx="47">
                  <c:v>775.85010666666642</c:v>
                </c:pt>
                <c:pt idx="48">
                  <c:v>807.51641333333305</c:v>
                </c:pt>
                <c:pt idx="49">
                  <c:v>839.18271999999968</c:v>
                </c:pt>
                <c:pt idx="50">
                  <c:v>870.8490266666663</c:v>
                </c:pt>
                <c:pt idx="51">
                  <c:v>902.51533333333293</c:v>
                </c:pt>
                <c:pt idx="52">
                  <c:v>934.18163999999956</c:v>
                </c:pt>
                <c:pt idx="53">
                  <c:v>965.84794666666619</c:v>
                </c:pt>
                <c:pt idx="54">
                  <c:v>997.51425333333282</c:v>
                </c:pt>
                <c:pt idx="55">
                  <c:v>1029.1805599999996</c:v>
                </c:pt>
                <c:pt idx="56">
                  <c:v>1060.8468666666663</c:v>
                </c:pt>
                <c:pt idx="57">
                  <c:v>1092.513173333333</c:v>
                </c:pt>
                <c:pt idx="58">
                  <c:v>1124.1794799999998</c:v>
                </c:pt>
                <c:pt idx="59">
                  <c:v>1155.8457866666665</c:v>
                </c:pt>
                <c:pt idx="60">
                  <c:v>1187.5120933333333</c:v>
                </c:pt>
                <c:pt idx="61">
                  <c:v>1219.1784</c:v>
                </c:pt>
                <c:pt idx="62">
                  <c:v>1250.8447066666668</c:v>
                </c:pt>
                <c:pt idx="63">
                  <c:v>1282.5110133333335</c:v>
                </c:pt>
                <c:pt idx="64">
                  <c:v>1314.1773200000002</c:v>
                </c:pt>
                <c:pt idx="65">
                  <c:v>1345.843626666667</c:v>
                </c:pt>
                <c:pt idx="66">
                  <c:v>1377.5099333333337</c:v>
                </c:pt>
                <c:pt idx="67">
                  <c:v>1409.1762400000005</c:v>
                </c:pt>
                <c:pt idx="68">
                  <c:v>1440.8425466666672</c:v>
                </c:pt>
                <c:pt idx="69">
                  <c:v>1472.5088533333339</c:v>
                </c:pt>
                <c:pt idx="70">
                  <c:v>1504.1751600000007</c:v>
                </c:pt>
                <c:pt idx="71">
                  <c:v>1535.8414666666674</c:v>
                </c:pt>
                <c:pt idx="72">
                  <c:v>1567.5077733333342</c:v>
                </c:pt>
                <c:pt idx="73">
                  <c:v>1599.1740800000009</c:v>
                </c:pt>
                <c:pt idx="74">
                  <c:v>1630.8403866666677</c:v>
                </c:pt>
                <c:pt idx="75">
                  <c:v>1662.5066933333344</c:v>
                </c:pt>
                <c:pt idx="76">
                  <c:v>1694.1730000000011</c:v>
                </c:pt>
                <c:pt idx="77">
                  <c:v>1694.1730000000011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88-45A8-82B1-F1E57D0B9DAF}"/>
            </c:ext>
          </c:extLst>
        </c:ser>
        <c:ser>
          <c:idx val="1"/>
          <c:order val="1"/>
          <c:tx>
            <c:v>goal</c:v>
          </c:tx>
          <c:spPr>
            <a:ln w="22225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x"/>
            <c:size val="9"/>
            <c:spPr>
              <a:noFill/>
              <a:ln w="15875">
                <a:solidFill>
                  <a:srgbClr val="FF0000"/>
                </a:solidFill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'Cross Section Analysis'!$E$120</c:f>
              <c:numCache>
                <c:formatCode>General</c:formatCode>
                <c:ptCount val="1"/>
                <c:pt idx="0">
                  <c:v>364.0054944640259</c:v>
                </c:pt>
              </c:numCache>
            </c:numRef>
          </c:xVal>
          <c:yVal>
            <c:numRef>
              <c:f>'Cross Section Analysis'!$D$120</c:f>
              <c:numCache>
                <c:formatCode>General</c:formatCode>
                <c:ptCount val="1"/>
                <c:pt idx="0">
                  <c:v>-617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88-45A8-82B1-F1E57D0B9DAF}"/>
            </c:ext>
          </c:extLst>
        </c:ser>
        <c:ser>
          <c:idx val="2"/>
          <c:order val="2"/>
          <c:tx>
            <c:v>goal_line</c:v>
          </c:tx>
          <c:spPr>
            <a:ln w="12700" cap="rnd">
              <a:solidFill>
                <a:schemeClr val="accent3"/>
              </a:solidFill>
              <a:prstDash val="sysDash"/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solidFill>
                  <a:schemeClr val="accent2">
                    <a:lumMod val="40000"/>
                    <a:lumOff val="60000"/>
                  </a:schemeClr>
                </a:solidFill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'Cross Section Analysis'!$R$122:$R$124</c:f>
              <c:numCache>
                <c:formatCode>General</c:formatCode>
                <c:ptCount val="3"/>
                <c:pt idx="0">
                  <c:v>364.0054944640259</c:v>
                </c:pt>
                <c:pt idx="1">
                  <c:v>57.658115428496593</c:v>
                </c:pt>
              </c:numCache>
            </c:numRef>
          </c:xVal>
          <c:yVal>
            <c:numRef>
              <c:f>'Cross Section Analysis'!$Q$122:$Q$124</c:f>
              <c:numCache>
                <c:formatCode>General</c:formatCode>
                <c:ptCount val="3"/>
                <c:pt idx="0">
                  <c:v>-617</c:v>
                </c:pt>
                <c:pt idx="1">
                  <c:v>-617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88-45A8-82B1-F1E57D0B9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504826</xdr:colOff>
      <xdr:row>0</xdr:row>
      <xdr:rowOff>123825</xdr:rowOff>
    </xdr:from>
    <xdr:to>
      <xdr:col>18</xdr:col>
      <xdr:colOff>133351</xdr:colOff>
      <xdr:row>33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838201</xdr:colOff>
      <xdr:row>44</xdr:row>
      <xdr:rowOff>150187</xdr:rowOff>
    </xdr:from>
    <xdr:to>
      <xdr:col>18</xdr:col>
      <xdr:colOff>209550</xdr:colOff>
      <xdr:row>78</xdr:row>
      <xdr:rowOff>152401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25400</xdr:colOff>
      <xdr:row>116</xdr:row>
      <xdr:rowOff>152400</xdr:rowOff>
    </xdr:from>
    <xdr:to>
      <xdr:col>5</xdr:col>
      <xdr:colOff>698500</xdr:colOff>
      <xdr:row>120</xdr:row>
      <xdr:rowOff>0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771525</xdr:colOff>
          <xdr:row>121</xdr:row>
          <xdr:rowOff>66675</xdr:rowOff>
        </xdr:from>
        <xdr:to>
          <xdr:col>2</xdr:col>
          <xdr:colOff>885825</xdr:colOff>
          <xdr:row>126</xdr:row>
          <xdr:rowOff>47625</xdr:rowOff>
        </xdr:to>
        <xdr:sp macro="" textlink="">
          <xdr:nvSpPr>
            <xdr:cNvPr id="1027" name="Button 3" descr="Attempt to Find&#10;Interaction point for Goal&#10;(Form Button)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to find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Interaction point for Goal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(Form Button)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234950</xdr:colOff>
      <xdr:row>127</xdr:row>
      <xdr:rowOff>69850</xdr:rowOff>
    </xdr:from>
    <xdr:to>
      <xdr:col>14</xdr:col>
      <xdr:colOff>660400</xdr:colOff>
      <xdr:row>170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121</xdr:row>
          <xdr:rowOff>47625</xdr:rowOff>
        </xdr:from>
        <xdr:to>
          <xdr:col>5</xdr:col>
          <xdr:colOff>1152525</xdr:colOff>
          <xdr:row>126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try to build mx vs 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121</xdr:row>
          <xdr:rowOff>152400</xdr:rowOff>
        </xdr:from>
        <xdr:to>
          <xdr:col>13</xdr:col>
          <xdr:colOff>342900</xdr:colOff>
          <xdr:row>125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a P-M curve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314325</xdr:colOff>
      <xdr:row>171</xdr:row>
      <xdr:rowOff>142875</xdr:rowOff>
    </xdr:from>
    <xdr:to>
      <xdr:col>15</xdr:col>
      <xdr:colOff>82550</xdr:colOff>
      <xdr:row>215</xdr:row>
      <xdr:rowOff>22225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F3883-D7DC-4528-8AF2-C728ADB69584}">
  <sheetPr codeName="Sheet1"/>
  <dimension ref="A1:Z490"/>
  <sheetViews>
    <sheetView tabSelected="1" topLeftCell="A96" workbookViewId="0">
      <selection activeCell="O122" sqref="O122"/>
    </sheetView>
  </sheetViews>
  <sheetFormatPr defaultColWidth="8.85546875" defaultRowHeight="15" x14ac:dyDescent="0.25"/>
  <cols>
    <col min="1" max="1" width="16.42578125" customWidth="1"/>
    <col min="2" max="2" width="18.42578125" bestFit="1" customWidth="1"/>
    <col min="3" max="3" width="13.85546875" customWidth="1"/>
    <col min="4" max="4" width="10.7109375" customWidth="1"/>
    <col min="5" max="5" width="10.42578125" customWidth="1"/>
    <col min="6" max="6" width="19.85546875" customWidth="1"/>
    <col min="7" max="7" width="12.42578125" bestFit="1" customWidth="1"/>
    <col min="8" max="8" width="14.42578125" bestFit="1" customWidth="1"/>
    <col min="9" max="9" width="13.42578125" bestFit="1" customWidth="1"/>
    <col min="10" max="10" width="10.140625" customWidth="1"/>
    <col min="11" max="11" width="11.7109375" customWidth="1"/>
    <col min="14" max="14" width="12.42578125" customWidth="1"/>
  </cols>
  <sheetData>
    <row r="1" spans="1:8" x14ac:dyDescent="0.25">
      <c r="D1" t="s">
        <v>7</v>
      </c>
      <c r="G1" t="s">
        <v>14</v>
      </c>
    </row>
    <row r="2" spans="1:8" x14ac:dyDescent="0.25">
      <c r="A2" s="2" t="s">
        <v>4</v>
      </c>
      <c r="B2" s="6">
        <v>5</v>
      </c>
      <c r="C2" t="s">
        <v>5</v>
      </c>
      <c r="D2" s="1" t="s">
        <v>0</v>
      </c>
      <c r="E2" s="1" t="s">
        <v>1</v>
      </c>
      <c r="G2" t="s">
        <v>0</v>
      </c>
      <c r="H2" t="s">
        <v>1</v>
      </c>
    </row>
    <row r="3" spans="1:8" x14ac:dyDescent="0.25">
      <c r="A3" s="2" t="s">
        <v>13</v>
      </c>
      <c r="B3" s="5">
        <f>(POWER(145,1.5)*33*SQRT(1000*B2))/1000</f>
        <v>4074.2806880478911</v>
      </c>
      <c r="C3" t="s">
        <v>5</v>
      </c>
      <c r="D3" s="8">
        <v>0</v>
      </c>
      <c r="E3" s="8">
        <v>0</v>
      </c>
      <c r="G3" s="9">
        <f>MAX(MAX(D3:D7),MAX(E3:E7))</f>
        <v>30</v>
      </c>
      <c r="H3" s="9">
        <f>G3</f>
        <v>30</v>
      </c>
    </row>
    <row r="4" spans="1:8" x14ac:dyDescent="0.25">
      <c r="A4" s="2" t="s">
        <v>35</v>
      </c>
      <c r="B4" s="1">
        <f>IF(B2&lt;=4,0.85,IF(B2&lt;=8,0.85 - ((0.05*(B2-4))/1),0.65))</f>
        <v>0.79999999999999993</v>
      </c>
      <c r="D4" s="8">
        <f>B5</f>
        <v>20</v>
      </c>
      <c r="E4" s="8">
        <v>0</v>
      </c>
      <c r="G4">
        <v>-1</v>
      </c>
      <c r="H4">
        <v>-1</v>
      </c>
    </row>
    <row r="5" spans="1:8" x14ac:dyDescent="0.25">
      <c r="A5" s="2" t="s">
        <v>2</v>
      </c>
      <c r="B5" s="6">
        <v>20</v>
      </c>
      <c r="C5" t="s">
        <v>6</v>
      </c>
      <c r="D5" s="8">
        <f>B5</f>
        <v>20</v>
      </c>
      <c r="E5" s="8">
        <f>B6</f>
        <v>30</v>
      </c>
      <c r="G5" t="s">
        <v>33</v>
      </c>
    </row>
    <row r="6" spans="1:8" x14ac:dyDescent="0.25">
      <c r="A6" s="2" t="s">
        <v>3</v>
      </c>
      <c r="B6" s="6">
        <v>30</v>
      </c>
      <c r="C6" t="s">
        <v>6</v>
      </c>
      <c r="D6" s="8">
        <v>0</v>
      </c>
      <c r="E6" s="8">
        <f>B6</f>
        <v>30</v>
      </c>
      <c r="G6" t="s">
        <v>0</v>
      </c>
      <c r="H6" t="s">
        <v>1</v>
      </c>
    </row>
    <row r="7" spans="1:8" x14ac:dyDescent="0.25">
      <c r="D7" s="8">
        <v>0</v>
      </c>
      <c r="E7" s="8">
        <v>0</v>
      </c>
      <c r="G7">
        <f>B5/2</f>
        <v>10</v>
      </c>
      <c r="H7">
        <f>B6/2</f>
        <v>15</v>
      </c>
    </row>
    <row r="9" spans="1:8" x14ac:dyDescent="0.25">
      <c r="A9" t="s">
        <v>8</v>
      </c>
    </row>
    <row r="10" spans="1:8" x14ac:dyDescent="0.25">
      <c r="A10" t="s">
        <v>9</v>
      </c>
      <c r="B10" s="6">
        <v>60</v>
      </c>
      <c r="C10" t="s">
        <v>5</v>
      </c>
    </row>
    <row r="11" spans="1:8" x14ac:dyDescent="0.25">
      <c r="A11" t="s">
        <v>12</v>
      </c>
      <c r="B11" s="5">
        <v>30000</v>
      </c>
      <c r="C11" t="s">
        <v>5</v>
      </c>
    </row>
    <row r="12" spans="1:8" x14ac:dyDescent="0.25">
      <c r="B12" s="1" t="s">
        <v>10</v>
      </c>
      <c r="C12" t="s">
        <v>11</v>
      </c>
      <c r="D12" s="1" t="s">
        <v>0</v>
      </c>
      <c r="E12" s="1" t="s">
        <v>1</v>
      </c>
    </row>
    <row r="13" spans="1:8" x14ac:dyDescent="0.25">
      <c r="A13">
        <v>1</v>
      </c>
      <c r="B13" s="3">
        <v>10</v>
      </c>
      <c r="C13" s="7">
        <f ca="1">OFFSET(Reference!A$1,MATCH('Cross Section Analysis'!B13,Reference!A$1:A$12,0)-1,2)</f>
        <v>1.27</v>
      </c>
      <c r="D13" s="6">
        <v>4</v>
      </c>
      <c r="E13" s="6">
        <v>4</v>
      </c>
    </row>
    <row r="14" spans="1:8" x14ac:dyDescent="0.25">
      <c r="A14">
        <v>2</v>
      </c>
      <c r="B14" s="3">
        <v>10</v>
      </c>
      <c r="C14" s="7">
        <f ca="1">OFFSET(Reference!A$1,MATCH('Cross Section Analysis'!B14,Reference!A$1:A$12,0)-1,2)</f>
        <v>1.27</v>
      </c>
      <c r="D14" s="6">
        <v>16</v>
      </c>
      <c r="E14" s="6">
        <v>4</v>
      </c>
    </row>
    <row r="15" spans="1:8" x14ac:dyDescent="0.25">
      <c r="A15">
        <v>3</v>
      </c>
      <c r="B15" s="3">
        <v>10</v>
      </c>
      <c r="C15" s="7">
        <f ca="1">OFFSET(Reference!A$1,MATCH('Cross Section Analysis'!B15,Reference!A$1:A$12,0)-1,2)</f>
        <v>1.27</v>
      </c>
      <c r="D15" s="6">
        <v>16</v>
      </c>
      <c r="E15" s="6">
        <v>26</v>
      </c>
    </row>
    <row r="16" spans="1:8" x14ac:dyDescent="0.25">
      <c r="A16">
        <v>4</v>
      </c>
      <c r="B16" s="3">
        <v>10</v>
      </c>
      <c r="C16" s="7">
        <f ca="1">OFFSET(Reference!A$1,MATCH('Cross Section Analysis'!B16,Reference!A$1:A$12,0)-1,2)</f>
        <v>1.27</v>
      </c>
      <c r="D16" s="6">
        <v>10</v>
      </c>
      <c r="E16" s="6">
        <v>26</v>
      </c>
    </row>
    <row r="17" spans="1:5" x14ac:dyDescent="0.25">
      <c r="A17">
        <v>5</v>
      </c>
      <c r="B17" s="3">
        <v>10</v>
      </c>
      <c r="C17" s="7">
        <f ca="1">OFFSET(Reference!A$1,MATCH('Cross Section Analysis'!B17,Reference!A$1:A$12,0)-1,2)</f>
        <v>1.27</v>
      </c>
      <c r="D17" s="6">
        <v>4</v>
      </c>
      <c r="E17" s="6">
        <v>26</v>
      </c>
    </row>
    <row r="18" spans="1:5" x14ac:dyDescent="0.25">
      <c r="A18">
        <v>6</v>
      </c>
      <c r="B18" s="3">
        <v>10</v>
      </c>
      <c r="C18" s="7">
        <f ca="1">OFFSET(Reference!A$1,MATCH('Cross Section Analysis'!B18,Reference!A$1:A$12,0)-1,2)</f>
        <v>1.27</v>
      </c>
      <c r="D18" s="4">
        <v>10</v>
      </c>
      <c r="E18" s="4">
        <v>4</v>
      </c>
    </row>
    <row r="19" spans="1:5" x14ac:dyDescent="0.25">
      <c r="A19">
        <v>7</v>
      </c>
      <c r="B19" s="3">
        <v>10</v>
      </c>
      <c r="C19" s="7">
        <f ca="1">OFFSET(Reference!A$1,MATCH('Cross Section Analysis'!B19,Reference!A$1:A$12,0)-1,2)</f>
        <v>1.27</v>
      </c>
      <c r="D19" s="4">
        <v>4</v>
      </c>
      <c r="E19" s="4">
        <v>11.33333</v>
      </c>
    </row>
    <row r="20" spans="1:5" x14ac:dyDescent="0.25">
      <c r="A20">
        <v>8</v>
      </c>
      <c r="B20" s="3">
        <v>10</v>
      </c>
      <c r="C20" s="7">
        <f ca="1">OFFSET(Reference!A$1,MATCH('Cross Section Analysis'!B20,Reference!A$1:A$12,0)-1,2)</f>
        <v>1.27</v>
      </c>
      <c r="D20" s="4">
        <v>4</v>
      </c>
      <c r="E20" s="4">
        <v>18.66666</v>
      </c>
    </row>
    <row r="21" spans="1:5" x14ac:dyDescent="0.25">
      <c r="A21">
        <v>9</v>
      </c>
      <c r="B21" s="3">
        <v>10</v>
      </c>
      <c r="C21" s="7">
        <f ca="1">OFFSET(Reference!A$1,MATCH('Cross Section Analysis'!B21,Reference!A$1:A$12,0)-1,2)</f>
        <v>1.27</v>
      </c>
      <c r="D21" s="4">
        <v>16</v>
      </c>
      <c r="E21" s="4">
        <v>11.33333</v>
      </c>
    </row>
    <row r="22" spans="1:5" x14ac:dyDescent="0.25">
      <c r="A22">
        <v>10</v>
      </c>
      <c r="B22" s="3">
        <v>10</v>
      </c>
      <c r="C22" s="7">
        <f ca="1">OFFSET(Reference!A$1,MATCH('Cross Section Analysis'!B22,Reference!A$1:A$12,0)-1,2)</f>
        <v>1.27</v>
      </c>
      <c r="D22" s="4">
        <v>16</v>
      </c>
      <c r="E22" s="4">
        <v>18.66666</v>
      </c>
    </row>
    <row r="23" spans="1:5" x14ac:dyDescent="0.25">
      <c r="A23">
        <v>11</v>
      </c>
      <c r="B23" s="3">
        <v>0</v>
      </c>
      <c r="C23" s="7">
        <f ca="1">OFFSET(Reference!A$1,MATCH('Cross Section Analysis'!B23,Reference!A$1:A$12,0)-1,2)</f>
        <v>0</v>
      </c>
      <c r="D23" s="4"/>
      <c r="E23" s="4"/>
    </row>
    <row r="24" spans="1:5" x14ac:dyDescent="0.25">
      <c r="A24">
        <v>12</v>
      </c>
      <c r="B24" s="3">
        <v>0</v>
      </c>
      <c r="C24" s="7">
        <f ca="1">OFFSET(Reference!A$1,MATCH('Cross Section Analysis'!B24,Reference!A$1:A$12,0)-1,2)</f>
        <v>0</v>
      </c>
      <c r="D24" s="4"/>
      <c r="E24" s="4"/>
    </row>
    <row r="26" spans="1:5" x14ac:dyDescent="0.25">
      <c r="A26" s="31" t="s">
        <v>15</v>
      </c>
    </row>
    <row r="27" spans="1:5" x14ac:dyDescent="0.25">
      <c r="A27" s="2" t="s">
        <v>16</v>
      </c>
    </row>
    <row r="28" spans="1:5" x14ac:dyDescent="0.25">
      <c r="A28" s="2" t="s">
        <v>17</v>
      </c>
      <c r="B28">
        <f>B5*B6</f>
        <v>600</v>
      </c>
      <c r="C28" t="s">
        <v>18</v>
      </c>
    </row>
    <row r="29" spans="1:5" x14ac:dyDescent="0.25">
      <c r="A29" s="2" t="s">
        <v>19</v>
      </c>
      <c r="B29">
        <f>B28*B2</f>
        <v>3000</v>
      </c>
      <c r="C29" t="s">
        <v>20</v>
      </c>
    </row>
    <row r="30" spans="1:5" x14ac:dyDescent="0.25">
      <c r="A30" s="2" t="s">
        <v>21</v>
      </c>
      <c r="B30">
        <f>B29*(B6/2)</f>
        <v>45000</v>
      </c>
      <c r="C30" t="s">
        <v>23</v>
      </c>
    </row>
    <row r="31" spans="1:5" x14ac:dyDescent="0.25">
      <c r="A31" s="2" t="s">
        <v>22</v>
      </c>
      <c r="B31">
        <f>B29*(B5/2)</f>
        <v>30000</v>
      </c>
      <c r="C31" t="s">
        <v>23</v>
      </c>
    </row>
    <row r="33" spans="1:6" x14ac:dyDescent="0.25">
      <c r="A33" s="2" t="s">
        <v>24</v>
      </c>
      <c r="C33" s="1" t="s">
        <v>71</v>
      </c>
      <c r="D33" s="1" t="s">
        <v>25</v>
      </c>
      <c r="E33" s="1" t="s">
        <v>26</v>
      </c>
      <c r="F33" s="1" t="s">
        <v>27</v>
      </c>
    </row>
    <row r="34" spans="1:6" x14ac:dyDescent="0.25">
      <c r="A34">
        <f>A13</f>
        <v>1</v>
      </c>
      <c r="B34" s="10">
        <f ca="1">C13</f>
        <v>1.27</v>
      </c>
      <c r="C34" s="9">
        <f>($B$10-($B$2))</f>
        <v>55</v>
      </c>
      <c r="D34" s="9">
        <f ca="1">B34*C34</f>
        <v>69.849999999999994</v>
      </c>
      <c r="E34" s="9">
        <f ca="1">D34*E13</f>
        <v>279.39999999999998</v>
      </c>
      <c r="F34" s="9">
        <f ca="1">D34*D13</f>
        <v>279.39999999999998</v>
      </c>
    </row>
    <row r="35" spans="1:6" x14ac:dyDescent="0.25">
      <c r="A35">
        <f t="shared" ref="A35:A45" si="0">A14</f>
        <v>2</v>
      </c>
      <c r="B35" s="10">
        <f t="shared" ref="B35:B45" ca="1" si="1">C14</f>
        <v>1.27</v>
      </c>
      <c r="C35" s="9">
        <f t="shared" ref="C35:C45" si="2">($B$10-($B$2))</f>
        <v>55</v>
      </c>
      <c r="D35" s="9">
        <f t="shared" ref="D35:D45" ca="1" si="3">B35*C35</f>
        <v>69.849999999999994</v>
      </c>
      <c r="E35" s="9">
        <f t="shared" ref="E35:E45" ca="1" si="4">D35*E14</f>
        <v>279.39999999999998</v>
      </c>
      <c r="F35" s="9">
        <f t="shared" ref="F35:F45" ca="1" si="5">D35*D14</f>
        <v>1117.5999999999999</v>
      </c>
    </row>
    <row r="36" spans="1:6" x14ac:dyDescent="0.25">
      <c r="A36">
        <f t="shared" si="0"/>
        <v>3</v>
      </c>
      <c r="B36" s="10">
        <f t="shared" ca="1" si="1"/>
        <v>1.27</v>
      </c>
      <c r="C36" s="9">
        <f t="shared" si="2"/>
        <v>55</v>
      </c>
      <c r="D36" s="9">
        <f t="shared" ca="1" si="3"/>
        <v>69.849999999999994</v>
      </c>
      <c r="E36" s="9">
        <f t="shared" ca="1" si="4"/>
        <v>1816.1</v>
      </c>
      <c r="F36" s="9">
        <f t="shared" ca="1" si="5"/>
        <v>1117.5999999999999</v>
      </c>
    </row>
    <row r="37" spans="1:6" x14ac:dyDescent="0.25">
      <c r="A37">
        <f t="shared" si="0"/>
        <v>4</v>
      </c>
      <c r="B37" s="10">
        <f t="shared" ca="1" si="1"/>
        <v>1.27</v>
      </c>
      <c r="C37" s="9">
        <f t="shared" si="2"/>
        <v>55</v>
      </c>
      <c r="D37" s="9">
        <f t="shared" ca="1" si="3"/>
        <v>69.849999999999994</v>
      </c>
      <c r="E37" s="9">
        <f t="shared" ca="1" si="4"/>
        <v>1816.1</v>
      </c>
      <c r="F37" s="9">
        <f t="shared" ca="1" si="5"/>
        <v>698.5</v>
      </c>
    </row>
    <row r="38" spans="1:6" x14ac:dyDescent="0.25">
      <c r="A38">
        <f t="shared" si="0"/>
        <v>5</v>
      </c>
      <c r="B38" s="10">
        <f t="shared" ca="1" si="1"/>
        <v>1.27</v>
      </c>
      <c r="C38" s="9">
        <f t="shared" si="2"/>
        <v>55</v>
      </c>
      <c r="D38" s="9">
        <f t="shared" ca="1" si="3"/>
        <v>69.849999999999994</v>
      </c>
      <c r="E38" s="9">
        <f t="shared" ca="1" si="4"/>
        <v>1816.1</v>
      </c>
      <c r="F38" s="9">
        <f t="shared" ca="1" si="5"/>
        <v>279.39999999999998</v>
      </c>
    </row>
    <row r="39" spans="1:6" x14ac:dyDescent="0.25">
      <c r="A39">
        <f t="shared" si="0"/>
        <v>6</v>
      </c>
      <c r="B39" s="10">
        <f t="shared" ca="1" si="1"/>
        <v>1.27</v>
      </c>
      <c r="C39" s="9">
        <f t="shared" si="2"/>
        <v>55</v>
      </c>
      <c r="D39" s="9">
        <f t="shared" ca="1" si="3"/>
        <v>69.849999999999994</v>
      </c>
      <c r="E39" s="9">
        <f t="shared" ca="1" si="4"/>
        <v>279.39999999999998</v>
      </c>
      <c r="F39" s="9">
        <f t="shared" ca="1" si="5"/>
        <v>698.5</v>
      </c>
    </row>
    <row r="40" spans="1:6" x14ac:dyDescent="0.25">
      <c r="A40">
        <f t="shared" si="0"/>
        <v>7</v>
      </c>
      <c r="B40" s="10">
        <f t="shared" ca="1" si="1"/>
        <v>1.27</v>
      </c>
      <c r="C40" s="9">
        <f t="shared" si="2"/>
        <v>55</v>
      </c>
      <c r="D40" s="9">
        <f t="shared" ca="1" si="3"/>
        <v>69.849999999999994</v>
      </c>
      <c r="E40" s="9">
        <f ca="1">D40*E19</f>
        <v>791.63310049999995</v>
      </c>
      <c r="F40" s="9">
        <f t="shared" ca="1" si="5"/>
        <v>279.39999999999998</v>
      </c>
    </row>
    <row r="41" spans="1:6" x14ac:dyDescent="0.25">
      <c r="A41">
        <f t="shared" si="0"/>
        <v>8</v>
      </c>
      <c r="B41" s="10">
        <f t="shared" ca="1" si="1"/>
        <v>1.27</v>
      </c>
      <c r="C41" s="9">
        <f t="shared" si="2"/>
        <v>55</v>
      </c>
      <c r="D41" s="9">
        <f t="shared" ca="1" si="3"/>
        <v>69.849999999999994</v>
      </c>
      <c r="E41" s="9">
        <f t="shared" ca="1" si="4"/>
        <v>1303.8662009999998</v>
      </c>
      <c r="F41" s="9">
        <f t="shared" ca="1" si="5"/>
        <v>279.39999999999998</v>
      </c>
    </row>
    <row r="42" spans="1:6" x14ac:dyDescent="0.25">
      <c r="A42">
        <f t="shared" si="0"/>
        <v>9</v>
      </c>
      <c r="B42" s="10">
        <f t="shared" ca="1" si="1"/>
        <v>1.27</v>
      </c>
      <c r="C42" s="9">
        <f t="shared" si="2"/>
        <v>55</v>
      </c>
      <c r="D42" s="9">
        <f t="shared" ca="1" si="3"/>
        <v>69.849999999999994</v>
      </c>
      <c r="E42" s="9">
        <f t="shared" ca="1" si="4"/>
        <v>791.63310049999995</v>
      </c>
      <c r="F42" s="9">
        <f t="shared" ca="1" si="5"/>
        <v>1117.5999999999999</v>
      </c>
    </row>
    <row r="43" spans="1:6" x14ac:dyDescent="0.25">
      <c r="A43">
        <f t="shared" si="0"/>
        <v>10</v>
      </c>
      <c r="B43" s="10">
        <f t="shared" ca="1" si="1"/>
        <v>1.27</v>
      </c>
      <c r="C43" s="9">
        <f t="shared" si="2"/>
        <v>55</v>
      </c>
      <c r="D43" s="9">
        <f t="shared" ca="1" si="3"/>
        <v>69.849999999999994</v>
      </c>
      <c r="E43" s="9">
        <f t="shared" ca="1" si="4"/>
        <v>1303.8662009999998</v>
      </c>
      <c r="F43" s="9">
        <f t="shared" ca="1" si="5"/>
        <v>1117.5999999999999</v>
      </c>
    </row>
    <row r="44" spans="1:6" x14ac:dyDescent="0.25">
      <c r="A44">
        <f t="shared" si="0"/>
        <v>11</v>
      </c>
      <c r="B44" s="10">
        <f t="shared" ca="1" si="1"/>
        <v>0</v>
      </c>
      <c r="C44" s="9">
        <f t="shared" si="2"/>
        <v>55</v>
      </c>
      <c r="D44" s="9">
        <f t="shared" ca="1" si="3"/>
        <v>0</v>
      </c>
      <c r="E44" s="9">
        <f t="shared" ca="1" si="4"/>
        <v>0</v>
      </c>
      <c r="F44" s="9">
        <f t="shared" ca="1" si="5"/>
        <v>0</v>
      </c>
    </row>
    <row r="45" spans="1:6" ht="15.75" thickBot="1" x14ac:dyDescent="0.3">
      <c r="A45">
        <f t="shared" si="0"/>
        <v>12</v>
      </c>
      <c r="B45" s="10">
        <f t="shared" ca="1" si="1"/>
        <v>0</v>
      </c>
      <c r="C45" s="9">
        <f t="shared" si="2"/>
        <v>55</v>
      </c>
      <c r="D45" s="30">
        <f t="shared" ca="1" si="3"/>
        <v>0</v>
      </c>
      <c r="E45" s="30">
        <f t="shared" ca="1" si="4"/>
        <v>0</v>
      </c>
      <c r="F45" s="30">
        <f t="shared" ca="1" si="5"/>
        <v>0</v>
      </c>
    </row>
    <row r="46" spans="1:6" ht="15.75" thickTop="1" x14ac:dyDescent="0.25">
      <c r="C46" s="9"/>
      <c r="D46" s="9">
        <f ca="1">SUM(D34:D45)</f>
        <v>698.50000000000011</v>
      </c>
      <c r="E46" s="9">
        <f t="shared" ref="E46:F46" ca="1" si="6">SUM(E34:E45)</f>
        <v>10477.498603</v>
      </c>
      <c r="F46" s="9">
        <f t="shared" ca="1" si="6"/>
        <v>6985</v>
      </c>
    </row>
    <row r="48" spans="1:6" x14ac:dyDescent="0.25">
      <c r="A48" s="2" t="s">
        <v>28</v>
      </c>
      <c r="B48" s="9">
        <f ca="1">B29+D46</f>
        <v>3698.5</v>
      </c>
      <c r="D48" t="s">
        <v>31</v>
      </c>
      <c r="E48" t="s">
        <v>32</v>
      </c>
    </row>
    <row r="49" spans="1:21" x14ac:dyDescent="0.25">
      <c r="A49" s="2" t="s">
        <v>29</v>
      </c>
      <c r="B49" s="9">
        <f ca="1">E46+B30</f>
        <v>55477.498603</v>
      </c>
      <c r="D49" s="1">
        <f ca="1">B50/B48</f>
        <v>10</v>
      </c>
      <c r="E49" s="7">
        <f ca="1">B49/B48</f>
        <v>14.999999622279303</v>
      </c>
    </row>
    <row r="50" spans="1:21" x14ac:dyDescent="0.25">
      <c r="A50" s="2" t="s">
        <v>30</v>
      </c>
      <c r="B50" s="9">
        <f ca="1">F46+B31</f>
        <v>36985</v>
      </c>
    </row>
    <row r="52" spans="1:21" x14ac:dyDescent="0.25">
      <c r="A52" s="32" t="s">
        <v>34</v>
      </c>
    </row>
    <row r="53" spans="1:21" x14ac:dyDescent="0.25">
      <c r="A53" s="2" t="s">
        <v>36</v>
      </c>
      <c r="B53" s="4">
        <v>268.73475404719943</v>
      </c>
      <c r="C53" t="s">
        <v>39</v>
      </c>
    </row>
    <row r="55" spans="1:21" x14ac:dyDescent="0.25">
      <c r="A55" s="2" t="s">
        <v>16</v>
      </c>
    </row>
    <row r="56" spans="1:21" x14ac:dyDescent="0.25">
      <c r="A56" s="1" t="s">
        <v>0</v>
      </c>
      <c r="B56" s="1" t="s">
        <v>1</v>
      </c>
      <c r="C56" s="1" t="s">
        <v>37</v>
      </c>
      <c r="D56" s="1" t="s">
        <v>38</v>
      </c>
    </row>
    <row r="57" spans="1:21" x14ac:dyDescent="0.25">
      <c r="A57" s="9">
        <f ca="1">D3-$D$49</f>
        <v>-10</v>
      </c>
      <c r="B57" s="10">
        <f ca="1">E3-$E$49</f>
        <v>-14.999999622279303</v>
      </c>
      <c r="C57" s="7">
        <f ca="1">A57*COS(RADIANS(-1*$B$53))+B57*SIN(RADIANS(-1*$B$53))</f>
        <v>-14.775533296036098</v>
      </c>
      <c r="D57" s="7">
        <f ca="1">-1*A57*SIN(RADIANS(-1*$B$53))+B57*COS(RADIANS(-1*$B$53))</f>
        <v>10.328775555994422</v>
      </c>
      <c r="F57" t="s">
        <v>40</v>
      </c>
      <c r="G57">
        <f ca="1">MAX(D57:D61)-MIN(D57:D61)</f>
        <v>20.657551128669681</v>
      </c>
      <c r="H57" t="s">
        <v>6</v>
      </c>
      <c r="T57" t="s">
        <v>82</v>
      </c>
    </row>
    <row r="58" spans="1:21" x14ac:dyDescent="0.25">
      <c r="A58" s="9">
        <f ca="1">D4-$D$49</f>
        <v>10</v>
      </c>
      <c r="B58" s="10">
        <f t="shared" ref="B58:B61" ca="1" si="7">E4-$E$49</f>
        <v>-14.999999622279303</v>
      </c>
      <c r="C58" s="7">
        <f t="shared" ref="C58:C61" ca="1" si="8">A58*COS(RADIANS(-1*$B$53))+B58*SIN(RADIANS(-1*$B$53))</f>
        <v>-15.217151556243824</v>
      </c>
      <c r="D58" s="7">
        <f t="shared" ref="D58:D61" ca="1" si="9">-1*A58*SIN(RADIANS(-1*$B$53))+B58*COS(RADIANS(-1*$B$53))</f>
        <v>-9.6663481823636666</v>
      </c>
      <c r="F58" t="s">
        <v>62</v>
      </c>
      <c r="G58" s="10">
        <f ca="1">MAX(D57:D61)</f>
        <v>10.328775555994422</v>
      </c>
      <c r="T58" t="s">
        <v>0</v>
      </c>
      <c r="U58" t="s">
        <v>1</v>
      </c>
    </row>
    <row r="59" spans="1:21" x14ac:dyDescent="0.25">
      <c r="A59" s="9">
        <f ca="1">D5-$D$49</f>
        <v>10</v>
      </c>
      <c r="B59" s="10">
        <f t="shared" ca="1" si="7"/>
        <v>15.000000377720697</v>
      </c>
      <c r="C59" s="7">
        <f t="shared" ca="1" si="8"/>
        <v>14.775534051293306</v>
      </c>
      <c r="D59" s="7">
        <f t="shared" ca="1" si="9"/>
        <v>-10.328775572675257</v>
      </c>
      <c r="T59">
        <f ca="1">MAX(MAX(C57:C61),MAX(D57:D61))</f>
        <v>15.217152311501032</v>
      </c>
      <c r="U59">
        <f ca="1">T59</f>
        <v>15.217152311501032</v>
      </c>
    </row>
    <row r="60" spans="1:21" x14ac:dyDescent="0.25">
      <c r="A60" s="9">
        <f ca="1">D6-$D$49</f>
        <v>-10</v>
      </c>
      <c r="B60" s="10">
        <f t="shared" ca="1" si="7"/>
        <v>15.000000377720697</v>
      </c>
      <c r="C60" s="7">
        <f t="shared" ca="1" si="8"/>
        <v>15.217152311501032</v>
      </c>
      <c r="D60" s="7">
        <f t="shared" ca="1" si="9"/>
        <v>9.6663481656828321</v>
      </c>
      <c r="T60">
        <f ca="1">-1*T59</f>
        <v>-15.217152311501032</v>
      </c>
      <c r="U60">
        <f ca="1">-1*U59</f>
        <v>-15.217152311501032</v>
      </c>
    </row>
    <row r="61" spans="1:21" x14ac:dyDescent="0.25">
      <c r="A61" s="9">
        <f ca="1">D7-$D$49</f>
        <v>-10</v>
      </c>
      <c r="B61" s="10">
        <f t="shared" ca="1" si="7"/>
        <v>-14.999999622279303</v>
      </c>
      <c r="C61" s="7">
        <f t="shared" ca="1" si="8"/>
        <v>-14.775533296036098</v>
      </c>
      <c r="D61" s="7">
        <f t="shared" ca="1" si="9"/>
        <v>10.328775555994422</v>
      </c>
    </row>
    <row r="62" spans="1:21" x14ac:dyDescent="0.25">
      <c r="A62" s="9"/>
    </row>
    <row r="63" spans="1:21" x14ac:dyDescent="0.25">
      <c r="A63" s="33" t="s">
        <v>24</v>
      </c>
      <c r="F63" s="1" t="s">
        <v>37</v>
      </c>
      <c r="G63" s="1" t="s">
        <v>38</v>
      </c>
    </row>
    <row r="64" spans="1:21" x14ac:dyDescent="0.25">
      <c r="A64" s="11">
        <f t="shared" ref="A64:C75" si="10">A13</f>
        <v>1</v>
      </c>
      <c r="B64" s="9">
        <f t="shared" si="10"/>
        <v>10</v>
      </c>
      <c r="C64" s="9">
        <f t="shared" ca="1" si="10"/>
        <v>1.27</v>
      </c>
      <c r="D64" s="9">
        <f ca="1">D13-$D$49</f>
        <v>-6</v>
      </c>
      <c r="E64" s="9">
        <f ca="1">E13-$E$49</f>
        <v>-10.999999622279303</v>
      </c>
      <c r="F64" s="7">
        <f ca="1">IF(C64&gt;0,D64*COS(RADIANS(-1*$B$53))+E64*SIN(RADIANS(-1*$B$53)),0)</f>
        <v>-10.864832200406026</v>
      </c>
      <c r="G64" s="7">
        <f ca="1">IF(C64&gt;0,-1*D64*SIN(RADIANS(-1*$B$53))+E64*COS(RADIANS(-1*$B$53)),0)</f>
        <v>6.241427156281258</v>
      </c>
    </row>
    <row r="65" spans="1:7" x14ac:dyDescent="0.25">
      <c r="A65" s="11">
        <f t="shared" si="10"/>
        <v>2</v>
      </c>
      <c r="B65" s="9">
        <f t="shared" si="10"/>
        <v>10</v>
      </c>
      <c r="C65" s="9">
        <f t="shared" ca="1" si="10"/>
        <v>1.27</v>
      </c>
      <c r="D65" s="9">
        <f t="shared" ref="D65:D75" ca="1" si="11">D14-$D$49</f>
        <v>6</v>
      </c>
      <c r="E65" s="9">
        <f t="shared" ref="E65:E75" ca="1" si="12">E14-$E$49</f>
        <v>-10.999999622279303</v>
      </c>
      <c r="F65" s="7">
        <f t="shared" ref="F65:F75" ca="1" si="13">IF(C65&gt;0,D65*COS(RADIANS(-1*$B$53))+E65*SIN(RADIANS(-1*$B$53)),0)</f>
        <v>-11.129803156530661</v>
      </c>
      <c r="G65" s="7">
        <f t="shared" ref="G65:G75" ca="1" si="14">IF(C65&gt;0,-1*D65*SIN(RADIANS(-1*$B$53))+E65*COS(RADIANS(-1*$B$53)),0)</f>
        <v>-5.7556470867335943</v>
      </c>
    </row>
    <row r="66" spans="1:7" x14ac:dyDescent="0.25">
      <c r="A66" s="11">
        <f t="shared" si="10"/>
        <v>3</v>
      </c>
      <c r="B66" s="9">
        <f t="shared" si="10"/>
        <v>10</v>
      </c>
      <c r="C66" s="9">
        <f t="shared" ca="1" si="10"/>
        <v>1.27</v>
      </c>
      <c r="D66" s="9">
        <f t="shared" ca="1" si="11"/>
        <v>6</v>
      </c>
      <c r="E66" s="9">
        <f t="shared" ca="1" si="12"/>
        <v>11.000000377720697</v>
      </c>
      <c r="F66" s="7">
        <f t="shared" ca="1" si="13"/>
        <v>10.864832955663234</v>
      </c>
      <c r="G66" s="7">
        <f t="shared" ca="1" si="14"/>
        <v>-6.2414271729620934</v>
      </c>
    </row>
    <row r="67" spans="1:7" x14ac:dyDescent="0.25">
      <c r="A67" s="11">
        <f t="shared" si="10"/>
        <v>4</v>
      </c>
      <c r="B67" s="9">
        <f t="shared" si="10"/>
        <v>10</v>
      </c>
      <c r="C67" s="9">
        <f t="shared" ca="1" si="10"/>
        <v>1.27</v>
      </c>
      <c r="D67" s="9">
        <f t="shared" ca="1" si="11"/>
        <v>0</v>
      </c>
      <c r="E67" s="9">
        <f t="shared" ca="1" si="12"/>
        <v>11.000000377720697</v>
      </c>
      <c r="F67" s="7">
        <f t="shared" ca="1" si="13"/>
        <v>10.997318433725551</v>
      </c>
      <c r="G67" s="7">
        <f t="shared" ca="1" si="14"/>
        <v>-0.24289005145466766</v>
      </c>
    </row>
    <row r="68" spans="1:7" x14ac:dyDescent="0.25">
      <c r="A68" s="11">
        <f t="shared" si="10"/>
        <v>5</v>
      </c>
      <c r="B68" s="9">
        <f t="shared" si="10"/>
        <v>10</v>
      </c>
      <c r="C68" s="9">
        <f t="shared" ca="1" si="10"/>
        <v>1.27</v>
      </c>
      <c r="D68" s="9">
        <f t="shared" ca="1" si="11"/>
        <v>-6</v>
      </c>
      <c r="E68" s="9">
        <f t="shared" ca="1" si="12"/>
        <v>11.000000377720697</v>
      </c>
      <c r="F68" s="7">
        <f t="shared" ca="1" si="13"/>
        <v>11.129803911787869</v>
      </c>
      <c r="G68" s="7">
        <f t="shared" ca="1" si="14"/>
        <v>5.7556470700527589</v>
      </c>
    </row>
    <row r="69" spans="1:7" x14ac:dyDescent="0.25">
      <c r="A69" s="11">
        <f t="shared" si="10"/>
        <v>6</v>
      </c>
      <c r="B69" s="9">
        <f t="shared" si="10"/>
        <v>10</v>
      </c>
      <c r="C69" s="9">
        <f t="shared" ca="1" si="10"/>
        <v>1.27</v>
      </c>
      <c r="D69" s="9">
        <f t="shared" ca="1" si="11"/>
        <v>0</v>
      </c>
      <c r="E69" s="9">
        <f t="shared" ca="1" si="12"/>
        <v>-10.999999622279303</v>
      </c>
      <c r="F69" s="7">
        <f t="shared" ca="1" si="13"/>
        <v>-10.997317678468344</v>
      </c>
      <c r="G69" s="7">
        <f t="shared" ca="1" si="14"/>
        <v>0.24289003477383195</v>
      </c>
    </row>
    <row r="70" spans="1:7" x14ac:dyDescent="0.25">
      <c r="A70" s="11">
        <f t="shared" si="10"/>
        <v>7</v>
      </c>
      <c r="B70" s="9">
        <f t="shared" si="10"/>
        <v>10</v>
      </c>
      <c r="C70" s="9">
        <f t="shared" ca="1" si="10"/>
        <v>1.27</v>
      </c>
      <c r="D70" s="9">
        <f t="shared" ca="1" si="11"/>
        <v>-6</v>
      </c>
      <c r="E70" s="9">
        <f t="shared" ca="1" si="12"/>
        <v>-3.6666696222793025</v>
      </c>
      <c r="F70" s="7">
        <f t="shared" ca="1" si="13"/>
        <v>-3.5332901621953501</v>
      </c>
      <c r="G70" s="7">
        <f t="shared" ca="1" si="14"/>
        <v>6.0795005344748017</v>
      </c>
    </row>
    <row r="71" spans="1:7" x14ac:dyDescent="0.25">
      <c r="A71" s="11">
        <f t="shared" si="10"/>
        <v>8</v>
      </c>
      <c r="B71" s="9">
        <f t="shared" si="10"/>
        <v>10</v>
      </c>
      <c r="C71" s="9">
        <f t="shared" ca="1" si="10"/>
        <v>1.27</v>
      </c>
      <c r="D71" s="9">
        <f t="shared" ca="1" si="11"/>
        <v>-6</v>
      </c>
      <c r="E71" s="9">
        <f t="shared" ca="1" si="12"/>
        <v>3.6666603777206976</v>
      </c>
      <c r="F71" s="7">
        <f t="shared" ca="1" si="13"/>
        <v>3.7982518760153257</v>
      </c>
      <c r="G71" s="7">
        <f t="shared" ca="1" si="14"/>
        <v>5.9175739126683453</v>
      </c>
    </row>
    <row r="72" spans="1:7" x14ac:dyDescent="0.25">
      <c r="A72" s="11">
        <f t="shared" si="10"/>
        <v>9</v>
      </c>
      <c r="B72" s="9">
        <f t="shared" si="10"/>
        <v>10</v>
      </c>
      <c r="C72" s="9">
        <f t="shared" ca="1" si="10"/>
        <v>1.27</v>
      </c>
      <c r="D72" s="9">
        <f t="shared" ca="1" si="11"/>
        <v>6</v>
      </c>
      <c r="E72" s="9">
        <f t="shared" ca="1" si="12"/>
        <v>-3.6666696222793025</v>
      </c>
      <c r="F72" s="7">
        <f t="shared" ca="1" si="13"/>
        <v>-3.7982611183199864</v>
      </c>
      <c r="G72" s="7">
        <f t="shared" ca="1" si="14"/>
        <v>-5.9175737085400506</v>
      </c>
    </row>
    <row r="73" spans="1:7" x14ac:dyDescent="0.25">
      <c r="A73" s="11">
        <f t="shared" si="10"/>
        <v>10</v>
      </c>
      <c r="B73" s="9">
        <f t="shared" si="10"/>
        <v>10</v>
      </c>
      <c r="C73" s="9">
        <f t="shared" ca="1" si="10"/>
        <v>1.27</v>
      </c>
      <c r="D73" s="9">
        <f t="shared" ca="1" si="11"/>
        <v>6</v>
      </c>
      <c r="E73" s="9">
        <f t="shared" ca="1" si="12"/>
        <v>3.6666603777206976</v>
      </c>
      <c r="F73" s="7">
        <f t="shared" ca="1" si="13"/>
        <v>3.5332809198906894</v>
      </c>
      <c r="G73" s="7">
        <f t="shared" ca="1" si="14"/>
        <v>-6.0795003303465069</v>
      </c>
    </row>
    <row r="74" spans="1:7" x14ac:dyDescent="0.25">
      <c r="A74" s="11">
        <f t="shared" si="10"/>
        <v>11</v>
      </c>
      <c r="B74" s="9">
        <f t="shared" si="10"/>
        <v>0</v>
      </c>
      <c r="C74" s="9">
        <f t="shared" ca="1" si="10"/>
        <v>0</v>
      </c>
      <c r="D74" s="9">
        <f t="shared" ca="1" si="11"/>
        <v>-10</v>
      </c>
      <c r="E74" s="9">
        <f t="shared" ca="1" si="12"/>
        <v>-14.999999622279303</v>
      </c>
      <c r="F74" s="7">
        <f t="shared" ca="1" si="13"/>
        <v>0</v>
      </c>
      <c r="G74" s="7">
        <f t="shared" ca="1" si="14"/>
        <v>0</v>
      </c>
    </row>
    <row r="75" spans="1:7" x14ac:dyDescent="0.25">
      <c r="A75" s="11">
        <f t="shared" si="10"/>
        <v>12</v>
      </c>
      <c r="B75" s="9">
        <f t="shared" si="10"/>
        <v>0</v>
      </c>
      <c r="C75" s="9">
        <f t="shared" ca="1" si="10"/>
        <v>0</v>
      </c>
      <c r="D75" s="9">
        <f t="shared" ca="1" si="11"/>
        <v>-10</v>
      </c>
      <c r="E75" s="9">
        <f t="shared" ca="1" si="12"/>
        <v>-14.999999622279303</v>
      </c>
      <c r="F75" s="7">
        <f t="shared" ca="1" si="13"/>
        <v>0</v>
      </c>
      <c r="G75" s="7">
        <f t="shared" ca="1" si="14"/>
        <v>0</v>
      </c>
    </row>
    <row r="76" spans="1:7" x14ac:dyDescent="0.25">
      <c r="G76" s="10">
        <f ca="1">MIN(G64:G75)</f>
        <v>-6.2414271729620934</v>
      </c>
    </row>
    <row r="77" spans="1:7" x14ac:dyDescent="0.25">
      <c r="D77" t="s">
        <v>0</v>
      </c>
      <c r="E77" t="s">
        <v>1</v>
      </c>
    </row>
    <row r="78" spans="1:7" x14ac:dyDescent="0.25">
      <c r="A78" s="2" t="s">
        <v>41</v>
      </c>
      <c r="B78" s="4">
        <v>1.163289729619712</v>
      </c>
      <c r="C78" t="s">
        <v>6</v>
      </c>
      <c r="D78" s="7">
        <f ca="1">MIN(C57:C61)</f>
        <v>-15.217151556243824</v>
      </c>
      <c r="E78" s="7">
        <f ca="1">MAX(D57:D61)-B78</f>
        <v>9.1654858263747094</v>
      </c>
    </row>
    <row r="79" spans="1:7" x14ac:dyDescent="0.25">
      <c r="A79" s="2"/>
      <c r="D79" s="7">
        <f ca="1">MAX(C57:C61)</f>
        <v>15.217152311501032</v>
      </c>
      <c r="E79" s="7">
        <f ca="1">E78</f>
        <v>9.1654858263747094</v>
      </c>
    </row>
    <row r="80" spans="1:7" x14ac:dyDescent="0.25">
      <c r="A80" s="2"/>
    </row>
    <row r="81" spans="1:12" x14ac:dyDescent="0.25">
      <c r="A81" s="2" t="s">
        <v>42</v>
      </c>
      <c r="B81" s="1">
        <f>B78*B4</f>
        <v>0.93063178369576949</v>
      </c>
      <c r="C81" t="s">
        <v>6</v>
      </c>
      <c r="D81" t="s">
        <v>0</v>
      </c>
      <c r="E81" t="s">
        <v>1</v>
      </c>
    </row>
    <row r="82" spans="1:12" x14ac:dyDescent="0.25">
      <c r="D82" s="7">
        <f ca="1">MIN(C57:C61)</f>
        <v>-15.217151556243824</v>
      </c>
      <c r="E82" s="7">
        <f ca="1">MAX(D57:D61)-B81</f>
        <v>9.3981437722986527</v>
      </c>
    </row>
    <row r="83" spans="1:12" x14ac:dyDescent="0.25">
      <c r="D83" s="7">
        <f ca="1">MAX(C57:C61)</f>
        <v>15.217152311501032</v>
      </c>
      <c r="E83" s="7">
        <f ca="1">E82</f>
        <v>9.3981437722986527</v>
      </c>
    </row>
    <row r="84" spans="1:12" x14ac:dyDescent="0.25">
      <c r="A84" t="s">
        <v>47</v>
      </c>
    </row>
    <row r="85" spans="1:12" x14ac:dyDescent="0.25">
      <c r="A85" s="2" t="s">
        <v>55</v>
      </c>
      <c r="B85" s="1">
        <f>0.85*B2</f>
        <v>4.25</v>
      </c>
      <c r="C85" t="s">
        <v>5</v>
      </c>
    </row>
    <row r="87" spans="1:12" x14ac:dyDescent="0.25">
      <c r="A87" t="s">
        <v>48</v>
      </c>
      <c r="B87" t="s">
        <v>43</v>
      </c>
      <c r="C87" t="s">
        <v>44</v>
      </c>
      <c r="D87" t="s">
        <v>45</v>
      </c>
      <c r="E87" t="s">
        <v>46</v>
      </c>
      <c r="G87" s="1" t="s">
        <v>49</v>
      </c>
      <c r="H87" s="1" t="s">
        <v>50</v>
      </c>
      <c r="I87" s="1" t="s">
        <v>51</v>
      </c>
      <c r="J87" s="1" t="s">
        <v>52</v>
      </c>
      <c r="K87" s="1" t="s">
        <v>53</v>
      </c>
      <c r="L87" s="1" t="s">
        <v>54</v>
      </c>
    </row>
    <row r="88" spans="1:12" x14ac:dyDescent="0.25">
      <c r="A88">
        <v>1</v>
      </c>
      <c r="B88" s="7">
        <f t="shared" ref="B88:C91" ca="1" si="15">C57</f>
        <v>-14.775533296036098</v>
      </c>
      <c r="C88" s="7">
        <f t="shared" ca="1" si="15"/>
        <v>10.328775555994422</v>
      </c>
      <c r="D88" s="7">
        <f t="shared" ref="D88:E91" ca="1" si="16">C58</f>
        <v>-15.217151556243824</v>
      </c>
      <c r="E88" s="7">
        <f t="shared" ca="1" si="16"/>
        <v>-9.6663481823636666</v>
      </c>
      <c r="F88" s="1">
        <f ca="1">IF(AND(E88&gt;=E$82,C88&lt;=E$82),1,IF(AND(C88&gt;=E$82,E88&gt;=E$82),3,IF(AND(E88&lt;=E$82,C88&gt;=E$82),2,0)))</f>
        <v>2</v>
      </c>
      <c r="G88" s="1">
        <f ca="1">IF(E88=C88,"H",IF(B88=D88,"V",(E88-C88)/(D88-B88)))</f>
        <v>45.276940606923517</v>
      </c>
      <c r="H88" s="7">
        <f ca="1">IF(OR(F88=1,F88=2),IF(G88="V",B88,(E$82-C88+(G88*B88))/G88),NA())</f>
        <v>-14.796087506882081</v>
      </c>
      <c r="I88" s="7">
        <f ca="1">IF(OR(F88=1,F88=2),E$82,NA())</f>
        <v>9.3981437722986527</v>
      </c>
      <c r="J88" s="8">
        <f ca="1">IF(F88=0,0,IF(F88=1,-0.5*B$85*(H88+D88)*(I88-E88),IF(F88=2,-0.5*B$85*(B88+H88)*(C88-I88),IF(F88=3,-0.5*B$85*(B88+D88)*(C88-E88),0))))</f>
        <v>58.480616706013677</v>
      </c>
      <c r="K88" s="8">
        <f ca="1">IF(F88=1,(1/6)*B$85*(E88-I88)*((H88*(2*I88+E88))+(D88*(I88+2*E88))),IF(F88=2,(1/6)*B$85*(I88-C88)*((B88*(2*C88+I88))+(H88*(C88+2*I88))),IF(F88=3,(1/6)*B$85*(E88-C88)*((B88*(2*C88+E88))+(D88*(C88+2*E88))),0)))</f>
        <v>576.81489931669489</v>
      </c>
      <c r="L88" s="8">
        <f ca="1">IF(F88=1,(1/6)*B$85*(POWER(H88,2)+H88*D88+POWER(D88,2))*(E88-I88),IF(F88=2,(1/6)*B$85*(POWER(B88,2)+B88*H88+POWER(H88,2))*(I88-C88),IF(F88=3,(1/6)*B$85*(POWER(B88,2)+B88*D88+POWER(D88,2))*(E88-C88),0)))</f>
        <v>-432.34172501147316</v>
      </c>
    </row>
    <row r="89" spans="1:12" x14ac:dyDescent="0.25">
      <c r="A89">
        <v>2</v>
      </c>
      <c r="B89" s="7">
        <f t="shared" ca="1" si="15"/>
        <v>-15.217151556243824</v>
      </c>
      <c r="C89" s="7">
        <f t="shared" ca="1" si="15"/>
        <v>-9.6663481823636666</v>
      </c>
      <c r="D89" s="7">
        <f t="shared" ca="1" si="16"/>
        <v>14.775534051293306</v>
      </c>
      <c r="E89" s="7">
        <f t="shared" ca="1" si="16"/>
        <v>-10.328775572675257</v>
      </c>
      <c r="F89" s="1">
        <f t="shared" ref="F89:F91" ca="1" si="17">IF(AND(E89&gt;=E$82,C89&lt;=E$82),1,IF(AND(C89&gt;=E$82,E89&gt;=E$82),3,IF(AND(E89&lt;=E$82,C89&gt;=E$82),2,0)))</f>
        <v>0</v>
      </c>
      <c r="G89" s="1">
        <f t="shared" ref="G89:G91" ca="1" si="18">IF(E89=C89,"H",IF(B89=D89,"V",(E89-C89)/(D89-B89)))</f>
        <v>-2.2086297938758874E-2</v>
      </c>
      <c r="H89" s="7" t="e">
        <f t="shared" ref="H89:H91" ca="1" si="19">IF(OR(F89=1,F89=2),IF(G89="V",B89,(E$82-C89+(G89*B89))/G89),NA())</f>
        <v>#N/A</v>
      </c>
      <c r="I89" s="7" t="e">
        <f t="shared" ref="I89:I91" ca="1" si="20">IF(OR(F89=1,F89=2),E$82,NA())</f>
        <v>#N/A</v>
      </c>
      <c r="J89" s="8">
        <f t="shared" ref="J89:J91" ca="1" si="21">IF(F89=0,0,IF(F89=1,-0.5*B$85*(H89+D89)*(I89-E89),IF(F89=2,-0.5*B$85*(B89+H89)*(C89-I89),IF(F89=3,-0.5*B$85*(B89+D89)*(C89-E89),0))))</f>
        <v>0</v>
      </c>
      <c r="K89" s="8">
        <f t="shared" ref="K89:K91" ca="1" si="22">IF(F89=1,(1/6)*B$85*(E89-I89)*((H89*(2*I89+E89))+(D89*(I89+2*E89))),IF(F89=2,(1/6)*B$85*(I89-C89)*((B89*(2*C89+I89))+(H89*(C89+2*I89))),IF(F89=3,(1/6)*B$85*(E89-C89)*((B89*(2*C89+E89))+(D89*(C89+2*E89))),0)))</f>
        <v>0</v>
      </c>
      <c r="L89" s="8">
        <f t="shared" ref="L89:L91" ca="1" si="23">IF(F89=1,(1/6)*B$85*(POWER(H89,2)+H89*D89+POWER(D89,2))*(E89-I89),IF(F89=2,(1/6)*B$85*(POWER(B89,2)+B89*H89+POWER(H89,2))*(I89-C89),IF(F89=3,(1/6)*B$85*(POWER(B89,2)+B89*D89+POWER(D89,2))*(E89-C89),0)))</f>
        <v>0</v>
      </c>
    </row>
    <row r="90" spans="1:12" x14ac:dyDescent="0.25">
      <c r="A90">
        <v>3</v>
      </c>
      <c r="B90" s="7">
        <f t="shared" ca="1" si="15"/>
        <v>14.775534051293306</v>
      </c>
      <c r="C90" s="7">
        <f t="shared" ca="1" si="15"/>
        <v>-10.328775572675257</v>
      </c>
      <c r="D90" s="7">
        <f t="shared" ca="1" si="16"/>
        <v>15.217152311501032</v>
      </c>
      <c r="E90" s="7">
        <f t="shared" ca="1" si="16"/>
        <v>9.6663481656828321</v>
      </c>
      <c r="F90" s="1">
        <f t="shared" ca="1" si="17"/>
        <v>1</v>
      </c>
      <c r="G90" s="1">
        <f t="shared" ca="1" si="18"/>
        <v>45.276940606923517</v>
      </c>
      <c r="H90" s="7">
        <f t="shared" ca="1" si="19"/>
        <v>15.211228669360263</v>
      </c>
      <c r="I90" s="7">
        <f t="shared" ca="1" si="20"/>
        <v>9.3981437722986527</v>
      </c>
      <c r="J90" s="8">
        <f t="shared" ca="1" si="21"/>
        <v>17.342179108098531</v>
      </c>
      <c r="K90" s="8">
        <f t="shared" ca="1" si="22"/>
        <v>165.3100678102509</v>
      </c>
      <c r="L90" s="8">
        <f t="shared" ca="1" si="23"/>
        <v>131.92360990144982</v>
      </c>
    </row>
    <row r="91" spans="1:12" ht="15.75" thickBot="1" x14ac:dyDescent="0.3">
      <c r="A91">
        <v>4</v>
      </c>
      <c r="B91" s="7">
        <f t="shared" ca="1" si="15"/>
        <v>15.217152311501032</v>
      </c>
      <c r="C91" s="7">
        <f t="shared" ca="1" si="15"/>
        <v>9.6663481656828321</v>
      </c>
      <c r="D91" s="7">
        <f t="shared" ca="1" si="16"/>
        <v>-14.775533296036098</v>
      </c>
      <c r="E91" s="7">
        <f t="shared" ca="1" si="16"/>
        <v>10.328775555994422</v>
      </c>
      <c r="F91" s="1">
        <f t="shared" ca="1" si="17"/>
        <v>3</v>
      </c>
      <c r="G91" s="1">
        <f t="shared" ca="1" si="18"/>
        <v>-2.2086297938758874E-2</v>
      </c>
      <c r="H91" s="7" t="e">
        <f t="shared" ca="1" si="19"/>
        <v>#N/A</v>
      </c>
      <c r="I91" s="7" t="e">
        <f t="shared" ca="1" si="20"/>
        <v>#N/A</v>
      </c>
      <c r="J91" s="29">
        <f t="shared" ca="1" si="21"/>
        <v>0.62164863034362072</v>
      </c>
      <c r="K91" s="29">
        <f t="shared" ca="1" si="22"/>
        <v>1.5537506271388219</v>
      </c>
      <c r="L91" s="29">
        <f t="shared" ca="1" si="23"/>
        <v>105.59152374797985</v>
      </c>
    </row>
    <row r="92" spans="1:12" ht="15.75" thickTop="1" x14ac:dyDescent="0.25">
      <c r="B92" s="1"/>
      <c r="C92" s="1"/>
      <c r="D92" s="1"/>
      <c r="E92" s="1"/>
      <c r="F92" s="1"/>
      <c r="G92" s="1"/>
      <c r="H92" s="1"/>
      <c r="I92" s="1"/>
      <c r="J92" s="8">
        <f ca="1">SUM(J88:J91)</f>
        <v>76.444444444455826</v>
      </c>
      <c r="K92" s="8">
        <f ca="1">SUM(K88:K91)</f>
        <v>743.67871775408457</v>
      </c>
      <c r="L92" s="8">
        <f ca="1">SUM(L88:L91)*-1</f>
        <v>194.82659136204347</v>
      </c>
    </row>
    <row r="95" spans="1:12" x14ac:dyDescent="0.25">
      <c r="A95" t="s">
        <v>56</v>
      </c>
    </row>
    <row r="96" spans="1:12" x14ac:dyDescent="0.25">
      <c r="A96" s="2" t="s">
        <v>58</v>
      </c>
      <c r="B96" s="1">
        <v>3.0000000000000001E-3</v>
      </c>
    </row>
    <row r="97" spans="1:10" x14ac:dyDescent="0.25">
      <c r="A97" t="s">
        <v>57</v>
      </c>
      <c r="B97" t="s">
        <v>60</v>
      </c>
      <c r="C97" t="str">
        <f t="shared" ref="C97:C109" si="24">F63</f>
        <v>x'</v>
      </c>
      <c r="D97" t="str">
        <f t="shared" ref="D97:D109" si="25">G63</f>
        <v>y'</v>
      </c>
      <c r="E97" t="s">
        <v>61</v>
      </c>
      <c r="F97" t="s">
        <v>59</v>
      </c>
      <c r="G97" t="s">
        <v>63</v>
      </c>
      <c r="H97" s="1" t="s">
        <v>64</v>
      </c>
      <c r="I97" s="1" t="s">
        <v>65</v>
      </c>
      <c r="J97" s="1" t="s">
        <v>66</v>
      </c>
    </row>
    <row r="98" spans="1:10" x14ac:dyDescent="0.25">
      <c r="A98" s="11">
        <f>A64</f>
        <v>1</v>
      </c>
      <c r="B98" s="10">
        <f ca="1">C13</f>
        <v>1.27</v>
      </c>
      <c r="C98">
        <f t="shared" ca="1" si="24"/>
        <v>-10.864832200406026</v>
      </c>
      <c r="D98">
        <f t="shared" ca="1" si="25"/>
        <v>6.241427156281258</v>
      </c>
      <c r="E98" s="10">
        <f ca="1">G$58-D98</f>
        <v>4.0873483997131643</v>
      </c>
      <c r="F98" s="14">
        <f ca="1">IF(B98=0,0,((B$78-E98)/B$78)*B$96)</f>
        <v>-7.5408350877025675E-3</v>
      </c>
      <c r="G98" s="7">
        <f ca="1">IF(AND(F98&gt;0,E98&lt;=B$81),MIN((F98*B$11),B$10)-B$85,MAX(F98*B$11,-1*B$10))</f>
        <v>-60</v>
      </c>
      <c r="H98" s="7">
        <f ca="1">G98*B98</f>
        <v>-76.2</v>
      </c>
      <c r="I98" s="7">
        <f ca="1">H98*D98</f>
        <v>-475.5967493086319</v>
      </c>
      <c r="J98" s="7">
        <f ca="1">H98*C98</f>
        <v>827.90021367093925</v>
      </c>
    </row>
    <row r="99" spans="1:10" x14ac:dyDescent="0.25">
      <c r="A99" s="11">
        <f t="shared" ref="A99:A108" si="26">A65</f>
        <v>2</v>
      </c>
      <c r="B99" s="10">
        <f t="shared" ref="B99:B109" ca="1" si="27">C14</f>
        <v>1.27</v>
      </c>
      <c r="C99">
        <f t="shared" ca="1" si="24"/>
        <v>-11.129803156530661</v>
      </c>
      <c r="D99">
        <f t="shared" ca="1" si="25"/>
        <v>-5.7556470867335943</v>
      </c>
      <c r="E99" s="10">
        <f t="shared" ref="E99:E109" ca="1" si="28">G$58-D99</f>
        <v>16.084422642728015</v>
      </c>
      <c r="F99" s="14">
        <f t="shared" ref="F99:F109" ca="1" si="29">IF(B99=0,0,((B$78-E99)/B$78)*B$96)</f>
        <v>-3.848000854779178E-2</v>
      </c>
      <c r="G99" s="7">
        <f t="shared" ref="G99:G109" ca="1" si="30">IF(AND(F99&gt;0,E99&lt;=B$81),MIN((F99*B$11),B$10)-B$85,MAX(F99*B$11,-1*B$10))</f>
        <v>-60</v>
      </c>
      <c r="H99" s="7">
        <f t="shared" ref="H99:H109" ca="1" si="31">G99*B99</f>
        <v>-76.2</v>
      </c>
      <c r="I99" s="7">
        <f t="shared" ref="I99:I109" ca="1" si="32">H99*D99</f>
        <v>438.58030800909989</v>
      </c>
      <c r="J99" s="7">
        <f t="shared" ref="J99:J109" ca="1" si="33">H99*C99</f>
        <v>848.09100052763642</v>
      </c>
    </row>
    <row r="100" spans="1:10" x14ac:dyDescent="0.25">
      <c r="A100" s="11">
        <f t="shared" si="26"/>
        <v>3</v>
      </c>
      <c r="B100" s="10">
        <f t="shared" ca="1" si="27"/>
        <v>1.27</v>
      </c>
      <c r="C100">
        <f t="shared" ca="1" si="24"/>
        <v>10.864832955663234</v>
      </c>
      <c r="D100">
        <f t="shared" ca="1" si="25"/>
        <v>-6.2414271729620934</v>
      </c>
      <c r="E100" s="10">
        <f t="shared" ca="1" si="28"/>
        <v>16.570202728956517</v>
      </c>
      <c r="F100" s="14">
        <f t="shared" ca="1" si="29"/>
        <v>-3.9732783519992314E-2</v>
      </c>
      <c r="G100" s="7">
        <f t="shared" ca="1" si="30"/>
        <v>-60</v>
      </c>
      <c r="H100" s="7">
        <f t="shared" ca="1" si="31"/>
        <v>-76.2</v>
      </c>
      <c r="I100" s="7">
        <f t="shared" ca="1" si="32"/>
        <v>475.59675057971151</v>
      </c>
      <c r="J100" s="7">
        <f t="shared" ca="1" si="33"/>
        <v>-827.90027122153845</v>
      </c>
    </row>
    <row r="101" spans="1:10" x14ac:dyDescent="0.25">
      <c r="A101" s="11">
        <f t="shared" si="26"/>
        <v>4</v>
      </c>
      <c r="B101" s="10">
        <f t="shared" ca="1" si="27"/>
        <v>1.27</v>
      </c>
      <c r="C101">
        <f t="shared" ca="1" si="24"/>
        <v>10.997318433725551</v>
      </c>
      <c r="D101">
        <f t="shared" ca="1" si="25"/>
        <v>-0.24289005145466766</v>
      </c>
      <c r="E101" s="10">
        <f t="shared" ca="1" si="28"/>
        <v>10.57166560744909</v>
      </c>
      <c r="F101" s="14">
        <f t="shared" ca="1" si="29"/>
        <v>-2.4263196789947709E-2</v>
      </c>
      <c r="G101" s="7">
        <f t="shared" ca="1" si="30"/>
        <v>-60</v>
      </c>
      <c r="H101" s="7">
        <f t="shared" ca="1" si="31"/>
        <v>-76.2</v>
      </c>
      <c r="I101" s="7">
        <f t="shared" ca="1" si="32"/>
        <v>18.508221920845678</v>
      </c>
      <c r="J101" s="7">
        <f t="shared" ca="1" si="33"/>
        <v>-837.99566464988709</v>
      </c>
    </row>
    <row r="102" spans="1:10" x14ac:dyDescent="0.25">
      <c r="A102" s="11">
        <f t="shared" si="26"/>
        <v>5</v>
      </c>
      <c r="B102" s="10">
        <f t="shared" ca="1" si="27"/>
        <v>1.27</v>
      </c>
      <c r="C102">
        <f t="shared" ca="1" si="24"/>
        <v>11.129803911787869</v>
      </c>
      <c r="D102">
        <f t="shared" ca="1" si="25"/>
        <v>5.7556470700527589</v>
      </c>
      <c r="E102" s="10">
        <f t="shared" ca="1" si="28"/>
        <v>4.5731284859416634</v>
      </c>
      <c r="F102" s="14">
        <f t="shared" ca="1" si="29"/>
        <v>-8.7936100599030984E-3</v>
      </c>
      <c r="G102" s="7">
        <f t="shared" ca="1" si="30"/>
        <v>-60</v>
      </c>
      <c r="H102" s="7">
        <f t="shared" ca="1" si="31"/>
        <v>-76.2</v>
      </c>
      <c r="I102" s="7">
        <f t="shared" ca="1" si="32"/>
        <v>-438.58030673802023</v>
      </c>
      <c r="J102" s="7">
        <f t="shared" ca="1" si="33"/>
        <v>-848.09105807823562</v>
      </c>
    </row>
    <row r="103" spans="1:10" x14ac:dyDescent="0.25">
      <c r="A103" s="11">
        <f t="shared" si="26"/>
        <v>6</v>
      </c>
      <c r="B103" s="10">
        <f t="shared" ca="1" si="27"/>
        <v>1.27</v>
      </c>
      <c r="C103">
        <f t="shared" ca="1" si="24"/>
        <v>-10.997317678468344</v>
      </c>
      <c r="D103">
        <f t="shared" ca="1" si="25"/>
        <v>0.24289003477383195</v>
      </c>
      <c r="E103" s="10">
        <f t="shared" ca="1" si="28"/>
        <v>10.08588552122059</v>
      </c>
      <c r="F103" s="14">
        <f t="shared" ca="1" si="29"/>
        <v>-2.3010421817747172E-2</v>
      </c>
      <c r="G103" s="7">
        <f t="shared" ca="1" si="30"/>
        <v>-60</v>
      </c>
      <c r="H103" s="7">
        <f t="shared" ca="1" si="31"/>
        <v>-76.2</v>
      </c>
      <c r="I103" s="7">
        <f t="shared" ca="1" si="32"/>
        <v>-18.508220649765995</v>
      </c>
      <c r="J103" s="7">
        <f t="shared" ca="1" si="33"/>
        <v>837.99560709928778</v>
      </c>
    </row>
    <row r="104" spans="1:10" x14ac:dyDescent="0.25">
      <c r="A104" s="11">
        <f t="shared" si="26"/>
        <v>7</v>
      </c>
      <c r="B104" s="10">
        <f t="shared" ca="1" si="27"/>
        <v>1.27</v>
      </c>
      <c r="C104">
        <f t="shared" ca="1" si="24"/>
        <v>-3.5332901621953501</v>
      </c>
      <c r="D104">
        <f t="shared" ca="1" si="25"/>
        <v>6.0795005344748017</v>
      </c>
      <c r="E104" s="10">
        <f t="shared" ca="1" si="28"/>
        <v>4.2492750215196207</v>
      </c>
      <c r="F104" s="14">
        <f t="shared" ca="1" si="29"/>
        <v>-7.9584265552883546E-3</v>
      </c>
      <c r="G104" s="7">
        <f t="shared" ca="1" si="30"/>
        <v>-60</v>
      </c>
      <c r="H104" s="7">
        <f t="shared" ca="1" si="31"/>
        <v>-76.2</v>
      </c>
      <c r="I104" s="7">
        <f t="shared" ca="1" si="32"/>
        <v>-463.25794072697988</v>
      </c>
      <c r="J104" s="7">
        <f t="shared" ca="1" si="33"/>
        <v>269.23671035928567</v>
      </c>
    </row>
    <row r="105" spans="1:10" x14ac:dyDescent="0.25">
      <c r="A105" s="11">
        <f t="shared" si="26"/>
        <v>8</v>
      </c>
      <c r="B105" s="10">
        <f t="shared" ca="1" si="27"/>
        <v>1.27</v>
      </c>
      <c r="C105">
        <f t="shared" ca="1" si="24"/>
        <v>3.7982518760153257</v>
      </c>
      <c r="D105">
        <f t="shared" ca="1" si="25"/>
        <v>5.9175739126683453</v>
      </c>
      <c r="E105" s="10">
        <f t="shared" ca="1" si="28"/>
        <v>4.411201643326077</v>
      </c>
      <c r="F105" s="14">
        <f t="shared" ca="1" si="29"/>
        <v>-8.3760180228741425E-3</v>
      </c>
      <c r="G105" s="7">
        <f t="shared" ca="1" si="30"/>
        <v>-60</v>
      </c>
      <c r="H105" s="7">
        <f t="shared" ca="1" si="31"/>
        <v>-76.2</v>
      </c>
      <c r="I105" s="7">
        <f t="shared" ca="1" si="32"/>
        <v>-450.91913214532792</v>
      </c>
      <c r="J105" s="7">
        <f t="shared" ca="1" si="33"/>
        <v>-289.4267929523678</v>
      </c>
    </row>
    <row r="106" spans="1:10" x14ac:dyDescent="0.25">
      <c r="A106" s="11">
        <f t="shared" si="26"/>
        <v>9</v>
      </c>
      <c r="B106" s="10">
        <f t="shared" ca="1" si="27"/>
        <v>1.27</v>
      </c>
      <c r="C106">
        <f t="shared" ca="1" si="24"/>
        <v>-3.7982611183199864</v>
      </c>
      <c r="D106">
        <f t="shared" ca="1" si="25"/>
        <v>-5.9175737085400506</v>
      </c>
      <c r="E106" s="10">
        <f t="shared" ca="1" si="28"/>
        <v>16.246349264534473</v>
      </c>
      <c r="F106" s="14">
        <f t="shared" ca="1" si="29"/>
        <v>-3.8897600015377572E-2</v>
      </c>
      <c r="G106" s="7">
        <f t="shared" ca="1" si="30"/>
        <v>-60</v>
      </c>
      <c r="H106" s="7">
        <f t="shared" ca="1" si="31"/>
        <v>-76.2</v>
      </c>
      <c r="I106" s="7">
        <f t="shared" ca="1" si="32"/>
        <v>450.91911659075186</v>
      </c>
      <c r="J106" s="7">
        <f t="shared" ca="1" si="33"/>
        <v>289.42749721598295</v>
      </c>
    </row>
    <row r="107" spans="1:10" x14ac:dyDescent="0.25">
      <c r="A107" s="11">
        <f t="shared" si="26"/>
        <v>10</v>
      </c>
      <c r="B107" s="10">
        <f t="shared" ca="1" si="27"/>
        <v>1.27</v>
      </c>
      <c r="C107">
        <f t="shared" ca="1" si="24"/>
        <v>3.5332809198906894</v>
      </c>
      <c r="D107">
        <f t="shared" ca="1" si="25"/>
        <v>-6.0795003303465069</v>
      </c>
      <c r="E107" s="10">
        <f t="shared" ca="1" si="28"/>
        <v>16.408275886340931</v>
      </c>
      <c r="F107" s="14">
        <f t="shared" ca="1" si="29"/>
        <v>-3.9315191482963363E-2</v>
      </c>
      <c r="G107" s="7">
        <f t="shared" ca="1" si="30"/>
        <v>-60</v>
      </c>
      <c r="H107" s="7">
        <f t="shared" ca="1" si="31"/>
        <v>-76.2</v>
      </c>
      <c r="I107" s="7">
        <f t="shared" ca="1" si="32"/>
        <v>463.25792517240387</v>
      </c>
      <c r="J107" s="7">
        <f t="shared" ca="1" si="33"/>
        <v>-269.23600609567052</v>
      </c>
    </row>
    <row r="108" spans="1:10" x14ac:dyDescent="0.25">
      <c r="A108" s="11">
        <f t="shared" si="26"/>
        <v>11</v>
      </c>
      <c r="B108" s="10">
        <f t="shared" ca="1" si="27"/>
        <v>0</v>
      </c>
      <c r="C108">
        <f t="shared" ca="1" si="24"/>
        <v>0</v>
      </c>
      <c r="D108">
        <f t="shared" ca="1" si="25"/>
        <v>0</v>
      </c>
      <c r="E108" s="10">
        <f t="shared" ca="1" si="28"/>
        <v>10.328775555994422</v>
      </c>
      <c r="F108" s="14">
        <f t="shared" ca="1" si="29"/>
        <v>0</v>
      </c>
      <c r="G108" s="7">
        <f t="shared" ca="1" si="30"/>
        <v>0</v>
      </c>
      <c r="H108" s="7">
        <f t="shared" ca="1" si="31"/>
        <v>0</v>
      </c>
      <c r="I108" s="7">
        <f t="shared" ca="1" si="32"/>
        <v>0</v>
      </c>
      <c r="J108" s="7">
        <f t="shared" ca="1" si="33"/>
        <v>0</v>
      </c>
    </row>
    <row r="109" spans="1:10" ht="15.75" thickBot="1" x14ac:dyDescent="0.3">
      <c r="A109" s="11">
        <f>A75</f>
        <v>12</v>
      </c>
      <c r="B109" s="10">
        <f t="shared" ca="1" si="27"/>
        <v>0</v>
      </c>
      <c r="C109">
        <f t="shared" ca="1" si="24"/>
        <v>0</v>
      </c>
      <c r="D109">
        <f t="shared" ca="1" si="25"/>
        <v>0</v>
      </c>
      <c r="E109" s="10">
        <f t="shared" ca="1" si="28"/>
        <v>10.328775555994422</v>
      </c>
      <c r="F109" s="28">
        <f t="shared" ca="1" si="29"/>
        <v>0</v>
      </c>
      <c r="G109" s="7">
        <f t="shared" ca="1" si="30"/>
        <v>0</v>
      </c>
      <c r="H109" s="27">
        <f t="shared" ca="1" si="31"/>
        <v>0</v>
      </c>
      <c r="I109" s="27">
        <f t="shared" ca="1" si="32"/>
        <v>0</v>
      </c>
      <c r="J109" s="27">
        <f t="shared" ca="1" si="33"/>
        <v>0</v>
      </c>
    </row>
    <row r="110" spans="1:10" ht="15.75" thickTop="1" x14ac:dyDescent="0.25">
      <c r="F110" s="14">
        <f ca="1">MIN(F98:F109)</f>
        <v>-3.9732783519992314E-2</v>
      </c>
      <c r="H110" s="7">
        <f ca="1">SUM(H98:H109)</f>
        <v>-762.00000000000011</v>
      </c>
      <c r="I110" s="7">
        <f ca="1">SUM(I98:I109)</f>
        <v>-2.7295913071156974E-5</v>
      </c>
      <c r="J110" s="7">
        <f ca="1">SUM(J98:J109)*-1</f>
        <v>-1.2358754324850452E-3</v>
      </c>
    </row>
    <row r="113" spans="1:26" x14ac:dyDescent="0.25">
      <c r="A113" s="2" t="s">
        <v>67</v>
      </c>
      <c r="B113" s="37">
        <f ca="1">J92+H110</f>
        <v>-685.55555555554429</v>
      </c>
      <c r="C113" t="s">
        <v>20</v>
      </c>
      <c r="D113" t="s">
        <v>68</v>
      </c>
      <c r="I113" s="2" t="s">
        <v>73</v>
      </c>
      <c r="J113" s="1">
        <f ca="1">IF(ABS(F110)&lt;0.002,0.65,IF(ABS(F110)&gt;0.005,0.9,0.65+((ABS(F110)-0.002)*(250/3))))</f>
        <v>0.9</v>
      </c>
    </row>
    <row r="114" spans="1:26" x14ac:dyDescent="0.25">
      <c r="A114" s="2" t="s">
        <v>69</v>
      </c>
      <c r="B114" s="7">
        <f ca="1">(((K92+I110)*COS(RADIANS(B53)))+((L92+J110)*SIN(RADIANS(B53))))</f>
        <v>-211.19895898790432</v>
      </c>
      <c r="C114" t="s">
        <v>23</v>
      </c>
      <c r="D114" s="7">
        <f ca="1">(B113*(E49-H7))</f>
        <v>2.5894852254163491E-4</v>
      </c>
      <c r="E114" t="s">
        <v>23</v>
      </c>
      <c r="F114" s="7">
        <f ca="1">B114+D114</f>
        <v>-211.19870003938178</v>
      </c>
      <c r="G114" s="13" t="str">
        <f>"= Mnx,gc"</f>
        <v>= Mnx,gc</v>
      </c>
      <c r="H114" s="7">
        <f ca="1">F114/12</f>
        <v>-17.59989166994848</v>
      </c>
      <c r="I114" t="s">
        <v>72</v>
      </c>
      <c r="J114" s="34">
        <f ca="1">H114*J113</f>
        <v>-15.839902502953633</v>
      </c>
      <c r="K114" t="s">
        <v>72</v>
      </c>
      <c r="P114" t="s">
        <v>87</v>
      </c>
    </row>
    <row r="115" spans="1:26" x14ac:dyDescent="0.25">
      <c r="A115" s="2" t="s">
        <v>70</v>
      </c>
      <c r="B115" s="7">
        <f ca="1">(-1*(K92+I110)*SIN(RADIANS(B53)))+((L92+J110)*COS(RADIANS(B53)))</f>
        <v>739.19545013784466</v>
      </c>
      <c r="C115" t="s">
        <v>23</v>
      </c>
      <c r="D115" s="1">
        <f ca="1">-1*B113*(D49-G7)</f>
        <v>0</v>
      </c>
      <c r="E115" t="s">
        <v>23</v>
      </c>
      <c r="F115" s="7">
        <f ca="1">B115+D115</f>
        <v>739.19545013784466</v>
      </c>
      <c r="G115" s="13" t="str">
        <f>"= Mny,gc"</f>
        <v>= Mny,gc</v>
      </c>
      <c r="H115" s="7">
        <f ca="1">F115/12</f>
        <v>61.599620844820386</v>
      </c>
      <c r="I115" t="s">
        <v>72</v>
      </c>
      <c r="J115" s="34">
        <f ca="1">H115*J113</f>
        <v>55.439658760338347</v>
      </c>
      <c r="K115" t="s">
        <v>72</v>
      </c>
      <c r="M115" t="s">
        <v>79</v>
      </c>
      <c r="N115" s="12">
        <f ca="1">DEGREES(ATAN2(J114,J115))</f>
        <v>105.94539590092268</v>
      </c>
      <c r="P115">
        <f ca="1">(-1*0.003*MAX(E98:E109))/(0.002-0.003)</f>
        <v>49.71060818686955</v>
      </c>
    </row>
    <row r="116" spans="1:26" x14ac:dyDescent="0.25">
      <c r="J116" s="36">
        <f ca="1">B113*J113</f>
        <v>-616.99999999998988</v>
      </c>
      <c r="K116" t="s">
        <v>20</v>
      </c>
    </row>
    <row r="117" spans="1:26" x14ac:dyDescent="0.25">
      <c r="A117" s="26" t="s">
        <v>74</v>
      </c>
      <c r="I117" t="s">
        <v>83</v>
      </c>
      <c r="J117" s="1">
        <f ca="1">0.65*((0.85*B2*B5*B6)+((B10-0.85*B2)*SUM(C13:C24)))*0.8</f>
        <v>1694.173</v>
      </c>
      <c r="K117" t="s">
        <v>20</v>
      </c>
      <c r="M117">
        <f ca="1">SQRT((J114*J114)+(J115*J115))</f>
        <v>57.658115428496593</v>
      </c>
    </row>
    <row r="118" spans="1:26" x14ac:dyDescent="0.25">
      <c r="A118" s="2" t="s">
        <v>75</v>
      </c>
      <c r="B118" s="4">
        <v>-617</v>
      </c>
      <c r="C118" t="s">
        <v>20</v>
      </c>
      <c r="I118" t="s">
        <v>84</v>
      </c>
      <c r="J118" s="1">
        <f ca="1">-1*0.9*B10*SUM(C13:C24)</f>
        <v>-685.79999999999984</v>
      </c>
      <c r="K118" t="s">
        <v>20</v>
      </c>
    </row>
    <row r="119" spans="1:26" x14ac:dyDescent="0.25">
      <c r="A119" s="2" t="s">
        <v>76</v>
      </c>
      <c r="B119" s="4">
        <v>-100</v>
      </c>
      <c r="C119" t="s">
        <v>72</v>
      </c>
      <c r="G119" s="2" t="s">
        <v>80</v>
      </c>
      <c r="H119" s="35">
        <v>100</v>
      </c>
    </row>
    <row r="120" spans="1:26" x14ac:dyDescent="0.25">
      <c r="A120" s="2" t="s">
        <v>77</v>
      </c>
      <c r="B120" s="4">
        <v>350</v>
      </c>
      <c r="C120" t="s">
        <v>72</v>
      </c>
      <c r="D120">
        <f>B118</f>
        <v>-617</v>
      </c>
      <c r="E120">
        <f>SQRT((B119*B119)+(B120*B120))</f>
        <v>364.0054944640259</v>
      </c>
      <c r="G120" s="2" t="s">
        <v>81</v>
      </c>
      <c r="H120" s="1">
        <v>101</v>
      </c>
    </row>
    <row r="121" spans="1:26" x14ac:dyDescent="0.25">
      <c r="A121" s="2" t="s">
        <v>78</v>
      </c>
      <c r="B121" s="15">
        <f>DEGREES(ATAN2(B119,B120))</f>
        <v>105.94539590092285</v>
      </c>
    </row>
    <row r="122" spans="1:26" x14ac:dyDescent="0.25">
      <c r="Q122">
        <f>D120</f>
        <v>-617</v>
      </c>
      <c r="R122">
        <f>E120</f>
        <v>364.0054944640259</v>
      </c>
    </row>
    <row r="123" spans="1:26" x14ac:dyDescent="0.25">
      <c r="A123" s="17"/>
      <c r="B123" s="18"/>
      <c r="C123" s="18"/>
      <c r="D123" s="18"/>
      <c r="E123" s="18"/>
      <c r="F123" s="18"/>
      <c r="G123" s="18"/>
      <c r="H123" s="18"/>
      <c r="I123" s="18"/>
      <c r="Q123">
        <f>B118</f>
        <v>-617</v>
      </c>
      <c r="R123">
        <f ca="1">SQRT((J114*J114)+(J115*J115))</f>
        <v>57.658115428496593</v>
      </c>
    </row>
    <row r="124" spans="1:26" x14ac:dyDescent="0.25">
      <c r="A124" s="19"/>
      <c r="B124" s="18"/>
      <c r="C124" s="18"/>
      <c r="D124" s="18"/>
      <c r="E124" s="18"/>
      <c r="F124" s="18"/>
      <c r="G124" s="18"/>
      <c r="H124" s="20">
        <v>0</v>
      </c>
      <c r="I124" s="38">
        <v>0</v>
      </c>
      <c r="J124" s="18"/>
      <c r="K124" s="18"/>
      <c r="L124" s="16"/>
      <c r="M124" s="18"/>
      <c r="N124" s="18"/>
    </row>
    <row r="125" spans="1:26" x14ac:dyDescent="0.25">
      <c r="A125" s="19"/>
      <c r="B125" s="25"/>
      <c r="C125" s="18"/>
      <c r="D125" s="19"/>
      <c r="E125" s="20"/>
      <c r="F125" s="20"/>
      <c r="G125" s="19"/>
      <c r="H125" s="25">
        <f ca="1">J114</f>
        <v>-15.839902502953633</v>
      </c>
      <c r="I125" s="5">
        <f ca="1">J115</f>
        <v>55.439658760338347</v>
      </c>
      <c r="J125" s="19"/>
      <c r="K125" s="20"/>
      <c r="L125" s="16"/>
      <c r="M125" s="19"/>
      <c r="N125" s="20"/>
    </row>
    <row r="126" spans="1:26" x14ac:dyDescent="0.25">
      <c r="A126" s="19"/>
      <c r="B126" s="21"/>
      <c r="C126" s="20"/>
      <c r="D126" s="19"/>
      <c r="E126" s="25"/>
      <c r="F126" s="18"/>
      <c r="G126" s="19"/>
      <c r="H126" s="20"/>
      <c r="I126" s="16"/>
      <c r="J126" s="19"/>
      <c r="K126" s="20"/>
      <c r="L126" s="16"/>
      <c r="M126" s="19"/>
      <c r="N126" s="20"/>
    </row>
    <row r="127" spans="1:26" x14ac:dyDescent="0.25">
      <c r="A127" s="19"/>
      <c r="B127" s="20"/>
      <c r="C127" s="21"/>
      <c r="D127" s="19"/>
      <c r="E127" s="20"/>
      <c r="F127" s="18"/>
      <c r="G127" s="19"/>
      <c r="H127" s="20"/>
      <c r="I127" s="16"/>
      <c r="J127" s="19"/>
      <c r="K127" s="20"/>
      <c r="L127" s="16"/>
      <c r="M127" s="19"/>
      <c r="N127" s="20"/>
      <c r="Q127" s="2" t="s">
        <v>86</v>
      </c>
      <c r="R127">
        <v>75</v>
      </c>
      <c r="V127">
        <v>-110.33031644660696</v>
      </c>
      <c r="W127">
        <v>-1.9450396848696982E-7</v>
      </c>
      <c r="Y127">
        <v>1658.4820692466058</v>
      </c>
      <c r="Z127">
        <v>-15.031969717557867</v>
      </c>
    </row>
    <row r="128" spans="1:26" x14ac:dyDescent="0.25">
      <c r="A128" s="19" t="s">
        <v>85</v>
      </c>
      <c r="B128" s="20" t="s">
        <v>76</v>
      </c>
      <c r="C128" s="21" t="s">
        <v>77</v>
      </c>
      <c r="D128" s="19"/>
      <c r="E128" s="20"/>
      <c r="F128" s="18"/>
      <c r="G128" s="19"/>
      <c r="H128" s="20"/>
      <c r="I128" s="16"/>
      <c r="J128" s="19"/>
      <c r="K128" s="20"/>
      <c r="L128" s="16"/>
      <c r="M128" s="19"/>
      <c r="N128" s="20"/>
      <c r="Q128" t="s">
        <v>75</v>
      </c>
      <c r="R128" t="s">
        <v>49</v>
      </c>
      <c r="V128">
        <v>-5.4700382920600532</v>
      </c>
      <c r="W128">
        <v>0.40655239845932556</v>
      </c>
      <c r="Y128">
        <v>-113.19294989883899</v>
      </c>
      <c r="Z128">
        <v>-480.67211163807394</v>
      </c>
    </row>
    <row r="129" spans="1:19" x14ac:dyDescent="0.25">
      <c r="A129" s="18">
        <v>0</v>
      </c>
      <c r="B129" s="20">
        <v>503.35407591590501</v>
      </c>
      <c r="C129" s="18">
        <v>0</v>
      </c>
      <c r="D129" s="19"/>
      <c r="E129" s="20"/>
      <c r="F129" s="18"/>
      <c r="G129" s="19"/>
      <c r="H129" s="20"/>
      <c r="I129" s="16"/>
      <c r="J129" s="19"/>
      <c r="K129" s="20"/>
      <c r="L129" s="16"/>
      <c r="M129" s="19"/>
      <c r="N129" s="20"/>
      <c r="Q129">
        <f ca="1">J118</f>
        <v>-685.79999999999984</v>
      </c>
      <c r="R129">
        <v>0</v>
      </c>
    </row>
    <row r="130" spans="1:19" x14ac:dyDescent="0.25">
      <c r="A130" s="19">
        <v>-1</v>
      </c>
      <c r="B130" s="20">
        <v>502.80060429434496</v>
      </c>
      <c r="C130" s="18">
        <v>3.4955882770385869</v>
      </c>
      <c r="D130" s="19"/>
      <c r="E130" s="20"/>
      <c r="F130" s="18"/>
      <c r="G130" s="19"/>
      <c r="H130" s="20"/>
      <c r="I130" s="16"/>
      <c r="J130" s="19"/>
      <c r="K130" s="20"/>
      <c r="L130" s="16"/>
      <c r="M130" s="19"/>
      <c r="N130" s="20"/>
      <c r="P130">
        <v>1</v>
      </c>
      <c r="Q130">
        <v>-680.79999999999984</v>
      </c>
      <c r="R130" t="e">
        <v>#N/A</v>
      </c>
      <c r="S130">
        <v>0</v>
      </c>
    </row>
    <row r="131" spans="1:19" x14ac:dyDescent="0.25">
      <c r="A131" s="19">
        <v>-2</v>
      </c>
      <c r="B131" s="20">
        <v>502.20804052036897</v>
      </c>
      <c r="C131" s="18">
        <v>6.9805138063724774</v>
      </c>
      <c r="D131" s="18"/>
      <c r="E131" s="18"/>
      <c r="F131" s="18"/>
      <c r="G131" s="18"/>
      <c r="H131" s="18"/>
      <c r="I131" s="18"/>
      <c r="P131">
        <v>2</v>
      </c>
      <c r="Q131">
        <v>-649.13369333333321</v>
      </c>
      <c r="R131">
        <v>31.216914094959542</v>
      </c>
      <c r="S131">
        <v>105.94539590092425</v>
      </c>
    </row>
    <row r="132" spans="1:19" x14ac:dyDescent="0.25">
      <c r="A132" s="18">
        <v>-3</v>
      </c>
      <c r="B132" s="18">
        <v>501.57572750723227</v>
      </c>
      <c r="C132" s="18">
        <v>10.45717574188861</v>
      </c>
      <c r="D132" s="18"/>
      <c r="E132" s="18"/>
      <c r="F132" s="18"/>
      <c r="G132" s="18"/>
      <c r="H132" s="18"/>
      <c r="I132" s="18"/>
      <c r="P132">
        <v>3</v>
      </c>
      <c r="Q132">
        <v>-617.46738666666658</v>
      </c>
      <c r="R132">
        <v>57.279625768621429</v>
      </c>
      <c r="S132">
        <v>105.94539590092309</v>
      </c>
    </row>
    <row r="133" spans="1:19" x14ac:dyDescent="0.25">
      <c r="A133" s="18">
        <v>-4</v>
      </c>
      <c r="B133" s="18">
        <v>500.90291536333467</v>
      </c>
      <c r="C133" s="18">
        <v>13.927945283405867</v>
      </c>
      <c r="D133" s="18"/>
      <c r="E133" s="18"/>
      <c r="F133" s="18"/>
      <c r="G133" s="18"/>
      <c r="H133" s="18"/>
      <c r="I133" s="18"/>
      <c r="P133">
        <v>4</v>
      </c>
      <c r="Q133">
        <v>-585.80107999999996</v>
      </c>
      <c r="R133">
        <v>82.518119647496533</v>
      </c>
      <c r="S133">
        <v>105.94539590092303</v>
      </c>
    </row>
    <row r="134" spans="1:19" x14ac:dyDescent="0.25">
      <c r="A134" s="19">
        <v>-5</v>
      </c>
      <c r="B134" s="20">
        <v>500.18875805908715</v>
      </c>
      <c r="C134" s="21">
        <v>17.395172656182687</v>
      </c>
      <c r="D134" s="21"/>
      <c r="E134" s="18"/>
      <c r="F134" s="18"/>
      <c r="G134" s="18"/>
      <c r="H134" s="18"/>
      <c r="I134" s="18"/>
      <c r="P134">
        <v>5</v>
      </c>
      <c r="Q134">
        <v>-554.13477333333333</v>
      </c>
      <c r="R134">
        <v>106.9391466789498</v>
      </c>
      <c r="S134">
        <v>105.9453959009231</v>
      </c>
    </row>
    <row r="135" spans="1:19" x14ac:dyDescent="0.25">
      <c r="A135" s="19">
        <v>-6</v>
      </c>
      <c r="B135" s="20">
        <v>499.43230962018225</v>
      </c>
      <c r="C135" s="21">
        <v>20.861193924308015</v>
      </c>
      <c r="D135" s="21"/>
      <c r="E135" s="18"/>
      <c r="F135" s="18"/>
      <c r="G135" s="18"/>
      <c r="H135" s="18"/>
      <c r="I135" s="18"/>
      <c r="P135">
        <v>6</v>
      </c>
      <c r="Q135">
        <v>-522.4684666666667</v>
      </c>
      <c r="R135">
        <v>129.81978452680426</v>
      </c>
      <c r="S135">
        <v>105.94539590092269</v>
      </c>
    </row>
    <row r="136" spans="1:19" x14ac:dyDescent="0.25">
      <c r="A136" s="18">
        <v>-7</v>
      </c>
      <c r="B136" s="18">
        <v>498.63251981461457</v>
      </c>
      <c r="C136" s="18">
        <v>24.328337683440441</v>
      </c>
      <c r="D136" s="18"/>
      <c r="E136" s="18"/>
      <c r="F136" s="18"/>
      <c r="G136" s="18"/>
      <c r="H136" s="18"/>
      <c r="I136" s="18"/>
      <c r="P136">
        <v>7</v>
      </c>
      <c r="Q136">
        <v>-490.80216000000001</v>
      </c>
      <c r="R136">
        <v>150.88678229083604</v>
      </c>
      <c r="S136">
        <v>105.94539590092286</v>
      </c>
    </row>
    <row r="137" spans="1:19" x14ac:dyDescent="0.25">
      <c r="A137" s="18">
        <v>-8</v>
      </c>
      <c r="B137" s="20">
        <v>497.7882292930924</v>
      </c>
      <c r="C137" s="18">
        <v>27.798931676586541</v>
      </c>
      <c r="D137" s="18"/>
      <c r="E137" s="18"/>
      <c r="F137" s="18"/>
      <c r="G137" s="18"/>
      <c r="H137" s="18"/>
      <c r="I137" s="18"/>
      <c r="P137">
        <v>8</v>
      </c>
      <c r="Q137">
        <v>-459.13585333333333</v>
      </c>
      <c r="R137">
        <v>170.85432598616313</v>
      </c>
      <c r="S137">
        <v>105.94539590092279</v>
      </c>
    </row>
    <row r="138" spans="1:19" x14ac:dyDescent="0.25">
      <c r="A138" s="19">
        <v>-9</v>
      </c>
      <c r="B138" s="20">
        <v>496.89816414265863</v>
      </c>
      <c r="C138" s="18">
        <v>31.275309375409616</v>
      </c>
      <c r="D138" s="18"/>
      <c r="E138" s="18"/>
      <c r="F138" s="18"/>
      <c r="G138" s="18"/>
      <c r="H138" s="18"/>
      <c r="I138" s="18"/>
      <c r="P138">
        <v>9</v>
      </c>
      <c r="Q138">
        <v>-427.46954666666664</v>
      </c>
      <c r="R138">
        <v>189.5934696608717</v>
      </c>
      <c r="S138">
        <v>105.9453959009231</v>
      </c>
    </row>
    <row r="139" spans="1:19" x14ac:dyDescent="0.25">
      <c r="A139" s="19">
        <v>-10</v>
      </c>
      <c r="B139" s="18">
        <v>495.96092980358827</v>
      </c>
      <c r="C139" s="18">
        <v>34.759816568815353</v>
      </c>
      <c r="D139" s="18"/>
      <c r="E139" s="18"/>
      <c r="F139" s="18"/>
      <c r="G139" s="18"/>
      <c r="H139" s="18"/>
      <c r="I139" s="18"/>
      <c r="P139">
        <v>10</v>
      </c>
      <c r="Q139">
        <v>-395.80323999999996</v>
      </c>
      <c r="R139">
        <v>207.50118110422</v>
      </c>
      <c r="S139">
        <v>105.94539590092278</v>
      </c>
    </row>
    <row r="140" spans="1:19" x14ac:dyDescent="0.25">
      <c r="A140" s="18">
        <v>-11</v>
      </c>
      <c r="B140" s="18">
        <v>494.97500429621363</v>
      </c>
      <c r="C140" s="18">
        <v>38.254818000329514</v>
      </c>
      <c r="D140" s="18"/>
      <c r="E140" s="18"/>
      <c r="F140" s="18"/>
      <c r="G140" s="18"/>
      <c r="H140" s="18"/>
      <c r="I140" s="18"/>
      <c r="P140">
        <v>11</v>
      </c>
      <c r="Q140">
        <v>-364.13693333333327</v>
      </c>
      <c r="R140">
        <v>225.27109307549918</v>
      </c>
      <c r="S140">
        <v>105.9453959009228</v>
      </c>
    </row>
    <row r="141" spans="1:19" x14ac:dyDescent="0.25">
      <c r="A141" s="18">
        <v>-12</v>
      </c>
      <c r="B141" s="18">
        <v>493.93873069475052</v>
      </c>
      <c r="C141" s="18">
        <v>41.762704095986358</v>
      </c>
      <c r="D141" s="18"/>
      <c r="E141" s="18"/>
      <c r="F141" s="18"/>
      <c r="G141" s="18"/>
      <c r="H141" s="18"/>
      <c r="I141" s="18"/>
      <c r="P141">
        <v>12</v>
      </c>
      <c r="Q141">
        <v>-332.47062666666659</v>
      </c>
      <c r="R141">
        <v>243.09828026984562</v>
      </c>
      <c r="S141">
        <v>105.94539590092276</v>
      </c>
    </row>
    <row r="142" spans="1:19" x14ac:dyDescent="0.25">
      <c r="A142" s="19">
        <v>-13</v>
      </c>
      <c r="B142" s="18">
        <v>492.85030878195647</v>
      </c>
      <c r="C142" s="18">
        <v>45.285897825169911</v>
      </c>
      <c r="D142" s="18"/>
      <c r="E142" s="18"/>
      <c r="F142" s="18"/>
      <c r="G142" s="18"/>
      <c r="H142" s="18"/>
      <c r="I142" s="18"/>
      <c r="P142">
        <v>13</v>
      </c>
      <c r="Q142">
        <v>-300.8043199999999</v>
      </c>
      <c r="R142">
        <v>260.97326578706316</v>
      </c>
      <c r="S142">
        <v>105.94539590092288</v>
      </c>
    </row>
    <row r="143" spans="1:19" x14ac:dyDescent="0.25">
      <c r="A143" s="19">
        <v>-14</v>
      </c>
      <c r="B143" s="18">
        <v>491.70778580347411</v>
      </c>
      <c r="C143" s="18">
        <v>48.826861737980259</v>
      </c>
      <c r="D143" s="18"/>
      <c r="E143" s="18"/>
      <c r="F143" s="18"/>
      <c r="G143" s="18"/>
      <c r="H143" s="18"/>
      <c r="I143" s="18"/>
      <c r="P143">
        <v>14</v>
      </c>
      <c r="Q143">
        <v>-269.13801333333322</v>
      </c>
      <c r="R143">
        <v>278.88324292818601</v>
      </c>
      <c r="S143">
        <v>105.94539590092275</v>
      </c>
    </row>
    <row r="144" spans="1:19" x14ac:dyDescent="0.25">
      <c r="A144" s="18">
        <v>-15</v>
      </c>
      <c r="B144" s="18">
        <v>490.5090462362507</v>
      </c>
      <c r="C144" s="18">
        <v>52.388105224382429</v>
      </c>
      <c r="D144" s="22"/>
      <c r="E144" s="18"/>
      <c r="F144" s="18"/>
      <c r="G144" s="18"/>
      <c r="H144" s="19"/>
      <c r="I144" s="23"/>
      <c r="P144">
        <v>15</v>
      </c>
      <c r="Q144">
        <v>-237.47170666666656</v>
      </c>
      <c r="R144">
        <v>296.81183381218642</v>
      </c>
      <c r="S144">
        <v>105.945395900923</v>
      </c>
    </row>
    <row r="145" spans="1:19" x14ac:dyDescent="0.25">
      <c r="A145" s="18">
        <v>-16</v>
      </c>
      <c r="B145" s="18">
        <v>489.25180047170744</v>
      </c>
      <c r="C145" s="18">
        <v>55.972192042566171</v>
      </c>
      <c r="D145" s="24"/>
      <c r="E145" s="18"/>
      <c r="F145" s="18"/>
      <c r="G145" s="18"/>
      <c r="H145" s="19"/>
      <c r="I145" s="23"/>
      <c r="P145">
        <v>16</v>
      </c>
      <c r="Q145">
        <v>-205.80539999999991</v>
      </c>
      <c r="R145">
        <v>314.73898997060405</v>
      </c>
      <c r="S145">
        <v>105.94539590092293</v>
      </c>
    </row>
    <row r="146" spans="1:19" x14ac:dyDescent="0.25">
      <c r="A146" s="19">
        <v>-17</v>
      </c>
      <c r="B146" s="18">
        <v>487.93357230065408</v>
      </c>
      <c r="C146" s="18">
        <v>59.581748166640281</v>
      </c>
      <c r="D146" s="18"/>
      <c r="E146" s="18"/>
      <c r="F146" s="18"/>
      <c r="G146" s="18"/>
      <c r="H146" s="18"/>
      <c r="I146" s="18"/>
      <c r="P146">
        <v>17</v>
      </c>
      <c r="Q146">
        <v>-174.13909333333325</v>
      </c>
      <c r="R146">
        <v>332.6410626441438</v>
      </c>
      <c r="S146">
        <v>105.94539590092288</v>
      </c>
    </row>
    <row r="147" spans="1:19" x14ac:dyDescent="0.25">
      <c r="A147" s="19">
        <v>-18</v>
      </c>
      <c r="B147">
        <v>486.55168507493073</v>
      </c>
      <c r="C147">
        <v>63.219470007130688</v>
      </c>
      <c r="P147">
        <v>18</v>
      </c>
      <c r="Q147">
        <v>-142.47278666666659</v>
      </c>
      <c r="R147">
        <v>350.49105424391979</v>
      </c>
      <c r="S147">
        <v>105.94539590092289</v>
      </c>
    </row>
    <row r="148" spans="1:19" x14ac:dyDescent="0.25">
      <c r="A148" s="18">
        <v>-19</v>
      </c>
      <c r="B148">
        <v>485.10324640207358</v>
      </c>
      <c r="C148">
        <v>66.888133061681572</v>
      </c>
      <c r="P148">
        <v>19</v>
      </c>
      <c r="Q148">
        <v>-110.80647999999994</v>
      </c>
      <c r="R148">
        <v>368.25904255886331</v>
      </c>
      <c r="S148">
        <v>105.94539590092279</v>
      </c>
    </row>
    <row r="149" spans="1:19" x14ac:dyDescent="0.25">
      <c r="A149" s="18">
        <v>-20</v>
      </c>
      <c r="B149">
        <v>483.5851312117311</v>
      </c>
      <c r="C149">
        <v>70.590601058039596</v>
      </c>
      <c r="P149">
        <v>20</v>
      </c>
      <c r="Q149">
        <v>-79.14017333333328</v>
      </c>
      <c r="R149">
        <v>385.91274951720595</v>
      </c>
      <c r="S149">
        <v>105.94539590092273</v>
      </c>
    </row>
    <row r="150" spans="1:19" x14ac:dyDescent="0.25">
      <c r="A150" s="19">
        <v>-21</v>
      </c>
      <c r="B150">
        <v>481.99396300953873</v>
      </c>
      <c r="C150">
        <v>74.32983565683854</v>
      </c>
      <c r="P150">
        <v>21</v>
      </c>
      <c r="Q150">
        <v>-47.473866666666616</v>
      </c>
      <c r="R150">
        <v>403.2465981954648</v>
      </c>
      <c r="S150">
        <v>105.94539590092276</v>
      </c>
    </row>
    <row r="151" spans="1:19" x14ac:dyDescent="0.25">
      <c r="A151" s="19">
        <v>-22</v>
      </c>
      <c r="B151">
        <v>480.32609311100458</v>
      </c>
      <c r="C151">
        <v>78.108906788068751</v>
      </c>
      <c r="P151">
        <v>22</v>
      </c>
      <c r="Q151">
        <v>-15.807559999999953</v>
      </c>
      <c r="R151">
        <v>420.52806451645461</v>
      </c>
      <c r="S151">
        <v>105.94539590092286</v>
      </c>
    </row>
    <row r="152" spans="1:19" x14ac:dyDescent="0.25">
      <c r="A152" s="18">
        <v>-23</v>
      </c>
      <c r="B152">
        <v>478.57757761783517</v>
      </c>
      <c r="C152">
        <v>81.931003702422487</v>
      </c>
      <c r="P152">
        <v>23</v>
      </c>
      <c r="Q152">
        <v>15.858746666666711</v>
      </c>
      <c r="R152">
        <v>436.61836160424235</v>
      </c>
      <c r="S152">
        <v>105.9453959009229</v>
      </c>
    </row>
    <row r="153" spans="1:19" x14ac:dyDescent="0.25">
      <c r="A153" s="18">
        <v>-24</v>
      </c>
      <c r="B153">
        <v>476.74415186743573</v>
      </c>
      <c r="C153">
        <v>85.79944682720695</v>
      </c>
      <c r="P153">
        <v>24</v>
      </c>
      <c r="Q153">
        <v>47.525053333333375</v>
      </c>
      <c r="R153">
        <v>451.24778617726639</v>
      </c>
      <c r="S153">
        <v>105.94539590092292</v>
      </c>
    </row>
    <row r="154" spans="1:19" x14ac:dyDescent="0.25">
      <c r="A154" s="19">
        <v>-25</v>
      </c>
      <c r="B154">
        <v>474.78898269498694</v>
      </c>
      <c r="C154">
        <v>89.727942463979446</v>
      </c>
      <c r="P154">
        <v>25</v>
      </c>
      <c r="Q154">
        <v>79.191360000000032</v>
      </c>
      <c r="R154">
        <v>465.2825502921421</v>
      </c>
      <c r="S154">
        <v>105.94539590092285</v>
      </c>
    </row>
    <row r="155" spans="1:19" x14ac:dyDescent="0.25">
      <c r="A155" s="19">
        <v>-26</v>
      </c>
      <c r="B155">
        <v>471.950589452016</v>
      </c>
      <c r="C155">
        <v>93.960325457508276</v>
      </c>
      <c r="P155">
        <v>26</v>
      </c>
      <c r="Q155">
        <v>110.85766666666669</v>
      </c>
      <c r="R155">
        <v>479.62047470683723</v>
      </c>
      <c r="S155">
        <v>105.94539590092282</v>
      </c>
    </row>
    <row r="156" spans="1:19" x14ac:dyDescent="0.25">
      <c r="A156" s="18">
        <v>-27</v>
      </c>
      <c r="B156">
        <v>469.01102689529637</v>
      </c>
      <c r="C156">
        <v>98.249831386122082</v>
      </c>
      <c r="P156">
        <v>27</v>
      </c>
      <c r="Q156">
        <v>142.52397333333334</v>
      </c>
      <c r="R156">
        <v>490.94194521095363</v>
      </c>
      <c r="S156">
        <v>105.94539590092275</v>
      </c>
    </row>
    <row r="157" spans="1:19" x14ac:dyDescent="0.25">
      <c r="A157" s="18">
        <v>-28</v>
      </c>
      <c r="B157">
        <v>467.04202712853015</v>
      </c>
      <c r="C157">
        <v>100.78654061625217</v>
      </c>
      <c r="P157">
        <v>28</v>
      </c>
      <c r="Q157">
        <v>174.19028</v>
      </c>
      <c r="R157">
        <v>494.76934391547928</v>
      </c>
      <c r="S157">
        <v>105.94539590092288</v>
      </c>
    </row>
    <row r="158" spans="1:19" x14ac:dyDescent="0.25">
      <c r="A158" s="19">
        <v>-29</v>
      </c>
      <c r="B158">
        <v>463.8784245056263</v>
      </c>
      <c r="C158">
        <v>105.20169905434219</v>
      </c>
      <c r="P158">
        <v>29</v>
      </c>
      <c r="Q158">
        <v>205.85658666666666</v>
      </c>
      <c r="R158">
        <v>498.22452968230749</v>
      </c>
      <c r="S158">
        <v>105.94539590092289</v>
      </c>
    </row>
    <row r="159" spans="1:19" x14ac:dyDescent="0.25">
      <c r="A159" s="19">
        <v>-30</v>
      </c>
      <c r="B159">
        <v>460.5928412102574</v>
      </c>
      <c r="C159">
        <v>109.68710613047706</v>
      </c>
      <c r="P159">
        <v>30</v>
      </c>
      <c r="Q159">
        <v>237.52289333333331</v>
      </c>
      <c r="R159">
        <v>498.76421568431186</v>
      </c>
      <c r="S159">
        <v>105.94539590092289</v>
      </c>
    </row>
    <row r="160" spans="1:19" x14ac:dyDescent="0.25">
      <c r="A160" s="18">
        <v>-31</v>
      </c>
      <c r="B160">
        <v>457.17720939935703</v>
      </c>
      <c r="C160">
        <v>114.24759724460284</v>
      </c>
      <c r="P160">
        <v>31</v>
      </c>
      <c r="Q160">
        <v>269.18919999999997</v>
      </c>
      <c r="R160">
        <v>499.2229487311476</v>
      </c>
      <c r="S160">
        <v>105.9453959009229</v>
      </c>
    </row>
    <row r="161" spans="1:19" x14ac:dyDescent="0.25">
      <c r="A161" s="18">
        <v>-32</v>
      </c>
      <c r="B161">
        <v>453.62278752538612</v>
      </c>
      <c r="C161">
        <v>118.88827936149944</v>
      </c>
      <c r="P161">
        <v>32</v>
      </c>
      <c r="Q161">
        <v>300.85550666666666</v>
      </c>
      <c r="R161">
        <v>499.48940679215485</v>
      </c>
      <c r="S161">
        <v>105.94539590092283</v>
      </c>
    </row>
    <row r="162" spans="1:19" x14ac:dyDescent="0.25">
      <c r="A162" s="19">
        <v>-33</v>
      </c>
      <c r="B162">
        <v>449.92008950831053</v>
      </c>
      <c r="C162">
        <v>123.61455686129581</v>
      </c>
      <c r="P162">
        <v>33</v>
      </c>
      <c r="Q162">
        <v>332.52181333333334</v>
      </c>
      <c r="R162">
        <v>499.52891466733439</v>
      </c>
      <c r="S162">
        <v>105.94539590092282</v>
      </c>
    </row>
    <row r="163" spans="1:19" x14ac:dyDescent="0.25">
      <c r="A163" s="19">
        <v>-34</v>
      </c>
      <c r="B163">
        <v>446.05880508827431</v>
      </c>
      <c r="C163">
        <v>128.43215998368308</v>
      </c>
      <c r="P163">
        <v>34</v>
      </c>
      <c r="Q163">
        <v>364.18812000000003</v>
      </c>
      <c r="R163">
        <v>499.29804178524068</v>
      </c>
      <c r="S163">
        <v>105.94539590092286</v>
      </c>
    </row>
    <row r="164" spans="1:19" x14ac:dyDescent="0.25">
      <c r="A164" s="18">
        <v>-35</v>
      </c>
      <c r="B164">
        <v>442.027773238804</v>
      </c>
      <c r="C164">
        <v>133.34709135964951</v>
      </c>
      <c r="P164">
        <v>35</v>
      </c>
      <c r="Q164">
        <v>395.85442666666671</v>
      </c>
      <c r="R164">
        <v>498.12768915496588</v>
      </c>
      <c r="S164">
        <v>105.94539590092288</v>
      </c>
    </row>
    <row r="165" spans="1:19" x14ac:dyDescent="0.25">
      <c r="A165" s="18">
        <v>-36</v>
      </c>
      <c r="B165">
        <v>438.96569208584322</v>
      </c>
      <c r="C165">
        <v>136.5928277547381</v>
      </c>
      <c r="P165">
        <v>36</v>
      </c>
      <c r="Q165">
        <v>427.5207333333334</v>
      </c>
      <c r="R165">
        <v>496.74219362927101</v>
      </c>
      <c r="S165">
        <v>105.94539590092285</v>
      </c>
    </row>
    <row r="166" spans="1:19" x14ac:dyDescent="0.25">
      <c r="A166" s="19">
        <v>-37</v>
      </c>
      <c r="B166">
        <v>434.8209278887245</v>
      </c>
      <c r="C166">
        <v>141.39087717562234</v>
      </c>
      <c r="P166">
        <v>37</v>
      </c>
      <c r="Q166">
        <v>459.18704000000008</v>
      </c>
      <c r="R166">
        <v>494.60090865200448</v>
      </c>
      <c r="S166">
        <v>105.94539590092288</v>
      </c>
    </row>
    <row r="167" spans="1:19" x14ac:dyDescent="0.25">
      <c r="A167" s="19">
        <v>-38</v>
      </c>
      <c r="B167">
        <v>430.67170579138593</v>
      </c>
      <c r="C167">
        <v>146.06480861694382</v>
      </c>
      <c r="P167">
        <v>38</v>
      </c>
      <c r="Q167">
        <v>490.85334666666677</v>
      </c>
      <c r="R167">
        <v>491.30279451562751</v>
      </c>
      <c r="S167">
        <v>105.94539590092288</v>
      </c>
    </row>
    <row r="168" spans="1:19" x14ac:dyDescent="0.25">
      <c r="A168" s="18">
        <v>-39</v>
      </c>
      <c r="B168">
        <v>426.51269262242943</v>
      </c>
      <c r="C168">
        <v>150.62620926479036</v>
      </c>
      <c r="P168">
        <v>39</v>
      </c>
      <c r="Q168">
        <v>522.51965333333339</v>
      </c>
      <c r="R168">
        <v>487.07300210047964</v>
      </c>
      <c r="S168">
        <v>105.94539590092286</v>
      </c>
    </row>
    <row r="169" spans="1:19" x14ac:dyDescent="0.25">
      <c r="A169" s="18">
        <v>-40</v>
      </c>
      <c r="B169">
        <v>422.33850749629283</v>
      </c>
      <c r="C169">
        <v>155.08576032828509</v>
      </c>
      <c r="P169">
        <v>40</v>
      </c>
      <c r="Q169">
        <v>554.18596000000002</v>
      </c>
      <c r="R169">
        <v>481.33221053672804</v>
      </c>
      <c r="S169">
        <v>105.9453959009228</v>
      </c>
    </row>
    <row r="170" spans="1:19" x14ac:dyDescent="0.25">
      <c r="A170" s="19">
        <v>-41</v>
      </c>
      <c r="B170">
        <v>418.14368723618497</v>
      </c>
      <c r="C170">
        <v>159.45335159955221</v>
      </c>
      <c r="P170">
        <v>41</v>
      </c>
      <c r="Q170">
        <v>585.85226666666665</v>
      </c>
      <c r="R170">
        <v>477.73958976835877</v>
      </c>
      <c r="S170">
        <v>105.94539590092279</v>
      </c>
    </row>
    <row r="171" spans="1:19" x14ac:dyDescent="0.25">
      <c r="A171" s="19">
        <v>-42</v>
      </c>
      <c r="B171">
        <v>413.92265090699681</v>
      </c>
      <c r="C171">
        <v>163.73818172173168</v>
      </c>
      <c r="P171">
        <v>42</v>
      </c>
      <c r="Q171">
        <v>617.51857333333328</v>
      </c>
      <c r="R171">
        <v>477.69408371081272</v>
      </c>
      <c r="S171">
        <v>105.9453959009228</v>
      </c>
    </row>
    <row r="172" spans="1:19" x14ac:dyDescent="0.25">
      <c r="A172" s="18">
        <v>-43</v>
      </c>
      <c r="B172">
        <v>409.66966291331801</v>
      </c>
      <c r="C172">
        <v>167.9488464770086</v>
      </c>
      <c r="P172">
        <v>43</v>
      </c>
      <c r="Q172">
        <v>649.18487999999991</v>
      </c>
      <c r="R172">
        <v>477.54069122267998</v>
      </c>
      <c r="S172">
        <v>105.9453959009229</v>
      </c>
    </row>
    <row r="173" spans="1:19" x14ac:dyDescent="0.25">
      <c r="A173" s="18">
        <v>-44</v>
      </c>
      <c r="B173">
        <v>405.37879408533337</v>
      </c>
      <c r="C173">
        <v>172.09341702267832</v>
      </c>
      <c r="P173">
        <v>44</v>
      </c>
      <c r="Q173">
        <v>680.85118666666654</v>
      </c>
      <c r="R173">
        <v>477.26065176816672</v>
      </c>
      <c r="S173">
        <v>105.94539590092285</v>
      </c>
    </row>
    <row r="174" spans="1:19" x14ac:dyDescent="0.25">
      <c r="A174" s="19">
        <v>-45</v>
      </c>
      <c r="B174">
        <v>400.75797937722228</v>
      </c>
      <c r="C174">
        <v>176.15251227041972</v>
      </c>
      <c r="P174">
        <v>45</v>
      </c>
      <c r="Q174">
        <v>712.51749333333316</v>
      </c>
      <c r="R174">
        <v>476.83474135758814</v>
      </c>
      <c r="S174">
        <v>105.94539590092288</v>
      </c>
    </row>
    <row r="175" spans="1:19" x14ac:dyDescent="0.25">
      <c r="A175" s="19">
        <v>-46</v>
      </c>
      <c r="B175">
        <v>395.93532743463447</v>
      </c>
      <c r="C175">
        <v>180.14036438583545</v>
      </c>
      <c r="P175">
        <v>46</v>
      </c>
      <c r="Q175">
        <v>744.18379999999979</v>
      </c>
      <c r="R175">
        <v>475.1680529073833</v>
      </c>
      <c r="S175">
        <v>105.94539590092288</v>
      </c>
    </row>
    <row r="176" spans="1:19" x14ac:dyDescent="0.25">
      <c r="A176" s="18">
        <v>-47</v>
      </c>
      <c r="B176">
        <v>391.06174847810973</v>
      </c>
      <c r="C176">
        <v>184.07768146957017</v>
      </c>
      <c r="P176">
        <v>47</v>
      </c>
      <c r="Q176">
        <v>775.85010666666642</v>
      </c>
      <c r="R176">
        <v>474.39012951289681</v>
      </c>
      <c r="S176">
        <v>105.94539590092285</v>
      </c>
    </row>
    <row r="177" spans="1:19" x14ac:dyDescent="0.25">
      <c r="A177" s="18">
        <v>-48</v>
      </c>
      <c r="B177">
        <v>386.1301574297778</v>
      </c>
      <c r="C177">
        <v>187.9712236255792</v>
      </c>
      <c r="P177">
        <v>48</v>
      </c>
      <c r="Q177">
        <v>807.51641333333305</v>
      </c>
      <c r="R177">
        <v>473.19994865041735</v>
      </c>
      <c r="S177">
        <v>105.94539590092279</v>
      </c>
    </row>
    <row r="178" spans="1:19" x14ac:dyDescent="0.25">
      <c r="A178" s="19">
        <v>-49</v>
      </c>
      <c r="B178">
        <v>381.13306572844238</v>
      </c>
      <c r="C178">
        <v>191.82749177213435</v>
      </c>
      <c r="P178">
        <v>49</v>
      </c>
      <c r="Q178">
        <v>839.18271999999968</v>
      </c>
      <c r="R178">
        <v>471.58330484935635</v>
      </c>
      <c r="S178">
        <v>105.94539590092282</v>
      </c>
    </row>
    <row r="179" spans="1:19" x14ac:dyDescent="0.25">
      <c r="A179" s="19">
        <v>-50</v>
      </c>
      <c r="B179">
        <v>376.06251760117254</v>
      </c>
      <c r="C179">
        <v>195.65277419624803</v>
      </c>
      <c r="P179">
        <v>50</v>
      </c>
      <c r="Q179">
        <v>870.8490266666663</v>
      </c>
      <c r="R179">
        <v>469.72393855124886</v>
      </c>
      <c r="S179">
        <v>105.94539590092285</v>
      </c>
    </row>
    <row r="180" spans="1:19" x14ac:dyDescent="0.25">
      <c r="A180" s="18">
        <v>-51</v>
      </c>
      <c r="B180">
        <v>370.91001838310143</v>
      </c>
      <c r="C180">
        <v>199.45319041207824</v>
      </c>
      <c r="P180">
        <v>51</v>
      </c>
      <c r="Q180">
        <v>902.51533333333293</v>
      </c>
      <c r="R180">
        <v>467.60008700904837</v>
      </c>
      <c r="S180">
        <v>105.94539590092286</v>
      </c>
    </row>
    <row r="181" spans="1:19" x14ac:dyDescent="0.25">
      <c r="A181" s="18">
        <v>-52</v>
      </c>
      <c r="B181">
        <v>365.66645332450679</v>
      </c>
      <c r="C181">
        <v>203.23473300475268</v>
      </c>
      <c r="P181">
        <v>52</v>
      </c>
      <c r="Q181">
        <v>934.18163999999956</v>
      </c>
      <c r="R181">
        <v>465.19021736625791</v>
      </c>
      <c r="S181">
        <v>105.94539590092288</v>
      </c>
    </row>
    <row r="182" spans="1:19" x14ac:dyDescent="0.25">
      <c r="A182" s="19">
        <v>-53</v>
      </c>
      <c r="B182">
        <v>360.32199501512645</v>
      </c>
      <c r="C182">
        <v>207.00330809794397</v>
      </c>
      <c r="P182">
        <v>53</v>
      </c>
      <c r="Q182">
        <v>965.84794666666619</v>
      </c>
      <c r="R182">
        <v>462.47310666820567</v>
      </c>
      <c r="S182">
        <v>105.94539590092289</v>
      </c>
    </row>
    <row r="183" spans="1:19" x14ac:dyDescent="0.25">
      <c r="A183" s="19">
        <v>-54</v>
      </c>
      <c r="B183">
        <v>354.86599717495181</v>
      </c>
      <c r="C183">
        <v>210.76477505979059</v>
      </c>
      <c r="P183">
        <v>54</v>
      </c>
      <c r="Q183">
        <v>997.51425333333282</v>
      </c>
      <c r="R183">
        <v>459.42791383553441</v>
      </c>
      <c r="S183">
        <v>105.94539590092288</v>
      </c>
    </row>
    <row r="184" spans="1:19" x14ac:dyDescent="0.25">
      <c r="A184" s="18">
        <v>-55</v>
      </c>
      <c r="B184">
        <v>349.28687207849214</v>
      </c>
      <c r="C184">
        <v>214.52498605298189</v>
      </c>
      <c r="P184">
        <v>55</v>
      </c>
      <c r="Q184">
        <v>1029.1805599999996</v>
      </c>
      <c r="R184">
        <v>456.03424316489026</v>
      </c>
      <c r="S184">
        <v>105.94539590092282</v>
      </c>
    </row>
    <row r="185" spans="1:19" x14ac:dyDescent="0.25">
      <c r="A185" s="18">
        <v>-56</v>
      </c>
      <c r="B185">
        <v>343.57194827742211</v>
      </c>
      <c r="C185">
        <v>218.2898260449133</v>
      </c>
      <c r="P185">
        <v>56</v>
      </c>
      <c r="Q185">
        <v>1060.8468666666663</v>
      </c>
      <c r="R185">
        <v>452.27219915122987</v>
      </c>
      <c r="S185">
        <v>105.94539590092285</v>
      </c>
    </row>
    <row r="186" spans="1:19" x14ac:dyDescent="0.25">
      <c r="A186" s="19">
        <v>-57</v>
      </c>
      <c r="B186">
        <v>337.70730452253241</v>
      </c>
      <c r="C186">
        <v>222.06525392102716</v>
      </c>
      <c r="P186">
        <v>57</v>
      </c>
      <c r="Q186">
        <v>1092.513173333333</v>
      </c>
      <c r="R186">
        <v>448.12243263468781</v>
      </c>
      <c r="S186">
        <v>105.94539590092285</v>
      </c>
    </row>
    <row r="187" spans="1:19" x14ac:dyDescent="0.25">
      <c r="A187" s="19">
        <v>-58</v>
      </c>
      <c r="B187">
        <v>331.67757481470505</v>
      </c>
      <c r="C187">
        <v>225.85734539137809</v>
      </c>
      <c r="P187">
        <v>58</v>
      </c>
      <c r="Q187">
        <v>1124.1794799999998</v>
      </c>
      <c r="R187">
        <v>443.56617845755994</v>
      </c>
      <c r="S187">
        <v>105.9453959009228</v>
      </c>
    </row>
    <row r="188" spans="1:19" x14ac:dyDescent="0.25">
      <c r="A188" s="18">
        <v>-59</v>
      </c>
      <c r="B188">
        <v>325.46571827384497</v>
      </c>
      <c r="C188">
        <v>229.67233845090388</v>
      </c>
      <c r="P188">
        <v>59</v>
      </c>
      <c r="Q188">
        <v>1155.8457866666665</v>
      </c>
      <c r="R188">
        <v>438.54404799424918</v>
      </c>
      <c r="S188">
        <v>105.94539590092288</v>
      </c>
    </row>
    <row r="189" spans="1:19" x14ac:dyDescent="0.25">
      <c r="A189" s="18">
        <v>-60</v>
      </c>
      <c r="B189">
        <v>319.05274591592536</v>
      </c>
      <c r="C189">
        <v>233.51668225080661</v>
      </c>
      <c r="P189">
        <v>60</v>
      </c>
      <c r="Q189">
        <v>1187.5120933333333</v>
      </c>
      <c r="R189">
        <v>432.89574701840252</v>
      </c>
      <c r="S189">
        <v>105.94539590092286</v>
      </c>
    </row>
    <row r="190" spans="1:19" x14ac:dyDescent="0.25">
      <c r="A190" s="19">
        <v>-61</v>
      </c>
      <c r="B190">
        <v>312.41739435469032</v>
      </c>
      <c r="C190">
        <v>237.39709036758441</v>
      </c>
      <c r="P190">
        <v>61</v>
      </c>
      <c r="Q190">
        <v>1219.1784</v>
      </c>
      <c r="R190">
        <v>426.59476028430782</v>
      </c>
      <c r="S190">
        <v>105.9453959009228</v>
      </c>
    </row>
    <row r="191" spans="1:19" x14ac:dyDescent="0.25">
      <c r="A191" s="19">
        <v>-62</v>
      </c>
      <c r="B191">
        <v>307.74963834525391</v>
      </c>
      <c r="C191">
        <v>240.30264045359738</v>
      </c>
      <c r="P191">
        <v>62</v>
      </c>
      <c r="Q191">
        <v>1250.8447066666668</v>
      </c>
      <c r="R191">
        <v>419.80885132498503</v>
      </c>
      <c r="S191">
        <v>105.94539590092282</v>
      </c>
    </row>
    <row r="192" spans="1:19" x14ac:dyDescent="0.25">
      <c r="A192" s="18">
        <v>-63</v>
      </c>
      <c r="B192">
        <v>300.65533669716166</v>
      </c>
      <c r="C192">
        <v>244.24587561647573</v>
      </c>
      <c r="P192">
        <v>63</v>
      </c>
      <c r="Q192">
        <v>1282.5110133333335</v>
      </c>
      <c r="R192">
        <v>412.52174672386889</v>
      </c>
      <c r="S192">
        <v>105.94539590092279</v>
      </c>
    </row>
    <row r="193" spans="1:19" x14ac:dyDescent="0.25">
      <c r="A193" s="18">
        <v>-64</v>
      </c>
      <c r="B193">
        <v>293.15395449981332</v>
      </c>
      <c r="C193">
        <v>248.09328162888164</v>
      </c>
      <c r="P193">
        <v>64</v>
      </c>
      <c r="Q193">
        <v>1314.1773200000002</v>
      </c>
      <c r="R193">
        <v>404.71787835947828</v>
      </c>
      <c r="S193">
        <v>105.94539590092292</v>
      </c>
    </row>
    <row r="194" spans="1:19" x14ac:dyDescent="0.25">
      <c r="A194" s="19">
        <v>-65</v>
      </c>
      <c r="B194">
        <v>285.31321659895997</v>
      </c>
      <c r="C194">
        <v>251.98733198466567</v>
      </c>
      <c r="P194">
        <v>65</v>
      </c>
      <c r="Q194">
        <v>1345.843626666667</v>
      </c>
      <c r="R194">
        <v>396.38237236215781</v>
      </c>
      <c r="S194">
        <v>105.94539590092288</v>
      </c>
    </row>
    <row r="195" spans="1:19" x14ac:dyDescent="0.25">
      <c r="A195" s="19">
        <v>-66</v>
      </c>
      <c r="B195">
        <v>277.10077392028484</v>
      </c>
      <c r="C195">
        <v>255.945761693149</v>
      </c>
      <c r="P195">
        <v>66</v>
      </c>
      <c r="Q195">
        <v>1377.5099333333337</v>
      </c>
      <c r="R195">
        <v>387.50103410067788</v>
      </c>
      <c r="S195">
        <v>105.94539590092282</v>
      </c>
    </row>
    <row r="196" spans="1:19" x14ac:dyDescent="0.25">
      <c r="A196" s="18">
        <v>-67</v>
      </c>
      <c r="B196">
        <v>268.47139937670102</v>
      </c>
      <c r="C196">
        <v>259.97758540672146</v>
      </c>
      <c r="P196">
        <v>67</v>
      </c>
      <c r="Q196">
        <v>1409.1762400000005</v>
      </c>
      <c r="R196">
        <v>378.06032990128625</v>
      </c>
      <c r="S196">
        <v>105.94539590092285</v>
      </c>
    </row>
    <row r="197" spans="1:19" x14ac:dyDescent="0.25">
      <c r="A197" s="18">
        <v>-68</v>
      </c>
      <c r="B197">
        <v>259.37244584581146</v>
      </c>
      <c r="C197">
        <v>264.09262016091157</v>
      </c>
      <c r="P197">
        <v>68</v>
      </c>
      <c r="Q197">
        <v>1440.8425466666672</v>
      </c>
      <c r="R197">
        <v>367.78236714543056</v>
      </c>
      <c r="S197">
        <v>105.94539590092286</v>
      </c>
    </row>
    <row r="198" spans="1:19" x14ac:dyDescent="0.25">
      <c r="A198" s="19">
        <v>-69</v>
      </c>
      <c r="B198">
        <v>249.74219438004482</v>
      </c>
      <c r="C198">
        <v>268.30163224516525</v>
      </c>
      <c r="P198">
        <v>69</v>
      </c>
      <c r="Q198">
        <v>1472.5088533333339</v>
      </c>
      <c r="R198">
        <v>356.55748561398946</v>
      </c>
      <c r="S198">
        <v>105.94539590092283</v>
      </c>
    </row>
    <row r="199" spans="1:19" x14ac:dyDescent="0.25">
      <c r="A199" s="19">
        <v>-70</v>
      </c>
      <c r="B199">
        <v>239.50774008087822</v>
      </c>
      <c r="C199">
        <v>272.61651379884523</v>
      </c>
      <c r="P199">
        <v>70</v>
      </c>
      <c r="Q199">
        <v>1504.1751600000007</v>
      </c>
      <c r="R199">
        <v>344.83662993877209</v>
      </c>
      <c r="S199">
        <v>105.94539590092289</v>
      </c>
    </row>
    <row r="200" spans="1:19" x14ac:dyDescent="0.25">
      <c r="A200" s="18">
        <v>-71</v>
      </c>
      <c r="B200">
        <v>228.5822564352417</v>
      </c>
      <c r="C200">
        <v>277.05049739004676</v>
      </c>
      <c r="P200">
        <v>71</v>
      </c>
      <c r="Q200">
        <v>1535.8414666666674</v>
      </c>
      <c r="R200">
        <v>332.4854362006397</v>
      </c>
      <c r="S200">
        <v>105.94539590092285</v>
      </c>
    </row>
    <row r="201" spans="1:19" x14ac:dyDescent="0.25">
      <c r="A201" s="18">
        <v>-72</v>
      </c>
      <c r="B201">
        <v>216.8614127274067</v>
      </c>
      <c r="C201">
        <v>281.61841962771064</v>
      </c>
      <c r="P201">
        <v>72</v>
      </c>
      <c r="Q201">
        <v>1567.5077733333342</v>
      </c>
      <c r="R201">
        <v>319.49269711153789</v>
      </c>
      <c r="S201">
        <v>105.94539590092283</v>
      </c>
    </row>
    <row r="202" spans="1:19" x14ac:dyDescent="0.25">
      <c r="A202" s="19">
        <v>-73</v>
      </c>
      <c r="B202">
        <v>204.28755167309586</v>
      </c>
      <c r="C202">
        <v>286.31424089497835</v>
      </c>
      <c r="P202">
        <v>73</v>
      </c>
      <c r="Q202">
        <v>1599.1740800000009</v>
      </c>
      <c r="R202">
        <v>305.79942675833144</v>
      </c>
      <c r="S202">
        <v>105.94539590092285</v>
      </c>
    </row>
    <row r="203" spans="1:19" x14ac:dyDescent="0.25">
      <c r="A203" s="19">
        <v>-74</v>
      </c>
      <c r="B203">
        <v>191.54820082732908</v>
      </c>
      <c r="C203">
        <v>290.89158341660948</v>
      </c>
      <c r="P203">
        <v>74</v>
      </c>
      <c r="Q203">
        <v>1630.8403866666677</v>
      </c>
      <c r="R203">
        <v>290.99749842769694</v>
      </c>
      <c r="S203">
        <v>105.94539590092295</v>
      </c>
    </row>
    <row r="204" spans="1:19" x14ac:dyDescent="0.25">
      <c r="A204" s="18">
        <v>-75</v>
      </c>
      <c r="B204">
        <v>178.84737855684594</v>
      </c>
      <c r="C204">
        <v>295.28648739203226</v>
      </c>
      <c r="P204">
        <v>75</v>
      </c>
      <c r="Q204">
        <v>1662.5066933333344</v>
      </c>
      <c r="R204">
        <v>275.27969384454184</v>
      </c>
      <c r="S204">
        <v>105.94539590092286</v>
      </c>
    </row>
    <row r="205" spans="1:19" x14ac:dyDescent="0.25">
      <c r="A205" s="18">
        <v>-76</v>
      </c>
      <c r="B205">
        <v>166.17383729581513</v>
      </c>
      <c r="C205">
        <v>299.50837834512026</v>
      </c>
      <c r="P205">
        <v>76</v>
      </c>
      <c r="Q205">
        <v>1694.1730000000011</v>
      </c>
      <c r="R205">
        <v>258.86602296447677</v>
      </c>
      <c r="S205">
        <v>105.94539590092275</v>
      </c>
    </row>
    <row r="206" spans="1:19" x14ac:dyDescent="0.25">
      <c r="A206" s="19">
        <v>-77</v>
      </c>
      <c r="B206">
        <v>153.5163061195137</v>
      </c>
      <c r="C206">
        <v>303.56616541840617</v>
      </c>
      <c r="Q206">
        <v>1694.1730000000011</v>
      </c>
      <c r="R206">
        <v>0</v>
      </c>
    </row>
    <row r="207" spans="1:19" x14ac:dyDescent="0.25">
      <c r="A207" s="19">
        <v>-78</v>
      </c>
      <c r="B207">
        <v>142.05534007525253</v>
      </c>
      <c r="C207">
        <v>307.09772237234989</v>
      </c>
    </row>
    <row r="208" spans="1:19" x14ac:dyDescent="0.25">
      <c r="A208" s="18">
        <v>-79</v>
      </c>
      <c r="B208">
        <v>129.39129240342137</v>
      </c>
      <c r="C208">
        <v>310.84899142949877</v>
      </c>
    </row>
    <row r="209" spans="1:3" x14ac:dyDescent="0.25">
      <c r="A209" s="18">
        <v>-80</v>
      </c>
      <c r="B209">
        <v>116.8154470316405</v>
      </c>
      <c r="C209">
        <v>314.112349705182</v>
      </c>
    </row>
    <row r="210" spans="1:3" x14ac:dyDescent="0.25">
      <c r="A210" s="19">
        <v>-81</v>
      </c>
      <c r="B210">
        <v>104.30711702879501</v>
      </c>
      <c r="C210">
        <v>316.92973693439359</v>
      </c>
    </row>
    <row r="211" spans="1:3" x14ac:dyDescent="0.25">
      <c r="A211" s="19">
        <v>-82</v>
      </c>
      <c r="B211">
        <v>91.763708105075509</v>
      </c>
      <c r="C211">
        <v>319.60504877283728</v>
      </c>
    </row>
    <row r="212" spans="1:3" x14ac:dyDescent="0.25">
      <c r="A212" s="18">
        <v>-83</v>
      </c>
      <c r="B212">
        <v>79.173355306347489</v>
      </c>
      <c r="C212">
        <v>322.14392864925964</v>
      </c>
    </row>
    <row r="213" spans="1:3" x14ac:dyDescent="0.25">
      <c r="A213" s="18">
        <v>-84</v>
      </c>
      <c r="B213">
        <v>67.189567201785735</v>
      </c>
      <c r="C213">
        <v>323.88107506204909</v>
      </c>
    </row>
    <row r="214" spans="1:3" x14ac:dyDescent="0.25">
      <c r="A214" s="19">
        <v>-85</v>
      </c>
      <c r="B214">
        <v>55.606678736415539</v>
      </c>
      <c r="C214">
        <v>325.0199318188146</v>
      </c>
    </row>
    <row r="215" spans="1:3" x14ac:dyDescent="0.25">
      <c r="A215" s="19">
        <v>-86</v>
      </c>
      <c r="B215">
        <v>47.216984521169493</v>
      </c>
      <c r="C215">
        <v>325.69762900503542</v>
      </c>
    </row>
    <row r="216" spans="1:3" x14ac:dyDescent="0.25">
      <c r="A216" s="18">
        <v>-87</v>
      </c>
      <c r="B216">
        <v>35.526316135558375</v>
      </c>
      <c r="C216">
        <v>326.52796971550788</v>
      </c>
    </row>
    <row r="217" spans="1:3" x14ac:dyDescent="0.25">
      <c r="A217" s="18">
        <v>-88</v>
      </c>
      <c r="B217">
        <v>23.767673014935745</v>
      </c>
      <c r="C217">
        <v>327.20747493881566</v>
      </c>
    </row>
    <row r="218" spans="1:3" x14ac:dyDescent="0.25">
      <c r="A218" s="19">
        <v>-89</v>
      </c>
      <c r="B218">
        <v>11.929552578265746</v>
      </c>
      <c r="C218">
        <v>327.73772267428382</v>
      </c>
    </row>
    <row r="219" spans="1:3" x14ac:dyDescent="0.25">
      <c r="A219" s="19">
        <v>-90</v>
      </c>
      <c r="B219">
        <v>-4.7522857859169887E-5</v>
      </c>
      <c r="C219">
        <v>328.11995568405348</v>
      </c>
    </row>
    <row r="220" spans="1:3" x14ac:dyDescent="0.25">
      <c r="A220" s="18">
        <v>-91</v>
      </c>
      <c r="B220">
        <v>-11.929647763880231</v>
      </c>
      <c r="C220">
        <v>327.73772255355044</v>
      </c>
    </row>
    <row r="221" spans="1:3" x14ac:dyDescent="0.25">
      <c r="A221" s="18">
        <v>-92</v>
      </c>
      <c r="B221">
        <v>-23.767768339542275</v>
      </c>
      <c r="C221">
        <v>327.20747470199547</v>
      </c>
    </row>
    <row r="222" spans="1:3" x14ac:dyDescent="0.25">
      <c r="A222" s="19">
        <v>-93</v>
      </c>
      <c r="B222">
        <v>-35.526411598006554</v>
      </c>
      <c r="C222">
        <v>326.5279693667249</v>
      </c>
    </row>
    <row r="223" spans="1:3" x14ac:dyDescent="0.25">
      <c r="A223" s="19">
        <v>-94</v>
      </c>
      <c r="B223">
        <v>-47.217080120120421</v>
      </c>
      <c r="C223">
        <v>325.69762854840491</v>
      </c>
    </row>
    <row r="224" spans="1:3" x14ac:dyDescent="0.25">
      <c r="A224" s="18">
        <v>-95</v>
      </c>
      <c r="B224">
        <v>-55.606774687468452</v>
      </c>
      <c r="C224">
        <v>325.01993127380183</v>
      </c>
    </row>
    <row r="225" spans="1:3" x14ac:dyDescent="0.25">
      <c r="A225" s="18">
        <v>-96</v>
      </c>
      <c r="B225">
        <v>-67.189663283066082</v>
      </c>
      <c r="C225">
        <v>323.88107441944982</v>
      </c>
    </row>
    <row r="226" spans="1:3" x14ac:dyDescent="0.25">
      <c r="A226" s="19">
        <v>-97</v>
      </c>
      <c r="B226">
        <v>-79.17345165702875</v>
      </c>
      <c r="C226">
        <v>322.14392780229554</v>
      </c>
    </row>
    <row r="227" spans="1:3" x14ac:dyDescent="0.25">
      <c r="A227" s="19">
        <v>-98</v>
      </c>
      <c r="B227">
        <v>-91.763804670043527</v>
      </c>
      <c r="C227">
        <v>319.6050478247198</v>
      </c>
    </row>
    <row r="228" spans="1:3" x14ac:dyDescent="0.25">
      <c r="A228" s="18">
        <v>-99</v>
      </c>
      <c r="B228">
        <v>-104.30721380257621</v>
      </c>
      <c r="C228">
        <v>316.92973588936462</v>
      </c>
    </row>
    <row r="229" spans="1:3" x14ac:dyDescent="0.25">
      <c r="A229" s="18">
        <v>-100</v>
      </c>
      <c r="B229">
        <v>-116.81554400893495</v>
      </c>
      <c r="C229">
        <v>314.1123485673599</v>
      </c>
    </row>
    <row r="230" spans="1:3" x14ac:dyDescent="0.25">
      <c r="A230" s="19">
        <v>-101</v>
      </c>
      <c r="B230">
        <v>-129.39138762673556</v>
      </c>
      <c r="C230">
        <v>310.84899575753258</v>
      </c>
    </row>
    <row r="231" spans="1:3" x14ac:dyDescent="0.25">
      <c r="A231" s="19">
        <v>-102</v>
      </c>
      <c r="B231">
        <v>-142.05543482851317</v>
      </c>
      <c r="C231">
        <v>307.09772704840452</v>
      </c>
    </row>
    <row r="232" spans="1:3" x14ac:dyDescent="0.25">
      <c r="A232" s="18">
        <v>-103</v>
      </c>
      <c r="B232">
        <v>-153.5163977165422</v>
      </c>
      <c r="C232">
        <v>303.56617048046576</v>
      </c>
    </row>
    <row r="233" spans="1:3" x14ac:dyDescent="0.25">
      <c r="A233" s="18">
        <v>-104</v>
      </c>
      <c r="B233">
        <v>-166.17392844030101</v>
      </c>
      <c r="C233">
        <v>299.50838374903077</v>
      </c>
    </row>
    <row r="234" spans="1:3" x14ac:dyDescent="0.25">
      <c r="A234" s="19">
        <v>-105</v>
      </c>
      <c r="B234">
        <v>-178.84746925757673</v>
      </c>
      <c r="C234">
        <v>295.28649313371119</v>
      </c>
    </row>
    <row r="235" spans="1:3" x14ac:dyDescent="0.25">
      <c r="A235" s="19">
        <v>-106</v>
      </c>
      <c r="B235">
        <v>-191.54829109237389</v>
      </c>
      <c r="C235">
        <v>290.89158949247167</v>
      </c>
    </row>
    <row r="236" spans="1:3" x14ac:dyDescent="0.25">
      <c r="A236" s="18">
        <v>-107</v>
      </c>
      <c r="B236">
        <v>-204.28764150984065</v>
      </c>
      <c r="C236">
        <v>286.3142473017237</v>
      </c>
    </row>
    <row r="237" spans="1:3" x14ac:dyDescent="0.25">
      <c r="A237" s="18">
        <v>-108</v>
      </c>
      <c r="B237">
        <v>-216.86150276221517</v>
      </c>
      <c r="C237">
        <v>281.61842615327078</v>
      </c>
    </row>
    <row r="238" spans="1:3" x14ac:dyDescent="0.25">
      <c r="A238" s="19">
        <v>-109</v>
      </c>
      <c r="B238">
        <v>-228.58234705496258</v>
      </c>
      <c r="C238">
        <v>277.05050389725557</v>
      </c>
    </row>
    <row r="239" spans="1:3" x14ac:dyDescent="0.25">
      <c r="A239" s="19">
        <v>-110</v>
      </c>
      <c r="B239">
        <v>-239.50783133221765</v>
      </c>
      <c r="C239">
        <v>272.6165202632971</v>
      </c>
    </row>
    <row r="240" spans="1:3" x14ac:dyDescent="0.25">
      <c r="A240" s="18">
        <v>-111</v>
      </c>
      <c r="B240">
        <v>-249.7422863042037</v>
      </c>
      <c r="C240">
        <v>268.30163864342109</v>
      </c>
    </row>
    <row r="241" spans="1:3" x14ac:dyDescent="0.25">
      <c r="A241" s="18">
        <v>-112</v>
      </c>
      <c r="B241">
        <v>-259.37253847935386</v>
      </c>
      <c r="C241">
        <v>264.09262647049701</v>
      </c>
    </row>
    <row r="242" spans="1:3" x14ac:dyDescent="0.25">
      <c r="A242" s="19">
        <v>-113</v>
      </c>
      <c r="B242">
        <v>-268.47149275224177</v>
      </c>
      <c r="C242">
        <v>259.97759160596348</v>
      </c>
    </row>
    <row r="243" spans="1:3" x14ac:dyDescent="0.25">
      <c r="A243" s="19">
        <v>-114</v>
      </c>
      <c r="B243">
        <v>-277.1008680669521</v>
      </c>
      <c r="C243">
        <v>255.94576776087479</v>
      </c>
    </row>
    <row r="244" spans="1:3" x14ac:dyDescent="0.25">
      <c r="A244" s="18">
        <v>-115</v>
      </c>
      <c r="B244">
        <v>-285.31331154319003</v>
      </c>
      <c r="C244">
        <v>251.98733790058961</v>
      </c>
    </row>
    <row r="245" spans="1:3" x14ac:dyDescent="0.25">
      <c r="A245" s="18">
        <v>-116</v>
      </c>
      <c r="B245">
        <v>-293.15405026541475</v>
      </c>
      <c r="C245">
        <v>248.09328737294501</v>
      </c>
    </row>
    <row r="246" spans="1:3" x14ac:dyDescent="0.25">
      <c r="A246" s="19">
        <v>-117</v>
      </c>
      <c r="B246">
        <v>-300.65544043782154</v>
      </c>
      <c r="C246">
        <v>244.24589109523001</v>
      </c>
    </row>
    <row r="247" spans="1:3" x14ac:dyDescent="0.25">
      <c r="A247" s="19">
        <v>-118</v>
      </c>
      <c r="B247">
        <v>-307.74974320412986</v>
      </c>
      <c r="C247">
        <v>240.30265585879729</v>
      </c>
    </row>
    <row r="248" spans="1:3" x14ac:dyDescent="0.25">
      <c r="A248" s="18">
        <v>-119</v>
      </c>
      <c r="B248">
        <v>-312.41749996919447</v>
      </c>
      <c r="C248">
        <v>237.39710562005087</v>
      </c>
    </row>
    <row r="249" spans="1:3" x14ac:dyDescent="0.25">
      <c r="A249" s="18">
        <v>-120</v>
      </c>
      <c r="B249">
        <v>-319.05285268744342</v>
      </c>
      <c r="C249">
        <v>233.5166973677207</v>
      </c>
    </row>
    <row r="250" spans="1:3" x14ac:dyDescent="0.25">
      <c r="A250" s="19">
        <v>-121</v>
      </c>
      <c r="B250">
        <v>-325.46582621946703</v>
      </c>
      <c r="C250">
        <v>229.6723534034771</v>
      </c>
    </row>
    <row r="251" spans="1:3" x14ac:dyDescent="0.25">
      <c r="A251" s="19">
        <v>-122</v>
      </c>
      <c r="B251">
        <v>-331.67768395042953</v>
      </c>
      <c r="C251">
        <v>225.85736015090737</v>
      </c>
    </row>
    <row r="252" spans="1:3" x14ac:dyDescent="0.25">
      <c r="A252" s="18">
        <v>-123</v>
      </c>
      <c r="B252">
        <v>-337.70741486368894</v>
      </c>
      <c r="C252">
        <v>222.06526845898449</v>
      </c>
    </row>
    <row r="253" spans="1:3" x14ac:dyDescent="0.25">
      <c r="A253" s="18">
        <v>-124</v>
      </c>
      <c r="B253">
        <v>-343.57205983862724</v>
      </c>
      <c r="C253">
        <v>218.28984033268918</v>
      </c>
    </row>
    <row r="254" spans="1:3" x14ac:dyDescent="0.25">
      <c r="A254" s="19">
        <v>-125</v>
      </c>
      <c r="B254">
        <v>-349.28698487387032</v>
      </c>
      <c r="C254">
        <v>214.52500006184724</v>
      </c>
    </row>
    <row r="255" spans="1:3" x14ac:dyDescent="0.25">
      <c r="A255" s="19">
        <v>-126</v>
      </c>
      <c r="B255">
        <v>-354.86611121829065</v>
      </c>
      <c r="C255">
        <v>210.76478876081077</v>
      </c>
    </row>
    <row r="256" spans="1:3" x14ac:dyDescent="0.25">
      <c r="A256" s="18">
        <v>-127</v>
      </c>
      <c r="B256">
        <v>-360.32211032002402</v>
      </c>
      <c r="C256">
        <v>207.003321461892</v>
      </c>
    </row>
    <row r="257" spans="1:3" x14ac:dyDescent="0.25">
      <c r="A257" s="18">
        <v>-128</v>
      </c>
      <c r="B257">
        <v>-365.66656990423382</v>
      </c>
      <c r="C257">
        <v>203.23474600188277</v>
      </c>
    </row>
    <row r="258" spans="1:3" x14ac:dyDescent="0.25">
      <c r="A258" s="19">
        <v>-129</v>
      </c>
      <c r="B258">
        <v>-370.91013625113959</v>
      </c>
      <c r="C258">
        <v>199.45320301224157</v>
      </c>
    </row>
    <row r="259" spans="1:3" x14ac:dyDescent="0.25">
      <c r="A259" s="19">
        <v>-130</v>
      </c>
      <c r="B259">
        <v>-376.06263677077277</v>
      </c>
      <c r="C259">
        <v>195.65278636853472</v>
      </c>
    </row>
    <row r="260" spans="1:3" x14ac:dyDescent="0.25">
      <c r="A260" s="18">
        <v>-131</v>
      </c>
      <c r="B260">
        <v>-381.13318621316819</v>
      </c>
      <c r="C260">
        <v>191.82750348496896</v>
      </c>
    </row>
    <row r="261" spans="1:3" x14ac:dyDescent="0.25">
      <c r="A261" s="18">
        <v>-132</v>
      </c>
      <c r="B261">
        <v>-386.13027924332761</v>
      </c>
      <c r="C261">
        <v>187.97123484649168</v>
      </c>
    </row>
    <row r="262" spans="1:3" x14ac:dyDescent="0.25">
      <c r="A262" s="19">
        <v>-133</v>
      </c>
      <c r="B262">
        <v>-391.06187163442087</v>
      </c>
      <c r="C262">
        <v>184.07769216508868</v>
      </c>
    </row>
    <row r="263" spans="1:3" x14ac:dyDescent="0.25">
      <c r="A263" s="19">
        <v>-134</v>
      </c>
      <c r="B263">
        <v>-395.93545194790681</v>
      </c>
      <c r="C263">
        <v>180.14037452134514</v>
      </c>
    </row>
    <row r="264" spans="1:3" x14ac:dyDescent="0.25">
      <c r="A264" s="18">
        <v>-135</v>
      </c>
      <c r="B264">
        <v>-400.75810526218953</v>
      </c>
      <c r="C264">
        <v>176.15252181008543</v>
      </c>
    </row>
    <row r="265" spans="1:3" x14ac:dyDescent="0.25">
      <c r="A265" s="18">
        <v>-136</v>
      </c>
      <c r="B265">
        <v>-405.37892266955635</v>
      </c>
      <c r="C265">
        <v>172.09342604586175</v>
      </c>
    </row>
    <row r="266" spans="1:3" x14ac:dyDescent="0.25">
      <c r="A266" s="19">
        <v>-137</v>
      </c>
      <c r="B266">
        <v>-409.66979293141492</v>
      </c>
      <c r="C266">
        <v>167.94885483007931</v>
      </c>
    </row>
    <row r="267" spans="1:3" x14ac:dyDescent="0.25">
      <c r="A267" s="19">
        <v>-138</v>
      </c>
      <c r="B267">
        <v>-413.92278237308915</v>
      </c>
      <c r="C267">
        <v>163.73818936495701</v>
      </c>
    </row>
    <row r="268" spans="1:3" x14ac:dyDescent="0.25">
      <c r="A268" s="18">
        <v>-139</v>
      </c>
      <c r="B268">
        <v>-418.14382016491936</v>
      </c>
      <c r="C268">
        <v>159.45335849131322</v>
      </c>
    </row>
    <row r="269" spans="1:3" x14ac:dyDescent="0.25">
      <c r="A269" s="18">
        <v>-140</v>
      </c>
      <c r="B269">
        <v>-422.3386419032384</v>
      </c>
      <c r="C269">
        <v>155.08576642492881</v>
      </c>
    </row>
    <row r="270" spans="1:3" x14ac:dyDescent="0.25">
      <c r="A270" s="19">
        <v>-141</v>
      </c>
      <c r="B270">
        <v>-426.51282852383048</v>
      </c>
      <c r="C270">
        <v>150.62621452034648</v>
      </c>
    </row>
    <row r="271" spans="1:3" x14ac:dyDescent="0.25">
      <c r="A271" s="19">
        <v>-142</v>
      </c>
      <c r="B271">
        <v>-430.6718432041859</v>
      </c>
      <c r="C271">
        <v>146.06481298288054</v>
      </c>
    </row>
    <row r="272" spans="1:3" x14ac:dyDescent="0.25">
      <c r="A272" s="18">
        <v>-143</v>
      </c>
      <c r="B272">
        <v>-434.82106683089938</v>
      </c>
      <c r="C272">
        <v>141.39088060060186</v>
      </c>
    </row>
    <row r="273" spans="1:3" x14ac:dyDescent="0.25">
      <c r="A273" s="18">
        <v>-144</v>
      </c>
      <c r="B273">
        <v>-438.96583257603936</v>
      </c>
      <c r="C273">
        <v>136.59283018427439</v>
      </c>
    </row>
    <row r="274" spans="1:3" x14ac:dyDescent="0.25">
      <c r="A274" s="19">
        <v>-145</v>
      </c>
      <c r="B274">
        <v>-442.02791267294776</v>
      </c>
      <c r="C274">
        <v>133.34709292767496</v>
      </c>
    </row>
    <row r="275" spans="1:3" x14ac:dyDescent="0.25">
      <c r="A275" s="19">
        <v>-146</v>
      </c>
      <c r="B275">
        <v>-446.05894532145913</v>
      </c>
      <c r="C275">
        <v>128.43216151211971</v>
      </c>
    </row>
    <row r="276" spans="1:3" x14ac:dyDescent="0.25">
      <c r="A276" s="18">
        <v>-147</v>
      </c>
      <c r="B276">
        <v>-449.92023051532902</v>
      </c>
      <c r="C276">
        <v>123.61455837676296</v>
      </c>
    </row>
    <row r="277" spans="1:3" x14ac:dyDescent="0.25">
      <c r="A277" s="18">
        <v>-148</v>
      </c>
      <c r="B277">
        <v>-453.62292930215045</v>
      </c>
      <c r="C277">
        <v>118.88828086301389</v>
      </c>
    </row>
    <row r="278" spans="1:3" x14ac:dyDescent="0.25">
      <c r="A278" s="19">
        <v>-149</v>
      </c>
      <c r="B278">
        <v>-457.17735194222968</v>
      </c>
      <c r="C278">
        <v>114.24759873116912</v>
      </c>
    </row>
    <row r="279" spans="1:3" x14ac:dyDescent="0.25">
      <c r="A279" s="19">
        <v>-150</v>
      </c>
      <c r="B279">
        <v>-460.59298451633884</v>
      </c>
      <c r="C279">
        <v>109.68710760109552</v>
      </c>
    </row>
    <row r="280" spans="1:3" x14ac:dyDescent="0.25">
      <c r="A280" s="18">
        <v>-151</v>
      </c>
      <c r="B280">
        <v>-463.87856857231782</v>
      </c>
      <c r="C280">
        <v>105.201700507992</v>
      </c>
    </row>
    <row r="281" spans="1:3" x14ac:dyDescent="0.25">
      <c r="A281" s="18">
        <v>-152</v>
      </c>
      <c r="B281">
        <v>-467.04217195391857</v>
      </c>
      <c r="C281">
        <v>100.78654205190081</v>
      </c>
    </row>
    <row r="282" spans="1:3" x14ac:dyDescent="0.25">
      <c r="A282" s="19">
        <v>-153</v>
      </c>
      <c r="B282">
        <v>-469.01117201719075</v>
      </c>
      <c r="C282">
        <v>98.249832809375675</v>
      </c>
    </row>
    <row r="283" spans="1:3" x14ac:dyDescent="0.25">
      <c r="A283" s="19">
        <v>-154</v>
      </c>
      <c r="B283">
        <v>-471.95073532873801</v>
      </c>
      <c r="C283">
        <v>93.960326860579741</v>
      </c>
    </row>
    <row r="284" spans="1:3" x14ac:dyDescent="0.25">
      <c r="A284" s="18">
        <v>-155</v>
      </c>
      <c r="B284">
        <v>-474.78912932614685</v>
      </c>
      <c r="C284">
        <v>89.727943845765864</v>
      </c>
    </row>
    <row r="285" spans="1:3" x14ac:dyDescent="0.25">
      <c r="A285" s="18">
        <v>-156</v>
      </c>
      <c r="B285">
        <v>-476.74430103835334</v>
      </c>
      <c r="C285">
        <v>85.799447639469037</v>
      </c>
    </row>
    <row r="286" spans="1:3" x14ac:dyDescent="0.25">
      <c r="A286" s="19">
        <v>-157</v>
      </c>
      <c r="B286">
        <v>-478.57772760160759</v>
      </c>
      <c r="C286">
        <v>81.931004494138989</v>
      </c>
    </row>
    <row r="287" spans="1:3" x14ac:dyDescent="0.25">
      <c r="A287" s="19">
        <v>-158</v>
      </c>
      <c r="B287">
        <v>-480.32624390827863</v>
      </c>
      <c r="C287">
        <v>78.108907558378675</v>
      </c>
    </row>
    <row r="288" spans="1:3" x14ac:dyDescent="0.25">
      <c r="A288" s="18">
        <v>-159</v>
      </c>
      <c r="B288">
        <v>-481.99411462132196</v>
      </c>
      <c r="C288">
        <v>74.329836404854817</v>
      </c>
    </row>
    <row r="289" spans="1:3" x14ac:dyDescent="0.25">
      <c r="A289" s="18">
        <v>-160</v>
      </c>
      <c r="B289">
        <v>-483.58528363946687</v>
      </c>
      <c r="C289">
        <v>70.59060178284669</v>
      </c>
    </row>
    <row r="290" spans="1:3" x14ac:dyDescent="0.25">
      <c r="A290" s="19">
        <v>-161</v>
      </c>
      <c r="B290">
        <v>-485.10339964799459</v>
      </c>
      <c r="C290">
        <v>66.888133762338057</v>
      </c>
    </row>
    <row r="291" spans="1:3" x14ac:dyDescent="0.25">
      <c r="A291" s="19">
        <v>-162</v>
      </c>
      <c r="B291">
        <v>-486.55183914165627</v>
      </c>
      <c r="C291">
        <v>63.219470682661409</v>
      </c>
    </row>
    <row r="292" spans="1:3" x14ac:dyDescent="0.25">
      <c r="A292" s="18">
        <v>-163</v>
      </c>
      <c r="B292">
        <v>-487.9337271913534</v>
      </c>
      <c r="C292">
        <v>59.581748816036061</v>
      </c>
    </row>
    <row r="293" spans="1:3" x14ac:dyDescent="0.25">
      <c r="A293" s="18">
        <v>-164</v>
      </c>
      <c r="B293">
        <v>-489.25195619007536</v>
      </c>
      <c r="C293">
        <v>55.972192664780373</v>
      </c>
    </row>
    <row r="294" spans="1:3" x14ac:dyDescent="0.25">
      <c r="A294" s="19">
        <v>-165</v>
      </c>
      <c r="B294">
        <v>-490.50920278639205</v>
      </c>
      <c r="C294">
        <v>52.38810581832621</v>
      </c>
    </row>
    <row r="295" spans="1:3" x14ac:dyDescent="0.25">
      <c r="A295" s="19">
        <v>-166</v>
      </c>
      <c r="B295">
        <v>-491.70794319014908</v>
      </c>
      <c r="C295">
        <v>48.826862302522862</v>
      </c>
    </row>
    <row r="296" spans="1:3" x14ac:dyDescent="0.25">
      <c r="A296" s="18">
        <v>-167</v>
      </c>
      <c r="B296">
        <v>-492.85046701063845</v>
      </c>
      <c r="C296">
        <v>45.285898359135039</v>
      </c>
    </row>
    <row r="297" spans="1:3" x14ac:dyDescent="0.25">
      <c r="A297" s="18">
        <v>-168</v>
      </c>
      <c r="B297">
        <v>-493.9388897713298</v>
      </c>
      <c r="C297">
        <v>41.762704598145568</v>
      </c>
    </row>
    <row r="298" spans="1:3" x14ac:dyDescent="0.25">
      <c r="A298" s="19">
        <v>-169</v>
      </c>
      <c r="B298">
        <v>-494.97516422732059</v>
      </c>
      <c r="C298">
        <v>38.254818469401322</v>
      </c>
    </row>
    <row r="299" spans="1:3" x14ac:dyDescent="0.25">
      <c r="A299" s="19">
        <v>-170</v>
      </c>
      <c r="B299">
        <v>-495.96109059638616</v>
      </c>
      <c r="C299">
        <v>34.759817003458558</v>
      </c>
    </row>
    <row r="300" spans="1:3" x14ac:dyDescent="0.25">
      <c r="A300" s="18">
        <v>-171</v>
      </c>
      <c r="B300">
        <v>-496.89832580489792</v>
      </c>
      <c r="C300">
        <v>31.275309774220545</v>
      </c>
    </row>
    <row r="301" spans="1:3" x14ac:dyDescent="0.25">
      <c r="A301" s="18">
        <v>-172</v>
      </c>
      <c r="B301">
        <v>-497.78839183324624</v>
      </c>
      <c r="C301">
        <v>27.798932038093366</v>
      </c>
    </row>
    <row r="302" spans="1:3" x14ac:dyDescent="0.25">
      <c r="A302" s="19">
        <v>-173</v>
      </c>
      <c r="B302">
        <v>-498.63268324200891</v>
      </c>
      <c r="C302">
        <v>24.32833800609918</v>
      </c>
    </row>
    <row r="303" spans="1:3" x14ac:dyDescent="0.25">
      <c r="A303" s="19">
        <v>-174</v>
      </c>
      <c r="B303">
        <v>-499.43247394445319</v>
      </c>
      <c r="C303">
        <v>20.861194206493948</v>
      </c>
    </row>
    <row r="304" spans="1:3" x14ac:dyDescent="0.25">
      <c r="A304" s="18">
        <v>-175</v>
      </c>
      <c r="B304">
        <v>-500.18892329089334</v>
      </c>
      <c r="C304">
        <v>17.395172896187635</v>
      </c>
    </row>
    <row r="305" spans="1:3" x14ac:dyDescent="0.25">
      <c r="A305" s="18">
        <v>-176</v>
      </c>
      <c r="B305">
        <v>-500.90308151422175</v>
      </c>
      <c r="C305">
        <v>13.927945479430605</v>
      </c>
    </row>
    <row r="306" spans="1:3" x14ac:dyDescent="0.25">
      <c r="A306" s="19">
        <v>-177</v>
      </c>
      <c r="B306">
        <v>-501.57589458934154</v>
      </c>
      <c r="C306">
        <v>10.457175892033716</v>
      </c>
    </row>
    <row r="307" spans="1:3" x14ac:dyDescent="0.25">
      <c r="A307" s="19">
        <v>-178</v>
      </c>
      <c r="B307">
        <v>-502.20820854663435</v>
      </c>
      <c r="C307">
        <v>6.9805139086320418</v>
      </c>
    </row>
    <row r="308" spans="1:3" x14ac:dyDescent="0.25">
      <c r="A308" s="18">
        <v>-179</v>
      </c>
      <c r="B308">
        <v>-502.80077327875665</v>
      </c>
      <c r="C308">
        <v>3.4955883292913867</v>
      </c>
    </row>
    <row r="309" spans="1:3" x14ac:dyDescent="0.25">
      <c r="A309" s="18">
        <v>-180</v>
      </c>
      <c r="B309">
        <v>-503.35424587329203</v>
      </c>
      <c r="C309">
        <v>4.6273269129433299E-14</v>
      </c>
    </row>
    <row r="310" spans="1:3" x14ac:dyDescent="0.25">
      <c r="A310" s="19">
        <v>-181</v>
      </c>
      <c r="B310">
        <v>-502.80077327875642</v>
      </c>
      <c r="C310">
        <v>-3.4955883292915702</v>
      </c>
    </row>
    <row r="311" spans="1:3" x14ac:dyDescent="0.25">
      <c r="A311" s="19">
        <v>-182</v>
      </c>
      <c r="B311">
        <v>-502.20820854663413</v>
      </c>
      <c r="C311">
        <v>-6.9805139086320267</v>
      </c>
    </row>
    <row r="312" spans="1:3" x14ac:dyDescent="0.25">
      <c r="A312" s="18">
        <v>-183</v>
      </c>
      <c r="B312">
        <v>-501.57589458934149</v>
      </c>
      <c r="C312">
        <v>-10.457175892033746</v>
      </c>
    </row>
    <row r="313" spans="1:3" x14ac:dyDescent="0.25">
      <c r="A313" s="18">
        <v>-184</v>
      </c>
      <c r="B313">
        <v>-500.90308151422164</v>
      </c>
      <c r="C313">
        <v>-13.927945479430589</v>
      </c>
    </row>
    <row r="314" spans="1:3" x14ac:dyDescent="0.25">
      <c r="A314" s="19">
        <v>-185</v>
      </c>
      <c r="B314">
        <v>-500.18892329089363</v>
      </c>
      <c r="C314">
        <v>-17.395172896187596</v>
      </c>
    </row>
    <row r="315" spans="1:3" x14ac:dyDescent="0.25">
      <c r="A315" s="19">
        <v>-186</v>
      </c>
      <c r="B315">
        <v>-499.43247394445342</v>
      </c>
      <c r="C315">
        <v>-20.861194206493916</v>
      </c>
    </row>
    <row r="316" spans="1:3" x14ac:dyDescent="0.25">
      <c r="A316" s="18">
        <v>-187</v>
      </c>
      <c r="B316">
        <v>-498.63268324200925</v>
      </c>
      <c r="C316">
        <v>-24.328338006099113</v>
      </c>
    </row>
    <row r="317" spans="1:3" x14ac:dyDescent="0.25">
      <c r="A317" s="18">
        <v>-188</v>
      </c>
      <c r="B317">
        <v>-497.78839183324601</v>
      </c>
      <c r="C317">
        <v>-27.798932038093444</v>
      </c>
    </row>
    <row r="318" spans="1:3" x14ac:dyDescent="0.25">
      <c r="A318" s="19">
        <v>-189</v>
      </c>
      <c r="B318">
        <v>-496.89832580489815</v>
      </c>
      <c r="C318">
        <v>-31.275309774220457</v>
      </c>
    </row>
    <row r="319" spans="1:3" x14ac:dyDescent="0.25">
      <c r="A319" s="19">
        <v>-190</v>
      </c>
      <c r="B319">
        <v>-495.96109059638655</v>
      </c>
      <c r="C319">
        <v>-34.75981700345865</v>
      </c>
    </row>
    <row r="320" spans="1:3" x14ac:dyDescent="0.25">
      <c r="A320" s="18">
        <v>-191</v>
      </c>
      <c r="B320">
        <v>-494.97516422732065</v>
      </c>
      <c r="C320">
        <v>-38.254818469401222</v>
      </c>
    </row>
    <row r="321" spans="1:3" x14ac:dyDescent="0.25">
      <c r="A321" s="18">
        <v>-192</v>
      </c>
      <c r="B321">
        <v>-493.93888977132974</v>
      </c>
      <c r="C321">
        <v>-41.762704598145518</v>
      </c>
    </row>
    <row r="322" spans="1:3" x14ac:dyDescent="0.25">
      <c r="A322" s="19">
        <v>-193</v>
      </c>
      <c r="B322">
        <v>-492.85046701063823</v>
      </c>
      <c r="C322">
        <v>-45.285898359135011</v>
      </c>
    </row>
    <row r="323" spans="1:3" x14ac:dyDescent="0.25">
      <c r="A323" s="19">
        <v>-194</v>
      </c>
      <c r="B323">
        <v>-491.70794319014874</v>
      </c>
      <c r="C323">
        <v>-48.826862302522805</v>
      </c>
    </row>
    <row r="324" spans="1:3" x14ac:dyDescent="0.25">
      <c r="A324" s="18">
        <v>-195</v>
      </c>
      <c r="B324">
        <v>-490.50920278639217</v>
      </c>
      <c r="C324">
        <v>-52.388105818326281</v>
      </c>
    </row>
    <row r="325" spans="1:3" x14ac:dyDescent="0.25">
      <c r="A325" s="18">
        <v>-196</v>
      </c>
      <c r="B325">
        <v>-489.25195619007525</v>
      </c>
      <c r="C325">
        <v>-55.97219266478016</v>
      </c>
    </row>
    <row r="326" spans="1:3" x14ac:dyDescent="0.25">
      <c r="A326" s="19">
        <v>-197</v>
      </c>
      <c r="B326">
        <v>-487.933727191353</v>
      </c>
      <c r="C326">
        <v>-59.581748816036118</v>
      </c>
    </row>
    <row r="327" spans="1:3" x14ac:dyDescent="0.25">
      <c r="A327" s="19">
        <v>-198</v>
      </c>
      <c r="B327">
        <v>-486.5518391416565</v>
      </c>
      <c r="C327">
        <v>-63.219470682661367</v>
      </c>
    </row>
    <row r="328" spans="1:3" x14ac:dyDescent="0.25">
      <c r="A328" s="18">
        <v>-199</v>
      </c>
      <c r="B328">
        <v>-485.10339964799437</v>
      </c>
      <c r="C328">
        <v>-66.8881337623381</v>
      </c>
    </row>
    <row r="329" spans="1:3" x14ac:dyDescent="0.25">
      <c r="A329" s="18">
        <v>-200</v>
      </c>
      <c r="B329">
        <v>-483.58528363946709</v>
      </c>
      <c r="C329">
        <v>-70.590601782846647</v>
      </c>
    </row>
    <row r="330" spans="1:3" x14ac:dyDescent="0.25">
      <c r="A330" s="19">
        <v>-201</v>
      </c>
      <c r="B330">
        <v>-481.99411462132196</v>
      </c>
      <c r="C330">
        <v>-74.329836404854902</v>
      </c>
    </row>
    <row r="331" spans="1:3" x14ac:dyDescent="0.25">
      <c r="A331" s="19">
        <v>-202</v>
      </c>
      <c r="B331">
        <v>-480.32624390827868</v>
      </c>
      <c r="C331">
        <v>-78.108907558378746</v>
      </c>
    </row>
    <row r="332" spans="1:3" x14ac:dyDescent="0.25">
      <c r="A332" s="18">
        <v>-203</v>
      </c>
      <c r="B332">
        <v>-478.57772760160748</v>
      </c>
      <c r="C332">
        <v>-81.931004494138762</v>
      </c>
    </row>
    <row r="333" spans="1:3" x14ac:dyDescent="0.25">
      <c r="A333" s="18">
        <v>-204</v>
      </c>
      <c r="B333">
        <v>-476.74430103835351</v>
      </c>
      <c r="C333">
        <v>-85.799447639469022</v>
      </c>
    </row>
    <row r="334" spans="1:3" x14ac:dyDescent="0.25">
      <c r="A334" s="19">
        <v>-205</v>
      </c>
      <c r="B334">
        <v>-474.78912932614685</v>
      </c>
      <c r="C334">
        <v>-89.72794384576585</v>
      </c>
    </row>
    <row r="335" spans="1:3" x14ac:dyDescent="0.25">
      <c r="A335" s="19">
        <v>-206</v>
      </c>
      <c r="B335">
        <v>-471.95073532873784</v>
      </c>
      <c r="C335">
        <v>-93.960326860579883</v>
      </c>
    </row>
    <row r="336" spans="1:3" x14ac:dyDescent="0.25">
      <c r="A336" s="18">
        <v>-207</v>
      </c>
      <c r="B336">
        <v>-469.01117201719086</v>
      </c>
      <c r="C336">
        <v>-98.249832809375533</v>
      </c>
    </row>
    <row r="337" spans="1:3" x14ac:dyDescent="0.25">
      <c r="A337" s="18">
        <v>-208</v>
      </c>
      <c r="B337">
        <v>-467.0421719539184</v>
      </c>
      <c r="C337">
        <v>-100.78654205190091</v>
      </c>
    </row>
    <row r="338" spans="1:3" x14ac:dyDescent="0.25">
      <c r="A338" s="19">
        <v>-209</v>
      </c>
      <c r="B338">
        <v>-463.87856857231804</v>
      </c>
      <c r="C338">
        <v>-105.20170050799175</v>
      </c>
    </row>
    <row r="339" spans="1:3" x14ac:dyDescent="0.25">
      <c r="A339" s="19">
        <v>-210</v>
      </c>
      <c r="B339">
        <v>-460.59298451633879</v>
      </c>
      <c r="C339">
        <v>-109.68710760109548</v>
      </c>
    </row>
    <row r="340" spans="1:3" x14ac:dyDescent="0.25">
      <c r="A340" s="18">
        <v>-211</v>
      </c>
      <c r="B340">
        <v>-457.17735194222968</v>
      </c>
      <c r="C340">
        <v>-114.24759873116896</v>
      </c>
    </row>
    <row r="341" spans="1:3" x14ac:dyDescent="0.25">
      <c r="A341" s="18">
        <v>-212</v>
      </c>
      <c r="B341">
        <v>-453.62292930215045</v>
      </c>
      <c r="C341">
        <v>-118.88828086301378</v>
      </c>
    </row>
    <row r="342" spans="1:3" x14ac:dyDescent="0.25">
      <c r="A342" s="19">
        <v>-213</v>
      </c>
      <c r="B342">
        <v>-449.92023051532902</v>
      </c>
      <c r="C342">
        <v>-123.61455837676289</v>
      </c>
    </row>
    <row r="343" spans="1:3" x14ac:dyDescent="0.25">
      <c r="A343" s="19">
        <v>-214</v>
      </c>
      <c r="B343">
        <v>-446.05894532145936</v>
      </c>
      <c r="C343">
        <v>-128.43216151211959</v>
      </c>
    </row>
    <row r="344" spans="1:3" x14ac:dyDescent="0.25">
      <c r="A344" s="18">
        <v>-215</v>
      </c>
      <c r="B344">
        <v>-442.02791267294793</v>
      </c>
      <c r="C344">
        <v>-133.34709292767488</v>
      </c>
    </row>
    <row r="345" spans="1:3" x14ac:dyDescent="0.25">
      <c r="A345" s="18">
        <v>-216</v>
      </c>
      <c r="B345">
        <v>-438.96583257603953</v>
      </c>
      <c r="C345">
        <v>-136.59283018427442</v>
      </c>
    </row>
    <row r="346" spans="1:3" x14ac:dyDescent="0.25">
      <c r="A346" s="19">
        <v>-217</v>
      </c>
      <c r="B346">
        <v>-434.82106683089921</v>
      </c>
      <c r="C346">
        <v>-141.39088060060203</v>
      </c>
    </row>
    <row r="347" spans="1:3" x14ac:dyDescent="0.25">
      <c r="A347" s="19">
        <v>-218</v>
      </c>
      <c r="B347">
        <v>-430.67184320418573</v>
      </c>
      <c r="C347">
        <v>-146.0648129828806</v>
      </c>
    </row>
    <row r="348" spans="1:3" x14ac:dyDescent="0.25">
      <c r="A348" s="18">
        <v>-219</v>
      </c>
      <c r="B348">
        <v>-426.51282852383059</v>
      </c>
      <c r="C348">
        <v>-150.62621452034642</v>
      </c>
    </row>
    <row r="349" spans="1:3" x14ac:dyDescent="0.25">
      <c r="A349" s="18">
        <v>-220</v>
      </c>
      <c r="B349">
        <v>-422.33864190323862</v>
      </c>
      <c r="C349">
        <v>-155.08576642492855</v>
      </c>
    </row>
    <row r="350" spans="1:3" x14ac:dyDescent="0.25">
      <c r="A350" s="19">
        <v>-221</v>
      </c>
      <c r="B350">
        <v>-418.14382016491948</v>
      </c>
      <c r="C350">
        <v>-159.45335849131322</v>
      </c>
    </row>
    <row r="351" spans="1:3" x14ac:dyDescent="0.25">
      <c r="A351" s="19">
        <v>-222</v>
      </c>
      <c r="B351">
        <v>-413.92278237308966</v>
      </c>
      <c r="C351">
        <v>-163.73818936495701</v>
      </c>
    </row>
    <row r="352" spans="1:3" x14ac:dyDescent="0.25">
      <c r="A352" s="18">
        <v>-223</v>
      </c>
      <c r="B352">
        <v>-409.6697929314148</v>
      </c>
      <c r="C352">
        <v>-167.94885483007943</v>
      </c>
    </row>
    <row r="353" spans="1:3" x14ac:dyDescent="0.25">
      <c r="A353" s="18">
        <v>-224</v>
      </c>
      <c r="B353">
        <v>-405.37892266955623</v>
      </c>
      <c r="C353">
        <v>-172.09342604586189</v>
      </c>
    </row>
    <row r="354" spans="1:3" x14ac:dyDescent="0.25">
      <c r="A354" s="19">
        <v>-225</v>
      </c>
      <c r="B354">
        <v>-400.75810526218976</v>
      </c>
      <c r="C354">
        <v>-176.15252181008529</v>
      </c>
    </row>
    <row r="355" spans="1:3" x14ac:dyDescent="0.25">
      <c r="A355" s="19">
        <v>-226</v>
      </c>
      <c r="B355">
        <v>-395.93545194790664</v>
      </c>
      <c r="C355">
        <v>-180.14037452134528</v>
      </c>
    </row>
    <row r="356" spans="1:3" x14ac:dyDescent="0.25">
      <c r="A356" s="18">
        <v>-227</v>
      </c>
      <c r="B356">
        <v>-391.0618716344211</v>
      </c>
      <c r="C356">
        <v>-184.07769216508868</v>
      </c>
    </row>
    <row r="357" spans="1:3" x14ac:dyDescent="0.25">
      <c r="A357" s="18">
        <v>-228</v>
      </c>
      <c r="B357">
        <v>-386.13027924332761</v>
      </c>
      <c r="C357">
        <v>-187.97123484649165</v>
      </c>
    </row>
    <row r="358" spans="1:3" x14ac:dyDescent="0.25">
      <c r="A358" s="19">
        <v>-229</v>
      </c>
      <c r="B358">
        <v>-381.13318621316807</v>
      </c>
      <c r="C358">
        <v>-191.82750348496907</v>
      </c>
    </row>
    <row r="359" spans="1:3" x14ac:dyDescent="0.25">
      <c r="A359" s="19">
        <v>-230</v>
      </c>
      <c r="B359">
        <v>-376.06263677077277</v>
      </c>
      <c r="C359">
        <v>-195.65278636853463</v>
      </c>
    </row>
    <row r="360" spans="1:3" x14ac:dyDescent="0.25">
      <c r="A360" s="18">
        <v>-231</v>
      </c>
      <c r="B360">
        <v>-370.91013625113982</v>
      </c>
      <c r="C360">
        <v>-199.45320301224132</v>
      </c>
    </row>
    <row r="361" spans="1:3" x14ac:dyDescent="0.25">
      <c r="A361" s="18">
        <v>-232</v>
      </c>
      <c r="B361">
        <v>-365.6665699042336</v>
      </c>
      <c r="C361">
        <v>-203.2347460018828</v>
      </c>
    </row>
    <row r="362" spans="1:3" x14ac:dyDescent="0.25">
      <c r="A362" s="19">
        <v>-233</v>
      </c>
      <c r="B362">
        <v>-360.32211032002402</v>
      </c>
      <c r="C362">
        <v>-207.00332146189206</v>
      </c>
    </row>
    <row r="363" spans="1:3" x14ac:dyDescent="0.25">
      <c r="A363" s="19">
        <v>-234</v>
      </c>
      <c r="B363">
        <v>-354.86611121829071</v>
      </c>
      <c r="C363">
        <v>-210.76478876081075</v>
      </c>
    </row>
    <row r="364" spans="1:3" x14ac:dyDescent="0.25">
      <c r="A364" s="18">
        <v>-235</v>
      </c>
      <c r="B364">
        <v>-349.28698487387061</v>
      </c>
      <c r="C364">
        <v>-214.52500006184721</v>
      </c>
    </row>
    <row r="365" spans="1:3" x14ac:dyDescent="0.25">
      <c r="A365" s="18">
        <v>-236</v>
      </c>
      <c r="B365">
        <v>-343.57205983862713</v>
      </c>
      <c r="C365">
        <v>-218.28984033268935</v>
      </c>
    </row>
    <row r="366" spans="1:3" x14ac:dyDescent="0.25">
      <c r="A366" s="19">
        <v>-237</v>
      </c>
      <c r="B366">
        <v>-337.70741486368883</v>
      </c>
      <c r="C366">
        <v>-222.06526845898475</v>
      </c>
    </row>
    <row r="367" spans="1:3" x14ac:dyDescent="0.25">
      <c r="A367" s="19">
        <v>-238</v>
      </c>
      <c r="B367">
        <v>-331.67768395042958</v>
      </c>
      <c r="C367">
        <v>-225.8573601509076</v>
      </c>
    </row>
    <row r="368" spans="1:3" x14ac:dyDescent="0.25">
      <c r="A368" s="18">
        <v>-239</v>
      </c>
      <c r="B368">
        <v>-325.46582621946692</v>
      </c>
      <c r="C368">
        <v>-229.67235340347688</v>
      </c>
    </row>
    <row r="369" spans="1:3" x14ac:dyDescent="0.25">
      <c r="A369" s="18">
        <v>-240</v>
      </c>
      <c r="B369">
        <v>-319.05285268744342</v>
      </c>
      <c r="C369">
        <v>-233.5166973677207</v>
      </c>
    </row>
    <row r="370" spans="1:3" x14ac:dyDescent="0.25">
      <c r="A370" s="19">
        <v>-241</v>
      </c>
      <c r="B370">
        <v>-312.41749996919452</v>
      </c>
      <c r="C370">
        <v>-237.39710562005106</v>
      </c>
    </row>
    <row r="371" spans="1:3" x14ac:dyDescent="0.25">
      <c r="A371" s="19">
        <v>-242</v>
      </c>
      <c r="B371">
        <v>-307.74974320412986</v>
      </c>
      <c r="C371">
        <v>-240.30265585879732</v>
      </c>
    </row>
    <row r="372" spans="1:3" x14ac:dyDescent="0.25">
      <c r="A372" s="18">
        <v>-243</v>
      </c>
      <c r="B372">
        <v>-300.65544043782182</v>
      </c>
      <c r="C372">
        <v>-244.24589109522981</v>
      </c>
    </row>
    <row r="373" spans="1:3" x14ac:dyDescent="0.25">
      <c r="A373" s="18">
        <v>-244</v>
      </c>
      <c r="B373">
        <v>-293.15405026541475</v>
      </c>
      <c r="C373">
        <v>-248.09328737294481</v>
      </c>
    </row>
    <row r="374" spans="1:3" x14ac:dyDescent="0.25">
      <c r="A374" s="19">
        <v>-245</v>
      </c>
      <c r="B374">
        <v>-285.31331154319003</v>
      </c>
      <c r="C374">
        <v>-251.98733790058952</v>
      </c>
    </row>
    <row r="375" spans="1:3" x14ac:dyDescent="0.25">
      <c r="A375" s="19">
        <v>-246</v>
      </c>
      <c r="B375">
        <v>-277.10086806695205</v>
      </c>
      <c r="C375">
        <v>-255.94576776087493</v>
      </c>
    </row>
    <row r="376" spans="1:3" x14ac:dyDescent="0.25">
      <c r="A376" s="18">
        <v>-247</v>
      </c>
      <c r="B376">
        <v>-268.47149275224177</v>
      </c>
      <c r="C376">
        <v>-259.97759160596331</v>
      </c>
    </row>
    <row r="377" spans="1:3" x14ac:dyDescent="0.25">
      <c r="A377" s="18">
        <v>-248</v>
      </c>
      <c r="B377">
        <v>-259.37253847935403</v>
      </c>
      <c r="C377">
        <v>-264.09262647049684</v>
      </c>
    </row>
    <row r="378" spans="1:3" x14ac:dyDescent="0.25">
      <c r="A378" s="19">
        <v>-249</v>
      </c>
      <c r="B378">
        <v>-249.74228630420399</v>
      </c>
      <c r="C378">
        <v>-268.30163864342103</v>
      </c>
    </row>
    <row r="379" spans="1:3" x14ac:dyDescent="0.25">
      <c r="A379" s="19">
        <v>-250</v>
      </c>
      <c r="B379">
        <v>-239.50783133221728</v>
      </c>
      <c r="C379">
        <v>-272.6165202632971</v>
      </c>
    </row>
    <row r="380" spans="1:3" x14ac:dyDescent="0.25">
      <c r="A380" s="18">
        <v>-251</v>
      </c>
      <c r="B380">
        <v>-228.58234705496258</v>
      </c>
      <c r="C380">
        <v>-277.05050389725557</v>
      </c>
    </row>
    <row r="381" spans="1:3" x14ac:dyDescent="0.25">
      <c r="A381" s="18">
        <v>-252</v>
      </c>
      <c r="B381">
        <v>-216.86150276221531</v>
      </c>
      <c r="C381">
        <v>-281.6184261532706</v>
      </c>
    </row>
    <row r="382" spans="1:3" x14ac:dyDescent="0.25">
      <c r="A382" s="19">
        <v>-253</v>
      </c>
      <c r="B382">
        <v>-204.28764150984119</v>
      </c>
      <c r="C382">
        <v>-286.31424730172341</v>
      </c>
    </row>
    <row r="383" spans="1:3" x14ac:dyDescent="0.25">
      <c r="A383" s="19">
        <v>-254</v>
      </c>
      <c r="B383">
        <v>-191.54829109237357</v>
      </c>
      <c r="C383">
        <v>-290.89158949247184</v>
      </c>
    </row>
    <row r="384" spans="1:3" x14ac:dyDescent="0.25">
      <c r="A384" s="18">
        <v>-255</v>
      </c>
      <c r="B384">
        <v>-178.84746925757656</v>
      </c>
      <c r="C384">
        <v>-295.28649313371108</v>
      </c>
    </row>
    <row r="385" spans="1:3" x14ac:dyDescent="0.25">
      <c r="A385" s="18">
        <v>-256</v>
      </c>
      <c r="B385">
        <v>-166.17392844030115</v>
      </c>
      <c r="C385">
        <v>-299.50838374903071</v>
      </c>
    </row>
    <row r="386" spans="1:3" x14ac:dyDescent="0.25">
      <c r="A386" s="19">
        <v>-257</v>
      </c>
      <c r="B386">
        <v>-153.51639771654229</v>
      </c>
      <c r="C386">
        <v>-303.56617048046559</v>
      </c>
    </row>
    <row r="387" spans="1:3" x14ac:dyDescent="0.25">
      <c r="A387" s="19">
        <v>-258</v>
      </c>
      <c r="B387">
        <v>-142.05543482851351</v>
      </c>
      <c r="C387">
        <v>-307.09772704840447</v>
      </c>
    </row>
    <row r="388" spans="1:3" x14ac:dyDescent="0.25">
      <c r="A388" s="18">
        <v>-259</v>
      </c>
      <c r="B388">
        <v>-129.39138762673525</v>
      </c>
      <c r="C388">
        <v>-310.8489957575328</v>
      </c>
    </row>
    <row r="389" spans="1:3" x14ac:dyDescent="0.25">
      <c r="A389" s="18">
        <v>-260</v>
      </c>
      <c r="B389">
        <v>-116.81554400893495</v>
      </c>
      <c r="C389">
        <v>-314.1123485673599</v>
      </c>
    </row>
    <row r="390" spans="1:3" x14ac:dyDescent="0.25">
      <c r="A390" s="19">
        <v>-261</v>
      </c>
      <c r="B390">
        <v>-104.30721380257619</v>
      </c>
      <c r="C390">
        <v>-316.92973588936457</v>
      </c>
    </row>
    <row r="391" spans="1:3" x14ac:dyDescent="0.25">
      <c r="A391" s="19">
        <v>-262</v>
      </c>
      <c r="B391">
        <v>-91.763804670043854</v>
      </c>
      <c r="C391">
        <v>-319.60504782471946</v>
      </c>
    </row>
    <row r="392" spans="1:3" x14ac:dyDescent="0.25">
      <c r="A392" s="18">
        <v>-263</v>
      </c>
      <c r="B392">
        <v>-79.173451657028778</v>
      </c>
      <c r="C392">
        <v>-322.14392780229548</v>
      </c>
    </row>
    <row r="393" spans="1:3" x14ac:dyDescent="0.25">
      <c r="A393" s="18">
        <v>-264</v>
      </c>
      <c r="B393">
        <v>-67.18966328306584</v>
      </c>
      <c r="C393">
        <v>-323.88107441944993</v>
      </c>
    </row>
    <row r="394" spans="1:3" x14ac:dyDescent="0.25">
      <c r="A394" s="19">
        <v>-265</v>
      </c>
      <c r="B394">
        <v>-55.606774687468395</v>
      </c>
      <c r="C394">
        <v>-325.01993127380172</v>
      </c>
    </row>
    <row r="395" spans="1:3" x14ac:dyDescent="0.25">
      <c r="A395" s="19">
        <v>-266</v>
      </c>
      <c r="B395">
        <v>-47.217080120120528</v>
      </c>
      <c r="C395">
        <v>-325.69762854840491</v>
      </c>
    </row>
    <row r="396" spans="1:3" x14ac:dyDescent="0.25">
      <c r="A396" s="18">
        <v>-267</v>
      </c>
      <c r="B396">
        <v>-35.526411598007073</v>
      </c>
      <c r="C396">
        <v>-326.52796936672485</v>
      </c>
    </row>
    <row r="397" spans="1:3" x14ac:dyDescent="0.25">
      <c r="A397" s="18">
        <v>-268</v>
      </c>
      <c r="B397">
        <v>-23.767768339542183</v>
      </c>
      <c r="C397">
        <v>-327.20747470199535</v>
      </c>
    </row>
    <row r="398" spans="1:3" x14ac:dyDescent="0.25">
      <c r="A398" s="19">
        <v>-269</v>
      </c>
      <c r="B398">
        <v>-11.929647763880219</v>
      </c>
      <c r="C398">
        <v>-327.73772255355044</v>
      </c>
    </row>
    <row r="399" spans="1:3" x14ac:dyDescent="0.25">
      <c r="A399" s="19">
        <v>-270</v>
      </c>
      <c r="B399">
        <v>-4.752285807747537E-5</v>
      </c>
      <c r="C399">
        <v>-328.11995568405348</v>
      </c>
    </row>
    <row r="400" spans="1:3" x14ac:dyDescent="0.25">
      <c r="A400" s="18">
        <v>-271</v>
      </c>
      <c r="B400">
        <v>11.929552578265444</v>
      </c>
      <c r="C400">
        <v>-327.73772267428416</v>
      </c>
    </row>
    <row r="401" spans="1:3" x14ac:dyDescent="0.25">
      <c r="A401" s="18">
        <v>-272</v>
      </c>
      <c r="B401">
        <v>23.767673014935873</v>
      </c>
      <c r="C401">
        <v>-327.20747493881561</v>
      </c>
    </row>
    <row r="402" spans="1:3" x14ac:dyDescent="0.25">
      <c r="A402" s="19">
        <v>-273</v>
      </c>
      <c r="B402">
        <v>35.526316135558318</v>
      </c>
      <c r="C402">
        <v>-326.52796971550788</v>
      </c>
    </row>
    <row r="403" spans="1:3" x14ac:dyDescent="0.25">
      <c r="A403" s="19">
        <v>-274</v>
      </c>
      <c r="B403">
        <v>47.216984521169259</v>
      </c>
      <c r="C403">
        <v>-325.69762900503548</v>
      </c>
    </row>
    <row r="404" spans="1:3" x14ac:dyDescent="0.25">
      <c r="A404" s="18">
        <v>-275</v>
      </c>
      <c r="B404">
        <v>55.606678736415432</v>
      </c>
      <c r="C404">
        <v>-325.01993181881454</v>
      </c>
    </row>
    <row r="405" spans="1:3" x14ac:dyDescent="0.25">
      <c r="A405" s="18">
        <v>-276</v>
      </c>
      <c r="B405">
        <v>67.189567201785309</v>
      </c>
      <c r="C405">
        <v>-323.88107506204932</v>
      </c>
    </row>
    <row r="406" spans="1:3" x14ac:dyDescent="0.25">
      <c r="A406" s="19">
        <v>-277</v>
      </c>
      <c r="B406">
        <v>79.173355306347403</v>
      </c>
      <c r="C406">
        <v>-322.14392864925981</v>
      </c>
    </row>
    <row r="407" spans="1:3" x14ac:dyDescent="0.25">
      <c r="A407" s="19">
        <v>-278</v>
      </c>
      <c r="B407">
        <v>91.763708105075509</v>
      </c>
      <c r="C407">
        <v>-319.60504877283734</v>
      </c>
    </row>
    <row r="408" spans="1:3" x14ac:dyDescent="0.25">
      <c r="A408" s="18">
        <v>-279</v>
      </c>
      <c r="B408">
        <v>104.30711702879482</v>
      </c>
      <c r="C408">
        <v>-316.9297369343937</v>
      </c>
    </row>
    <row r="409" spans="1:3" x14ac:dyDescent="0.25">
      <c r="A409" s="18">
        <v>-280</v>
      </c>
      <c r="B409">
        <v>116.81544703164025</v>
      </c>
      <c r="C409">
        <v>-314.11234970518251</v>
      </c>
    </row>
    <row r="410" spans="1:3" x14ac:dyDescent="0.25">
      <c r="A410" s="19">
        <v>-281</v>
      </c>
      <c r="B410">
        <v>129.39129240342163</v>
      </c>
      <c r="C410">
        <v>-310.84899142949865</v>
      </c>
    </row>
    <row r="411" spans="1:3" x14ac:dyDescent="0.25">
      <c r="A411" s="19">
        <v>-282</v>
      </c>
      <c r="B411">
        <v>142.0553400752525</v>
      </c>
      <c r="C411">
        <v>-307.09772237234989</v>
      </c>
    </row>
    <row r="412" spans="1:3" x14ac:dyDescent="0.25">
      <c r="A412" s="18">
        <v>-283</v>
      </c>
      <c r="B412">
        <v>153.5163061195135</v>
      </c>
      <c r="C412">
        <v>-303.56616541840617</v>
      </c>
    </row>
    <row r="413" spans="1:3" x14ac:dyDescent="0.25">
      <c r="A413" s="18">
        <v>-284</v>
      </c>
      <c r="B413">
        <v>166.17383729581496</v>
      </c>
      <c r="C413">
        <v>-299.50837834512049</v>
      </c>
    </row>
    <row r="414" spans="1:3" x14ac:dyDescent="0.25">
      <c r="A414" s="19">
        <v>-285</v>
      </c>
      <c r="B414">
        <v>178.84737855684565</v>
      </c>
      <c r="C414">
        <v>-295.28648739203271</v>
      </c>
    </row>
    <row r="415" spans="1:3" x14ac:dyDescent="0.25">
      <c r="A415" s="19">
        <v>-286</v>
      </c>
      <c r="B415">
        <v>191.54820082732917</v>
      </c>
      <c r="C415">
        <v>-290.89158341660919</v>
      </c>
    </row>
    <row r="416" spans="1:3" x14ac:dyDescent="0.25">
      <c r="A416" s="18">
        <v>-287</v>
      </c>
      <c r="B416">
        <v>204.28755167309558</v>
      </c>
      <c r="C416">
        <v>-286.31424089497835</v>
      </c>
    </row>
    <row r="417" spans="1:3" x14ac:dyDescent="0.25">
      <c r="A417" s="18">
        <v>-288</v>
      </c>
      <c r="B417">
        <v>216.86141272740653</v>
      </c>
      <c r="C417">
        <v>-281.61841962771121</v>
      </c>
    </row>
    <row r="418" spans="1:3" x14ac:dyDescent="0.25">
      <c r="A418" s="19">
        <v>-289</v>
      </c>
      <c r="B418">
        <v>228.58225643524153</v>
      </c>
      <c r="C418">
        <v>-277.05049739004755</v>
      </c>
    </row>
    <row r="419" spans="1:3" x14ac:dyDescent="0.25">
      <c r="A419" s="19">
        <v>-290</v>
      </c>
      <c r="B419">
        <v>239.50774008087839</v>
      </c>
      <c r="C419">
        <v>-272.61651379884512</v>
      </c>
    </row>
    <row r="420" spans="1:3" x14ac:dyDescent="0.25">
      <c r="A420" s="18">
        <v>-291</v>
      </c>
      <c r="B420">
        <v>249.74219438004482</v>
      </c>
      <c r="C420">
        <v>-268.30163224516525</v>
      </c>
    </row>
    <row r="421" spans="1:3" x14ac:dyDescent="0.25">
      <c r="A421" s="18">
        <v>-292</v>
      </c>
      <c r="B421">
        <v>259.37244584581146</v>
      </c>
      <c r="C421">
        <v>-264.09262016091157</v>
      </c>
    </row>
    <row r="422" spans="1:3" x14ac:dyDescent="0.25">
      <c r="A422" s="19">
        <v>-293</v>
      </c>
      <c r="B422">
        <v>268.47139937670079</v>
      </c>
      <c r="C422">
        <v>-259.97758540672135</v>
      </c>
    </row>
    <row r="423" spans="1:3" x14ac:dyDescent="0.25">
      <c r="A423" s="19">
        <v>-294</v>
      </c>
      <c r="B423">
        <v>277.10077392028444</v>
      </c>
      <c r="C423">
        <v>-255.94576169314905</v>
      </c>
    </row>
    <row r="424" spans="1:3" x14ac:dyDescent="0.25">
      <c r="A424" s="18">
        <v>-295</v>
      </c>
      <c r="B424">
        <v>285.31321659896008</v>
      </c>
      <c r="C424">
        <v>-251.98733198466553</v>
      </c>
    </row>
    <row r="425" spans="1:3" x14ac:dyDescent="0.25">
      <c r="A425" s="18">
        <v>-296</v>
      </c>
      <c r="B425">
        <v>293.15395449981332</v>
      </c>
      <c r="C425">
        <v>-248.09328162888173</v>
      </c>
    </row>
    <row r="426" spans="1:3" x14ac:dyDescent="0.25">
      <c r="A426" s="19">
        <v>-297</v>
      </c>
      <c r="B426">
        <v>300.65533669716166</v>
      </c>
      <c r="C426">
        <v>-244.24587561647556</v>
      </c>
    </row>
    <row r="427" spans="1:3" x14ac:dyDescent="0.25">
      <c r="A427" s="19">
        <v>-298</v>
      </c>
      <c r="B427">
        <v>307.74963834525369</v>
      </c>
      <c r="C427">
        <v>-240.30264045359743</v>
      </c>
    </row>
    <row r="428" spans="1:3" x14ac:dyDescent="0.25">
      <c r="A428" s="18">
        <v>-299</v>
      </c>
      <c r="B428">
        <v>312.41739435469066</v>
      </c>
      <c r="C428">
        <v>-237.3970903675845</v>
      </c>
    </row>
    <row r="429" spans="1:3" x14ac:dyDescent="0.25">
      <c r="A429" s="18">
        <v>-300</v>
      </c>
      <c r="B429">
        <v>319.05274591592547</v>
      </c>
      <c r="C429">
        <v>-233.51668225080658</v>
      </c>
    </row>
    <row r="430" spans="1:3" x14ac:dyDescent="0.25">
      <c r="A430" s="19">
        <v>-301</v>
      </c>
      <c r="B430">
        <v>325.46571827384497</v>
      </c>
      <c r="C430">
        <v>-229.67233845090388</v>
      </c>
    </row>
    <row r="431" spans="1:3" x14ac:dyDescent="0.25">
      <c r="A431" s="19">
        <v>-302</v>
      </c>
      <c r="B431">
        <v>331.67757481470494</v>
      </c>
      <c r="C431">
        <v>-225.85734539137815</v>
      </c>
    </row>
    <row r="432" spans="1:3" x14ac:dyDescent="0.25">
      <c r="A432" s="18">
        <v>-303</v>
      </c>
      <c r="B432">
        <v>337.7073045225323</v>
      </c>
      <c r="C432">
        <v>-222.06525392102708</v>
      </c>
    </row>
    <row r="433" spans="1:3" x14ac:dyDescent="0.25">
      <c r="A433" s="18">
        <v>-304</v>
      </c>
      <c r="B433">
        <v>343.571948277422</v>
      </c>
      <c r="C433">
        <v>-218.28982604491293</v>
      </c>
    </row>
    <row r="434" spans="1:3" x14ac:dyDescent="0.25">
      <c r="A434" s="19">
        <v>-305</v>
      </c>
      <c r="B434">
        <v>349.28687207849197</v>
      </c>
      <c r="C434">
        <v>-214.52498605298189</v>
      </c>
    </row>
    <row r="435" spans="1:3" x14ac:dyDescent="0.25">
      <c r="A435" s="19">
        <v>-306</v>
      </c>
      <c r="B435">
        <v>354.86599717495193</v>
      </c>
      <c r="C435">
        <v>-210.76477505979065</v>
      </c>
    </row>
    <row r="436" spans="1:3" x14ac:dyDescent="0.25">
      <c r="A436" s="18">
        <v>-307</v>
      </c>
      <c r="B436">
        <v>360.32199501512611</v>
      </c>
      <c r="C436">
        <v>-207.00330809794397</v>
      </c>
    </row>
    <row r="437" spans="1:3" x14ac:dyDescent="0.25">
      <c r="A437" s="18">
        <v>-308</v>
      </c>
      <c r="B437">
        <v>365.6664533245069</v>
      </c>
      <c r="C437">
        <v>-203.2347330047526</v>
      </c>
    </row>
    <row r="438" spans="1:3" x14ac:dyDescent="0.25">
      <c r="A438" s="19">
        <v>-309</v>
      </c>
      <c r="B438">
        <v>370.91001838310132</v>
      </c>
      <c r="C438">
        <v>-199.45319041207813</v>
      </c>
    </row>
    <row r="439" spans="1:3" x14ac:dyDescent="0.25">
      <c r="A439" s="19">
        <v>-310</v>
      </c>
      <c r="B439">
        <v>376.0625176011722</v>
      </c>
      <c r="C439">
        <v>-195.65277419624792</v>
      </c>
    </row>
    <row r="440" spans="1:3" x14ac:dyDescent="0.25">
      <c r="A440" s="18">
        <v>-311</v>
      </c>
      <c r="B440">
        <v>381.13306572844215</v>
      </c>
      <c r="C440">
        <v>-191.82749177213461</v>
      </c>
    </row>
    <row r="441" spans="1:3" x14ac:dyDescent="0.25">
      <c r="A441" s="18">
        <v>-312</v>
      </c>
      <c r="B441">
        <v>386.13015742977751</v>
      </c>
      <c r="C441">
        <v>-187.9712236255794</v>
      </c>
    </row>
    <row r="442" spans="1:3" x14ac:dyDescent="0.25">
      <c r="A442" s="19">
        <v>-313</v>
      </c>
      <c r="B442">
        <v>391.06174847810956</v>
      </c>
      <c r="C442">
        <v>-184.07768146956991</v>
      </c>
    </row>
    <row r="443" spans="1:3" x14ac:dyDescent="0.25">
      <c r="A443" s="19">
        <v>-314</v>
      </c>
      <c r="B443">
        <v>395.93532743463447</v>
      </c>
      <c r="C443">
        <v>-180.14036438583545</v>
      </c>
    </row>
    <row r="444" spans="1:3" x14ac:dyDescent="0.25">
      <c r="A444" s="18">
        <v>-315</v>
      </c>
      <c r="B444">
        <v>400.75797937722211</v>
      </c>
      <c r="C444">
        <v>-176.15251227041995</v>
      </c>
    </row>
    <row r="445" spans="1:3" x14ac:dyDescent="0.25">
      <c r="A445" s="18">
        <v>-316</v>
      </c>
      <c r="B445">
        <v>405.37879408533314</v>
      </c>
      <c r="C445">
        <v>-172.09341702267838</v>
      </c>
    </row>
    <row r="446" spans="1:3" x14ac:dyDescent="0.25">
      <c r="A446" s="19">
        <v>-317</v>
      </c>
      <c r="B446">
        <v>409.66966291331818</v>
      </c>
      <c r="C446">
        <v>-167.9488464770086</v>
      </c>
    </row>
    <row r="447" spans="1:3" x14ac:dyDescent="0.25">
      <c r="A447" s="19">
        <v>-318</v>
      </c>
      <c r="B447">
        <v>413.92265090699698</v>
      </c>
      <c r="C447">
        <v>-163.73818172173145</v>
      </c>
    </row>
    <row r="448" spans="1:3" x14ac:dyDescent="0.25">
      <c r="A448" s="18">
        <v>-319</v>
      </c>
      <c r="B448">
        <v>418.14368723618452</v>
      </c>
      <c r="C448">
        <v>-159.45335159955209</v>
      </c>
    </row>
    <row r="449" spans="1:3" x14ac:dyDescent="0.25">
      <c r="A449" s="18">
        <v>-320</v>
      </c>
      <c r="B449">
        <v>422.33850749629283</v>
      </c>
      <c r="C449">
        <v>-155.08576032828506</v>
      </c>
    </row>
    <row r="450" spans="1:3" x14ac:dyDescent="0.25">
      <c r="A450" s="19">
        <v>-321</v>
      </c>
      <c r="B450">
        <v>426.5126926224292</v>
      </c>
      <c r="C450">
        <v>-150.62620926479048</v>
      </c>
    </row>
    <row r="451" spans="1:3" x14ac:dyDescent="0.25">
      <c r="A451" s="19">
        <v>-322</v>
      </c>
      <c r="B451">
        <v>430.67170579138593</v>
      </c>
      <c r="C451">
        <v>-146.06480861694379</v>
      </c>
    </row>
    <row r="452" spans="1:3" x14ac:dyDescent="0.25">
      <c r="A452" s="18">
        <v>-323</v>
      </c>
      <c r="B452">
        <v>434.82092788872455</v>
      </c>
      <c r="C452">
        <v>-141.39087717562239</v>
      </c>
    </row>
    <row r="453" spans="1:3" x14ac:dyDescent="0.25">
      <c r="A453" s="18">
        <v>-324</v>
      </c>
      <c r="B453">
        <v>438.96569208584327</v>
      </c>
      <c r="C453">
        <v>-136.5928277547381</v>
      </c>
    </row>
    <row r="454" spans="1:3" x14ac:dyDescent="0.25">
      <c r="A454" s="19">
        <v>-325</v>
      </c>
      <c r="B454">
        <v>442.02777323880406</v>
      </c>
      <c r="C454">
        <v>-133.34709135964962</v>
      </c>
    </row>
    <row r="455" spans="1:3" x14ac:dyDescent="0.25">
      <c r="A455" s="19">
        <v>-326</v>
      </c>
      <c r="B455">
        <v>446.05880508827448</v>
      </c>
      <c r="C455">
        <v>-128.43215998368302</v>
      </c>
    </row>
    <row r="456" spans="1:3" x14ac:dyDescent="0.25">
      <c r="A456" s="18">
        <v>-327</v>
      </c>
      <c r="B456">
        <v>449.92008950831053</v>
      </c>
      <c r="C456">
        <v>-123.61455686129588</v>
      </c>
    </row>
    <row r="457" spans="1:3" x14ac:dyDescent="0.25">
      <c r="A457" s="18">
        <v>-328</v>
      </c>
      <c r="B457">
        <v>453.6227875253864</v>
      </c>
      <c r="C457">
        <v>-118.88827936149973</v>
      </c>
    </row>
    <row r="458" spans="1:3" x14ac:dyDescent="0.25">
      <c r="A458" s="19">
        <v>-329</v>
      </c>
      <c r="B458">
        <v>457.17720939935697</v>
      </c>
      <c r="C458">
        <v>-114.24759724460279</v>
      </c>
    </row>
    <row r="459" spans="1:3" x14ac:dyDescent="0.25">
      <c r="A459" s="19">
        <v>-330</v>
      </c>
      <c r="B459">
        <v>460.59284121025695</v>
      </c>
      <c r="C459">
        <v>-109.68710613047743</v>
      </c>
    </row>
    <row r="460" spans="1:3" x14ac:dyDescent="0.25">
      <c r="A460" s="18">
        <v>-331</v>
      </c>
      <c r="B460">
        <v>463.8784245056263</v>
      </c>
      <c r="C460">
        <v>-105.20169905434231</v>
      </c>
    </row>
    <row r="461" spans="1:3" x14ac:dyDescent="0.25">
      <c r="A461" s="18">
        <v>-332</v>
      </c>
      <c r="B461">
        <v>467.04202712852953</v>
      </c>
      <c r="C461">
        <v>-100.7865406162521</v>
      </c>
    </row>
    <row r="462" spans="1:3" x14ac:dyDescent="0.25">
      <c r="A462" s="19">
        <v>-333</v>
      </c>
      <c r="B462">
        <v>469.01102689529631</v>
      </c>
      <c r="C462">
        <v>-98.24983138612221</v>
      </c>
    </row>
    <row r="463" spans="1:3" x14ac:dyDescent="0.25">
      <c r="A463" s="19">
        <v>-334</v>
      </c>
      <c r="B463">
        <v>471.95058945201583</v>
      </c>
      <c r="C463">
        <v>-93.960325457508276</v>
      </c>
    </row>
    <row r="464" spans="1:3" x14ac:dyDescent="0.25">
      <c r="A464" s="18">
        <v>-335</v>
      </c>
      <c r="B464">
        <v>474.78898269498706</v>
      </c>
      <c r="C464">
        <v>-89.727942463979403</v>
      </c>
    </row>
    <row r="465" spans="1:3" x14ac:dyDescent="0.25">
      <c r="A465" s="18">
        <v>-336</v>
      </c>
      <c r="B465">
        <v>476.74415186743619</v>
      </c>
      <c r="C465">
        <v>-85.799446827207063</v>
      </c>
    </row>
    <row r="466" spans="1:3" x14ac:dyDescent="0.25">
      <c r="A466" s="19">
        <v>-337</v>
      </c>
      <c r="B466">
        <v>478.57757761783495</v>
      </c>
      <c r="C466">
        <v>-81.931003702422572</v>
      </c>
    </row>
    <row r="467" spans="1:3" x14ac:dyDescent="0.25">
      <c r="A467" s="19">
        <v>-338</v>
      </c>
      <c r="B467">
        <v>480.32609311100441</v>
      </c>
      <c r="C467">
        <v>-78.108906788068836</v>
      </c>
    </row>
    <row r="468" spans="1:3" x14ac:dyDescent="0.25">
      <c r="A468" s="18">
        <v>-339</v>
      </c>
      <c r="B468">
        <v>481.99396300953856</v>
      </c>
      <c r="C468">
        <v>-74.329835656838839</v>
      </c>
    </row>
    <row r="469" spans="1:3" x14ac:dyDescent="0.25">
      <c r="A469" s="18">
        <v>-340</v>
      </c>
      <c r="B469">
        <v>483.58513121173127</v>
      </c>
      <c r="C469">
        <v>-70.590601058039368</v>
      </c>
    </row>
    <row r="470" spans="1:3" x14ac:dyDescent="0.25">
      <c r="A470" s="19">
        <v>-341</v>
      </c>
      <c r="B470">
        <v>485.10324640207352</v>
      </c>
      <c r="C470">
        <v>-66.888133061681728</v>
      </c>
    </row>
    <row r="471" spans="1:3" x14ac:dyDescent="0.25">
      <c r="A471" s="19">
        <v>-342</v>
      </c>
      <c r="B471">
        <v>486.5516850749309</v>
      </c>
      <c r="C471">
        <v>-63.219470007130703</v>
      </c>
    </row>
    <row r="472" spans="1:3" x14ac:dyDescent="0.25">
      <c r="A472" s="18">
        <v>-343</v>
      </c>
      <c r="B472">
        <v>487.93357230065374</v>
      </c>
      <c r="C472">
        <v>-59.581748166640523</v>
      </c>
    </row>
    <row r="473" spans="1:3" x14ac:dyDescent="0.25">
      <c r="A473" s="18">
        <v>-344</v>
      </c>
      <c r="B473">
        <v>489.25180047170744</v>
      </c>
      <c r="C473">
        <v>-55.972192042566206</v>
      </c>
    </row>
    <row r="474" spans="1:3" x14ac:dyDescent="0.25">
      <c r="A474" s="19">
        <v>-345</v>
      </c>
      <c r="B474">
        <v>490.50904623625087</v>
      </c>
      <c r="C474">
        <v>-52.388105224382429</v>
      </c>
    </row>
    <row r="475" spans="1:3" x14ac:dyDescent="0.25">
      <c r="A475" s="19">
        <v>-346</v>
      </c>
      <c r="B475">
        <v>491.70778580347422</v>
      </c>
      <c r="C475">
        <v>-48.826861737980309</v>
      </c>
    </row>
    <row r="476" spans="1:3" x14ac:dyDescent="0.25">
      <c r="A476" s="18">
        <v>-347</v>
      </c>
      <c r="B476">
        <v>492.85030878195624</v>
      </c>
      <c r="C476">
        <v>-45.285897825170061</v>
      </c>
    </row>
    <row r="477" spans="1:3" x14ac:dyDescent="0.25">
      <c r="A477" s="18">
        <v>-348</v>
      </c>
      <c r="B477">
        <v>493.93873069475018</v>
      </c>
      <c r="C477">
        <v>-41.762704095986329</v>
      </c>
    </row>
    <row r="478" spans="1:3" x14ac:dyDescent="0.25">
      <c r="A478" s="19">
        <v>-349</v>
      </c>
      <c r="B478">
        <v>494.97500429621317</v>
      </c>
      <c r="C478">
        <v>-38.254818000329372</v>
      </c>
    </row>
    <row r="479" spans="1:3" x14ac:dyDescent="0.25">
      <c r="A479" s="19">
        <v>-350</v>
      </c>
      <c r="B479">
        <v>495.96092980358827</v>
      </c>
      <c r="C479">
        <v>-34.759816568815204</v>
      </c>
    </row>
    <row r="480" spans="1:3" x14ac:dyDescent="0.25">
      <c r="A480" s="18">
        <v>-351</v>
      </c>
      <c r="B480">
        <v>496.8981641426588</v>
      </c>
      <c r="C480">
        <v>-31.275309375409655</v>
      </c>
    </row>
    <row r="481" spans="1:3" x14ac:dyDescent="0.25">
      <c r="A481" s="18">
        <v>-352</v>
      </c>
      <c r="B481">
        <v>497.78822929309189</v>
      </c>
      <c r="C481">
        <v>-27.798931676586822</v>
      </c>
    </row>
    <row r="482" spans="1:3" x14ac:dyDescent="0.25">
      <c r="A482" s="19">
        <v>-353</v>
      </c>
      <c r="B482">
        <v>498.63251981461502</v>
      </c>
      <c r="C482">
        <v>-24.328337683440523</v>
      </c>
    </row>
    <row r="483" spans="1:3" x14ac:dyDescent="0.25">
      <c r="A483" s="19">
        <v>-354</v>
      </c>
      <c r="B483">
        <v>499.43230962018225</v>
      </c>
      <c r="C483">
        <v>-20.861193924307834</v>
      </c>
    </row>
    <row r="484" spans="1:3" x14ac:dyDescent="0.25">
      <c r="A484" s="18">
        <v>-355</v>
      </c>
      <c r="B484">
        <v>500.18875805908715</v>
      </c>
      <c r="C484">
        <v>-17.395172656182712</v>
      </c>
    </row>
    <row r="485" spans="1:3" x14ac:dyDescent="0.25">
      <c r="A485" s="18">
        <v>-356</v>
      </c>
      <c r="B485">
        <v>500.90291536333473</v>
      </c>
      <c r="C485">
        <v>-13.927945283406061</v>
      </c>
    </row>
    <row r="486" spans="1:3" x14ac:dyDescent="0.25">
      <c r="A486" s="19">
        <v>-357</v>
      </c>
      <c r="B486">
        <v>501.57572750723193</v>
      </c>
      <c r="C486">
        <v>-10.457175741888578</v>
      </c>
    </row>
    <row r="487" spans="1:3" x14ac:dyDescent="0.25">
      <c r="A487" s="19">
        <v>-358</v>
      </c>
      <c r="B487">
        <v>502.20804052036885</v>
      </c>
      <c r="C487">
        <v>-6.9805138063725236</v>
      </c>
    </row>
    <row r="488" spans="1:3" x14ac:dyDescent="0.25">
      <c r="A488" s="18">
        <v>-359</v>
      </c>
      <c r="B488">
        <v>502.80060429434479</v>
      </c>
      <c r="C488">
        <v>-3.4955882770385589</v>
      </c>
    </row>
    <row r="489" spans="1:3" x14ac:dyDescent="0.25">
      <c r="A489" s="18">
        <v>-360</v>
      </c>
      <c r="B489">
        <v>503.35407591590479</v>
      </c>
      <c r="C489">
        <v>-1.0486259439183665E-13</v>
      </c>
    </row>
    <row r="490" spans="1:3" x14ac:dyDescent="0.25">
      <c r="B490">
        <f>B129</f>
        <v>503.35407591590501</v>
      </c>
      <c r="C490">
        <f>C129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nteraction_point" altText="Attempt to Find_x000a_Interaction point for Goal_x000a_(Form Button)">
                <anchor moveWithCells="1" sizeWithCells="1">
                  <from>
                    <xdr:col>0</xdr:col>
                    <xdr:colOff>771525</xdr:colOff>
                    <xdr:row>121</xdr:row>
                    <xdr:rowOff>66675</xdr:rowOff>
                  </from>
                  <to>
                    <xdr:col>2</xdr:col>
                    <xdr:colOff>885825</xdr:colOff>
                    <xdr:row>126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x_my">
                <anchor moveWithCells="1" sizeWithCells="1">
                  <from>
                    <xdr:col>3</xdr:col>
                    <xdr:colOff>76200</xdr:colOff>
                    <xdr:row>121</xdr:row>
                    <xdr:rowOff>47625</xdr:rowOff>
                  </from>
                  <to>
                    <xdr:col>5</xdr:col>
                    <xdr:colOff>1152525</xdr:colOff>
                    <xdr:row>126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p_m_curve">
                <anchor moveWithCells="1" sizeWithCells="1">
                  <from>
                    <xdr:col>9</xdr:col>
                    <xdr:colOff>542925</xdr:colOff>
                    <xdr:row>121</xdr:row>
                    <xdr:rowOff>152400</xdr:rowOff>
                  </from>
                  <to>
                    <xdr:col>13</xdr:col>
                    <xdr:colOff>342900</xdr:colOff>
                    <xdr:row>125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438B661-79DD-4D10-A44E-D95D17099999}">
          <x14:formula1>
            <xm:f>Reference!$A$1:$A$12</xm:f>
          </x14:formula1>
          <xm:sqref>B13:B24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239C7-1FB1-47D1-ABA5-3A9CFB83700E}">
  <sheetPr codeName="Sheet2"/>
  <dimension ref="A1:C12"/>
  <sheetViews>
    <sheetView workbookViewId="0">
      <selection activeCell="C2" sqref="C2"/>
    </sheetView>
  </sheetViews>
  <sheetFormatPr defaultColWidth="8.85546875" defaultRowHeight="15" x14ac:dyDescent="0.25"/>
  <sheetData>
    <row r="1" spans="1:3" x14ac:dyDescent="0.25">
      <c r="A1">
        <v>0</v>
      </c>
      <c r="B1">
        <v>0</v>
      </c>
      <c r="C1">
        <v>0</v>
      </c>
    </row>
    <row r="2" spans="1:3" x14ac:dyDescent="0.25">
      <c r="A2">
        <v>3</v>
      </c>
      <c r="B2">
        <v>0.375</v>
      </c>
      <c r="C2">
        <v>0.11</v>
      </c>
    </row>
    <row r="3" spans="1:3" x14ac:dyDescent="0.25">
      <c r="A3">
        <v>4</v>
      </c>
      <c r="B3">
        <v>0.5</v>
      </c>
      <c r="C3">
        <v>0.2</v>
      </c>
    </row>
    <row r="4" spans="1:3" x14ac:dyDescent="0.25">
      <c r="A4">
        <v>5</v>
      </c>
      <c r="B4">
        <v>0.625</v>
      </c>
      <c r="C4">
        <v>0.31</v>
      </c>
    </row>
    <row r="5" spans="1:3" x14ac:dyDescent="0.25">
      <c r="A5">
        <v>6</v>
      </c>
      <c r="B5">
        <v>0.75</v>
      </c>
      <c r="C5">
        <v>0.44</v>
      </c>
    </row>
    <row r="6" spans="1:3" x14ac:dyDescent="0.25">
      <c r="A6">
        <v>7</v>
      </c>
      <c r="B6">
        <v>0.875</v>
      </c>
      <c r="C6">
        <v>0.6</v>
      </c>
    </row>
    <row r="7" spans="1:3" x14ac:dyDescent="0.25">
      <c r="A7">
        <v>8</v>
      </c>
      <c r="B7">
        <v>1</v>
      </c>
      <c r="C7">
        <v>0.79</v>
      </c>
    </row>
    <row r="8" spans="1:3" x14ac:dyDescent="0.25">
      <c r="A8">
        <v>9</v>
      </c>
      <c r="B8">
        <v>1.1279999999999999</v>
      </c>
      <c r="C8">
        <v>1</v>
      </c>
    </row>
    <row r="9" spans="1:3" x14ac:dyDescent="0.25">
      <c r="A9">
        <v>10</v>
      </c>
      <c r="B9">
        <v>1.27</v>
      </c>
      <c r="C9">
        <v>1.27</v>
      </c>
    </row>
    <row r="10" spans="1:3" x14ac:dyDescent="0.25">
      <c r="A10">
        <v>11</v>
      </c>
      <c r="B10">
        <v>1.41</v>
      </c>
      <c r="C10">
        <v>1.56</v>
      </c>
    </row>
    <row r="11" spans="1:3" x14ac:dyDescent="0.25">
      <c r="A11">
        <v>14</v>
      </c>
      <c r="B11">
        <v>1.6930000000000001</v>
      </c>
      <c r="C11">
        <v>2.25</v>
      </c>
    </row>
    <row r="12" spans="1:3" x14ac:dyDescent="0.25">
      <c r="A12">
        <v>18</v>
      </c>
      <c r="B12">
        <v>2.2570000000000001</v>
      </c>
      <c r="C12">
        <v>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02293755B0C1C458CEABDE3487C809F" ma:contentTypeVersion="11" ma:contentTypeDescription="Create a new document." ma:contentTypeScope="" ma:versionID="17b1a2cd11f8f5d6d4f3bb7988a2da44">
  <xsd:schema xmlns:xsd="http://www.w3.org/2001/XMLSchema" xmlns:xs="http://www.w3.org/2001/XMLSchema" xmlns:p="http://schemas.microsoft.com/office/2006/metadata/properties" xmlns:ns2="e084eb51-e41f-419d-868e-d827d41fdf42" xmlns:ns3="a54a5347-8adb-4f47-b158-08c1baf179b6" targetNamespace="http://schemas.microsoft.com/office/2006/metadata/properties" ma:root="true" ma:fieldsID="747251f9c5377854abca8fc51c5615ab" ns2:_="" ns3:_="">
    <xsd:import namespace="e084eb51-e41f-419d-868e-d827d41fdf42"/>
    <xsd:import namespace="a54a5347-8adb-4f47-b158-08c1baf179b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84eb51-e41f-419d-868e-d827d41fdf4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4a5347-8adb-4f47-b158-08c1baf179b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9A6B3A5-42BC-4C96-82C2-CE544D769DC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13D28E3-3597-4BD9-87AD-5985392E30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084eb51-e41f-419d-868e-d827d41fdf42"/>
    <ds:schemaRef ds:uri="a54a5347-8adb-4f47-b158-08c1baf17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4D90F7A-FC30-45D5-8F55-850AABE4945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Cross Section Analysis</vt:lpstr>
      <vt:lpstr>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 Bockoven</dc:creator>
  <cp:lastModifiedBy>Don Bockoven</cp:lastModifiedBy>
  <dcterms:created xsi:type="dcterms:W3CDTF">2020-01-14T22:46:38Z</dcterms:created>
  <dcterms:modified xsi:type="dcterms:W3CDTF">2020-01-16T23:29:17Z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0x010100D02293755B0C1C458CEABDE3487C809F</vt:lpwstr>
  </property>
</Properties>
</file>