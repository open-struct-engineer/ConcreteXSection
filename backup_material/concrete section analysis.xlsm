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BA8C3EDF-7CE3-4436-8190-54DA9B34F4A3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0" i="1" l="1"/>
  <c r="B490" i="1"/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J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5" i="1"/>
  <c r="F104" i="1"/>
  <c r="F107" i="1"/>
  <c r="F108" i="1"/>
  <c r="F106" i="1"/>
  <c r="F109" i="1"/>
  <c r="I100" i="1" l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98" i="1"/>
  <c r="F110" i="1"/>
  <c r="J113" i="1" s="1"/>
  <c r="I103" i="1"/>
  <c r="J110" i="1" l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J116" i="1" s="1"/>
  <c r="I110" i="1"/>
  <c r="B114" i="1" l="1"/>
  <c r="D115" i="1"/>
  <c r="B115" i="1"/>
  <c r="D114" i="1"/>
  <c r="F114" i="1" l="1"/>
  <c r="H114" i="1" s="1"/>
  <c r="J114" i="1" s="1"/>
  <c r="H125" i="1" s="1"/>
  <c r="F115" i="1"/>
  <c r="H115" i="1" s="1"/>
  <c r="J115" i="1" s="1"/>
  <c r="I125" i="1" s="1"/>
  <c r="N115" i="1" l="1"/>
</calcChain>
</file>

<file path=xl/sharedStrings.xml><?xml version="1.0" encoding="utf-8"?>
<sst xmlns="http://schemas.openxmlformats.org/spreadsheetml/2006/main" count="129" uniqueCount="86">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</sst>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  <c:pt idx="5" formatCode="General">
                  <c:v>10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1.9813697141083084</c:v>
                </c:pt>
                <c:pt idx="1">
                  <c:v>17.302258576487869</c:v>
                </c:pt>
                <c:pt idx="2">
                  <c:v>-1.9813697141083084</c:v>
                </c:pt>
                <c:pt idx="3">
                  <c:v>-17.302258576487869</c:v>
                </c:pt>
                <c:pt idx="4">
                  <c:v>1.9813697141083084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-17.918542743650061</c:v>
                </c:pt>
                <c:pt idx="1">
                  <c:v>-5.0627905499192769</c:v>
                </c:pt>
                <c:pt idx="2">
                  <c:v>17.918542743650061</c:v>
                </c:pt>
                <c:pt idx="3">
                  <c:v>5.0627905499192769</c:v>
                </c:pt>
                <c:pt idx="4">
                  <c:v>-17.918542743650061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2.474397047838063</c:v>
                </c:pt>
                <c:pt idx="1">
                  <c:v>11.666930365265799</c:v>
                </c:pt>
                <c:pt idx="2">
                  <c:v>-2.474397047838063</c:v>
                </c:pt>
                <c:pt idx="3">
                  <c:v>-7.0706637065519313</c:v>
                </c:pt>
                <c:pt idx="4">
                  <c:v>-11.666930365265799</c:v>
                </c:pt>
                <c:pt idx="5">
                  <c:v>7.0706637065519313</c:v>
                </c:pt>
                <c:pt idx="6">
                  <c:v>1.9813697141083084</c:v>
                </c:pt>
                <c:pt idx="7">
                  <c:v>1.9813697141083084</c:v>
                </c:pt>
                <c:pt idx="8">
                  <c:v>1.9813697141083084</c:v>
                </c:pt>
                <c:pt idx="9">
                  <c:v>1.9813697141083084</c:v>
                </c:pt>
                <c:pt idx="10">
                  <c:v>1.9813697141083084</c:v>
                </c:pt>
                <c:pt idx="11">
                  <c:v>1.9813697141083084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-12.283214532427994</c:v>
                </c:pt>
                <c:pt idx="1">
                  <c:v>-4.5697632161895223</c:v>
                </c:pt>
                <c:pt idx="2">
                  <c:v>12.283214532427994</c:v>
                </c:pt>
                <c:pt idx="3">
                  <c:v>8.4264888743087578</c:v>
                </c:pt>
                <c:pt idx="4">
                  <c:v>4.5697632161895223</c:v>
                </c:pt>
                <c:pt idx="5">
                  <c:v>-8.4264888743087578</c:v>
                </c:pt>
                <c:pt idx="6">
                  <c:v>-17.918542743650061</c:v>
                </c:pt>
                <c:pt idx="7">
                  <c:v>-17.918542743650061</c:v>
                </c:pt>
                <c:pt idx="8">
                  <c:v>-17.918542743650061</c:v>
                </c:pt>
                <c:pt idx="9">
                  <c:v>-17.918542743650061</c:v>
                </c:pt>
                <c:pt idx="10">
                  <c:v>-17.918542743650061</c:v>
                </c:pt>
                <c:pt idx="11">
                  <c:v>-17.918542743650061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-17.302258576487869</c:v>
                </c:pt>
                <c:pt idx="1">
                  <c:v>17.302258576487869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17.31854274365006</c:v>
                </c:pt>
                <c:pt idx="1">
                  <c:v>17.31854274365006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-17.302258576487869</c:v>
                </c:pt>
                <c:pt idx="1">
                  <c:v>17.302258576487869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17.438542743650061</c:v>
                </c:pt>
                <c:pt idx="1">
                  <c:v>17.438542743650061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#N/A</c:v>
                </c:pt>
                <c:pt idx="1">
                  <c:v>-1.5786018911432149</c:v>
                </c:pt>
                <c:pt idx="2">
                  <c:v>-2.5534114385535296</c:v>
                </c:pt>
                <c:pt idx="3">
                  <c:v>#N/A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#N/A</c:v>
                </c:pt>
                <c:pt idx="1">
                  <c:v>17.438542743650061</c:v>
                </c:pt>
                <c:pt idx="2">
                  <c:v>17.438542743650061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17.918542743650061</c:v>
                </c:pt>
                <c:pt idx="1">
                  <c:v>-17.918542743650061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17.918542743650061</c:v>
                </c:pt>
                <c:pt idx="1">
                  <c:v>-17.918542743650061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Sheet1!$B$129:$B$490</c:f>
              <c:numCache>
                <c:formatCode>General</c:formatCode>
                <c:ptCount val="362"/>
                <c:pt idx="0">
                  <c:v>1.2244769063180443</c:v>
                </c:pt>
                <c:pt idx="1">
                  <c:v>1.2223925791609815</c:v>
                </c:pt>
                <c:pt idx="2">
                  <c:v>1.2205060149590634</c:v>
                </c:pt>
                <c:pt idx="3">
                  <c:v>1.2194129586957805</c:v>
                </c:pt>
                <c:pt idx="4">
                  <c:v>1.2197220607995278</c:v>
                </c:pt>
                <c:pt idx="5">
                  <c:v>1.2200137043334294</c:v>
                </c:pt>
                <c:pt idx="6">
                  <c:v>1.21833614369747</c:v>
                </c:pt>
                <c:pt idx="7">
                  <c:v>1.2179715867997181</c:v>
                </c:pt>
                <c:pt idx="8">
                  <c:v>1.2175732782176449</c:v>
                </c:pt>
                <c:pt idx="9">
                  <c:v>1.2171673699857946</c:v>
                </c:pt>
                <c:pt idx="10">
                  <c:v>1.2167660613197151</c:v>
                </c:pt>
                <c:pt idx="11">
                  <c:v>1.2163737354532673</c:v>
                </c:pt>
                <c:pt idx="12">
                  <c:v>1.2159916529868113</c:v>
                </c:pt>
                <c:pt idx="13">
                  <c:v>1.2156197766318222</c:v>
                </c:pt>
                <c:pt idx="14">
                  <c:v>1.2162794379424531</c:v>
                </c:pt>
                <c:pt idx="15">
                  <c:v>1.2157079052987223</c:v>
                </c:pt>
                <c:pt idx="16">
                  <c:v>1.2152177957929522</c:v>
                </c:pt>
                <c:pt idx="17">
                  <c:v>1.2147615340980109</c:v>
                </c:pt>
                <c:pt idx="18">
                  <c:v>1.2143331375057347</c:v>
                </c:pt>
                <c:pt idx="19">
                  <c:v>1.2139273024001758</c:v>
                </c:pt>
                <c:pt idx="20">
                  <c:v>1.2135399505491891</c:v>
                </c:pt>
                <c:pt idx="21">
                  <c:v>1.2131678736617271</c:v>
                </c:pt>
                <c:pt idx="22">
                  <c:v>1.2128085052275819</c:v>
                </c:pt>
                <c:pt idx="23">
                  <c:v>1.2124597593837982</c:v>
                </c:pt>
                <c:pt idx="24">
                  <c:v>1.2121199153144688</c:v>
                </c:pt>
                <c:pt idx="25">
                  <c:v>1.2117875329134842</c:v>
                </c:pt>
                <c:pt idx="26">
                  <c:v>1.2114613903018303</c:v>
                </c:pt>
                <c:pt idx="27">
                  <c:v>1.2111404368587717</c:v>
                </c:pt>
                <c:pt idx="28">
                  <c:v>1.2108237574330347</c:v>
                </c:pt>
                <c:pt idx="29">
                  <c:v>1.2105105447114952</c:v>
                </c:pt>
                <c:pt idx="30">
                  <c:v>1.2102000776156523</c:v>
                </c:pt>
                <c:pt idx="31">
                  <c:v>1.2105619499366804</c:v>
                </c:pt>
                <c:pt idx="32">
                  <c:v>1.2095822954903459</c:v>
                </c:pt>
                <c:pt idx="33">
                  <c:v>1.2092789046176524</c:v>
                </c:pt>
                <c:pt idx="34">
                  <c:v>1.2089733930409308</c:v>
                </c:pt>
                <c:pt idx="35">
                  <c:v>1.2086678277162148</c:v>
                </c:pt>
                <c:pt idx="36">
                  <c:v>1.2083617319507318</c:v>
                </c:pt>
                <c:pt idx="37">
                  <c:v>1.2080546525941216</c:v>
                </c:pt>
                <c:pt idx="38">
                  <c:v>1.2077461470352482</c:v>
                </c:pt>
                <c:pt idx="39">
                  <c:v>1.2074357788673706</c:v>
                </c:pt>
                <c:pt idx="40">
                  <c:v>1.2071231139244816</c:v>
                </c:pt>
                <c:pt idx="41">
                  <c:v>1.206807716598107</c:v>
                </c:pt>
                <c:pt idx="42">
                  <c:v>1.2064891463421736</c:v>
                </c:pt>
                <c:pt idx="43">
                  <c:v>1.2061669542843712</c:v>
                </c:pt>
                <c:pt idx="44">
                  <c:v>1.2058406798734811</c:v>
                </c:pt>
                <c:pt idx="45">
                  <c:v>1.20477503421316</c:v>
                </c:pt>
                <c:pt idx="46">
                  <c:v>1.2051603052502147</c:v>
                </c:pt>
                <c:pt idx="47">
                  <c:v>1.2048106701139756</c:v>
                </c:pt>
                <c:pt idx="48">
                  <c:v>1.2044484290891166</c:v>
                </c:pt>
                <c:pt idx="49">
                  <c:v>1.2040794278910709</c:v>
                </c:pt>
                <c:pt idx="50">
                  <c:v>1.203702995660902</c:v>
                </c:pt>
                <c:pt idx="51">
                  <c:v>1.2033184470734062</c:v>
                </c:pt>
                <c:pt idx="52">
                  <c:v>1.2029250497687636</c:v>
                </c:pt>
                <c:pt idx="53">
                  <c:v>1.2025220178712728</c:v>
                </c:pt>
                <c:pt idx="54">
                  <c:v>1.2021085046027229</c:v>
                </c:pt>
                <c:pt idx="55">
                  <c:v>1.2016835939261048</c:v>
                </c:pt>
                <c:pt idx="56">
                  <c:v>1.2012462910344666</c:v>
                </c:pt>
                <c:pt idx="57">
                  <c:v>1.200795511463834</c:v>
                </c:pt>
                <c:pt idx="58">
                  <c:v>1.2003300685613132</c:v>
                </c:pt>
                <c:pt idx="59">
                  <c:v>1.199848658987309</c:v>
                </c:pt>
                <c:pt idx="60">
                  <c:v>1.1984534739567916</c:v>
                </c:pt>
                <c:pt idx="61">
                  <c:v>1.1989651265839119</c:v>
                </c:pt>
                <c:pt idx="62">
                  <c:v>1.1982943152643062</c:v>
                </c:pt>
                <c:pt idx="63">
                  <c:v>1.1977321805232624</c:v>
                </c:pt>
                <c:pt idx="64">
                  <c:v>1.1971459401108959</c:v>
                </c:pt>
                <c:pt idx="65">
                  <c:v>1.1965322875966837</c:v>
                </c:pt>
                <c:pt idx="66">
                  <c:v>1.1958884146337379</c:v>
                </c:pt>
                <c:pt idx="67">
                  <c:v>1.1952111415910358</c:v>
                </c:pt>
                <c:pt idx="68">
                  <c:v>1.1944968438673562</c:v>
                </c:pt>
                <c:pt idx="69">
                  <c:v>1.1937413690696481</c:v>
                </c:pt>
                <c:pt idx="70">
                  <c:v>1.1929399354609032</c:v>
                </c:pt>
                <c:pt idx="71">
                  <c:v>1.1920870066608951</c:v>
                </c:pt>
                <c:pt idx="72">
                  <c:v>1.1911761362178008</c:v>
                </c:pt>
                <c:pt idx="73">
                  <c:v>1.1901997738701313</c:v>
                </c:pt>
                <c:pt idx="74">
                  <c:v>1.1891490231828965</c:v>
                </c:pt>
                <c:pt idx="75">
                  <c:v>1.1880133378654509</c:v>
                </c:pt>
                <c:pt idx="76">
                  <c:v>1.1867801420751445</c:v>
                </c:pt>
                <c:pt idx="77">
                  <c:v>1.1854343600120354</c:v>
                </c:pt>
                <c:pt idx="78">
                  <c:v>1.1827502987055372</c:v>
                </c:pt>
                <c:pt idx="79">
                  <c:v>1.1808243290428333</c:v>
                </c:pt>
                <c:pt idx="80">
                  <c:v>1.1786268011123149</c:v>
                </c:pt>
                <c:pt idx="81">
                  <c:v>1.1760840740488518</c:v>
                </c:pt>
                <c:pt idx="82">
                  <c:v>1.173092977093416</c:v>
                </c:pt>
                <c:pt idx="83">
                  <c:v>1.1695020684331778</c:v>
                </c:pt>
                <c:pt idx="84">
                  <c:v>1.1650786292458957</c:v>
                </c:pt>
                <c:pt idx="85">
                  <c:v>1.1594438770761419</c:v>
                </c:pt>
                <c:pt idx="86">
                  <c:v>1.1519342559410168</c:v>
                </c:pt>
                <c:pt idx="87">
                  <c:v>1.1399315147024311</c:v>
                </c:pt>
                <c:pt idx="88">
                  <c:v>1.1214731653211074</c:v>
                </c:pt>
                <c:pt idx="89">
                  <c:v>1.077673422582561</c:v>
                </c:pt>
                <c:pt idx="90">
                  <c:v>8.4982066916819396E-14</c:v>
                </c:pt>
                <c:pt idx="91">
                  <c:v>-1.0776447762603905</c:v>
                </c:pt>
                <c:pt idx="92">
                  <c:v>-1.1199765583362009</c:v>
                </c:pt>
                <c:pt idx="93">
                  <c:v>-1.1388645431009801</c:v>
                </c:pt>
                <c:pt idx="94">
                  <c:v>-1.1511946584985562</c:v>
                </c:pt>
                <c:pt idx="95">
                  <c:v>-1.1598389170852508</c:v>
                </c:pt>
                <c:pt idx="96">
                  <c:v>-1.1645695417064195</c:v>
                </c:pt>
                <c:pt idx="97">
                  <c:v>-1.1692004462441437</c:v>
                </c:pt>
                <c:pt idx="98">
                  <c:v>-1.1729054632061457</c:v>
                </c:pt>
                <c:pt idx="99">
                  <c:v>-1.1759621906111228</c:v>
                </c:pt>
                <c:pt idx="100">
                  <c:v>-1.1785449062734079</c:v>
                </c:pt>
                <c:pt idx="101">
                  <c:v>-1.1807679089813865</c:v>
                </c:pt>
                <c:pt idx="102">
                  <c:v>-1.1827099954546494</c:v>
                </c:pt>
                <c:pt idx="103">
                  <c:v>-1.1844276215173075</c:v>
                </c:pt>
                <c:pt idx="104">
                  <c:v>-1.1869472987983802</c:v>
                </c:pt>
                <c:pt idx="105">
                  <c:v>-1.188122538774242</c:v>
                </c:pt>
                <c:pt idx="106">
                  <c:v>-1.1892411123303179</c:v>
                </c:pt>
                <c:pt idx="107">
                  <c:v>-1.1902774835652261</c:v>
                </c:pt>
                <c:pt idx="108">
                  <c:v>-1.1912422339344968</c:v>
                </c:pt>
                <c:pt idx="109">
                  <c:v>-1.1921435831918712</c:v>
                </c:pt>
                <c:pt idx="110">
                  <c:v>-1.1929886081409191</c:v>
                </c:pt>
                <c:pt idx="111">
                  <c:v>-1.1937834058082204</c:v>
                </c:pt>
                <c:pt idx="112">
                  <c:v>-1.1945332508960276</c:v>
                </c:pt>
                <c:pt idx="113">
                  <c:v>-1.1952427263592182</c:v>
                </c:pt>
                <c:pt idx="114">
                  <c:v>-1.1959158316080145</c:v>
                </c:pt>
                <c:pt idx="115">
                  <c:v>-1.1965560720891828</c:v>
                </c:pt>
                <c:pt idx="116">
                  <c:v>-1.1971665335483321</c:v>
                </c:pt>
                <c:pt idx="117">
                  <c:v>-1.1977499437451145</c:v>
                </c:pt>
                <c:pt idx="118">
                  <c:v>-1.1983087239099663</c:v>
                </c:pt>
                <c:pt idx="119">
                  <c:v>-1.1988450318100969</c:v>
                </c:pt>
                <c:pt idx="120">
                  <c:v>-1.1993607979381671</c:v>
                </c:pt>
                <c:pt idx="121">
                  <c:v>-1.2005196104382081</c:v>
                </c:pt>
                <c:pt idx="122">
                  <c:v>-1.2003349658289442</c:v>
                </c:pt>
                <c:pt idx="123">
                  <c:v>-1.2008013589494047</c:v>
                </c:pt>
                <c:pt idx="124">
                  <c:v>-1.2012506860049905</c:v>
                </c:pt>
                <c:pt idx="125">
                  <c:v>-1.2016866443694307</c:v>
                </c:pt>
                <c:pt idx="126">
                  <c:v>-1.2021102964698689</c:v>
                </c:pt>
                <c:pt idx="127">
                  <c:v>-1.2025226249943126</c:v>
                </c:pt>
                <c:pt idx="128">
                  <c:v>-1.2029245353924285</c:v>
                </c:pt>
                <c:pt idx="129">
                  <c:v>-1.2033168651202943</c:v>
                </c:pt>
                <c:pt idx="130">
                  <c:v>-1.2037003917608848</c:v>
                </c:pt>
                <c:pt idx="131">
                  <c:v>-1.2040758402134071</c:v>
                </c:pt>
                <c:pt idx="132">
                  <c:v>-1.2044438891009488</c:v>
                </c:pt>
                <c:pt idx="133">
                  <c:v>-1.2048051765211572</c:v>
                </c:pt>
                <c:pt idx="134">
                  <c:v>-1.2051603052502373</c:v>
                </c:pt>
                <c:pt idx="135">
                  <c:v>-1.2047750342131531</c:v>
                </c:pt>
                <c:pt idx="136">
                  <c:v>-1.2058406798735033</c:v>
                </c:pt>
                <c:pt idx="137">
                  <c:v>-1.2061724572699037</c:v>
                </c:pt>
                <c:pt idx="138">
                  <c:v>-1.2064936979937679</c:v>
                </c:pt>
                <c:pt idx="139">
                  <c:v>-1.2068113165926153</c:v>
                </c:pt>
                <c:pt idx="140">
                  <c:v>-1.2071257290298378</c:v>
                </c:pt>
                <c:pt idx="141">
                  <c:v>-1.2074373690166926</c:v>
                </c:pt>
                <c:pt idx="142">
                  <c:v>-1.207746664532773</c:v>
                </c:pt>
                <c:pt idx="143">
                  <c:v>-1.2080540412421268</c:v>
                </c:pt>
                <c:pt idx="144">
                  <c:v>-1.2083599259718292</c:v>
                </c:pt>
                <c:pt idx="145">
                  <c:v>-1.2086647504304673</c:v>
                </c:pt>
                <c:pt idx="146">
                  <c:v>-1.208968955265491</c:v>
                </c:pt>
                <c:pt idx="147">
                  <c:v>-1.209272994578207</c:v>
                </c:pt>
                <c:pt idx="148">
                  <c:v>-1.2095773410430792</c:v>
                </c:pt>
                <c:pt idx="149">
                  <c:v>-1.2098824918153475</c:v>
                </c:pt>
                <c:pt idx="150">
                  <c:v>-1.2092803231868405</c:v>
                </c:pt>
                <c:pt idx="151">
                  <c:v>-1.2106324117740945</c:v>
                </c:pt>
                <c:pt idx="152">
                  <c:v>-1.2108091205187268</c:v>
                </c:pt>
                <c:pt idx="153">
                  <c:v>-1.2111223723226068</c:v>
                </c:pt>
                <c:pt idx="154">
                  <c:v>-1.2114404236704441</c:v>
                </c:pt>
                <c:pt idx="155">
                  <c:v>-1.2117632887980581</c:v>
                </c:pt>
                <c:pt idx="156">
                  <c:v>-1.2120919342244718</c:v>
                </c:pt>
                <c:pt idx="157">
                  <c:v>-1.2124274835212405</c:v>
                </c:pt>
                <c:pt idx="158">
                  <c:v>-1.2127712518517304</c:v>
                </c:pt>
                <c:pt idx="159">
                  <c:v>-1.2131247993820007</c:v>
                </c:pt>
                <c:pt idx="160">
                  <c:v>-1.2134900029067643</c:v>
                </c:pt>
                <c:pt idx="161">
                  <c:v>-1.2138691532637818</c:v>
                </c:pt>
                <c:pt idx="162">
                  <c:v>-1.2142650899781835</c:v>
                </c:pt>
                <c:pt idx="163">
                  <c:v>-1.2146813906535083</c:v>
                </c:pt>
                <c:pt idx="164">
                  <c:v>-1.2151226425235238</c:v>
                </c:pt>
                <c:pt idx="165">
                  <c:v>-1.2155948401279242</c:v>
                </c:pt>
                <c:pt idx="166">
                  <c:v>-1.2161059815304578</c:v>
                </c:pt>
                <c:pt idx="167">
                  <c:v>-1.2166669860496253</c:v>
                </c:pt>
                <c:pt idx="168">
                  <c:v>-1.2160336884143101</c:v>
                </c:pt>
                <c:pt idx="169">
                  <c:v>-1.2164327562244452</c:v>
                </c:pt>
                <c:pt idx="170">
                  <c:v>-1.2168520201120891</c:v>
                </c:pt>
                <c:pt idx="171">
                  <c:v>-1.2172957959078918</c:v>
                </c:pt>
                <c:pt idx="172">
                  <c:v>-1.2177717469298053</c:v>
                </c:pt>
                <c:pt idx="173">
                  <c:v>-1.2182925424568192</c:v>
                </c:pt>
                <c:pt idx="174">
                  <c:v>-1.2188814249686819</c:v>
                </c:pt>
                <c:pt idx="175">
                  <c:v>-1.2195870245807683</c:v>
                </c:pt>
                <c:pt idx="176">
                  <c:v>-1.220529893224956</c:v>
                </c:pt>
                <c:pt idx="177">
                  <c:v>-1.2205975709975916</c:v>
                </c:pt>
                <c:pt idx="178">
                  <c:v>-1.2222161775461313</c:v>
                </c:pt>
                <c:pt idx="179">
                  <c:v>-1.2226294920037153</c:v>
                </c:pt>
                <c:pt idx="180">
                  <c:v>-1.2244769063180441</c:v>
                </c:pt>
                <c:pt idx="181">
                  <c:v>-1.2223925791609815</c:v>
                </c:pt>
                <c:pt idx="182">
                  <c:v>-1.2205060149591203</c:v>
                </c:pt>
                <c:pt idx="183">
                  <c:v>-1.2194129586957354</c:v>
                </c:pt>
                <c:pt idx="184">
                  <c:v>-1.2197220607995274</c:v>
                </c:pt>
                <c:pt idx="185">
                  <c:v>-1.2200137043333503</c:v>
                </c:pt>
                <c:pt idx="186">
                  <c:v>-1.218336143697452</c:v>
                </c:pt>
                <c:pt idx="187">
                  <c:v>-1.217971586799721</c:v>
                </c:pt>
                <c:pt idx="188">
                  <c:v>-1.2175732782176203</c:v>
                </c:pt>
                <c:pt idx="189">
                  <c:v>-1.2171673699858121</c:v>
                </c:pt>
                <c:pt idx="190">
                  <c:v>-1.2167660613196973</c:v>
                </c:pt>
                <c:pt idx="191">
                  <c:v>-1.2163737354532265</c:v>
                </c:pt>
                <c:pt idx="192">
                  <c:v>-1.2159916529868098</c:v>
                </c:pt>
                <c:pt idx="193">
                  <c:v>-1.2156197766318473</c:v>
                </c:pt>
                <c:pt idx="194">
                  <c:v>-1.2162794379424506</c:v>
                </c:pt>
                <c:pt idx="195">
                  <c:v>-1.215707905298723</c:v>
                </c:pt>
                <c:pt idx="196">
                  <c:v>-1.2152177957929355</c:v>
                </c:pt>
                <c:pt idx="197">
                  <c:v>-1.21476153409801</c:v>
                </c:pt>
                <c:pt idx="198">
                  <c:v>-1.2143331375057298</c:v>
                </c:pt>
                <c:pt idx="199">
                  <c:v>-1.213927302400182</c:v>
                </c:pt>
                <c:pt idx="200">
                  <c:v>-1.2135399505491722</c:v>
                </c:pt>
                <c:pt idx="201">
                  <c:v>-1.2131678736617391</c:v>
                </c:pt>
                <c:pt idx="202">
                  <c:v>-1.2128085052276036</c:v>
                </c:pt>
                <c:pt idx="203">
                  <c:v>-1.2124597593838</c:v>
                </c:pt>
                <c:pt idx="204">
                  <c:v>-1.2121199153144688</c:v>
                </c:pt>
                <c:pt idx="205">
                  <c:v>-1.2117875329135772</c:v>
                </c:pt>
                <c:pt idx="206">
                  <c:v>-1.2114613903017837</c:v>
                </c:pt>
                <c:pt idx="207">
                  <c:v>-1.2111404368588417</c:v>
                </c:pt>
                <c:pt idx="208">
                  <c:v>-1.2108237574330416</c:v>
                </c:pt>
                <c:pt idx="209">
                  <c:v>-1.2105105447114852</c:v>
                </c:pt>
                <c:pt idx="210">
                  <c:v>-1.2102000776156399</c:v>
                </c:pt>
                <c:pt idx="211">
                  <c:v>-1.2105619499366482</c:v>
                </c:pt>
                <c:pt idx="212">
                  <c:v>-1.209582295490333</c:v>
                </c:pt>
                <c:pt idx="213">
                  <c:v>-1.209278904617638</c:v>
                </c:pt>
                <c:pt idx="214">
                  <c:v>-1.2089733930409141</c:v>
                </c:pt>
                <c:pt idx="215">
                  <c:v>-1.2086678277161991</c:v>
                </c:pt>
                <c:pt idx="216">
                  <c:v>-1.2083617319507347</c:v>
                </c:pt>
                <c:pt idx="217">
                  <c:v>-1.2080546525941058</c:v>
                </c:pt>
                <c:pt idx="218">
                  <c:v>-1.2077461470352415</c:v>
                </c:pt>
                <c:pt idx="219">
                  <c:v>-1.2074357788673677</c:v>
                </c:pt>
                <c:pt idx="220">
                  <c:v>-1.2071231139244745</c:v>
                </c:pt>
                <c:pt idx="221">
                  <c:v>-1.2068077165981297</c:v>
                </c:pt>
                <c:pt idx="222">
                  <c:v>-1.2064891463421756</c:v>
                </c:pt>
                <c:pt idx="223">
                  <c:v>-1.2061669542843949</c:v>
                </c:pt>
                <c:pt idx="224">
                  <c:v>-1.2058406798734964</c:v>
                </c:pt>
                <c:pt idx="225">
                  <c:v>-1.2047750342131638</c:v>
                </c:pt>
                <c:pt idx="226">
                  <c:v>-1.2051603052502411</c:v>
                </c:pt>
                <c:pt idx="227">
                  <c:v>-1.2048106701139758</c:v>
                </c:pt>
                <c:pt idx="228">
                  <c:v>-1.2044484290891337</c:v>
                </c:pt>
                <c:pt idx="229">
                  <c:v>-1.204079427891098</c:v>
                </c:pt>
                <c:pt idx="230">
                  <c:v>-1.2037029956609266</c:v>
                </c:pt>
                <c:pt idx="231">
                  <c:v>-1.2033184470734328</c:v>
                </c:pt>
                <c:pt idx="232">
                  <c:v>-1.2029250497687267</c:v>
                </c:pt>
                <c:pt idx="233">
                  <c:v>-1.2025220178712768</c:v>
                </c:pt>
                <c:pt idx="234">
                  <c:v>-1.2021085046027369</c:v>
                </c:pt>
                <c:pt idx="235">
                  <c:v>-1.2016835939260426</c:v>
                </c:pt>
                <c:pt idx="236">
                  <c:v>-1.2012462910344253</c:v>
                </c:pt>
                <c:pt idx="237">
                  <c:v>-1.200795511463792</c:v>
                </c:pt>
                <c:pt idx="238">
                  <c:v>-1.2003300685613272</c:v>
                </c:pt>
                <c:pt idx="239">
                  <c:v>-1.1998486589873187</c:v>
                </c:pt>
                <c:pt idx="240">
                  <c:v>-1.1984534739568049</c:v>
                </c:pt>
                <c:pt idx="241">
                  <c:v>-1.1989651265839396</c:v>
                </c:pt>
                <c:pt idx="242">
                  <c:v>-1.1982943152643395</c:v>
                </c:pt>
                <c:pt idx="243">
                  <c:v>-1.1977321805232022</c:v>
                </c:pt>
                <c:pt idx="244">
                  <c:v>-1.1971459401109121</c:v>
                </c:pt>
                <c:pt idx="245">
                  <c:v>-1.1965322875967292</c:v>
                </c:pt>
                <c:pt idx="246">
                  <c:v>-1.1958884146336761</c:v>
                </c:pt>
                <c:pt idx="247">
                  <c:v>-1.1952111415910547</c:v>
                </c:pt>
                <c:pt idx="248">
                  <c:v>-1.1944968438673642</c:v>
                </c:pt>
                <c:pt idx="249">
                  <c:v>-1.1937413690697924</c:v>
                </c:pt>
                <c:pt idx="250">
                  <c:v>-1.1929399354607462</c:v>
                </c:pt>
                <c:pt idx="251">
                  <c:v>-1.1920870066609697</c:v>
                </c:pt>
                <c:pt idx="252">
                  <c:v>-1.1911761362177973</c:v>
                </c:pt>
                <c:pt idx="253">
                  <c:v>-1.1901997738701324</c:v>
                </c:pt>
                <c:pt idx="254">
                  <c:v>-1.1891490231828961</c:v>
                </c:pt>
                <c:pt idx="255">
                  <c:v>-1.1880133378654529</c:v>
                </c:pt>
                <c:pt idx="256">
                  <c:v>-1.1867801420749422</c:v>
                </c:pt>
                <c:pt idx="257">
                  <c:v>-1.1854343600122428</c:v>
                </c:pt>
                <c:pt idx="258">
                  <c:v>-1.1827502987055669</c:v>
                </c:pt>
                <c:pt idx="259">
                  <c:v>-1.1808243290427873</c:v>
                </c:pt>
                <c:pt idx="260">
                  <c:v>-1.178626801112336</c:v>
                </c:pt>
                <c:pt idx="261">
                  <c:v>-1.1760840740488683</c:v>
                </c:pt>
                <c:pt idx="262">
                  <c:v>-1.1730929770934022</c:v>
                </c:pt>
                <c:pt idx="263">
                  <c:v>-1.1695020684331636</c:v>
                </c:pt>
                <c:pt idx="264">
                  <c:v>-1.1650786292458857</c:v>
                </c:pt>
                <c:pt idx="265">
                  <c:v>-1.1594438770761206</c:v>
                </c:pt>
                <c:pt idx="266">
                  <c:v>-1.1519342559409729</c:v>
                </c:pt>
                <c:pt idx="267">
                  <c:v>-1.139931514702458</c:v>
                </c:pt>
                <c:pt idx="268">
                  <c:v>-1.1214731653211927</c:v>
                </c:pt>
                <c:pt idx="269">
                  <c:v>-1.07767342258253</c:v>
                </c:pt>
                <c:pt idx="270">
                  <c:v>-1.6994752598515611E-13</c:v>
                </c:pt>
                <c:pt idx="271">
                  <c:v>1.0776447762604111</c:v>
                </c:pt>
                <c:pt idx="272">
                  <c:v>1.1199765583361543</c:v>
                </c:pt>
                <c:pt idx="273">
                  <c:v>1.1388645431010245</c:v>
                </c:pt>
                <c:pt idx="274">
                  <c:v>1.1511946584985788</c:v>
                </c:pt>
                <c:pt idx="275">
                  <c:v>1.1598389170852572</c:v>
                </c:pt>
                <c:pt idx="276">
                  <c:v>1.1645695417063748</c:v>
                </c:pt>
                <c:pt idx="277">
                  <c:v>1.1692004462441377</c:v>
                </c:pt>
                <c:pt idx="278">
                  <c:v>1.1729054632061435</c:v>
                </c:pt>
                <c:pt idx="279">
                  <c:v>1.1759621906111108</c:v>
                </c:pt>
                <c:pt idx="280">
                  <c:v>1.1785449062734004</c:v>
                </c:pt>
                <c:pt idx="281">
                  <c:v>1.1807679089813754</c:v>
                </c:pt>
                <c:pt idx="282">
                  <c:v>1.1827099954546718</c:v>
                </c:pt>
                <c:pt idx="283">
                  <c:v>1.1844276215173319</c:v>
                </c:pt>
                <c:pt idx="284">
                  <c:v>1.1869472987985834</c:v>
                </c:pt>
                <c:pt idx="285">
                  <c:v>1.188122538774234</c:v>
                </c:pt>
                <c:pt idx="286">
                  <c:v>1.189241112330526</c:v>
                </c:pt>
                <c:pt idx="287">
                  <c:v>1.1902774835652128</c:v>
                </c:pt>
                <c:pt idx="288">
                  <c:v>1.1912422339346693</c:v>
                </c:pt>
                <c:pt idx="289">
                  <c:v>1.1921435831917913</c:v>
                </c:pt>
                <c:pt idx="290">
                  <c:v>1.1929886081410075</c:v>
                </c:pt>
                <c:pt idx="291">
                  <c:v>1.1937834058083749</c:v>
                </c:pt>
                <c:pt idx="292">
                  <c:v>1.1945332508959143</c:v>
                </c:pt>
                <c:pt idx="293">
                  <c:v>1.1952427263592582</c:v>
                </c:pt>
                <c:pt idx="294">
                  <c:v>1.1959158316080163</c:v>
                </c:pt>
                <c:pt idx="295">
                  <c:v>1.1965560720890862</c:v>
                </c:pt>
                <c:pt idx="296">
                  <c:v>1.1971665335482948</c:v>
                </c:pt>
                <c:pt idx="297">
                  <c:v>1.1977499437450656</c:v>
                </c:pt>
                <c:pt idx="298">
                  <c:v>1.1983087239098926</c:v>
                </c:pt>
                <c:pt idx="299">
                  <c:v>1.1988450318101249</c:v>
                </c:pt>
                <c:pt idx="300">
                  <c:v>1.199360797938168</c:v>
                </c:pt>
                <c:pt idx="301">
                  <c:v>1.2005196104382172</c:v>
                </c:pt>
                <c:pt idx="302">
                  <c:v>1.2003349658289622</c:v>
                </c:pt>
                <c:pt idx="303">
                  <c:v>1.2008013589494111</c:v>
                </c:pt>
                <c:pt idx="304">
                  <c:v>1.2012506860050181</c:v>
                </c:pt>
                <c:pt idx="305">
                  <c:v>1.2016866443694527</c:v>
                </c:pt>
                <c:pt idx="306">
                  <c:v>1.2021102964698693</c:v>
                </c:pt>
                <c:pt idx="307">
                  <c:v>1.2025226249943299</c:v>
                </c:pt>
                <c:pt idx="308">
                  <c:v>1.2029245353924483</c:v>
                </c:pt>
                <c:pt idx="309">
                  <c:v>1.2033168651203128</c:v>
                </c:pt>
                <c:pt idx="310">
                  <c:v>1.2037003917608688</c:v>
                </c:pt>
                <c:pt idx="311">
                  <c:v>1.2040758402133946</c:v>
                </c:pt>
                <c:pt idx="312">
                  <c:v>1.2044438891009381</c:v>
                </c:pt>
                <c:pt idx="313">
                  <c:v>1.2048051765211574</c:v>
                </c:pt>
                <c:pt idx="314">
                  <c:v>1.2051603052502389</c:v>
                </c:pt>
                <c:pt idx="315">
                  <c:v>1.2047750342131782</c:v>
                </c:pt>
                <c:pt idx="316">
                  <c:v>1.2058406798735049</c:v>
                </c:pt>
                <c:pt idx="317">
                  <c:v>1.2061724572699126</c:v>
                </c:pt>
                <c:pt idx="318">
                  <c:v>1.2064936979937642</c:v>
                </c:pt>
                <c:pt idx="319">
                  <c:v>1.2068113165926098</c:v>
                </c:pt>
                <c:pt idx="320">
                  <c:v>1.2071257290298449</c:v>
                </c:pt>
                <c:pt idx="321">
                  <c:v>1.2074373690166638</c:v>
                </c:pt>
                <c:pt idx="322">
                  <c:v>1.2077466645328001</c:v>
                </c:pt>
                <c:pt idx="323">
                  <c:v>1.2080540412421377</c:v>
                </c:pt>
                <c:pt idx="324">
                  <c:v>1.2083599259718327</c:v>
                </c:pt>
                <c:pt idx="325">
                  <c:v>1.2086647504305135</c:v>
                </c:pt>
                <c:pt idx="326">
                  <c:v>1.208968955265538</c:v>
                </c:pt>
                <c:pt idx="327">
                  <c:v>1.2092729945782432</c:v>
                </c:pt>
                <c:pt idx="328">
                  <c:v>1.2095773410430777</c:v>
                </c:pt>
                <c:pt idx="329">
                  <c:v>1.2098824918153024</c:v>
                </c:pt>
                <c:pt idx="330">
                  <c:v>1.2092803231868219</c:v>
                </c:pt>
                <c:pt idx="331">
                  <c:v>1.2106324117740785</c:v>
                </c:pt>
                <c:pt idx="332">
                  <c:v>1.2108091205187026</c:v>
                </c:pt>
                <c:pt idx="333">
                  <c:v>1.2111223723226681</c:v>
                </c:pt>
                <c:pt idx="334">
                  <c:v>1.2114404236704468</c:v>
                </c:pt>
                <c:pt idx="335">
                  <c:v>1.2117632887980523</c:v>
                </c:pt>
                <c:pt idx="336">
                  <c:v>1.2120919342244636</c:v>
                </c:pt>
                <c:pt idx="337">
                  <c:v>1.2124274835213014</c:v>
                </c:pt>
                <c:pt idx="338">
                  <c:v>1.2127712518517069</c:v>
                </c:pt>
                <c:pt idx="339">
                  <c:v>1.2131247993820056</c:v>
                </c:pt>
                <c:pt idx="340">
                  <c:v>1.2134900029067544</c:v>
                </c:pt>
                <c:pt idx="341">
                  <c:v>1.2138691532637671</c:v>
                </c:pt>
                <c:pt idx="342">
                  <c:v>1.2142650899783416</c:v>
                </c:pt>
                <c:pt idx="343">
                  <c:v>1.214681390653529</c:v>
                </c:pt>
                <c:pt idx="344">
                  <c:v>1.2151226425235389</c:v>
                </c:pt>
                <c:pt idx="345">
                  <c:v>1.2155948401279262</c:v>
                </c:pt>
                <c:pt idx="346">
                  <c:v>1.2161059815304833</c:v>
                </c:pt>
                <c:pt idx="347">
                  <c:v>1.2166669860496251</c:v>
                </c:pt>
                <c:pt idx="348">
                  <c:v>1.2160336884142535</c:v>
                </c:pt>
                <c:pt idx="349">
                  <c:v>1.2164327562243813</c:v>
                </c:pt>
                <c:pt idx="350">
                  <c:v>1.2168520201120678</c:v>
                </c:pt>
                <c:pt idx="351">
                  <c:v>1.217295795907873</c:v>
                </c:pt>
                <c:pt idx="352">
                  <c:v>1.2177717469297944</c:v>
                </c:pt>
                <c:pt idx="353">
                  <c:v>1.2182925424568223</c:v>
                </c:pt>
                <c:pt idx="354">
                  <c:v>1.218881424968669</c:v>
                </c:pt>
                <c:pt idx="355">
                  <c:v>1.219587024580826</c:v>
                </c:pt>
                <c:pt idx="356">
                  <c:v>1.2205298932250248</c:v>
                </c:pt>
                <c:pt idx="357">
                  <c:v>1.2205975709975674</c:v>
                </c:pt>
                <c:pt idx="358">
                  <c:v>1.2222161775461577</c:v>
                </c:pt>
                <c:pt idx="359">
                  <c:v>1.2226294920036576</c:v>
                </c:pt>
                <c:pt idx="360">
                  <c:v>1.2244769063180441</c:v>
                </c:pt>
                <c:pt idx="361">
                  <c:v>1.2244769063180443</c:v>
                </c:pt>
              </c:numCache>
            </c:numRef>
          </c:xVal>
          <c:yVal>
            <c:numRef>
              <c:f>Sheet1!$C$129:$C$490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0.66915635260161965</c:v>
                </c:pt>
                <c:pt idx="2">
                  <c:v>0.71192679602742004</c:v>
                </c:pt>
                <c:pt idx="3">
                  <c:v>0.73090859002072595</c:v>
                </c:pt>
                <c:pt idx="4">
                  <c:v>0.7429032454388601</c:v>
                </c:pt>
                <c:pt idx="5" formatCode="0.00000">
                  <c:v>0.75124456037158249</c:v>
                </c:pt>
                <c:pt idx="6" formatCode="0.00000">
                  <c:v>0.75635255681979841</c:v>
                </c:pt>
                <c:pt idx="7">
                  <c:v>0.76093440519565758</c:v>
                </c:pt>
                <c:pt idx="8">
                  <c:v>0.76461297420149144</c:v>
                </c:pt>
                <c:pt idx="9">
                  <c:v>0.76765491985810064</c:v>
                </c:pt>
                <c:pt idx="10">
                  <c:v>0.77022883394210662</c:v>
                </c:pt>
                <c:pt idx="11">
                  <c:v>0.77244633347921066</c:v>
                </c:pt>
                <c:pt idx="12">
                  <c:v>0.77438484431916754</c:v>
                </c:pt>
                <c:pt idx="13">
                  <c:v>0.77610007468159947</c:v>
                </c:pt>
                <c:pt idx="14">
                  <c:v>0.77827336311640727</c:v>
                </c:pt>
                <c:pt idx="15">
                  <c:v>0.77952092203425427</c:v>
                </c:pt>
                <c:pt idx="16">
                  <c:v>0.78068743139496577</c:v>
                </c:pt>
                <c:pt idx="17">
                  <c:v>0.78176301365200718</c:v>
                </c:pt>
                <c:pt idx="18">
                  <c:v>0.78275993037288372</c:v>
                </c:pt>
                <c:pt idx="19">
                  <c:v>0.78368789506382541</c:v>
                </c:pt>
                <c:pt idx="20">
                  <c:v>0.78455509902255127</c:v>
                </c:pt>
                <c:pt idx="21">
                  <c:v>0.7853684879563313</c:v>
                </c:pt>
                <c:pt idx="22">
                  <c:v>0.78613399134992745</c:v>
                </c:pt>
                <c:pt idx="23">
                  <c:v>0.78685670338639979</c:v>
                </c:pt>
                <c:pt idx="24">
                  <c:v>0.78754102690974526</c:v>
                </c:pt>
                <c:pt idx="25">
                  <c:v>0.78819078880860538</c:v>
                </c:pt>
                <c:pt idx="26">
                  <c:v>0.78880933316031432</c:v>
                </c:pt>
                <c:pt idx="27">
                  <c:v>0.78939959694266382</c:v>
                </c:pt>
                <c:pt idx="28">
                  <c:v>0.78996417199115865</c:v>
                </c:pt>
                <c:pt idx="29">
                  <c:v>0.79050535602535199</c:v>
                </c:pt>
                <c:pt idx="30">
                  <c:v>0.79102519493358125</c:v>
                </c:pt>
                <c:pt idx="31">
                  <c:v>0.79195974641102529</c:v>
                </c:pt>
                <c:pt idx="32">
                  <c:v>0.79200632472080856</c:v>
                </c:pt>
                <c:pt idx="33">
                  <c:v>0.79247402892073349</c:v>
                </c:pt>
                <c:pt idx="34">
                  <c:v>0.79292502558137545</c:v>
                </c:pt>
                <c:pt idx="35">
                  <c:v>0.79336218932285318</c:v>
                </c:pt>
                <c:pt idx="36">
                  <c:v>0.79378662336040562</c:v>
                </c:pt>
                <c:pt idx="37">
                  <c:v>0.79419934178177154</c:v>
                </c:pt>
                <c:pt idx="38">
                  <c:v>0.79460127572780226</c:v>
                </c:pt>
                <c:pt idx="39">
                  <c:v>0.79499328336487707</c:v>
                </c:pt>
                <c:pt idx="40">
                  <c:v>0.7953761585886624</c:v>
                </c:pt>
                <c:pt idx="41">
                  <c:v>0.79575063867274232</c:v>
                </c:pt>
                <c:pt idx="42">
                  <c:v>0.79611741103020683</c:v>
                </c:pt>
                <c:pt idx="43">
                  <c:v>0.79647711922970332</c:v>
                </c:pt>
                <c:pt idx="44">
                  <c:v>0.79683036838608645</c:v>
                </c:pt>
                <c:pt idx="45">
                  <c:v>0.79669384091384632</c:v>
                </c:pt>
                <c:pt idx="46">
                  <c:v>0.79751074300935199</c:v>
                </c:pt>
                <c:pt idx="47">
                  <c:v>0.79784252238684039</c:v>
                </c:pt>
                <c:pt idx="48">
                  <c:v>0.79816566755784346</c:v>
                </c:pt>
                <c:pt idx="49">
                  <c:v>0.79848488775016391</c:v>
                </c:pt>
                <c:pt idx="50">
                  <c:v>0.79880060467719349</c:v>
                </c:pt>
                <c:pt idx="51">
                  <c:v>0.79911324558053975</c:v>
                </c:pt>
                <c:pt idx="52">
                  <c:v>0.79942322865244331</c:v>
                </c:pt>
                <c:pt idx="53">
                  <c:v>0.799730966123821</c:v>
                </c:pt>
                <c:pt idx="54">
                  <c:v>0.80003686735306156</c:v>
                </c:pt>
                <c:pt idx="55">
                  <c:v>0.80034134204386054</c:v>
                </c:pt>
                <c:pt idx="56">
                  <c:v>0.80064480366820501</c:v>
                </c:pt>
                <c:pt idx="57">
                  <c:v>0.80094767318577942</c:v>
                </c:pt>
                <c:pt idx="58">
                  <c:v>0.80125038316605235</c:v>
                </c:pt>
                <c:pt idx="59">
                  <c:v>0.80155338244872631</c:v>
                </c:pt>
                <c:pt idx="60">
                  <c:v>0.80125696509416278</c:v>
                </c:pt>
                <c:pt idx="61">
                  <c:v>0.80225137889898746</c:v>
                </c:pt>
                <c:pt idx="62">
                  <c:v>0.80246953396551091</c:v>
                </c:pt>
                <c:pt idx="63">
                  <c:v>0.80277815137155872</c:v>
                </c:pt>
                <c:pt idx="64">
                  <c:v>0.80309033059945911</c:v>
                </c:pt>
                <c:pt idx="65">
                  <c:v>0.80340622075283585</c:v>
                </c:pt>
                <c:pt idx="66">
                  <c:v>0.80372660746554592</c:v>
                </c:pt>
                <c:pt idx="67">
                  <c:v>0.8040523890733049</c:v>
                </c:pt>
                <c:pt idx="68">
                  <c:v>0.80438460135117029</c:v>
                </c:pt>
                <c:pt idx="69">
                  <c:v>0.8047244550923196</c:v>
                </c:pt>
                <c:pt idx="70">
                  <c:v>0.80507338620310365</c:v>
                </c:pt>
                <c:pt idx="71">
                  <c:v>0.80543312346669482</c:v>
                </c:pt>
                <c:pt idx="72">
                  <c:v>0.80580578174371054</c:v>
                </c:pt>
                <c:pt idx="73">
                  <c:v>0.80619399246649448</c:v>
                </c:pt>
                <c:pt idx="74">
                  <c:v>0.80660108996113788</c:v>
                </c:pt>
                <c:pt idx="75">
                  <c:v>0.80703138325098089</c:v>
                </c:pt>
                <c:pt idx="76">
                  <c:v>0.80749056211151915</c:v>
                </c:pt>
                <c:pt idx="77">
                  <c:v>0.80798632005913218</c:v>
                </c:pt>
                <c:pt idx="78">
                  <c:v>0.8076943696127179</c:v>
                </c:pt>
                <c:pt idx="79">
                  <c:v>0.80809129796498447</c:v>
                </c:pt>
                <c:pt idx="80">
                  <c:v>0.8085070048543902</c:v>
                </c:pt>
                <c:pt idx="81">
                  <c:v>0.80894530610206317</c:v>
                </c:pt>
                <c:pt idx="82">
                  <c:v>0.80941250456797442</c:v>
                </c:pt>
                <c:pt idx="83">
                  <c:v>0.80991861414894795</c:v>
                </c:pt>
                <c:pt idx="84">
                  <c:v>0.81048126269093534</c:v>
                </c:pt>
                <c:pt idx="85">
                  <c:v>0.8111359056198697</c:v>
                </c:pt>
                <c:pt idx="86">
                  <c:v>0.81196749269655555</c:v>
                </c:pt>
                <c:pt idx="87">
                  <c:v>0.81224460144034583</c:v>
                </c:pt>
                <c:pt idx="88">
                  <c:v>0.81359567805761157</c:v>
                </c:pt>
                <c:pt idx="89">
                  <c:v>0.81422793889707246</c:v>
                </c:pt>
                <c:pt idx="90">
                  <c:v>0.81631793754553228</c:v>
                </c:pt>
                <c:pt idx="91">
                  <c:v>0.81420474183117353</c:v>
                </c:pt>
                <c:pt idx="92">
                  <c:v>0.81245954261147102</c:v>
                </c:pt>
                <c:pt idx="93">
                  <c:v>0.81145704494664272</c:v>
                </c:pt>
                <c:pt idx="94">
                  <c:v>0.81143064785884633</c:v>
                </c:pt>
                <c:pt idx="95">
                  <c:v>0.81141934761330525</c:v>
                </c:pt>
                <c:pt idx="96">
                  <c:v>0.81011915881099616</c:v>
                </c:pt>
                <c:pt idx="97">
                  <c:v>0.80970554575135056</c:v>
                </c:pt>
                <c:pt idx="98">
                  <c:v>0.80928078921299751</c:v>
                </c:pt>
                <c:pt idx="99">
                  <c:v>0.80886009923280688</c:v>
                </c:pt>
                <c:pt idx="100">
                  <c:v>0.80844998898838427</c:v>
                </c:pt>
                <c:pt idx="101">
                  <c:v>0.80805215995097113</c:v>
                </c:pt>
                <c:pt idx="102">
                  <c:v>0.80766650185133138</c:v>
                </c:pt>
                <c:pt idx="103">
                  <c:v>0.80729222979615556</c:v>
                </c:pt>
                <c:pt idx="104">
                  <c:v>0.80760550226049621</c:v>
                </c:pt>
                <c:pt idx="105">
                  <c:v>0.80710628855902367</c:v>
                </c:pt>
                <c:pt idx="106">
                  <c:v>0.80666411485728029</c:v>
                </c:pt>
                <c:pt idx="107">
                  <c:v>0.80624706418483583</c:v>
                </c:pt>
                <c:pt idx="108">
                  <c:v>0.80585083394385815</c:v>
                </c:pt>
                <c:pt idx="109">
                  <c:v>0.80547161427201741</c:v>
                </c:pt>
                <c:pt idx="110">
                  <c:v>0.80510644143078403</c:v>
                </c:pt>
                <c:pt idx="111">
                  <c:v>0.8047529558098141</c:v>
                </c:pt>
                <c:pt idx="112">
                  <c:v>0.80440924568148098</c:v>
                </c:pt>
                <c:pt idx="113">
                  <c:v>0.80407373641096092</c:v>
                </c:pt>
                <c:pt idx="114">
                  <c:v>0.80374511061620357</c:v>
                </c:pt>
                <c:pt idx="115">
                  <c:v>0.80342224963306297</c:v>
                </c:pt>
                <c:pt idx="116">
                  <c:v>0.8031041899137451</c:v>
                </c:pt>
                <c:pt idx="117">
                  <c:v>0.8027900900563647</c:v>
                </c:pt>
                <c:pt idx="118">
                  <c:v>0.80247920551433027</c:v>
                </c:pt>
                <c:pt idx="119">
                  <c:v>0.80217086892669465</c:v>
                </c:pt>
                <c:pt idx="120">
                  <c:v>0.8018644746110356</c:v>
                </c:pt>
                <c:pt idx="121">
                  <c:v>0.80200208590943223</c:v>
                </c:pt>
                <c:pt idx="122">
                  <c:v>0.8012536543821499</c:v>
                </c:pt>
                <c:pt idx="123">
                  <c:v>0.80095157458893229</c:v>
                </c:pt>
                <c:pt idx="124">
                  <c:v>0.80064773261729616</c:v>
                </c:pt>
                <c:pt idx="125">
                  <c:v>0.80034337266960387</c:v>
                </c:pt>
                <c:pt idx="126">
                  <c:v>0.80003805884126622</c:v>
                </c:pt>
                <c:pt idx="127">
                  <c:v>0.79973136938154588</c:v>
                </c:pt>
                <c:pt idx="128">
                  <c:v>0.79942288737060274</c:v>
                </c:pt>
                <c:pt idx="129">
                  <c:v>0.79911219711191861</c:v>
                </c:pt>
                <c:pt idx="130">
                  <c:v>0.79879888075227667</c:v>
                </c:pt>
                <c:pt idx="131">
                  <c:v>0.79848251505745993</c:v>
                </c:pt>
                <c:pt idx="132">
                  <c:v>0.79816266827143156</c:v>
                </c:pt>
                <c:pt idx="133">
                  <c:v>0.7978388969929433</c:v>
                </c:pt>
                <c:pt idx="134">
                  <c:v>0.79751074300936853</c:v>
                </c:pt>
                <c:pt idx="135">
                  <c:v>0.79669384091385775</c:v>
                </c:pt>
                <c:pt idx="136">
                  <c:v>0.79683036838610333</c:v>
                </c:pt>
                <c:pt idx="137">
                  <c:v>0.79648073523092755</c:v>
                </c:pt>
                <c:pt idx="138">
                  <c:v>0.79612039865321615</c:v>
                </c:pt>
                <c:pt idx="139">
                  <c:v>0.79575299904866081</c:v>
                </c:pt>
                <c:pt idx="140">
                  <c:v>0.79537787130829918</c:v>
                </c:pt>
                <c:pt idx="141">
                  <c:v>0.79499432363727918</c:v>
                </c:pt>
                <c:pt idx="142">
                  <c:v>0.79460161388841555</c:v>
                </c:pt>
                <c:pt idx="143">
                  <c:v>0.79419894275296843</c:v>
                </c:pt>
                <c:pt idx="144">
                  <c:v>0.79378544598398781</c:v>
                </c:pt>
                <c:pt idx="145">
                  <c:v>0.79336018553937304</c:v>
                </c:pt>
                <c:pt idx="146">
                  <c:v>0.79292213943710355</c:v>
                </c:pt>
                <c:pt idx="147">
                  <c:v>0.79247019007135533</c:v>
                </c:pt>
                <c:pt idx="148">
                  <c:v>0.79200311068429896</c:v>
                </c:pt>
                <c:pt idx="149">
                  <c:v>0.791519549620742</c:v>
                </c:pt>
                <c:pt idx="150">
                  <c:v>0.79043011586412149</c:v>
                </c:pt>
                <c:pt idx="151">
                  <c:v>0.79058409370883975</c:v>
                </c:pt>
                <c:pt idx="152">
                  <c:v>0.78995472871111261</c:v>
                </c:pt>
                <c:pt idx="153">
                  <c:v>0.7893879595721246</c:v>
                </c:pt>
                <c:pt idx="154">
                  <c:v>0.78879584704006989</c:v>
                </c:pt>
                <c:pt idx="155">
                  <c:v>0.78817521955155945</c:v>
                </c:pt>
                <c:pt idx="156">
                  <c:v>0.78752308787480074</c:v>
                </c:pt>
                <c:pt idx="157">
                  <c:v>0.7868360471430752</c:v>
                </c:pt>
                <c:pt idx="158">
                  <c:v>0.78611019336696975</c:v>
                </c:pt>
                <c:pt idx="159">
                  <c:v>0.78534102478024337</c:v>
                </c:pt>
                <c:pt idx="160">
                  <c:v>0.78452331875706083</c:v>
                </c:pt>
                <c:pt idx="161">
                  <c:v>0.78365097686386054</c:v>
                </c:pt>
                <c:pt idx="162">
                  <c:v>0.78271682798311581</c:v>
                </c:pt>
                <c:pt idx="163">
                  <c:v>0.78171237568284169</c:v>
                </c:pt>
                <c:pt idx="164">
                  <c:v>0.7806274706205768</c:v>
                </c:pt>
                <c:pt idx="165">
                  <c:v>0.77944988098880419</c:v>
                </c:pt>
                <c:pt idx="166">
                  <c:v>0.77816472265613978</c:v>
                </c:pt>
                <c:pt idx="167">
                  <c:v>0.77675369402187955</c:v>
                </c:pt>
                <c:pt idx="168">
                  <c:v>0.77441097990405183</c:v>
                </c:pt>
                <c:pt idx="169">
                  <c:v>0.77248287078332789</c:v>
                </c:pt>
                <c:pt idx="170">
                  <c:v>0.7702817858546156</c:v>
                </c:pt>
                <c:pt idx="171">
                  <c:v>0.76773358424301519</c:v>
                </c:pt>
                <c:pt idx="172">
                  <c:v>0.7647337347315859</c:v>
                </c:pt>
                <c:pt idx="173">
                  <c:v>0.76112814012527841</c:v>
                </c:pt>
                <c:pt idx="174">
                  <c:v>0.75667846696823027</c:v>
                </c:pt>
                <c:pt idx="175">
                  <c:v>0.75099275811520538</c:v>
                </c:pt>
                <c:pt idx="176">
                  <c:v>0.74337185541253425</c:v>
                </c:pt>
                <c:pt idx="177">
                  <c:v>0.73157854514523779</c:v>
                </c:pt>
                <c:pt idx="178">
                  <c:v>0.71285266583264828</c:v>
                </c:pt>
                <c:pt idx="179">
                  <c:v>0.66927186947593331</c:v>
                </c:pt>
                <c:pt idx="180">
                  <c:v>3.6995266757178087E-14</c:v>
                </c:pt>
                <c:pt idx="181">
                  <c:v>-0.66915635260161688</c:v>
                </c:pt>
                <c:pt idx="182">
                  <c:v>-0.71192679602743814</c:v>
                </c:pt>
                <c:pt idx="183">
                  <c:v>-0.73090859002069841</c:v>
                </c:pt>
                <c:pt idx="184">
                  <c:v>-0.74290324543886088</c:v>
                </c:pt>
                <c:pt idx="185">
                  <c:v>-0.75124456037153386</c:v>
                </c:pt>
                <c:pt idx="186">
                  <c:v>-0.75635255681978475</c:v>
                </c:pt>
                <c:pt idx="187">
                  <c:v>-0.76093440519566047</c:v>
                </c:pt>
                <c:pt idx="188">
                  <c:v>-0.76461297420147878</c:v>
                </c:pt>
                <c:pt idx="189">
                  <c:v>-0.76765491985809886</c:v>
                </c:pt>
                <c:pt idx="190">
                  <c:v>-0.77022883394209507</c:v>
                </c:pt>
                <c:pt idx="191">
                  <c:v>-0.77244633347917757</c:v>
                </c:pt>
                <c:pt idx="192">
                  <c:v>-0.77438484431916355</c:v>
                </c:pt>
                <c:pt idx="193">
                  <c:v>-0.77610007468161524</c:v>
                </c:pt>
                <c:pt idx="194">
                  <c:v>-0.77827336311640916</c:v>
                </c:pt>
                <c:pt idx="195">
                  <c:v>-0.77952092203425261</c:v>
                </c:pt>
                <c:pt idx="196">
                  <c:v>-0.78068743139496144</c:v>
                </c:pt>
                <c:pt idx="197">
                  <c:v>-0.78176301365201117</c:v>
                </c:pt>
                <c:pt idx="198">
                  <c:v>-0.78275993037288294</c:v>
                </c:pt>
                <c:pt idx="199">
                  <c:v>-0.78368789506382652</c:v>
                </c:pt>
                <c:pt idx="200">
                  <c:v>-0.78455509902254483</c:v>
                </c:pt>
                <c:pt idx="201">
                  <c:v>-0.78536848795632708</c:v>
                </c:pt>
                <c:pt idx="202">
                  <c:v>-0.78613399134994122</c:v>
                </c:pt>
                <c:pt idx="203">
                  <c:v>-0.78685670338640079</c:v>
                </c:pt>
                <c:pt idx="204">
                  <c:v>-0.78754102690974526</c:v>
                </c:pt>
                <c:pt idx="205">
                  <c:v>-0.788190788808665</c:v>
                </c:pt>
                <c:pt idx="206">
                  <c:v>-0.78880933316028601</c:v>
                </c:pt>
                <c:pt idx="207">
                  <c:v>-0.78939959694270656</c:v>
                </c:pt>
                <c:pt idx="208">
                  <c:v>-0.78996417199116187</c:v>
                </c:pt>
                <c:pt idx="209">
                  <c:v>-0.79050535602534455</c:v>
                </c:pt>
                <c:pt idx="210">
                  <c:v>-0.79102519493357282</c:v>
                </c:pt>
                <c:pt idx="211">
                  <c:v>-0.79195974641100508</c:v>
                </c:pt>
                <c:pt idx="212">
                  <c:v>-0.79200632472080057</c:v>
                </c:pt>
                <c:pt idx="213">
                  <c:v>-0.79247402892072416</c:v>
                </c:pt>
                <c:pt idx="214">
                  <c:v>-0.79292502558135447</c:v>
                </c:pt>
                <c:pt idx="215">
                  <c:v>-0.7933621893228433</c:v>
                </c:pt>
                <c:pt idx="216">
                  <c:v>-0.79378662336040762</c:v>
                </c:pt>
                <c:pt idx="217">
                  <c:v>-0.79419934178176155</c:v>
                </c:pt>
                <c:pt idx="218">
                  <c:v>-0.79460127572779704</c:v>
                </c:pt>
                <c:pt idx="219">
                  <c:v>-0.79499328336486641</c:v>
                </c:pt>
                <c:pt idx="220">
                  <c:v>-0.79537615858867572</c:v>
                </c:pt>
                <c:pt idx="221">
                  <c:v>-0.79575063867274709</c:v>
                </c:pt>
                <c:pt idx="222">
                  <c:v>-0.79611741103022837</c:v>
                </c:pt>
                <c:pt idx="223">
                  <c:v>-0.7964771192297323</c:v>
                </c:pt>
                <c:pt idx="224">
                  <c:v>-0.79683036838609667</c:v>
                </c:pt>
                <c:pt idx="225">
                  <c:v>-0.79669384091386697</c:v>
                </c:pt>
                <c:pt idx="226">
                  <c:v>-0.7975107430093622</c:v>
                </c:pt>
                <c:pt idx="227">
                  <c:v>-0.79784252238684883</c:v>
                </c:pt>
                <c:pt idx="228">
                  <c:v>-0.79816566755786544</c:v>
                </c:pt>
                <c:pt idx="229">
                  <c:v>-0.79848488775018811</c:v>
                </c:pt>
                <c:pt idx="230">
                  <c:v>-0.79880060467718672</c:v>
                </c:pt>
                <c:pt idx="231">
                  <c:v>-0.79911324558054819</c:v>
                </c:pt>
                <c:pt idx="232">
                  <c:v>-0.7994232286524372</c:v>
                </c:pt>
                <c:pt idx="233">
                  <c:v>-0.79973096612382322</c:v>
                </c:pt>
                <c:pt idx="234">
                  <c:v>-0.80003686735307233</c:v>
                </c:pt>
                <c:pt idx="235">
                  <c:v>-0.8003413420438048</c:v>
                </c:pt>
                <c:pt idx="236">
                  <c:v>-0.80064480366818414</c:v>
                </c:pt>
                <c:pt idx="237">
                  <c:v>-0.80094767318575844</c:v>
                </c:pt>
                <c:pt idx="238">
                  <c:v>-0.80125038316608133</c:v>
                </c:pt>
                <c:pt idx="239">
                  <c:v>-0.80155338244874497</c:v>
                </c:pt>
                <c:pt idx="240">
                  <c:v>-0.80125696509417199</c:v>
                </c:pt>
                <c:pt idx="241">
                  <c:v>-0.80225137889899945</c:v>
                </c:pt>
                <c:pt idx="242">
                  <c:v>-0.802469533965537</c:v>
                </c:pt>
                <c:pt idx="243">
                  <c:v>-0.80277815137152697</c:v>
                </c:pt>
                <c:pt idx="244">
                  <c:v>-0.80309033059946489</c:v>
                </c:pt>
                <c:pt idx="245">
                  <c:v>-0.80340622075286905</c:v>
                </c:pt>
                <c:pt idx="246">
                  <c:v>-0.80372660746551272</c:v>
                </c:pt>
                <c:pt idx="247">
                  <c:v>-0.80405238907331533</c:v>
                </c:pt>
                <c:pt idx="248">
                  <c:v>-0.80438460135116885</c:v>
                </c:pt>
                <c:pt idx="249">
                  <c:v>-0.80472445509241219</c:v>
                </c:pt>
                <c:pt idx="250">
                  <c:v>-0.80507338620300906</c:v>
                </c:pt>
                <c:pt idx="251">
                  <c:v>-0.80543312346673479</c:v>
                </c:pt>
                <c:pt idx="252">
                  <c:v>-0.80580578174370254</c:v>
                </c:pt>
                <c:pt idx="253">
                  <c:v>-0.80619399246649381</c:v>
                </c:pt>
                <c:pt idx="254">
                  <c:v>-0.80660108996113833</c:v>
                </c:pt>
                <c:pt idx="255">
                  <c:v>-0.80703138325098911</c:v>
                </c:pt>
                <c:pt idx="256">
                  <c:v>-0.80749056211137626</c:v>
                </c:pt>
                <c:pt idx="257">
                  <c:v>-0.80798632005927429</c:v>
                </c:pt>
                <c:pt idx="258">
                  <c:v>-0.8076943696127179</c:v>
                </c:pt>
                <c:pt idx="259">
                  <c:v>-0.80809129796494583</c:v>
                </c:pt>
                <c:pt idx="260">
                  <c:v>-0.80850700485439331</c:v>
                </c:pt>
                <c:pt idx="261">
                  <c:v>-0.80894530610205806</c:v>
                </c:pt>
                <c:pt idx="262">
                  <c:v>-0.80941250456797387</c:v>
                </c:pt>
                <c:pt idx="263">
                  <c:v>-0.80991861414893829</c:v>
                </c:pt>
                <c:pt idx="264">
                  <c:v>-0.81048126269092136</c:v>
                </c:pt>
                <c:pt idx="265">
                  <c:v>-0.8111359056198566</c:v>
                </c:pt>
                <c:pt idx="266">
                  <c:v>-0.8119674926965188</c:v>
                </c:pt>
                <c:pt idx="267">
                  <c:v>-0.81224460144036015</c:v>
                </c:pt>
                <c:pt idx="268">
                  <c:v>-0.81359567805766164</c:v>
                </c:pt>
                <c:pt idx="269">
                  <c:v>-0.81422793889704925</c:v>
                </c:pt>
                <c:pt idx="270">
                  <c:v>-0.81631793754536419</c:v>
                </c:pt>
                <c:pt idx="271">
                  <c:v>-0.81420474183119207</c:v>
                </c:pt>
                <c:pt idx="272">
                  <c:v>-0.81245954261144315</c:v>
                </c:pt>
                <c:pt idx="273">
                  <c:v>-0.81145704494667292</c:v>
                </c:pt>
                <c:pt idx="274">
                  <c:v>-0.81143064785886376</c:v>
                </c:pt>
                <c:pt idx="275">
                  <c:v>-0.81141934761330925</c:v>
                </c:pt>
                <c:pt idx="276">
                  <c:v>-0.81011915881096297</c:v>
                </c:pt>
                <c:pt idx="277">
                  <c:v>-0.80970554575134446</c:v>
                </c:pt>
                <c:pt idx="278">
                  <c:v>-0.80928078921299662</c:v>
                </c:pt>
                <c:pt idx="279">
                  <c:v>-0.80886009923281332</c:v>
                </c:pt>
                <c:pt idx="280">
                  <c:v>-0.80844998898838605</c:v>
                </c:pt>
                <c:pt idx="281">
                  <c:v>-0.80805215995096846</c:v>
                </c:pt>
                <c:pt idx="282">
                  <c:v>-0.80766650185134592</c:v>
                </c:pt>
                <c:pt idx="283">
                  <c:v>-0.80729222979617188</c:v>
                </c:pt>
                <c:pt idx="284">
                  <c:v>-0.80760550226063921</c:v>
                </c:pt>
                <c:pt idx="285">
                  <c:v>-0.80710628855901989</c:v>
                </c:pt>
                <c:pt idx="286">
                  <c:v>-0.80666411485741329</c:v>
                </c:pt>
                <c:pt idx="287">
                  <c:v>-0.80624706418482872</c:v>
                </c:pt>
                <c:pt idx="288">
                  <c:v>-0.80585083394397261</c:v>
                </c:pt>
                <c:pt idx="289">
                  <c:v>-0.805471614271973</c:v>
                </c:pt>
                <c:pt idx="290">
                  <c:v>-0.80510644143082644</c:v>
                </c:pt>
                <c:pt idx="291">
                  <c:v>-0.80475295580991002</c:v>
                </c:pt>
                <c:pt idx="292">
                  <c:v>-0.80440924568139804</c:v>
                </c:pt>
                <c:pt idx="293">
                  <c:v>-0.80407373641097912</c:v>
                </c:pt>
                <c:pt idx="294">
                  <c:v>-0.803745110616222</c:v>
                </c:pt>
                <c:pt idx="295">
                  <c:v>-0.80342224963300668</c:v>
                </c:pt>
                <c:pt idx="296">
                  <c:v>-0.80310418991370625</c:v>
                </c:pt>
                <c:pt idx="297">
                  <c:v>-0.80279009005635116</c:v>
                </c:pt>
                <c:pt idx="298">
                  <c:v>-0.80247920551428786</c:v>
                </c:pt>
                <c:pt idx="299">
                  <c:v>-0.80217086892670564</c:v>
                </c:pt>
                <c:pt idx="300">
                  <c:v>-0.80186447461104227</c:v>
                </c:pt>
                <c:pt idx="301">
                  <c:v>-0.80200208590942701</c:v>
                </c:pt>
                <c:pt idx="302">
                  <c:v>-0.80125365438215135</c:v>
                </c:pt>
                <c:pt idx="303">
                  <c:v>-0.80095157458892596</c:v>
                </c:pt>
                <c:pt idx="304">
                  <c:v>-0.8006477326173006</c:v>
                </c:pt>
                <c:pt idx="305">
                  <c:v>-0.80034337266960964</c:v>
                </c:pt>
                <c:pt idx="306">
                  <c:v>-0.80003805884126611</c:v>
                </c:pt>
                <c:pt idx="307">
                  <c:v>-0.7997313693815572</c:v>
                </c:pt>
                <c:pt idx="308">
                  <c:v>-0.79942288737060352</c:v>
                </c:pt>
                <c:pt idx="309">
                  <c:v>-0.79911219711193104</c:v>
                </c:pt>
                <c:pt idx="310">
                  <c:v>-0.79879888075227912</c:v>
                </c:pt>
                <c:pt idx="311">
                  <c:v>-0.79848251505745393</c:v>
                </c:pt>
                <c:pt idx="312">
                  <c:v>-0.79816266827142701</c:v>
                </c:pt>
                <c:pt idx="313">
                  <c:v>-0.79783889699294297</c:v>
                </c:pt>
                <c:pt idx="314">
                  <c:v>-0.79751074300937019</c:v>
                </c:pt>
                <c:pt idx="315">
                  <c:v>-0.79669384091385842</c:v>
                </c:pt>
                <c:pt idx="316">
                  <c:v>-0.796830368386094</c:v>
                </c:pt>
                <c:pt idx="317">
                  <c:v>-0.79648073523091312</c:v>
                </c:pt>
                <c:pt idx="318">
                  <c:v>-0.79612039865321216</c:v>
                </c:pt>
                <c:pt idx="319">
                  <c:v>-0.79575299904866725</c:v>
                </c:pt>
                <c:pt idx="320">
                  <c:v>-0.79537787130828386</c:v>
                </c:pt>
                <c:pt idx="321">
                  <c:v>-0.79499432363726918</c:v>
                </c:pt>
                <c:pt idx="322">
                  <c:v>-0.79460161388843253</c:v>
                </c:pt>
                <c:pt idx="323">
                  <c:v>-0.79419894275297687</c:v>
                </c:pt>
                <c:pt idx="324">
                  <c:v>-0.79378544598399015</c:v>
                </c:pt>
                <c:pt idx="325">
                  <c:v>-0.7933601855393938</c:v>
                </c:pt>
                <c:pt idx="326">
                  <c:v>-0.79292213943713452</c:v>
                </c:pt>
                <c:pt idx="327">
                  <c:v>-0.79247019007137398</c:v>
                </c:pt>
                <c:pt idx="328">
                  <c:v>-0.79200311068429752</c:v>
                </c:pt>
                <c:pt idx="329">
                  <c:v>-0.79151954962071336</c:v>
                </c:pt>
                <c:pt idx="330">
                  <c:v>-0.7904301158641146</c:v>
                </c:pt>
                <c:pt idx="331">
                  <c:v>-0.79058409370882421</c:v>
                </c:pt>
                <c:pt idx="332">
                  <c:v>-0.78995472871109784</c:v>
                </c:pt>
                <c:pt idx="333">
                  <c:v>-0.78938795957216301</c:v>
                </c:pt>
                <c:pt idx="334">
                  <c:v>-0.78879584704007166</c:v>
                </c:pt>
                <c:pt idx="335">
                  <c:v>-0.78817521955155223</c:v>
                </c:pt>
                <c:pt idx="336">
                  <c:v>-0.78752308787478886</c:v>
                </c:pt>
                <c:pt idx="337">
                  <c:v>-0.78683604714311417</c:v>
                </c:pt>
                <c:pt idx="338">
                  <c:v>-0.78611019336696508</c:v>
                </c:pt>
                <c:pt idx="339">
                  <c:v>-0.78534102478024137</c:v>
                </c:pt>
                <c:pt idx="340">
                  <c:v>-0.78452331875705117</c:v>
                </c:pt>
                <c:pt idx="341">
                  <c:v>-0.78365097686385099</c:v>
                </c:pt>
                <c:pt idx="342">
                  <c:v>-0.7827168279832154</c:v>
                </c:pt>
                <c:pt idx="343">
                  <c:v>-0.78171237568285024</c:v>
                </c:pt>
                <c:pt idx="344">
                  <c:v>-0.78062747062058535</c:v>
                </c:pt>
                <c:pt idx="345">
                  <c:v>-0.77944988098880508</c:v>
                </c:pt>
                <c:pt idx="346">
                  <c:v>-0.77816472265615289</c:v>
                </c:pt>
                <c:pt idx="347">
                  <c:v>-0.77675369402188066</c:v>
                </c:pt>
                <c:pt idx="348">
                  <c:v>-0.77441097990401897</c:v>
                </c:pt>
                <c:pt idx="349">
                  <c:v>-0.77248287078328792</c:v>
                </c:pt>
                <c:pt idx="350">
                  <c:v>-0.77028178585461282</c:v>
                </c:pt>
                <c:pt idx="351">
                  <c:v>-0.76773358424301263</c:v>
                </c:pt>
                <c:pt idx="352">
                  <c:v>-0.76473373473157624</c:v>
                </c:pt>
                <c:pt idx="353">
                  <c:v>-0.76112814012528041</c:v>
                </c:pt>
                <c:pt idx="354">
                  <c:v>-0.75667846696822094</c:v>
                </c:pt>
                <c:pt idx="355">
                  <c:v>-0.7509927581152408</c:v>
                </c:pt>
                <c:pt idx="356">
                  <c:v>-0.743371855412573</c:v>
                </c:pt>
                <c:pt idx="357">
                  <c:v>-0.73157854514522758</c:v>
                </c:pt>
                <c:pt idx="358">
                  <c:v>-0.71285266583266749</c:v>
                </c:pt>
                <c:pt idx="359">
                  <c:v>-0.669271869475905</c:v>
                </c:pt>
                <c:pt idx="360">
                  <c:v>-3.9552521176699743E-14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Sheet1!$B$119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Sheet1!$B$120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1.1030182681492113</c:v>
                </c:pt>
              </c:numCache>
            </c:numRef>
          </c:xVal>
          <c:yVal>
            <c:numRef>
              <c:f>Sheet1!$I$124:$I$125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0.72716692222870949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490"/>
  <sheetViews>
    <sheetView tabSelected="1" topLeftCell="A61" workbookViewId="0">
      <selection activeCell="N125" sqref="N125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 x14ac:dyDescent="0.25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 x14ac:dyDescent="0.25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 x14ac:dyDescent="0.25">
      <c r="D7" s="8">
        <v>0</v>
      </c>
      <c r="E7" s="8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6">
        <v>60</v>
      </c>
      <c r="C10" t="s">
        <v>5</v>
      </c>
    </row>
    <row r="11" spans="1:8" x14ac:dyDescent="0.25">
      <c r="A11" t="s">
        <v>12</v>
      </c>
      <c r="B11" s="5">
        <v>29000</v>
      </c>
      <c r="C11" t="s">
        <v>5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</row>
    <row r="13" spans="1:8" x14ac:dyDescent="0.25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 x14ac:dyDescent="0.25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 x14ac:dyDescent="0.25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 x14ac:dyDescent="0.25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 x14ac:dyDescent="0.2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 x14ac:dyDescent="0.25">
      <c r="A18">
        <v>6</v>
      </c>
      <c r="B18" s="3">
        <v>10</v>
      </c>
      <c r="C18" s="7">
        <f ca="1">OFFSET(Reference!A$1,MATCH(Sheet1!B18,Reference!A$1:A$12,0)-1,2)</f>
        <v>1.27</v>
      </c>
      <c r="D18" s="4">
        <v>10</v>
      </c>
      <c r="E18" s="4">
        <v>4</v>
      </c>
    </row>
    <row r="19" spans="1:5" x14ac:dyDescent="0.2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 x14ac:dyDescent="0.2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 x14ac:dyDescent="0.2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 x14ac:dyDescent="0.2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 x14ac:dyDescent="0.2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 x14ac:dyDescent="0.2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 x14ac:dyDescent="0.25">
      <c r="A26" s="31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 x14ac:dyDescent="0.25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 x14ac:dyDescent="0.25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 x14ac:dyDescent="0.25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 x14ac:dyDescent="0.25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 x14ac:dyDescent="0.25">
      <c r="A39">
        <f t="shared" si="0"/>
        <v>6</v>
      </c>
      <c r="B39" s="10">
        <f t="shared" ca="1" si="1"/>
        <v>1.27</v>
      </c>
      <c r="C39" s="9">
        <f t="shared" si="2"/>
        <v>55</v>
      </c>
      <c r="D39" s="9">
        <f t="shared" ca="1" si="3"/>
        <v>69.849999999999994</v>
      </c>
      <c r="E39" s="9">
        <f t="shared" ca="1" si="4"/>
        <v>279.39999999999998</v>
      </c>
      <c r="F39" s="9">
        <f t="shared" ca="1" si="5"/>
        <v>698.5</v>
      </c>
    </row>
    <row r="40" spans="1:6" x14ac:dyDescent="0.25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 x14ac:dyDescent="0.25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 x14ac:dyDescent="0.25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 x14ac:dyDescent="0.25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 x14ac:dyDescent="0.25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5.75" thickBot="1" x14ac:dyDescent="0.3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5.75" thickTop="1" x14ac:dyDescent="0.25">
      <c r="C46" s="9"/>
      <c r="D46" s="9">
        <f ca="1">SUM(D34:D45)</f>
        <v>419.1</v>
      </c>
      <c r="E46" s="9">
        <f t="shared" ref="E46:F46" ca="1" si="6">SUM(E34:E45)</f>
        <v>6286.5</v>
      </c>
      <c r="F46" s="9">
        <f t="shared" ca="1" si="6"/>
        <v>4191</v>
      </c>
    </row>
    <row r="48" spans="1:6" x14ac:dyDescent="0.25">
      <c r="A48" s="2" t="s">
        <v>28</v>
      </c>
      <c r="B48" s="9">
        <f ca="1">B29+D46</f>
        <v>3419.1</v>
      </c>
      <c r="D48" t="s">
        <v>31</v>
      </c>
      <c r="E48" t="s">
        <v>32</v>
      </c>
    </row>
    <row r="49" spans="1:21" x14ac:dyDescent="0.25">
      <c r="A49" s="2" t="s">
        <v>29</v>
      </c>
      <c r="B49" s="9">
        <f ca="1">E46+B30</f>
        <v>51286.5</v>
      </c>
      <c r="D49" s="1">
        <f ca="1">B50/B48</f>
        <v>10</v>
      </c>
      <c r="E49" s="7">
        <f ca="1">B49/B48</f>
        <v>15</v>
      </c>
    </row>
    <row r="50" spans="1:21" x14ac:dyDescent="0.25">
      <c r="A50" s="2" t="s">
        <v>30</v>
      </c>
      <c r="B50" s="9">
        <f ca="1">F46+B31</f>
        <v>34191</v>
      </c>
    </row>
    <row r="52" spans="1:21" x14ac:dyDescent="0.25">
      <c r="A52" s="32" t="s">
        <v>34</v>
      </c>
    </row>
    <row r="53" spans="1:21" x14ac:dyDescent="0.25">
      <c r="A53" s="2" t="s">
        <v>36</v>
      </c>
      <c r="B53" s="4">
        <v>-40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9">
        <f ca="1">D3-$D$49</f>
        <v>-10</v>
      </c>
      <c r="B57" s="10">
        <f ca="1">E3-$E$49</f>
        <v>-15</v>
      </c>
      <c r="C57" s="7">
        <f ca="1">A57*COS(RADIANS($B$53))+B57*SIN(RADIANS($B$53))</f>
        <v>1.9813697141083084</v>
      </c>
      <c r="D57" s="7">
        <f ca="1">-1*A57*SIN(RADIANS($B$53))+B57*COS(RADIANS($B$53))</f>
        <v>-17.918542743650061</v>
      </c>
      <c r="F57" t="s">
        <v>40</v>
      </c>
      <c r="G57">
        <f ca="1">MAX(D57:D61)-MIN(D57:D61)</f>
        <v>35.837085487300122</v>
      </c>
      <c r="H57" t="s">
        <v>6</v>
      </c>
      <c r="T57" t="s">
        <v>82</v>
      </c>
    </row>
    <row r="58" spans="1:21" x14ac:dyDescent="0.25">
      <c r="A58" s="9">
        <f ca="1">D4-$D$49</f>
        <v>10</v>
      </c>
      <c r="B58" s="10">
        <f t="shared" ref="B58:B61" ca="1" si="7">E4-$E$49</f>
        <v>-15</v>
      </c>
      <c r="C58" s="7">
        <f t="shared" ref="C58:C61" ca="1" si="8">A58*COS(RADIANS($B$53))+B58*SIN(RADIANS($B$53))</f>
        <v>17.302258576487869</v>
      </c>
      <c r="D58" s="7">
        <f t="shared" ref="D58:D61" ca="1" si="9">-1*A58*SIN(RADIANS($B$53))+B58*COS(RADIANS($B$53))</f>
        <v>-5.0627905499192769</v>
      </c>
      <c r="F58" t="s">
        <v>62</v>
      </c>
      <c r="G58" s="10">
        <f ca="1">MAX(D57:D61)</f>
        <v>17.918542743650061</v>
      </c>
      <c r="T58" t="s">
        <v>0</v>
      </c>
      <c r="U58" t="s">
        <v>1</v>
      </c>
    </row>
    <row r="59" spans="1:21" x14ac:dyDescent="0.25">
      <c r="A59" s="9">
        <f ca="1">D5-$D$49</f>
        <v>10</v>
      </c>
      <c r="B59" s="10">
        <f t="shared" ca="1" si="7"/>
        <v>15</v>
      </c>
      <c r="C59" s="7">
        <f t="shared" ca="1" si="8"/>
        <v>-1.9813697141083084</v>
      </c>
      <c r="D59" s="7">
        <f t="shared" ca="1" si="9"/>
        <v>17.918542743650061</v>
      </c>
      <c r="T59">
        <f ca="1">MAX(MAX(C57:C61),MAX(D57:D61))</f>
        <v>17.918542743650061</v>
      </c>
      <c r="U59">
        <f ca="1">T59</f>
        <v>17.918542743650061</v>
      </c>
    </row>
    <row r="60" spans="1:21" x14ac:dyDescent="0.25">
      <c r="A60" s="9">
        <f ca="1">D6-$D$49</f>
        <v>-10</v>
      </c>
      <c r="B60" s="10">
        <f t="shared" ca="1" si="7"/>
        <v>15</v>
      </c>
      <c r="C60" s="7">
        <f t="shared" ca="1" si="8"/>
        <v>-17.302258576487869</v>
      </c>
      <c r="D60" s="7">
        <f t="shared" ca="1" si="9"/>
        <v>5.0627905499192769</v>
      </c>
      <c r="T60">
        <f ca="1">-1*T59</f>
        <v>-17.918542743650061</v>
      </c>
      <c r="U60">
        <f ca="1">-1*U59</f>
        <v>-17.918542743650061</v>
      </c>
    </row>
    <row r="61" spans="1:21" x14ac:dyDescent="0.25">
      <c r="A61" s="9">
        <f ca="1">D7-$D$49</f>
        <v>-10</v>
      </c>
      <c r="B61" s="10">
        <f t="shared" ca="1" si="7"/>
        <v>-15</v>
      </c>
      <c r="C61" s="7">
        <f t="shared" ca="1" si="8"/>
        <v>1.9813697141083084</v>
      </c>
      <c r="D61" s="7">
        <f t="shared" ca="1" si="9"/>
        <v>-17.918542743650061</v>
      </c>
    </row>
    <row r="62" spans="1:21" x14ac:dyDescent="0.25">
      <c r="A62" s="9"/>
    </row>
    <row r="63" spans="1:21" x14ac:dyDescent="0.25">
      <c r="A63" s="33" t="s">
        <v>24</v>
      </c>
      <c r="F63" s="1" t="s">
        <v>37</v>
      </c>
      <c r="G63" s="1" t="s">
        <v>38</v>
      </c>
    </row>
    <row r="64" spans="1:21" x14ac:dyDescent="0.25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</v>
      </c>
      <c r="F64" s="7">
        <f ca="1">D64*COS(RADIANS($B$53))+E64*SIN(RADIANS($B$53))</f>
        <v>2.474397047838063</v>
      </c>
      <c r="G64" s="7">
        <f ca="1">-1*D64*SIN(RADIANS($B$53))+E64*COS(RADIANS($B$53))</f>
        <v>-12.283214532427994</v>
      </c>
    </row>
    <row r="65" spans="1:7" x14ac:dyDescent="0.25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</v>
      </c>
      <c r="F65" s="7">
        <f t="shared" ref="F65:F75" ca="1" si="13">D65*COS(RADIANS($B$53))+E65*SIN(RADIANS($B$53))</f>
        <v>11.666930365265799</v>
      </c>
      <c r="G65" s="7">
        <f t="shared" ref="G65:G75" ca="1" si="14">-1*D65*SIN(RADIANS($B$53))+E65*COS(RADIANS($B$53))</f>
        <v>-4.5697632161895223</v>
      </c>
    </row>
    <row r="66" spans="1:7" x14ac:dyDescent="0.25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11</v>
      </c>
      <c r="F66" s="7">
        <f t="shared" ca="1" si="13"/>
        <v>-2.474397047838063</v>
      </c>
      <c r="G66" s="7">
        <f t="shared" ca="1" si="14"/>
        <v>12.283214532427994</v>
      </c>
    </row>
    <row r="67" spans="1:7" x14ac:dyDescent="0.25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11</v>
      </c>
      <c r="F67" s="7">
        <f t="shared" ca="1" si="13"/>
        <v>-7.0706637065519313</v>
      </c>
      <c r="G67" s="7">
        <f t="shared" ca="1" si="14"/>
        <v>8.4264888743087578</v>
      </c>
    </row>
    <row r="68" spans="1:7" x14ac:dyDescent="0.25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11</v>
      </c>
      <c r="F68" s="7">
        <f t="shared" ca="1" si="13"/>
        <v>-11.666930365265799</v>
      </c>
      <c r="G68" s="7">
        <f t="shared" ca="1" si="14"/>
        <v>4.5697632161895223</v>
      </c>
    </row>
    <row r="69" spans="1:7" x14ac:dyDescent="0.25">
      <c r="A69" s="11">
        <f t="shared" si="10"/>
        <v>6</v>
      </c>
      <c r="B69" s="9">
        <f t="shared" si="10"/>
        <v>10</v>
      </c>
      <c r="C69" s="9">
        <f t="shared" ca="1" si="10"/>
        <v>1.27</v>
      </c>
      <c r="D69" s="9">
        <f t="shared" ca="1" si="11"/>
        <v>0</v>
      </c>
      <c r="E69" s="9">
        <f t="shared" ca="1" si="12"/>
        <v>-11</v>
      </c>
      <c r="F69" s="7">
        <f t="shared" ca="1" si="13"/>
        <v>7.0706637065519313</v>
      </c>
      <c r="G69" s="7">
        <f t="shared" ca="1" si="14"/>
        <v>-8.4264888743087578</v>
      </c>
    </row>
    <row r="70" spans="1:7" x14ac:dyDescent="0.25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</v>
      </c>
      <c r="F70" s="7">
        <f t="shared" ca="1" si="13"/>
        <v>1.9813697141083084</v>
      </c>
      <c r="G70" s="7">
        <f t="shared" ca="1" si="14"/>
        <v>-17.918542743650061</v>
      </c>
    </row>
    <row r="71" spans="1:7" x14ac:dyDescent="0.25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</v>
      </c>
      <c r="F71" s="7">
        <f t="shared" ca="1" si="13"/>
        <v>1.9813697141083084</v>
      </c>
      <c r="G71" s="7">
        <f t="shared" ca="1" si="14"/>
        <v>-17.918542743650061</v>
      </c>
    </row>
    <row r="72" spans="1:7" x14ac:dyDescent="0.25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</v>
      </c>
      <c r="F72" s="7">
        <f t="shared" ca="1" si="13"/>
        <v>1.9813697141083084</v>
      </c>
      <c r="G72" s="7">
        <f t="shared" ca="1" si="14"/>
        <v>-17.918542743650061</v>
      </c>
    </row>
    <row r="73" spans="1:7" x14ac:dyDescent="0.25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</v>
      </c>
      <c r="F73" s="7">
        <f t="shared" ca="1" si="13"/>
        <v>1.9813697141083084</v>
      </c>
      <c r="G73" s="7">
        <f t="shared" ca="1" si="14"/>
        <v>-17.918542743650061</v>
      </c>
    </row>
    <row r="74" spans="1:7" x14ac:dyDescent="0.25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</v>
      </c>
      <c r="F74" s="7">
        <f t="shared" ca="1" si="13"/>
        <v>1.9813697141083084</v>
      </c>
      <c r="G74" s="7">
        <f t="shared" ca="1" si="14"/>
        <v>-17.918542743650061</v>
      </c>
    </row>
    <row r="75" spans="1:7" x14ac:dyDescent="0.25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</v>
      </c>
      <c r="F75" s="7">
        <f t="shared" ca="1" si="13"/>
        <v>1.9813697141083084</v>
      </c>
      <c r="G75" s="7">
        <f t="shared" ca="1" si="14"/>
        <v>-17.918542743650061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4">
        <v>0.6</v>
      </c>
      <c r="C78" t="s">
        <v>6</v>
      </c>
      <c r="D78" s="7">
        <f ca="1">MIN(C57:C61)</f>
        <v>-17.302258576487869</v>
      </c>
      <c r="E78" s="7">
        <f ca="1">MAX(D57:D61)-B78</f>
        <v>17.31854274365006</v>
      </c>
    </row>
    <row r="79" spans="1:7" x14ac:dyDescent="0.25">
      <c r="A79" s="2"/>
      <c r="D79" s="7">
        <f ca="1">MAX(C57:C61)</f>
        <v>17.302258576487869</v>
      </c>
      <c r="E79" s="7">
        <f ca="1">E78</f>
        <v>17.31854274365006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0.47999999999999993</v>
      </c>
      <c r="C81" t="s">
        <v>6</v>
      </c>
      <c r="D81" t="s">
        <v>0</v>
      </c>
      <c r="E81" t="s">
        <v>1</v>
      </c>
    </row>
    <row r="82" spans="1:12" x14ac:dyDescent="0.25">
      <c r="D82" s="7">
        <f ca="1">MIN(C57:C61)</f>
        <v>-17.302258576487869</v>
      </c>
      <c r="E82" s="7">
        <f ca="1">MAX(D57:D61)-B81</f>
        <v>17.438542743650061</v>
      </c>
    </row>
    <row r="83" spans="1:12" x14ac:dyDescent="0.25">
      <c r="D83" s="7">
        <f ca="1">MAX(C57:C61)</f>
        <v>17.302258576487869</v>
      </c>
      <c r="E83" s="7">
        <f ca="1">E82</f>
        <v>17.438542743650061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7">
        <f t="shared" ref="B88:C91" ca="1" si="15">C57</f>
        <v>1.9813697141083084</v>
      </c>
      <c r="C88" s="7">
        <f t="shared" ca="1" si="15"/>
        <v>-17.918542743650061</v>
      </c>
      <c r="D88" s="7">
        <f t="shared" ref="D88:E91" ca="1" si="16">C58</f>
        <v>17.302258576487869</v>
      </c>
      <c r="E88" s="7">
        <f t="shared" ca="1" si="16"/>
        <v>-5.0627905499192769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0.8390996311772797</v>
      </c>
      <c r="H88" s="7" t="e">
        <f ca="1">IF(OR(F88=1,F88=2),IF(G88="V",B88,(E$82-C88+(G88*B88))/G88),NA())</f>
        <v>#N/A</v>
      </c>
      <c r="I88" s="7" t="e">
        <f ca="1">IF(OR(F88=1,F88=2),E$82,NA())</f>
        <v>#N/A</v>
      </c>
      <c r="J88" s="8">
        <f ca="1">IF(F88=0,0,IF(F88=1,-0.5*B$85*(H88+D88)*(I88-E88),IF(F88=2,-0.5*B$85*(B88+H88)*(C88-I88),IF(F88=3,-0.5*B$85*(B88+D88)*(C88-E88),0))))</f>
        <v>0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8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7">
        <f t="shared" ca="1" si="15"/>
        <v>17.302258576487869</v>
      </c>
      <c r="C89" s="7">
        <f t="shared" ca="1" si="15"/>
        <v>-5.0627905499192769</v>
      </c>
      <c r="D89" s="7">
        <f t="shared" ca="1" si="16"/>
        <v>-1.9813697141083084</v>
      </c>
      <c r="E89" s="7">
        <f t="shared" ca="1" si="16"/>
        <v>17.918542743650061</v>
      </c>
      <c r="F89" s="1">
        <f t="shared" ref="F89:F91" ca="1" si="17">IF(AND(E89&gt;=E$82,C89&lt;=E$82),1,IF(AND(C89&gt;=E$82,E89&gt;=E$82),3,IF(AND(E89&lt;=E$82,C89&gt;=E$82),2,0)))</f>
        <v>1</v>
      </c>
      <c r="G89" s="1">
        <f t="shared" ref="G89:G91" ca="1" si="18">IF(E89=C89,"H",IF(B89=D89,"V",(E89-C89)/(D89-B89)))</f>
        <v>-1.19175359259421</v>
      </c>
      <c r="H89" s="7">
        <f t="shared" ref="H89:H91" ca="1" si="19">IF(OR(F89=1,F89=2),IF(G89="V",B89,(E$82-C89+(G89*B89))/G89),NA())</f>
        <v>-1.5786018911432149</v>
      </c>
      <c r="I89" s="7">
        <f t="shared" ref="I89:I91" ca="1" si="20">IF(OR(F89=1,F89=2),E$82,NA())</f>
        <v>17.438542743650061</v>
      </c>
      <c r="J89" s="8">
        <f t="shared" ref="J89:J91" ca="1" si="21">IF(F89=0,0,IF(F89=1,-0.5*B$85*(H89+D89)*(I89-E89),IF(F89=2,-0.5*B$85*(B89+H89)*(C89-I89),IF(F89=3,-0.5*B$85*(B89+D89)*(C89-E89),0))))</f>
        <v>-3.6311710373565576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-64.226678247765975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3.2455053098336282</v>
      </c>
    </row>
    <row r="90" spans="1:12" x14ac:dyDescent="0.25">
      <c r="A90">
        <v>3</v>
      </c>
      <c r="B90" s="7">
        <f t="shared" ca="1" si="15"/>
        <v>-1.9813697141083084</v>
      </c>
      <c r="C90" s="7">
        <f t="shared" ca="1" si="15"/>
        <v>17.918542743650061</v>
      </c>
      <c r="D90" s="7">
        <f t="shared" ca="1" si="16"/>
        <v>-17.302258576487869</v>
      </c>
      <c r="E90" s="7">
        <f t="shared" ca="1" si="16"/>
        <v>5.0627905499192769</v>
      </c>
      <c r="F90" s="1">
        <f t="shared" ca="1" si="17"/>
        <v>2</v>
      </c>
      <c r="G90" s="1">
        <f t="shared" ca="1" si="18"/>
        <v>0.8390996311772797</v>
      </c>
      <c r="H90" s="7">
        <f t="shared" ca="1" si="19"/>
        <v>-2.5534114385535296</v>
      </c>
      <c r="I90" s="7">
        <f t="shared" ca="1" si="20"/>
        <v>17.438542743650061</v>
      </c>
      <c r="J90" s="8">
        <f t="shared" ca="1" si="21"/>
        <v>4.6254767757150788</v>
      </c>
      <c r="K90" s="8">
        <f t="shared" ca="1" si="22"/>
        <v>81.725010284524956</v>
      </c>
      <c r="L90" s="8">
        <f t="shared" ca="1" si="23"/>
        <v>-5.271695923579979</v>
      </c>
    </row>
    <row r="91" spans="1:12" ht="15.75" thickBot="1" x14ac:dyDescent="0.3">
      <c r="A91">
        <v>4</v>
      </c>
      <c r="B91" s="7">
        <f t="shared" ca="1" si="15"/>
        <v>-17.302258576487869</v>
      </c>
      <c r="C91" s="7">
        <f t="shared" ca="1" si="15"/>
        <v>5.0627905499192769</v>
      </c>
      <c r="D91" s="7">
        <f t="shared" ca="1" si="16"/>
        <v>1.9813697141083084</v>
      </c>
      <c r="E91" s="7">
        <f t="shared" ca="1" si="16"/>
        <v>-17.918542743650061</v>
      </c>
      <c r="F91" s="1">
        <f t="shared" ca="1" si="17"/>
        <v>0</v>
      </c>
      <c r="G91" s="1">
        <f t="shared" ca="1" si="18"/>
        <v>-1.19175359259421</v>
      </c>
      <c r="H91" s="7" t="e">
        <f t="shared" ca="1" si="19"/>
        <v>#N/A</v>
      </c>
      <c r="I91" s="7" t="e">
        <f t="shared" ca="1" si="20"/>
        <v>#N/A</v>
      </c>
      <c r="J91" s="29">
        <f t="shared" ca="1" si="21"/>
        <v>0</v>
      </c>
      <c r="K91" s="29">
        <f t="shared" ca="1" si="22"/>
        <v>0</v>
      </c>
      <c r="L91" s="29">
        <f t="shared" ca="1" si="23"/>
        <v>0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8">
        <f ca="1">SUM(J88:J91)</f>
        <v>0.99430573835852121</v>
      </c>
      <c r="K92" s="8">
        <f ca="1">SUM(K88:K91)</f>
        <v>17.498332036758981</v>
      </c>
      <c r="L92" s="8">
        <f ca="1">SUM(L88:L91)</f>
        <v>-2.0261906137463508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11">
        <f>A64</f>
        <v>1</v>
      </c>
      <c r="B98" s="10">
        <f ca="1">C13</f>
        <v>1.27</v>
      </c>
      <c r="C98">
        <f t="shared" ca="1" si="24"/>
        <v>2.474397047838063</v>
      </c>
      <c r="D98">
        <f t="shared" ca="1" si="25"/>
        <v>-12.283214532427994</v>
      </c>
      <c r="E98" s="10">
        <f ca="1">G$58-D98</f>
        <v>30.201757276078055</v>
      </c>
      <c r="F98" s="14">
        <f ca="1">IF(B98=0,0,((B$78-E98)/B$78)*B$96)</f>
        <v>-0.14800878638039028</v>
      </c>
      <c r="G98" s="7">
        <f ca="1">IF(AND(F98&gt;0,E98&lt;=B$81),MIN((F98*B$11),B$10)-B$85,MAX(F98*B$11,-1*B$10))</f>
        <v>-60</v>
      </c>
      <c r="H98" s="7">
        <f ca="1">G98*B98</f>
        <v>-76.2</v>
      </c>
      <c r="I98" s="7">
        <f ca="1">H98*D98</f>
        <v>935.98094737101314</v>
      </c>
      <c r="J98" s="7">
        <f ca="1">H98*C98</f>
        <v>-188.54905504526042</v>
      </c>
    </row>
    <row r="99" spans="1:10" x14ac:dyDescent="0.25">
      <c r="A99" s="11">
        <f t="shared" ref="A99:A108" si="26">A65</f>
        <v>2</v>
      </c>
      <c r="B99" s="10">
        <f t="shared" ref="B99:B109" ca="1" si="27">C14</f>
        <v>1.27</v>
      </c>
      <c r="C99">
        <f t="shared" ca="1" si="24"/>
        <v>11.666930365265799</v>
      </c>
      <c r="D99">
        <f t="shared" ca="1" si="25"/>
        <v>-4.5697632161895223</v>
      </c>
      <c r="E99" s="10">
        <f t="shared" ref="E99:E109" ca="1" si="28">G$58-D99</f>
        <v>22.488305959839582</v>
      </c>
      <c r="F99" s="14">
        <f t="shared" ref="F99:F109" ca="1" si="29">IF(B99=0,0,((B$78-E99)/B$78)*B$96)</f>
        <v>-0.1094415297991979</v>
      </c>
      <c r="G99" s="7">
        <f t="shared" ref="G99:G109" ca="1" si="30">IF(AND(F99&gt;0,E99&lt;=B$81),MIN((F99*B$11),B$10)-B$85,MAX(F99*B$11,-1*B$10))</f>
        <v>-60</v>
      </c>
      <c r="H99" s="7">
        <f t="shared" ref="H99:H109" ca="1" si="31">G99*B99</f>
        <v>-76.2</v>
      </c>
      <c r="I99" s="7">
        <f t="shared" ref="I99:I109" ca="1" si="32">H99*D99</f>
        <v>348.21595707364162</v>
      </c>
      <c r="J99" s="7">
        <f t="shared" ref="J99:J109" ca="1" si="33">H99*C99</f>
        <v>-889.0200938332539</v>
      </c>
    </row>
    <row r="100" spans="1:10" x14ac:dyDescent="0.25">
      <c r="A100" s="11">
        <f t="shared" si="26"/>
        <v>3</v>
      </c>
      <c r="B100" s="10">
        <f t="shared" ca="1" si="27"/>
        <v>1.27</v>
      </c>
      <c r="C100">
        <f t="shared" ca="1" si="24"/>
        <v>-2.474397047838063</v>
      </c>
      <c r="D100">
        <f t="shared" ca="1" si="25"/>
        <v>12.283214532427994</v>
      </c>
      <c r="E100" s="10">
        <f t="shared" ca="1" si="28"/>
        <v>5.6353282112220668</v>
      </c>
      <c r="F100" s="14">
        <f t="shared" ca="1" si="29"/>
        <v>-2.5176641056110338E-2</v>
      </c>
      <c r="G100" s="7">
        <f t="shared" ca="1" si="30"/>
        <v>-60</v>
      </c>
      <c r="H100" s="7">
        <f t="shared" ca="1" si="31"/>
        <v>-76.2</v>
      </c>
      <c r="I100" s="7">
        <f t="shared" ca="1" si="32"/>
        <v>-935.98094737101314</v>
      </c>
      <c r="J100" s="7">
        <f t="shared" ca="1" si="33"/>
        <v>188.54905504526042</v>
      </c>
    </row>
    <row r="101" spans="1:10" x14ac:dyDescent="0.25">
      <c r="A101" s="11">
        <f t="shared" si="26"/>
        <v>4</v>
      </c>
      <c r="B101" s="10">
        <f t="shared" ca="1" si="27"/>
        <v>1.27</v>
      </c>
      <c r="C101">
        <f t="shared" ca="1" si="24"/>
        <v>-7.0706637065519313</v>
      </c>
      <c r="D101">
        <f t="shared" ca="1" si="25"/>
        <v>8.4264888743087578</v>
      </c>
      <c r="E101" s="10">
        <f t="shared" ca="1" si="28"/>
        <v>9.4920538693413032</v>
      </c>
      <c r="F101" s="14">
        <f t="shared" ca="1" si="29"/>
        <v>-4.4460269346706521E-2</v>
      </c>
      <c r="G101" s="7">
        <f t="shared" ca="1" si="30"/>
        <v>-60</v>
      </c>
      <c r="H101" s="7">
        <f t="shared" ca="1" si="31"/>
        <v>-76.2</v>
      </c>
      <c r="I101" s="7">
        <f t="shared" ca="1" si="32"/>
        <v>-642.09845222232741</v>
      </c>
      <c r="J101" s="7">
        <f t="shared" ca="1" si="33"/>
        <v>538.7845744392572</v>
      </c>
    </row>
    <row r="102" spans="1:10" x14ac:dyDescent="0.25">
      <c r="A102" s="11">
        <f t="shared" si="26"/>
        <v>5</v>
      </c>
      <c r="B102" s="10">
        <f t="shared" ca="1" si="27"/>
        <v>1.27</v>
      </c>
      <c r="C102">
        <f t="shared" ca="1" si="24"/>
        <v>-11.666930365265799</v>
      </c>
      <c r="D102">
        <f t="shared" ca="1" si="25"/>
        <v>4.5697632161895223</v>
      </c>
      <c r="E102" s="10">
        <f t="shared" ca="1" si="28"/>
        <v>13.34877952746054</v>
      </c>
      <c r="F102" s="14">
        <f t="shared" ca="1" si="29"/>
        <v>-6.3743897637302704E-2</v>
      </c>
      <c r="G102" s="7">
        <f t="shared" ca="1" si="30"/>
        <v>-60</v>
      </c>
      <c r="H102" s="7">
        <f t="shared" ca="1" si="31"/>
        <v>-76.2</v>
      </c>
      <c r="I102" s="7">
        <f t="shared" ca="1" si="32"/>
        <v>-348.21595707364162</v>
      </c>
      <c r="J102" s="7">
        <f t="shared" ca="1" si="33"/>
        <v>889.0200938332539</v>
      </c>
    </row>
    <row r="103" spans="1:10" x14ac:dyDescent="0.25">
      <c r="A103" s="11">
        <f t="shared" si="26"/>
        <v>6</v>
      </c>
      <c r="B103" s="10">
        <f t="shared" ca="1" si="27"/>
        <v>1.27</v>
      </c>
      <c r="C103">
        <f t="shared" ca="1" si="24"/>
        <v>7.0706637065519313</v>
      </c>
      <c r="D103">
        <f t="shared" ca="1" si="25"/>
        <v>-8.4264888743087578</v>
      </c>
      <c r="E103" s="10">
        <f t="shared" ca="1" si="28"/>
        <v>26.345031617958817</v>
      </c>
      <c r="F103" s="14">
        <f t="shared" ca="1" si="29"/>
        <v>-0.1287251580897941</v>
      </c>
      <c r="G103" s="7">
        <f t="shared" ca="1" si="30"/>
        <v>-60</v>
      </c>
      <c r="H103" s="7">
        <f t="shared" ca="1" si="31"/>
        <v>-76.2</v>
      </c>
      <c r="I103" s="7">
        <f t="shared" ca="1" si="32"/>
        <v>642.09845222232741</v>
      </c>
      <c r="J103" s="7">
        <f t="shared" ca="1" si="33"/>
        <v>-538.7845744392572</v>
      </c>
    </row>
    <row r="104" spans="1:10" x14ac:dyDescent="0.25">
      <c r="A104" s="11">
        <f t="shared" si="26"/>
        <v>7</v>
      </c>
      <c r="B104" s="10">
        <f t="shared" ca="1" si="27"/>
        <v>0</v>
      </c>
      <c r="C104">
        <f t="shared" ca="1" si="24"/>
        <v>1.9813697141083084</v>
      </c>
      <c r="D104">
        <f t="shared" ca="1" si="25"/>
        <v>-17.918542743650061</v>
      </c>
      <c r="E104" s="10">
        <f t="shared" ca="1" si="28"/>
        <v>35.837085487300122</v>
      </c>
      <c r="F104" s="14">
        <f t="shared" ca="1" si="29"/>
        <v>0</v>
      </c>
      <c r="G104" s="7">
        <f t="shared" ca="1" si="30"/>
        <v>0</v>
      </c>
      <c r="H104" s="7">
        <f t="shared" ca="1" si="31"/>
        <v>0</v>
      </c>
      <c r="I104" s="7">
        <f t="shared" ca="1" si="32"/>
        <v>0</v>
      </c>
      <c r="J104" s="7">
        <f t="shared" ca="1" si="33"/>
        <v>0</v>
      </c>
    </row>
    <row r="105" spans="1:10" x14ac:dyDescent="0.25">
      <c r="A105" s="11">
        <f t="shared" si="26"/>
        <v>8</v>
      </c>
      <c r="B105" s="10">
        <f t="shared" ca="1" si="27"/>
        <v>0</v>
      </c>
      <c r="C105">
        <f t="shared" ca="1" si="24"/>
        <v>1.9813697141083084</v>
      </c>
      <c r="D105">
        <f t="shared" ca="1" si="25"/>
        <v>-17.918542743650061</v>
      </c>
      <c r="E105" s="10">
        <f t="shared" ca="1" si="28"/>
        <v>35.837085487300122</v>
      </c>
      <c r="F105" s="14">
        <f t="shared" ca="1" si="29"/>
        <v>0</v>
      </c>
      <c r="G105" s="7">
        <f t="shared" ca="1" si="30"/>
        <v>0</v>
      </c>
      <c r="H105" s="7">
        <f t="shared" ca="1" si="31"/>
        <v>0</v>
      </c>
      <c r="I105" s="7">
        <f t="shared" ca="1" si="32"/>
        <v>0</v>
      </c>
      <c r="J105" s="7">
        <f t="shared" ca="1" si="33"/>
        <v>0</v>
      </c>
    </row>
    <row r="106" spans="1:10" x14ac:dyDescent="0.25">
      <c r="A106" s="11">
        <f t="shared" si="26"/>
        <v>9</v>
      </c>
      <c r="B106" s="10">
        <f t="shared" ca="1" si="27"/>
        <v>0</v>
      </c>
      <c r="C106">
        <f t="shared" ca="1" si="24"/>
        <v>1.9813697141083084</v>
      </c>
      <c r="D106">
        <f t="shared" ca="1" si="25"/>
        <v>-17.918542743650061</v>
      </c>
      <c r="E106" s="10">
        <f t="shared" ca="1" si="28"/>
        <v>35.837085487300122</v>
      </c>
      <c r="F106" s="14">
        <f t="shared" ca="1" si="29"/>
        <v>0</v>
      </c>
      <c r="G106" s="7">
        <f t="shared" ca="1" si="30"/>
        <v>0</v>
      </c>
      <c r="H106" s="7">
        <f t="shared" ca="1" si="31"/>
        <v>0</v>
      </c>
      <c r="I106" s="7">
        <f t="shared" ca="1" si="32"/>
        <v>0</v>
      </c>
      <c r="J106" s="7">
        <f t="shared" ca="1" si="33"/>
        <v>0</v>
      </c>
    </row>
    <row r="107" spans="1:10" x14ac:dyDescent="0.25">
      <c r="A107" s="11">
        <f t="shared" si="26"/>
        <v>10</v>
      </c>
      <c r="B107" s="10">
        <f t="shared" ca="1" si="27"/>
        <v>0</v>
      </c>
      <c r="C107">
        <f t="shared" ca="1" si="24"/>
        <v>1.9813697141083084</v>
      </c>
      <c r="D107">
        <f t="shared" ca="1" si="25"/>
        <v>-17.918542743650061</v>
      </c>
      <c r="E107" s="10">
        <f t="shared" ca="1" si="28"/>
        <v>35.837085487300122</v>
      </c>
      <c r="F107" s="14">
        <f t="shared" ca="1" si="29"/>
        <v>0</v>
      </c>
      <c r="G107" s="7">
        <f t="shared" ca="1" si="30"/>
        <v>0</v>
      </c>
      <c r="H107" s="7">
        <f t="shared" ca="1" si="31"/>
        <v>0</v>
      </c>
      <c r="I107" s="7">
        <f t="shared" ca="1" si="32"/>
        <v>0</v>
      </c>
      <c r="J107" s="7">
        <f t="shared" ca="1" si="33"/>
        <v>0</v>
      </c>
    </row>
    <row r="108" spans="1:10" x14ac:dyDescent="0.25">
      <c r="A108" s="11">
        <f t="shared" si="26"/>
        <v>11</v>
      </c>
      <c r="B108" s="10">
        <f t="shared" ca="1" si="27"/>
        <v>0</v>
      </c>
      <c r="C108">
        <f t="shared" ca="1" si="24"/>
        <v>1.9813697141083084</v>
      </c>
      <c r="D108">
        <f t="shared" ca="1" si="25"/>
        <v>-17.918542743650061</v>
      </c>
      <c r="E108" s="10">
        <f t="shared" ca="1" si="28"/>
        <v>35.837085487300122</v>
      </c>
      <c r="F108" s="14">
        <f t="shared" ca="1" si="29"/>
        <v>0</v>
      </c>
      <c r="G108" s="7">
        <f t="shared" ca="1" si="30"/>
        <v>0</v>
      </c>
      <c r="H108" s="7">
        <f t="shared" ca="1" si="31"/>
        <v>0</v>
      </c>
      <c r="I108" s="7">
        <f t="shared" ca="1" si="32"/>
        <v>0</v>
      </c>
      <c r="J108" s="7">
        <f t="shared" ca="1" si="33"/>
        <v>0</v>
      </c>
    </row>
    <row r="109" spans="1:10" ht="15.75" thickBot="1" x14ac:dyDescent="0.3">
      <c r="A109" s="11">
        <f>A75</f>
        <v>12</v>
      </c>
      <c r="B109" s="10">
        <f t="shared" ca="1" si="27"/>
        <v>0</v>
      </c>
      <c r="C109">
        <f t="shared" ca="1" si="24"/>
        <v>1.9813697141083084</v>
      </c>
      <c r="D109">
        <f t="shared" ca="1" si="25"/>
        <v>-17.918542743650061</v>
      </c>
      <c r="E109" s="10">
        <f t="shared" ca="1" si="28"/>
        <v>35.837085487300122</v>
      </c>
      <c r="F109" s="28">
        <f t="shared" ca="1" si="29"/>
        <v>0</v>
      </c>
      <c r="G109" s="7">
        <f t="shared" ca="1" si="30"/>
        <v>0</v>
      </c>
      <c r="H109" s="27">
        <f t="shared" ca="1" si="31"/>
        <v>0</v>
      </c>
      <c r="I109" s="27">
        <f t="shared" ca="1" si="32"/>
        <v>0</v>
      </c>
      <c r="J109" s="27">
        <f t="shared" ca="1" si="33"/>
        <v>0</v>
      </c>
    </row>
    <row r="110" spans="1:10" ht="15.75" thickTop="1" x14ac:dyDescent="0.25">
      <c r="F110" s="14">
        <f ca="1">MIN(F98:F109)</f>
        <v>-0.14800878638039028</v>
      </c>
      <c r="H110" s="7">
        <f ca="1">SUM(H98:H109)</f>
        <v>-457.2</v>
      </c>
      <c r="I110" s="7">
        <f ca="1">SUM(I98:I109)</f>
        <v>1.1368683772161603E-13</v>
      </c>
      <c r="J110" s="7">
        <f ca="1">SUM(J98:J109)</f>
        <v>-1.1368683772161603E-13</v>
      </c>
    </row>
    <row r="113" spans="1:14" x14ac:dyDescent="0.25">
      <c r="A113" s="2" t="s">
        <v>67</v>
      </c>
      <c r="B113" s="37">
        <f ca="1">J92+H110</f>
        <v>-456.20569426164144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</row>
    <row r="114" spans="1:14" x14ac:dyDescent="0.25">
      <c r="A114" s="2" t="s">
        <v>69</v>
      </c>
      <c r="B114" s="7">
        <f ca="1">(((K92+I110)*COS(RADIANS(B53)))+((L92+J110)*SIN(RADIANS(B53))))</f>
        <v>14.706910241989485</v>
      </c>
      <c r="C114" t="s">
        <v>23</v>
      </c>
      <c r="D114" s="7">
        <f ca="1">(B113*(E49-H7))</f>
        <v>0</v>
      </c>
      <c r="E114" t="s">
        <v>23</v>
      </c>
      <c r="F114" s="7">
        <f ca="1">B114+D114</f>
        <v>14.706910241989485</v>
      </c>
      <c r="G114" s="13" t="str">
        <f>"= Mnx,gc"</f>
        <v>= Mnx,gc</v>
      </c>
      <c r="H114" s="7">
        <f ca="1">F114/12</f>
        <v>1.2255758534991237</v>
      </c>
      <c r="I114" t="s">
        <v>72</v>
      </c>
      <c r="J114" s="34">
        <f ca="1">H114*J113</f>
        <v>1.1030182681492113</v>
      </c>
      <c r="K114" t="s">
        <v>72</v>
      </c>
    </row>
    <row r="115" spans="1:14" x14ac:dyDescent="0.25">
      <c r="A115" s="2" t="s">
        <v>70</v>
      </c>
      <c r="B115" s="7">
        <f ca="1">(-1*(K92+I110)*SIN(RADIANS(B53)))+((L92+J110)*COS(RADIANS(B53)))</f>
        <v>9.6955589630494607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9.6955589630494607</v>
      </c>
      <c r="G115" s="13" t="str">
        <f>"= Mny,gc"</f>
        <v>= Mny,gc</v>
      </c>
      <c r="H115" s="7">
        <f ca="1">F115/12</f>
        <v>0.80796324692078836</v>
      </c>
      <c r="I115" t="s">
        <v>72</v>
      </c>
      <c r="J115" s="34">
        <f ca="1">H115*J113</f>
        <v>0.72716692222870949</v>
      </c>
      <c r="K115" t="s">
        <v>72</v>
      </c>
      <c r="M115" t="s">
        <v>79</v>
      </c>
      <c r="N115" s="12">
        <f ca="1">IF(J115=0,90,DEGREES(ATAN2(J114,J115)))</f>
        <v>33.394944932187954</v>
      </c>
    </row>
    <row r="116" spans="1:14" x14ac:dyDescent="0.25">
      <c r="J116" s="36">
        <f ca="1">B113*J113</f>
        <v>-410.5851248354773</v>
      </c>
      <c r="K116" t="s">
        <v>20</v>
      </c>
    </row>
    <row r="117" spans="1:14" x14ac:dyDescent="0.25">
      <c r="A117" s="26" t="s">
        <v>74</v>
      </c>
      <c r="I117" t="s">
        <v>83</v>
      </c>
      <c r="J117" s="1">
        <f ca="1">0.65*((0.85*B2*B5*B6)+((B10-0.85*B2)*SUM(C13:C24)))*0.85</f>
        <v>1643.5852875</v>
      </c>
      <c r="K117" t="s">
        <v>20</v>
      </c>
    </row>
    <row r="118" spans="1:14" x14ac:dyDescent="0.25">
      <c r="A118" s="2" t="s">
        <v>75</v>
      </c>
      <c r="B118" s="4">
        <v>-410.5</v>
      </c>
      <c r="C118" t="s">
        <v>20</v>
      </c>
      <c r="I118" t="s">
        <v>84</v>
      </c>
      <c r="J118" s="1">
        <f ca="1">-1*0.9*B10*SUM(C13:C24)</f>
        <v>-411.47999999999996</v>
      </c>
      <c r="K118" t="s">
        <v>20</v>
      </c>
    </row>
    <row r="119" spans="1:14" x14ac:dyDescent="0.25">
      <c r="A119" s="2" t="s">
        <v>76</v>
      </c>
      <c r="B119" s="4">
        <v>0.5</v>
      </c>
      <c r="C119" t="s">
        <v>72</v>
      </c>
      <c r="G119" s="2" t="s">
        <v>80</v>
      </c>
      <c r="H119" s="35">
        <v>50</v>
      </c>
    </row>
    <row r="120" spans="1:14" x14ac:dyDescent="0.25">
      <c r="A120" s="2" t="s">
        <v>77</v>
      </c>
      <c r="B120" s="4">
        <v>0.5</v>
      </c>
      <c r="C120" t="s">
        <v>72</v>
      </c>
      <c r="G120" s="2" t="s">
        <v>81</v>
      </c>
      <c r="H120" s="1">
        <v>35</v>
      </c>
    </row>
    <row r="121" spans="1:14" x14ac:dyDescent="0.25">
      <c r="A121" s="2" t="s">
        <v>78</v>
      </c>
      <c r="B121" s="15">
        <f>IF(B120=0,90,DEGREES(ATAN2(B119,B120)))</f>
        <v>45</v>
      </c>
    </row>
    <row r="123" spans="1:14" x14ac:dyDescent="0.25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 x14ac:dyDescent="0.25">
      <c r="A124" s="19"/>
      <c r="B124" s="18"/>
      <c r="C124" s="18"/>
      <c r="D124" s="18"/>
      <c r="E124" s="18"/>
      <c r="F124" s="18"/>
      <c r="G124" s="18"/>
      <c r="H124" s="20">
        <v>0</v>
      </c>
      <c r="I124" s="38">
        <v>0</v>
      </c>
      <c r="J124" s="18"/>
      <c r="K124" s="18"/>
      <c r="L124" s="16"/>
      <c r="M124" s="18"/>
      <c r="N124" s="18"/>
    </row>
    <row r="125" spans="1:14" x14ac:dyDescent="0.25">
      <c r="A125" s="19"/>
      <c r="B125" s="25"/>
      <c r="C125" s="18"/>
      <c r="D125" s="19"/>
      <c r="E125" s="20"/>
      <c r="F125" s="20"/>
      <c r="G125" s="19"/>
      <c r="H125" s="25">
        <f ca="1">J114</f>
        <v>1.1030182681492113</v>
      </c>
      <c r="I125" s="5">
        <f ca="1">J115</f>
        <v>0.72716692222870949</v>
      </c>
      <c r="J125" s="19"/>
      <c r="K125" s="20"/>
      <c r="L125" s="16"/>
      <c r="M125" s="19"/>
      <c r="N125" s="20"/>
    </row>
    <row r="126" spans="1:14" x14ac:dyDescent="0.25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 x14ac:dyDescent="0.25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 x14ac:dyDescent="0.25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 x14ac:dyDescent="0.25">
      <c r="A129" s="18">
        <v>0</v>
      </c>
      <c r="B129" s="20">
        <v>1.2244769063180443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 x14ac:dyDescent="0.25">
      <c r="A130" s="19">
        <v>-1</v>
      </c>
      <c r="B130" s="20">
        <v>1.2223925791609815</v>
      </c>
      <c r="C130" s="18">
        <v>0.66915635260161965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 x14ac:dyDescent="0.25">
      <c r="A131" s="19">
        <v>-2</v>
      </c>
      <c r="B131" s="20">
        <v>1.2205060149590634</v>
      </c>
      <c r="C131" s="18">
        <v>0.71192679602742004</v>
      </c>
      <c r="D131" s="18"/>
      <c r="E131" s="18"/>
      <c r="F131" s="18"/>
      <c r="G131" s="18"/>
      <c r="H131" s="18"/>
      <c r="I131" s="18"/>
    </row>
    <row r="132" spans="1:14" x14ac:dyDescent="0.25">
      <c r="A132" s="18">
        <v>-3</v>
      </c>
      <c r="B132" s="18">
        <v>1.2194129586957805</v>
      </c>
      <c r="C132" s="18">
        <v>0.73090859002072595</v>
      </c>
      <c r="D132" s="18"/>
      <c r="E132" s="18"/>
      <c r="F132" s="18"/>
      <c r="G132" s="18"/>
      <c r="H132" s="18"/>
      <c r="I132" s="18"/>
    </row>
    <row r="133" spans="1:14" x14ac:dyDescent="0.25">
      <c r="A133" s="18">
        <v>-4</v>
      </c>
      <c r="B133" s="18">
        <v>1.2197220607995278</v>
      </c>
      <c r="C133" s="18">
        <v>0.7429032454388601</v>
      </c>
      <c r="D133" s="18"/>
      <c r="E133" s="18"/>
      <c r="F133" s="18"/>
      <c r="G133" s="18"/>
      <c r="H133" s="18"/>
      <c r="I133" s="18"/>
    </row>
    <row r="134" spans="1:14" x14ac:dyDescent="0.25">
      <c r="A134" s="19">
        <v>-5</v>
      </c>
      <c r="B134" s="20">
        <v>1.2200137043334294</v>
      </c>
      <c r="C134" s="21">
        <v>0.75124456037158249</v>
      </c>
      <c r="D134" s="21"/>
      <c r="E134" s="18"/>
      <c r="F134" s="18"/>
      <c r="G134" s="18"/>
      <c r="H134" s="18"/>
      <c r="I134" s="18"/>
    </row>
    <row r="135" spans="1:14" x14ac:dyDescent="0.25">
      <c r="A135" s="19">
        <v>-6</v>
      </c>
      <c r="B135" s="20">
        <v>1.21833614369747</v>
      </c>
      <c r="C135" s="21">
        <v>0.75635255681979841</v>
      </c>
      <c r="D135" s="21"/>
      <c r="E135" s="18"/>
      <c r="F135" s="18"/>
      <c r="G135" s="18"/>
      <c r="H135" s="18"/>
      <c r="I135" s="18"/>
    </row>
    <row r="136" spans="1:14" x14ac:dyDescent="0.25">
      <c r="A136" s="18">
        <v>-7</v>
      </c>
      <c r="B136" s="18">
        <v>1.2179715867997181</v>
      </c>
      <c r="C136" s="18">
        <v>0.76093440519565758</v>
      </c>
      <c r="D136" s="18"/>
      <c r="E136" s="18"/>
      <c r="F136" s="18"/>
      <c r="G136" s="18"/>
      <c r="H136" s="18"/>
      <c r="I136" s="18"/>
    </row>
    <row r="137" spans="1:14" x14ac:dyDescent="0.25">
      <c r="A137" s="18">
        <v>-8</v>
      </c>
      <c r="B137" s="20">
        <v>1.2175732782176449</v>
      </c>
      <c r="C137" s="18">
        <v>0.76461297420149144</v>
      </c>
      <c r="D137" s="18"/>
      <c r="E137" s="18"/>
      <c r="F137" s="18"/>
      <c r="G137" s="18"/>
      <c r="H137" s="18"/>
      <c r="I137" s="18"/>
    </row>
    <row r="138" spans="1:14" x14ac:dyDescent="0.25">
      <c r="A138" s="19">
        <v>-9</v>
      </c>
      <c r="B138" s="20">
        <v>1.2171673699857946</v>
      </c>
      <c r="C138" s="18">
        <v>0.76765491985810064</v>
      </c>
      <c r="D138" s="18"/>
      <c r="E138" s="18"/>
      <c r="F138" s="18"/>
      <c r="G138" s="18"/>
      <c r="H138" s="18"/>
      <c r="I138" s="18"/>
    </row>
    <row r="139" spans="1:14" x14ac:dyDescent="0.25">
      <c r="A139" s="19">
        <v>-10</v>
      </c>
      <c r="B139" s="18">
        <v>1.2167660613197151</v>
      </c>
      <c r="C139" s="18">
        <v>0.77022883394210662</v>
      </c>
      <c r="D139" s="18"/>
      <c r="E139" s="18"/>
      <c r="F139" s="18"/>
      <c r="G139" s="18"/>
      <c r="H139" s="18"/>
      <c r="I139" s="18"/>
    </row>
    <row r="140" spans="1:14" x14ac:dyDescent="0.25">
      <c r="A140" s="18">
        <v>-11</v>
      </c>
      <c r="B140" s="18">
        <v>1.2163737354532673</v>
      </c>
      <c r="C140" s="18">
        <v>0.77244633347921066</v>
      </c>
      <c r="D140" s="18"/>
      <c r="E140" s="18"/>
      <c r="F140" s="18"/>
      <c r="G140" s="18"/>
      <c r="H140" s="18"/>
      <c r="I140" s="18"/>
    </row>
    <row r="141" spans="1:14" x14ac:dyDescent="0.25">
      <c r="A141" s="18">
        <v>-12</v>
      </c>
      <c r="B141" s="18">
        <v>1.2159916529868113</v>
      </c>
      <c r="C141" s="18">
        <v>0.77438484431916754</v>
      </c>
      <c r="D141" s="18"/>
      <c r="E141" s="18"/>
      <c r="F141" s="18"/>
      <c r="G141" s="18"/>
      <c r="H141" s="18"/>
      <c r="I141" s="18"/>
    </row>
    <row r="142" spans="1:14" x14ac:dyDescent="0.25">
      <c r="A142" s="19">
        <v>-13</v>
      </c>
      <c r="B142" s="18">
        <v>1.2156197766318222</v>
      </c>
      <c r="C142" s="18">
        <v>0.77610007468159947</v>
      </c>
      <c r="D142" s="18"/>
      <c r="E142" s="18"/>
      <c r="F142" s="18"/>
      <c r="G142" s="18"/>
      <c r="H142" s="18"/>
      <c r="I142" s="18"/>
    </row>
    <row r="143" spans="1:14" x14ac:dyDescent="0.25">
      <c r="A143" s="19">
        <v>-14</v>
      </c>
      <c r="B143" s="18">
        <v>1.2162794379424531</v>
      </c>
      <c r="C143" s="18">
        <v>0.77827336311640727</v>
      </c>
      <c r="D143" s="18"/>
      <c r="E143" s="18"/>
      <c r="F143" s="18"/>
      <c r="G143" s="18"/>
      <c r="H143" s="18"/>
      <c r="I143" s="18"/>
    </row>
    <row r="144" spans="1:14" x14ac:dyDescent="0.25">
      <c r="A144" s="18">
        <v>-15</v>
      </c>
      <c r="B144" s="18">
        <v>1.2157079052987223</v>
      </c>
      <c r="C144" s="18">
        <v>0.77952092203425427</v>
      </c>
      <c r="D144" s="22"/>
      <c r="E144" s="18"/>
      <c r="F144" s="18"/>
      <c r="G144" s="18"/>
      <c r="H144" s="19"/>
      <c r="I144" s="23"/>
    </row>
    <row r="145" spans="1:9" x14ac:dyDescent="0.25">
      <c r="A145" s="18">
        <v>-16</v>
      </c>
      <c r="B145" s="18">
        <v>1.2152177957929522</v>
      </c>
      <c r="C145" s="18">
        <v>0.78068743139496577</v>
      </c>
      <c r="D145" s="24"/>
      <c r="E145" s="18"/>
      <c r="F145" s="18"/>
      <c r="G145" s="18"/>
      <c r="H145" s="19"/>
      <c r="I145" s="23"/>
    </row>
    <row r="146" spans="1:9" x14ac:dyDescent="0.25">
      <c r="A146" s="19">
        <v>-17</v>
      </c>
      <c r="B146" s="18">
        <v>1.2147615340980109</v>
      </c>
      <c r="C146" s="18">
        <v>0.78176301365200718</v>
      </c>
      <c r="D146" s="18"/>
      <c r="E146" s="18"/>
      <c r="F146" s="18"/>
      <c r="G146" s="18"/>
      <c r="H146" s="18"/>
      <c r="I146" s="18"/>
    </row>
    <row r="147" spans="1:9" x14ac:dyDescent="0.25">
      <c r="A147" s="19">
        <v>-18</v>
      </c>
      <c r="B147">
        <v>1.2143331375057347</v>
      </c>
      <c r="C147">
        <v>0.78275993037288372</v>
      </c>
    </row>
    <row r="148" spans="1:9" x14ac:dyDescent="0.25">
      <c r="A148" s="18">
        <v>-19</v>
      </c>
      <c r="B148">
        <v>1.2139273024001758</v>
      </c>
      <c r="C148">
        <v>0.78368789506382541</v>
      </c>
    </row>
    <row r="149" spans="1:9" x14ac:dyDescent="0.25">
      <c r="A149" s="18">
        <v>-20</v>
      </c>
      <c r="B149">
        <v>1.2135399505491891</v>
      </c>
      <c r="C149">
        <v>0.78455509902255127</v>
      </c>
    </row>
    <row r="150" spans="1:9" x14ac:dyDescent="0.25">
      <c r="A150" s="19">
        <v>-21</v>
      </c>
      <c r="B150">
        <v>1.2131678736617271</v>
      </c>
      <c r="C150">
        <v>0.7853684879563313</v>
      </c>
    </row>
    <row r="151" spans="1:9" x14ac:dyDescent="0.25">
      <c r="A151" s="19">
        <v>-22</v>
      </c>
      <c r="B151">
        <v>1.2128085052275819</v>
      </c>
      <c r="C151">
        <v>0.78613399134992745</v>
      </c>
    </row>
    <row r="152" spans="1:9" x14ac:dyDescent="0.25">
      <c r="A152" s="18">
        <v>-23</v>
      </c>
      <c r="B152">
        <v>1.2124597593837982</v>
      </c>
      <c r="C152">
        <v>0.78685670338639979</v>
      </c>
    </row>
    <row r="153" spans="1:9" x14ac:dyDescent="0.25">
      <c r="A153" s="18">
        <v>-24</v>
      </c>
      <c r="B153">
        <v>1.2121199153144688</v>
      </c>
      <c r="C153">
        <v>0.78754102690974526</v>
      </c>
    </row>
    <row r="154" spans="1:9" x14ac:dyDescent="0.25">
      <c r="A154" s="19">
        <v>-25</v>
      </c>
      <c r="B154">
        <v>1.2117875329134842</v>
      </c>
      <c r="C154">
        <v>0.78819078880860538</v>
      </c>
    </row>
    <row r="155" spans="1:9" x14ac:dyDescent="0.25">
      <c r="A155" s="19">
        <v>-26</v>
      </c>
      <c r="B155">
        <v>1.2114613903018303</v>
      </c>
      <c r="C155">
        <v>0.78880933316031432</v>
      </c>
    </row>
    <row r="156" spans="1:9" x14ac:dyDescent="0.25">
      <c r="A156" s="18">
        <v>-27</v>
      </c>
      <c r="B156">
        <v>1.2111404368587717</v>
      </c>
      <c r="C156">
        <v>0.78939959694266382</v>
      </c>
    </row>
    <row r="157" spans="1:9" x14ac:dyDescent="0.25">
      <c r="A157" s="18">
        <v>-28</v>
      </c>
      <c r="B157">
        <v>1.2108237574330347</v>
      </c>
      <c r="C157">
        <v>0.78996417199115865</v>
      </c>
    </row>
    <row r="158" spans="1:9" x14ac:dyDescent="0.25">
      <c r="A158" s="19">
        <v>-29</v>
      </c>
      <c r="B158">
        <v>1.2105105447114952</v>
      </c>
      <c r="C158">
        <v>0.79050535602535199</v>
      </c>
    </row>
    <row r="159" spans="1:9" x14ac:dyDescent="0.25">
      <c r="A159" s="19">
        <v>-30</v>
      </c>
      <c r="B159">
        <v>1.2102000776156523</v>
      </c>
      <c r="C159">
        <v>0.79102519493358125</v>
      </c>
    </row>
    <row r="160" spans="1:9" x14ac:dyDescent="0.25">
      <c r="A160" s="18">
        <v>-31</v>
      </c>
      <c r="B160">
        <v>1.2105619499366804</v>
      </c>
      <c r="C160">
        <v>0.79195974641102529</v>
      </c>
    </row>
    <row r="161" spans="1:3" x14ac:dyDescent="0.25">
      <c r="A161" s="18">
        <v>-32</v>
      </c>
      <c r="B161">
        <v>1.2095822954903459</v>
      </c>
      <c r="C161">
        <v>0.79200632472080856</v>
      </c>
    </row>
    <row r="162" spans="1:3" x14ac:dyDescent="0.25">
      <c r="A162" s="19">
        <v>-33</v>
      </c>
      <c r="B162">
        <v>1.2092789046176524</v>
      </c>
      <c r="C162">
        <v>0.79247402892073349</v>
      </c>
    </row>
    <row r="163" spans="1:3" x14ac:dyDescent="0.25">
      <c r="A163" s="19">
        <v>-34</v>
      </c>
      <c r="B163">
        <v>1.2089733930409308</v>
      </c>
      <c r="C163">
        <v>0.79292502558137545</v>
      </c>
    </row>
    <row r="164" spans="1:3" x14ac:dyDescent="0.25">
      <c r="A164" s="18">
        <v>-35</v>
      </c>
      <c r="B164">
        <v>1.2086678277162148</v>
      </c>
      <c r="C164">
        <v>0.79336218932285318</v>
      </c>
    </row>
    <row r="165" spans="1:3" x14ac:dyDescent="0.25">
      <c r="A165" s="18">
        <v>-36</v>
      </c>
      <c r="B165">
        <v>1.2083617319507318</v>
      </c>
      <c r="C165">
        <v>0.79378662336040562</v>
      </c>
    </row>
    <row r="166" spans="1:3" x14ac:dyDescent="0.25">
      <c r="A166" s="19">
        <v>-37</v>
      </c>
      <c r="B166">
        <v>1.2080546525941216</v>
      </c>
      <c r="C166">
        <v>0.79419934178177154</v>
      </c>
    </row>
    <row r="167" spans="1:3" x14ac:dyDescent="0.25">
      <c r="A167" s="19">
        <v>-38</v>
      </c>
      <c r="B167">
        <v>1.2077461470352482</v>
      </c>
      <c r="C167">
        <v>0.79460127572780226</v>
      </c>
    </row>
    <row r="168" spans="1:3" x14ac:dyDescent="0.25">
      <c r="A168" s="18">
        <v>-39</v>
      </c>
      <c r="B168">
        <v>1.2074357788673706</v>
      </c>
      <c r="C168">
        <v>0.79499328336487707</v>
      </c>
    </row>
    <row r="169" spans="1:3" x14ac:dyDescent="0.25">
      <c r="A169" s="18">
        <v>-40</v>
      </c>
      <c r="B169">
        <v>1.2071231139244816</v>
      </c>
      <c r="C169">
        <v>0.7953761585886624</v>
      </c>
    </row>
    <row r="170" spans="1:3" x14ac:dyDescent="0.25">
      <c r="A170" s="19">
        <v>-41</v>
      </c>
      <c r="B170">
        <v>1.206807716598107</v>
      </c>
      <c r="C170">
        <v>0.79575063867274232</v>
      </c>
    </row>
    <row r="171" spans="1:3" x14ac:dyDescent="0.25">
      <c r="A171" s="19">
        <v>-42</v>
      </c>
      <c r="B171">
        <v>1.2064891463421736</v>
      </c>
      <c r="C171">
        <v>0.79611741103020683</v>
      </c>
    </row>
    <row r="172" spans="1:3" x14ac:dyDescent="0.25">
      <c r="A172" s="18">
        <v>-43</v>
      </c>
      <c r="B172">
        <v>1.2061669542843712</v>
      </c>
      <c r="C172">
        <v>0.79647711922970332</v>
      </c>
    </row>
    <row r="173" spans="1:3" x14ac:dyDescent="0.25">
      <c r="A173" s="18">
        <v>-44</v>
      </c>
      <c r="B173">
        <v>1.2058406798734811</v>
      </c>
      <c r="C173">
        <v>0.79683036838608645</v>
      </c>
    </row>
    <row r="174" spans="1:3" x14ac:dyDescent="0.25">
      <c r="A174" s="19">
        <v>-45</v>
      </c>
      <c r="B174">
        <v>1.20477503421316</v>
      </c>
      <c r="C174">
        <v>0.79669384091384632</v>
      </c>
    </row>
    <row r="175" spans="1:3" x14ac:dyDescent="0.25">
      <c r="A175" s="19">
        <v>-46</v>
      </c>
      <c r="B175">
        <v>1.2051603052502147</v>
      </c>
      <c r="C175">
        <v>0.79751074300935199</v>
      </c>
    </row>
    <row r="176" spans="1:3" x14ac:dyDescent="0.25">
      <c r="A176" s="18">
        <v>-47</v>
      </c>
      <c r="B176">
        <v>1.2048106701139756</v>
      </c>
      <c r="C176">
        <v>0.79784252238684039</v>
      </c>
    </row>
    <row r="177" spans="1:3" x14ac:dyDescent="0.25">
      <c r="A177" s="18">
        <v>-48</v>
      </c>
      <c r="B177">
        <v>1.2044484290891166</v>
      </c>
      <c r="C177">
        <v>0.79816566755784346</v>
      </c>
    </row>
    <row r="178" spans="1:3" x14ac:dyDescent="0.25">
      <c r="A178" s="19">
        <v>-49</v>
      </c>
      <c r="B178">
        <v>1.2040794278910709</v>
      </c>
      <c r="C178">
        <v>0.79848488775016391</v>
      </c>
    </row>
    <row r="179" spans="1:3" x14ac:dyDescent="0.25">
      <c r="A179" s="19">
        <v>-50</v>
      </c>
      <c r="B179">
        <v>1.203702995660902</v>
      </c>
      <c r="C179">
        <v>0.79880060467719349</v>
      </c>
    </row>
    <row r="180" spans="1:3" x14ac:dyDescent="0.25">
      <c r="A180" s="18">
        <v>-51</v>
      </c>
      <c r="B180">
        <v>1.2033184470734062</v>
      </c>
      <c r="C180">
        <v>0.79911324558053975</v>
      </c>
    </row>
    <row r="181" spans="1:3" x14ac:dyDescent="0.25">
      <c r="A181" s="18">
        <v>-52</v>
      </c>
      <c r="B181">
        <v>1.2029250497687636</v>
      </c>
      <c r="C181">
        <v>0.79942322865244331</v>
      </c>
    </row>
    <row r="182" spans="1:3" x14ac:dyDescent="0.25">
      <c r="A182" s="19">
        <v>-53</v>
      </c>
      <c r="B182">
        <v>1.2025220178712728</v>
      </c>
      <c r="C182">
        <v>0.799730966123821</v>
      </c>
    </row>
    <row r="183" spans="1:3" x14ac:dyDescent="0.25">
      <c r="A183" s="19">
        <v>-54</v>
      </c>
      <c r="B183">
        <v>1.2021085046027229</v>
      </c>
      <c r="C183">
        <v>0.80003686735306156</v>
      </c>
    </row>
    <row r="184" spans="1:3" x14ac:dyDescent="0.25">
      <c r="A184" s="18">
        <v>-55</v>
      </c>
      <c r="B184">
        <v>1.2016835939261048</v>
      </c>
      <c r="C184">
        <v>0.80034134204386054</v>
      </c>
    </row>
    <row r="185" spans="1:3" x14ac:dyDescent="0.25">
      <c r="A185" s="18">
        <v>-56</v>
      </c>
      <c r="B185">
        <v>1.2012462910344666</v>
      </c>
      <c r="C185">
        <v>0.80064480366820501</v>
      </c>
    </row>
    <row r="186" spans="1:3" x14ac:dyDescent="0.25">
      <c r="A186" s="19">
        <v>-57</v>
      </c>
      <c r="B186">
        <v>1.200795511463834</v>
      </c>
      <c r="C186">
        <v>0.80094767318577942</v>
      </c>
    </row>
    <row r="187" spans="1:3" x14ac:dyDescent="0.25">
      <c r="A187" s="19">
        <v>-58</v>
      </c>
      <c r="B187">
        <v>1.2003300685613132</v>
      </c>
      <c r="C187">
        <v>0.80125038316605235</v>
      </c>
    </row>
    <row r="188" spans="1:3" x14ac:dyDescent="0.25">
      <c r="A188" s="18">
        <v>-59</v>
      </c>
      <c r="B188">
        <v>1.199848658987309</v>
      </c>
      <c r="C188">
        <v>0.80155338244872631</v>
      </c>
    </row>
    <row r="189" spans="1:3" x14ac:dyDescent="0.25">
      <c r="A189" s="18">
        <v>-60</v>
      </c>
      <c r="B189">
        <v>1.1984534739567916</v>
      </c>
      <c r="C189">
        <v>0.80125696509416278</v>
      </c>
    </row>
    <row r="190" spans="1:3" x14ac:dyDescent="0.25">
      <c r="A190" s="19">
        <v>-61</v>
      </c>
      <c r="B190">
        <v>1.1989651265839119</v>
      </c>
      <c r="C190">
        <v>0.80225137889898746</v>
      </c>
    </row>
    <row r="191" spans="1:3" x14ac:dyDescent="0.25">
      <c r="A191" s="19">
        <v>-62</v>
      </c>
      <c r="B191">
        <v>1.1982943152643062</v>
      </c>
      <c r="C191">
        <v>0.80246953396551091</v>
      </c>
    </row>
    <row r="192" spans="1:3" x14ac:dyDescent="0.25">
      <c r="A192" s="18">
        <v>-63</v>
      </c>
      <c r="B192">
        <v>1.1977321805232624</v>
      </c>
      <c r="C192">
        <v>0.80277815137155872</v>
      </c>
    </row>
    <row r="193" spans="1:3" x14ac:dyDescent="0.25">
      <c r="A193" s="18">
        <v>-64</v>
      </c>
      <c r="B193">
        <v>1.1971459401108959</v>
      </c>
      <c r="C193">
        <v>0.80309033059945911</v>
      </c>
    </row>
    <row r="194" spans="1:3" x14ac:dyDescent="0.25">
      <c r="A194" s="19">
        <v>-65</v>
      </c>
      <c r="B194">
        <v>1.1965322875966837</v>
      </c>
      <c r="C194">
        <v>0.80340622075283585</v>
      </c>
    </row>
    <row r="195" spans="1:3" x14ac:dyDescent="0.25">
      <c r="A195" s="19">
        <v>-66</v>
      </c>
      <c r="B195">
        <v>1.1958884146337379</v>
      </c>
      <c r="C195">
        <v>0.80372660746554592</v>
      </c>
    </row>
    <row r="196" spans="1:3" x14ac:dyDescent="0.25">
      <c r="A196" s="18">
        <v>-67</v>
      </c>
      <c r="B196">
        <v>1.1952111415910358</v>
      </c>
      <c r="C196">
        <v>0.8040523890733049</v>
      </c>
    </row>
    <row r="197" spans="1:3" x14ac:dyDescent="0.25">
      <c r="A197" s="18">
        <v>-68</v>
      </c>
      <c r="B197">
        <v>1.1944968438673562</v>
      </c>
      <c r="C197">
        <v>0.80438460135117029</v>
      </c>
    </row>
    <row r="198" spans="1:3" x14ac:dyDescent="0.25">
      <c r="A198" s="19">
        <v>-69</v>
      </c>
      <c r="B198">
        <v>1.1937413690696481</v>
      </c>
      <c r="C198">
        <v>0.8047244550923196</v>
      </c>
    </row>
    <row r="199" spans="1:3" x14ac:dyDescent="0.25">
      <c r="A199" s="19">
        <v>-70</v>
      </c>
      <c r="B199">
        <v>1.1929399354609032</v>
      </c>
      <c r="C199">
        <v>0.80507338620310365</v>
      </c>
    </row>
    <row r="200" spans="1:3" x14ac:dyDescent="0.25">
      <c r="A200" s="18">
        <v>-71</v>
      </c>
      <c r="B200">
        <v>1.1920870066608951</v>
      </c>
      <c r="C200">
        <v>0.80543312346669482</v>
      </c>
    </row>
    <row r="201" spans="1:3" x14ac:dyDescent="0.25">
      <c r="A201" s="18">
        <v>-72</v>
      </c>
      <c r="B201">
        <v>1.1911761362178008</v>
      </c>
      <c r="C201">
        <v>0.80580578174371054</v>
      </c>
    </row>
    <row r="202" spans="1:3" x14ac:dyDescent="0.25">
      <c r="A202" s="19">
        <v>-73</v>
      </c>
      <c r="B202">
        <v>1.1901997738701313</v>
      </c>
      <c r="C202">
        <v>0.80619399246649448</v>
      </c>
    </row>
    <row r="203" spans="1:3" x14ac:dyDescent="0.25">
      <c r="A203" s="19">
        <v>-74</v>
      </c>
      <c r="B203">
        <v>1.1891490231828965</v>
      </c>
      <c r="C203">
        <v>0.80660108996113788</v>
      </c>
    </row>
    <row r="204" spans="1:3" x14ac:dyDescent="0.25">
      <c r="A204" s="18">
        <v>-75</v>
      </c>
      <c r="B204">
        <v>1.1880133378654509</v>
      </c>
      <c r="C204">
        <v>0.80703138325098089</v>
      </c>
    </row>
    <row r="205" spans="1:3" x14ac:dyDescent="0.25">
      <c r="A205" s="18">
        <v>-76</v>
      </c>
      <c r="B205">
        <v>1.1867801420751445</v>
      </c>
      <c r="C205">
        <v>0.80749056211151915</v>
      </c>
    </row>
    <row r="206" spans="1:3" x14ac:dyDescent="0.25">
      <c r="A206" s="19">
        <v>-77</v>
      </c>
      <c r="B206">
        <v>1.1854343600120354</v>
      </c>
      <c r="C206">
        <v>0.80798632005913218</v>
      </c>
    </row>
    <row r="207" spans="1:3" x14ac:dyDescent="0.25">
      <c r="A207" s="19">
        <v>-78</v>
      </c>
      <c r="B207">
        <v>1.1827502987055372</v>
      </c>
      <c r="C207">
        <v>0.8076943696127179</v>
      </c>
    </row>
    <row r="208" spans="1:3" x14ac:dyDescent="0.25">
      <c r="A208" s="18">
        <v>-79</v>
      </c>
      <c r="B208">
        <v>1.1808243290428333</v>
      </c>
      <c r="C208">
        <v>0.80809129796498447</v>
      </c>
    </row>
    <row r="209" spans="1:3" x14ac:dyDescent="0.25">
      <c r="A209" s="18">
        <v>-80</v>
      </c>
      <c r="B209">
        <v>1.1786268011123149</v>
      </c>
      <c r="C209">
        <v>0.8085070048543902</v>
      </c>
    </row>
    <row r="210" spans="1:3" x14ac:dyDescent="0.25">
      <c r="A210" s="19">
        <v>-81</v>
      </c>
      <c r="B210">
        <v>1.1760840740488518</v>
      </c>
      <c r="C210">
        <v>0.80894530610206317</v>
      </c>
    </row>
    <row r="211" spans="1:3" x14ac:dyDescent="0.25">
      <c r="A211" s="19">
        <v>-82</v>
      </c>
      <c r="B211">
        <v>1.173092977093416</v>
      </c>
      <c r="C211">
        <v>0.80941250456797442</v>
      </c>
    </row>
    <row r="212" spans="1:3" x14ac:dyDescent="0.25">
      <c r="A212" s="18">
        <v>-83</v>
      </c>
      <c r="B212">
        <v>1.1695020684331778</v>
      </c>
      <c r="C212">
        <v>0.80991861414894795</v>
      </c>
    </row>
    <row r="213" spans="1:3" x14ac:dyDescent="0.25">
      <c r="A213" s="18">
        <v>-84</v>
      </c>
      <c r="B213">
        <v>1.1650786292458957</v>
      </c>
      <c r="C213">
        <v>0.81048126269093534</v>
      </c>
    </row>
    <row r="214" spans="1:3" x14ac:dyDescent="0.25">
      <c r="A214" s="19">
        <v>-85</v>
      </c>
      <c r="B214">
        <v>1.1594438770761419</v>
      </c>
      <c r="C214">
        <v>0.8111359056198697</v>
      </c>
    </row>
    <row r="215" spans="1:3" x14ac:dyDescent="0.25">
      <c r="A215" s="19">
        <v>-86</v>
      </c>
      <c r="B215">
        <v>1.1519342559410168</v>
      </c>
      <c r="C215">
        <v>0.81196749269655555</v>
      </c>
    </row>
    <row r="216" spans="1:3" x14ac:dyDescent="0.25">
      <c r="A216" s="18">
        <v>-87</v>
      </c>
      <c r="B216">
        <v>1.1399315147024311</v>
      </c>
      <c r="C216">
        <v>0.81224460144034583</v>
      </c>
    </row>
    <row r="217" spans="1:3" x14ac:dyDescent="0.25">
      <c r="A217" s="18">
        <v>-88</v>
      </c>
      <c r="B217">
        <v>1.1214731653211074</v>
      </c>
      <c r="C217">
        <v>0.81359567805761157</v>
      </c>
    </row>
    <row r="218" spans="1:3" x14ac:dyDescent="0.25">
      <c r="A218" s="19">
        <v>-89</v>
      </c>
      <c r="B218">
        <v>1.077673422582561</v>
      </c>
      <c r="C218">
        <v>0.81422793889707246</v>
      </c>
    </row>
    <row r="219" spans="1:3" x14ac:dyDescent="0.25">
      <c r="A219" s="19">
        <v>-90</v>
      </c>
      <c r="B219">
        <v>8.4982066916819396E-14</v>
      </c>
      <c r="C219">
        <v>0.81631793754553228</v>
      </c>
    </row>
    <row r="220" spans="1:3" x14ac:dyDescent="0.25">
      <c r="A220" s="18">
        <v>-91</v>
      </c>
      <c r="B220">
        <v>-1.0776447762603905</v>
      </c>
      <c r="C220">
        <v>0.81420474183117353</v>
      </c>
    </row>
    <row r="221" spans="1:3" x14ac:dyDescent="0.25">
      <c r="A221" s="18">
        <v>-92</v>
      </c>
      <c r="B221">
        <v>-1.1199765583362009</v>
      </c>
      <c r="C221">
        <v>0.81245954261147102</v>
      </c>
    </row>
    <row r="222" spans="1:3" x14ac:dyDescent="0.25">
      <c r="A222" s="19">
        <v>-93</v>
      </c>
      <c r="B222">
        <v>-1.1388645431009801</v>
      </c>
      <c r="C222">
        <v>0.81145704494664272</v>
      </c>
    </row>
    <row r="223" spans="1:3" x14ac:dyDescent="0.25">
      <c r="A223" s="19">
        <v>-94</v>
      </c>
      <c r="B223">
        <v>-1.1511946584985562</v>
      </c>
      <c r="C223">
        <v>0.81143064785884633</v>
      </c>
    </row>
    <row r="224" spans="1:3" x14ac:dyDescent="0.25">
      <c r="A224" s="18">
        <v>-95</v>
      </c>
      <c r="B224">
        <v>-1.1598389170852508</v>
      </c>
      <c r="C224">
        <v>0.81141934761330525</v>
      </c>
    </row>
    <row r="225" spans="1:3" x14ac:dyDescent="0.25">
      <c r="A225" s="18">
        <v>-96</v>
      </c>
      <c r="B225">
        <v>-1.1645695417064195</v>
      </c>
      <c r="C225">
        <v>0.81011915881099616</v>
      </c>
    </row>
    <row r="226" spans="1:3" x14ac:dyDescent="0.25">
      <c r="A226" s="19">
        <v>-97</v>
      </c>
      <c r="B226">
        <v>-1.1692004462441437</v>
      </c>
      <c r="C226">
        <v>0.80970554575135056</v>
      </c>
    </row>
    <row r="227" spans="1:3" x14ac:dyDescent="0.25">
      <c r="A227" s="19">
        <v>-98</v>
      </c>
      <c r="B227">
        <v>-1.1729054632061457</v>
      </c>
      <c r="C227">
        <v>0.80928078921299751</v>
      </c>
    </row>
    <row r="228" spans="1:3" x14ac:dyDescent="0.25">
      <c r="A228" s="18">
        <v>-99</v>
      </c>
      <c r="B228">
        <v>-1.1759621906111228</v>
      </c>
      <c r="C228">
        <v>0.80886009923280688</v>
      </c>
    </row>
    <row r="229" spans="1:3" x14ac:dyDescent="0.25">
      <c r="A229" s="18">
        <v>-100</v>
      </c>
      <c r="B229">
        <v>-1.1785449062734079</v>
      </c>
      <c r="C229">
        <v>0.80844998898838427</v>
      </c>
    </row>
    <row r="230" spans="1:3" x14ac:dyDescent="0.25">
      <c r="A230" s="19">
        <v>-101</v>
      </c>
      <c r="B230">
        <v>-1.1807679089813865</v>
      </c>
      <c r="C230">
        <v>0.80805215995097113</v>
      </c>
    </row>
    <row r="231" spans="1:3" x14ac:dyDescent="0.25">
      <c r="A231" s="19">
        <v>-102</v>
      </c>
      <c r="B231">
        <v>-1.1827099954546494</v>
      </c>
      <c r="C231">
        <v>0.80766650185133138</v>
      </c>
    </row>
    <row r="232" spans="1:3" x14ac:dyDescent="0.25">
      <c r="A232" s="18">
        <v>-103</v>
      </c>
      <c r="B232">
        <v>-1.1844276215173075</v>
      </c>
      <c r="C232">
        <v>0.80729222979615556</v>
      </c>
    </row>
    <row r="233" spans="1:3" x14ac:dyDescent="0.25">
      <c r="A233" s="18">
        <v>-104</v>
      </c>
      <c r="B233">
        <v>-1.1869472987983802</v>
      </c>
      <c r="C233">
        <v>0.80760550226049621</v>
      </c>
    </row>
    <row r="234" spans="1:3" x14ac:dyDescent="0.25">
      <c r="A234" s="19">
        <v>-105</v>
      </c>
      <c r="B234">
        <v>-1.188122538774242</v>
      </c>
      <c r="C234">
        <v>0.80710628855902367</v>
      </c>
    </row>
    <row r="235" spans="1:3" x14ac:dyDescent="0.25">
      <c r="A235" s="19">
        <v>-106</v>
      </c>
      <c r="B235">
        <v>-1.1892411123303179</v>
      </c>
      <c r="C235">
        <v>0.80666411485728029</v>
      </c>
    </row>
    <row r="236" spans="1:3" x14ac:dyDescent="0.25">
      <c r="A236" s="18">
        <v>-107</v>
      </c>
      <c r="B236">
        <v>-1.1902774835652261</v>
      </c>
      <c r="C236">
        <v>0.80624706418483583</v>
      </c>
    </row>
    <row r="237" spans="1:3" x14ac:dyDescent="0.25">
      <c r="A237" s="18">
        <v>-108</v>
      </c>
      <c r="B237">
        <v>-1.1912422339344968</v>
      </c>
      <c r="C237">
        <v>0.80585083394385815</v>
      </c>
    </row>
    <row r="238" spans="1:3" x14ac:dyDescent="0.25">
      <c r="A238" s="19">
        <v>-109</v>
      </c>
      <c r="B238">
        <v>-1.1921435831918712</v>
      </c>
      <c r="C238">
        <v>0.80547161427201741</v>
      </c>
    </row>
    <row r="239" spans="1:3" x14ac:dyDescent="0.25">
      <c r="A239" s="19">
        <v>-110</v>
      </c>
      <c r="B239">
        <v>-1.1929886081409191</v>
      </c>
      <c r="C239">
        <v>0.80510644143078403</v>
      </c>
    </row>
    <row r="240" spans="1:3" x14ac:dyDescent="0.25">
      <c r="A240" s="18">
        <v>-111</v>
      </c>
      <c r="B240">
        <v>-1.1937834058082204</v>
      </c>
      <c r="C240">
        <v>0.8047529558098141</v>
      </c>
    </row>
    <row r="241" spans="1:3" x14ac:dyDescent="0.25">
      <c r="A241" s="18">
        <v>-112</v>
      </c>
      <c r="B241">
        <v>-1.1945332508960276</v>
      </c>
      <c r="C241">
        <v>0.80440924568148098</v>
      </c>
    </row>
    <row r="242" spans="1:3" x14ac:dyDescent="0.25">
      <c r="A242" s="19">
        <v>-113</v>
      </c>
      <c r="B242">
        <v>-1.1952427263592182</v>
      </c>
      <c r="C242">
        <v>0.80407373641096092</v>
      </c>
    </row>
    <row r="243" spans="1:3" x14ac:dyDescent="0.25">
      <c r="A243" s="19">
        <v>-114</v>
      </c>
      <c r="B243">
        <v>-1.1959158316080145</v>
      </c>
      <c r="C243">
        <v>0.80374511061620357</v>
      </c>
    </row>
    <row r="244" spans="1:3" x14ac:dyDescent="0.25">
      <c r="A244" s="18">
        <v>-115</v>
      </c>
      <c r="B244">
        <v>-1.1965560720891828</v>
      </c>
      <c r="C244">
        <v>0.80342224963306297</v>
      </c>
    </row>
    <row r="245" spans="1:3" x14ac:dyDescent="0.25">
      <c r="A245" s="18">
        <v>-116</v>
      </c>
      <c r="B245">
        <v>-1.1971665335483321</v>
      </c>
      <c r="C245">
        <v>0.8031041899137451</v>
      </c>
    </row>
    <row r="246" spans="1:3" x14ac:dyDescent="0.25">
      <c r="A246" s="19">
        <v>-117</v>
      </c>
      <c r="B246">
        <v>-1.1977499437451145</v>
      </c>
      <c r="C246">
        <v>0.8027900900563647</v>
      </c>
    </row>
    <row r="247" spans="1:3" x14ac:dyDescent="0.25">
      <c r="A247" s="19">
        <v>-118</v>
      </c>
      <c r="B247">
        <v>-1.1983087239099663</v>
      </c>
      <c r="C247">
        <v>0.80247920551433027</v>
      </c>
    </row>
    <row r="248" spans="1:3" x14ac:dyDescent="0.25">
      <c r="A248" s="18">
        <v>-119</v>
      </c>
      <c r="B248">
        <v>-1.1988450318100969</v>
      </c>
      <c r="C248">
        <v>0.80217086892669465</v>
      </c>
    </row>
    <row r="249" spans="1:3" x14ac:dyDescent="0.25">
      <c r="A249" s="18">
        <v>-120</v>
      </c>
      <c r="B249">
        <v>-1.1993607979381671</v>
      </c>
      <c r="C249">
        <v>0.8018644746110356</v>
      </c>
    </row>
    <row r="250" spans="1:3" x14ac:dyDescent="0.25">
      <c r="A250" s="19">
        <v>-121</v>
      </c>
      <c r="B250">
        <v>-1.2005196104382081</v>
      </c>
      <c r="C250">
        <v>0.80200208590943223</v>
      </c>
    </row>
    <row r="251" spans="1:3" x14ac:dyDescent="0.25">
      <c r="A251" s="19">
        <v>-122</v>
      </c>
      <c r="B251">
        <v>-1.2003349658289442</v>
      </c>
      <c r="C251">
        <v>0.8012536543821499</v>
      </c>
    </row>
    <row r="252" spans="1:3" x14ac:dyDescent="0.25">
      <c r="A252" s="18">
        <v>-123</v>
      </c>
      <c r="B252">
        <v>-1.2008013589494047</v>
      </c>
      <c r="C252">
        <v>0.80095157458893229</v>
      </c>
    </row>
    <row r="253" spans="1:3" x14ac:dyDescent="0.25">
      <c r="A253" s="18">
        <v>-124</v>
      </c>
      <c r="B253">
        <v>-1.2012506860049905</v>
      </c>
      <c r="C253">
        <v>0.80064773261729616</v>
      </c>
    </row>
    <row r="254" spans="1:3" x14ac:dyDescent="0.25">
      <c r="A254" s="19">
        <v>-125</v>
      </c>
      <c r="B254">
        <v>-1.2016866443694307</v>
      </c>
      <c r="C254">
        <v>0.80034337266960387</v>
      </c>
    </row>
    <row r="255" spans="1:3" x14ac:dyDescent="0.25">
      <c r="A255" s="19">
        <v>-126</v>
      </c>
      <c r="B255">
        <v>-1.2021102964698689</v>
      </c>
      <c r="C255">
        <v>0.80003805884126622</v>
      </c>
    </row>
    <row r="256" spans="1:3" x14ac:dyDescent="0.25">
      <c r="A256" s="18">
        <v>-127</v>
      </c>
      <c r="B256">
        <v>-1.2025226249943126</v>
      </c>
      <c r="C256">
        <v>0.79973136938154588</v>
      </c>
    </row>
    <row r="257" spans="1:3" x14ac:dyDescent="0.25">
      <c r="A257" s="18">
        <v>-128</v>
      </c>
      <c r="B257">
        <v>-1.2029245353924285</v>
      </c>
      <c r="C257">
        <v>0.79942288737060274</v>
      </c>
    </row>
    <row r="258" spans="1:3" x14ac:dyDescent="0.25">
      <c r="A258" s="19">
        <v>-129</v>
      </c>
      <c r="B258">
        <v>-1.2033168651202943</v>
      </c>
      <c r="C258">
        <v>0.79911219711191861</v>
      </c>
    </row>
    <row r="259" spans="1:3" x14ac:dyDescent="0.25">
      <c r="A259" s="19">
        <v>-130</v>
      </c>
      <c r="B259">
        <v>-1.2037003917608848</v>
      </c>
      <c r="C259">
        <v>0.79879888075227667</v>
      </c>
    </row>
    <row r="260" spans="1:3" x14ac:dyDescent="0.25">
      <c r="A260" s="18">
        <v>-131</v>
      </c>
      <c r="B260">
        <v>-1.2040758402134071</v>
      </c>
      <c r="C260">
        <v>0.79848251505745993</v>
      </c>
    </row>
    <row r="261" spans="1:3" x14ac:dyDescent="0.25">
      <c r="A261" s="18">
        <v>-132</v>
      </c>
      <c r="B261">
        <v>-1.2044438891009488</v>
      </c>
      <c r="C261">
        <v>0.79816266827143156</v>
      </c>
    </row>
    <row r="262" spans="1:3" x14ac:dyDescent="0.25">
      <c r="A262" s="19">
        <v>-133</v>
      </c>
      <c r="B262">
        <v>-1.2048051765211572</v>
      </c>
      <c r="C262">
        <v>0.7978388969929433</v>
      </c>
    </row>
    <row r="263" spans="1:3" x14ac:dyDescent="0.25">
      <c r="A263" s="19">
        <v>-134</v>
      </c>
      <c r="B263">
        <v>-1.2051603052502373</v>
      </c>
      <c r="C263">
        <v>0.79751074300936853</v>
      </c>
    </row>
    <row r="264" spans="1:3" x14ac:dyDescent="0.25">
      <c r="A264" s="18">
        <v>-135</v>
      </c>
      <c r="B264">
        <v>-1.2047750342131531</v>
      </c>
      <c r="C264">
        <v>0.79669384091385775</v>
      </c>
    </row>
    <row r="265" spans="1:3" x14ac:dyDescent="0.25">
      <c r="A265" s="18">
        <v>-136</v>
      </c>
      <c r="B265">
        <v>-1.2058406798735033</v>
      </c>
      <c r="C265">
        <v>0.79683036838610333</v>
      </c>
    </row>
    <row r="266" spans="1:3" x14ac:dyDescent="0.25">
      <c r="A266" s="19">
        <v>-137</v>
      </c>
      <c r="B266">
        <v>-1.2061724572699037</v>
      </c>
      <c r="C266">
        <v>0.79648073523092755</v>
      </c>
    </row>
    <row r="267" spans="1:3" x14ac:dyDescent="0.25">
      <c r="A267" s="19">
        <v>-138</v>
      </c>
      <c r="B267">
        <v>-1.2064936979937679</v>
      </c>
      <c r="C267">
        <v>0.79612039865321615</v>
      </c>
    </row>
    <row r="268" spans="1:3" x14ac:dyDescent="0.25">
      <c r="A268" s="18">
        <v>-139</v>
      </c>
      <c r="B268">
        <v>-1.2068113165926153</v>
      </c>
      <c r="C268">
        <v>0.79575299904866081</v>
      </c>
    </row>
    <row r="269" spans="1:3" x14ac:dyDescent="0.25">
      <c r="A269" s="18">
        <v>-140</v>
      </c>
      <c r="B269">
        <v>-1.2071257290298378</v>
      </c>
      <c r="C269">
        <v>0.79537787130829918</v>
      </c>
    </row>
    <row r="270" spans="1:3" x14ac:dyDescent="0.25">
      <c r="A270" s="19">
        <v>-141</v>
      </c>
      <c r="B270">
        <v>-1.2074373690166926</v>
      </c>
      <c r="C270">
        <v>0.79499432363727918</v>
      </c>
    </row>
    <row r="271" spans="1:3" x14ac:dyDescent="0.25">
      <c r="A271" s="19">
        <v>-142</v>
      </c>
      <c r="B271">
        <v>-1.207746664532773</v>
      </c>
      <c r="C271">
        <v>0.79460161388841555</v>
      </c>
    </row>
    <row r="272" spans="1:3" x14ac:dyDescent="0.25">
      <c r="A272" s="18">
        <v>-143</v>
      </c>
      <c r="B272">
        <v>-1.2080540412421268</v>
      </c>
      <c r="C272">
        <v>0.79419894275296843</v>
      </c>
    </row>
    <row r="273" spans="1:3" x14ac:dyDescent="0.25">
      <c r="A273" s="18">
        <v>-144</v>
      </c>
      <c r="B273">
        <v>-1.2083599259718292</v>
      </c>
      <c r="C273">
        <v>0.79378544598398781</v>
      </c>
    </row>
    <row r="274" spans="1:3" x14ac:dyDescent="0.25">
      <c r="A274" s="19">
        <v>-145</v>
      </c>
      <c r="B274">
        <v>-1.2086647504304673</v>
      </c>
      <c r="C274">
        <v>0.79336018553937304</v>
      </c>
    </row>
    <row r="275" spans="1:3" x14ac:dyDescent="0.25">
      <c r="A275" s="19">
        <v>-146</v>
      </c>
      <c r="B275">
        <v>-1.208968955265491</v>
      </c>
      <c r="C275">
        <v>0.79292213943710355</v>
      </c>
    </row>
    <row r="276" spans="1:3" x14ac:dyDescent="0.25">
      <c r="A276" s="18">
        <v>-147</v>
      </c>
      <c r="B276">
        <v>-1.209272994578207</v>
      </c>
      <c r="C276">
        <v>0.79247019007135533</v>
      </c>
    </row>
    <row r="277" spans="1:3" x14ac:dyDescent="0.25">
      <c r="A277" s="18">
        <v>-148</v>
      </c>
      <c r="B277">
        <v>-1.2095773410430792</v>
      </c>
      <c r="C277">
        <v>0.79200311068429896</v>
      </c>
    </row>
    <row r="278" spans="1:3" x14ac:dyDescent="0.25">
      <c r="A278" s="19">
        <v>-149</v>
      </c>
      <c r="B278">
        <v>-1.2098824918153475</v>
      </c>
      <c r="C278">
        <v>0.791519549620742</v>
      </c>
    </row>
    <row r="279" spans="1:3" x14ac:dyDescent="0.25">
      <c r="A279" s="19">
        <v>-150</v>
      </c>
      <c r="B279">
        <v>-1.2092803231868405</v>
      </c>
      <c r="C279">
        <v>0.79043011586412149</v>
      </c>
    </row>
    <row r="280" spans="1:3" x14ac:dyDescent="0.25">
      <c r="A280" s="18">
        <v>-151</v>
      </c>
      <c r="B280">
        <v>-1.2106324117740945</v>
      </c>
      <c r="C280">
        <v>0.79058409370883975</v>
      </c>
    </row>
    <row r="281" spans="1:3" x14ac:dyDescent="0.25">
      <c r="A281" s="18">
        <v>-152</v>
      </c>
      <c r="B281">
        <v>-1.2108091205187268</v>
      </c>
      <c r="C281">
        <v>0.78995472871111261</v>
      </c>
    </row>
    <row r="282" spans="1:3" x14ac:dyDescent="0.25">
      <c r="A282" s="19">
        <v>-153</v>
      </c>
      <c r="B282">
        <v>-1.2111223723226068</v>
      </c>
      <c r="C282">
        <v>0.7893879595721246</v>
      </c>
    </row>
    <row r="283" spans="1:3" x14ac:dyDescent="0.25">
      <c r="A283" s="19">
        <v>-154</v>
      </c>
      <c r="B283">
        <v>-1.2114404236704441</v>
      </c>
      <c r="C283">
        <v>0.78879584704006989</v>
      </c>
    </row>
    <row r="284" spans="1:3" x14ac:dyDescent="0.25">
      <c r="A284" s="18">
        <v>-155</v>
      </c>
      <c r="B284">
        <v>-1.2117632887980581</v>
      </c>
      <c r="C284">
        <v>0.78817521955155945</v>
      </c>
    </row>
    <row r="285" spans="1:3" x14ac:dyDescent="0.25">
      <c r="A285" s="18">
        <v>-156</v>
      </c>
      <c r="B285">
        <v>-1.2120919342244718</v>
      </c>
      <c r="C285">
        <v>0.78752308787480074</v>
      </c>
    </row>
    <row r="286" spans="1:3" x14ac:dyDescent="0.25">
      <c r="A286" s="19">
        <v>-157</v>
      </c>
      <c r="B286">
        <v>-1.2124274835212405</v>
      </c>
      <c r="C286">
        <v>0.7868360471430752</v>
      </c>
    </row>
    <row r="287" spans="1:3" x14ac:dyDescent="0.25">
      <c r="A287" s="19">
        <v>-158</v>
      </c>
      <c r="B287">
        <v>-1.2127712518517304</v>
      </c>
      <c r="C287">
        <v>0.78611019336696975</v>
      </c>
    </row>
    <row r="288" spans="1:3" x14ac:dyDescent="0.25">
      <c r="A288" s="18">
        <v>-159</v>
      </c>
      <c r="B288">
        <v>-1.2131247993820007</v>
      </c>
      <c r="C288">
        <v>0.78534102478024337</v>
      </c>
    </row>
    <row r="289" spans="1:3" x14ac:dyDescent="0.25">
      <c r="A289" s="18">
        <v>-160</v>
      </c>
      <c r="B289">
        <v>-1.2134900029067643</v>
      </c>
      <c r="C289">
        <v>0.78452331875706083</v>
      </c>
    </row>
    <row r="290" spans="1:3" x14ac:dyDescent="0.25">
      <c r="A290" s="19">
        <v>-161</v>
      </c>
      <c r="B290">
        <v>-1.2138691532637818</v>
      </c>
      <c r="C290">
        <v>0.78365097686386054</v>
      </c>
    </row>
    <row r="291" spans="1:3" x14ac:dyDescent="0.25">
      <c r="A291" s="19">
        <v>-162</v>
      </c>
      <c r="B291">
        <v>-1.2142650899781835</v>
      </c>
      <c r="C291">
        <v>0.78271682798311581</v>
      </c>
    </row>
    <row r="292" spans="1:3" x14ac:dyDescent="0.25">
      <c r="A292" s="18">
        <v>-163</v>
      </c>
      <c r="B292">
        <v>-1.2146813906535083</v>
      </c>
      <c r="C292">
        <v>0.78171237568284169</v>
      </c>
    </row>
    <row r="293" spans="1:3" x14ac:dyDescent="0.25">
      <c r="A293" s="18">
        <v>-164</v>
      </c>
      <c r="B293">
        <v>-1.2151226425235238</v>
      </c>
      <c r="C293">
        <v>0.7806274706205768</v>
      </c>
    </row>
    <row r="294" spans="1:3" x14ac:dyDescent="0.25">
      <c r="A294" s="19">
        <v>-165</v>
      </c>
      <c r="B294">
        <v>-1.2155948401279242</v>
      </c>
      <c r="C294">
        <v>0.77944988098880419</v>
      </c>
    </row>
    <row r="295" spans="1:3" x14ac:dyDescent="0.25">
      <c r="A295" s="19">
        <v>-166</v>
      </c>
      <c r="B295">
        <v>-1.2161059815304578</v>
      </c>
      <c r="C295">
        <v>0.77816472265613978</v>
      </c>
    </row>
    <row r="296" spans="1:3" x14ac:dyDescent="0.25">
      <c r="A296" s="18">
        <v>-167</v>
      </c>
      <c r="B296">
        <v>-1.2166669860496253</v>
      </c>
      <c r="C296">
        <v>0.77675369402187955</v>
      </c>
    </row>
    <row r="297" spans="1:3" x14ac:dyDescent="0.25">
      <c r="A297" s="18">
        <v>-168</v>
      </c>
      <c r="B297">
        <v>-1.2160336884143101</v>
      </c>
      <c r="C297">
        <v>0.77441097990405183</v>
      </c>
    </row>
    <row r="298" spans="1:3" x14ac:dyDescent="0.25">
      <c r="A298" s="19">
        <v>-169</v>
      </c>
      <c r="B298">
        <v>-1.2164327562244452</v>
      </c>
      <c r="C298">
        <v>0.77248287078332789</v>
      </c>
    </row>
    <row r="299" spans="1:3" x14ac:dyDescent="0.25">
      <c r="A299" s="19">
        <v>-170</v>
      </c>
      <c r="B299">
        <v>-1.2168520201120891</v>
      </c>
      <c r="C299">
        <v>0.7702817858546156</v>
      </c>
    </row>
    <row r="300" spans="1:3" x14ac:dyDescent="0.25">
      <c r="A300" s="18">
        <v>-171</v>
      </c>
      <c r="B300">
        <v>-1.2172957959078918</v>
      </c>
      <c r="C300">
        <v>0.76773358424301519</v>
      </c>
    </row>
    <row r="301" spans="1:3" x14ac:dyDescent="0.25">
      <c r="A301" s="18">
        <v>-172</v>
      </c>
      <c r="B301">
        <v>-1.2177717469298053</v>
      </c>
      <c r="C301">
        <v>0.7647337347315859</v>
      </c>
    </row>
    <row r="302" spans="1:3" x14ac:dyDescent="0.25">
      <c r="A302" s="19">
        <v>-173</v>
      </c>
      <c r="B302">
        <v>-1.2182925424568192</v>
      </c>
      <c r="C302">
        <v>0.76112814012527841</v>
      </c>
    </row>
    <row r="303" spans="1:3" x14ac:dyDescent="0.25">
      <c r="A303" s="19">
        <v>-174</v>
      </c>
      <c r="B303">
        <v>-1.2188814249686819</v>
      </c>
      <c r="C303">
        <v>0.75667846696823027</v>
      </c>
    </row>
    <row r="304" spans="1:3" x14ac:dyDescent="0.25">
      <c r="A304" s="18">
        <v>-175</v>
      </c>
      <c r="B304">
        <v>-1.2195870245807683</v>
      </c>
      <c r="C304">
        <v>0.75099275811520538</v>
      </c>
    </row>
    <row r="305" spans="1:3" x14ac:dyDescent="0.25">
      <c r="A305" s="18">
        <v>-176</v>
      </c>
      <c r="B305">
        <v>-1.220529893224956</v>
      </c>
      <c r="C305">
        <v>0.74337185541253425</v>
      </c>
    </row>
    <row r="306" spans="1:3" x14ac:dyDescent="0.25">
      <c r="A306" s="19">
        <v>-177</v>
      </c>
      <c r="B306">
        <v>-1.2205975709975916</v>
      </c>
      <c r="C306">
        <v>0.73157854514523779</v>
      </c>
    </row>
    <row r="307" spans="1:3" x14ac:dyDescent="0.25">
      <c r="A307" s="19">
        <v>-178</v>
      </c>
      <c r="B307">
        <v>-1.2222161775461313</v>
      </c>
      <c r="C307">
        <v>0.71285266583264828</v>
      </c>
    </row>
    <row r="308" spans="1:3" x14ac:dyDescent="0.25">
      <c r="A308" s="18">
        <v>-179</v>
      </c>
      <c r="B308">
        <v>-1.2226294920037153</v>
      </c>
      <c r="C308">
        <v>0.66927186947593331</v>
      </c>
    </row>
    <row r="309" spans="1:3" x14ac:dyDescent="0.25">
      <c r="A309" s="18">
        <v>-180</v>
      </c>
      <c r="B309">
        <v>-1.2244769063180441</v>
      </c>
      <c r="C309">
        <v>3.6995266757178087E-14</v>
      </c>
    </row>
    <row r="310" spans="1:3" x14ac:dyDescent="0.25">
      <c r="A310" s="19">
        <v>-181</v>
      </c>
      <c r="B310">
        <v>-1.2223925791609815</v>
      </c>
      <c r="C310">
        <v>-0.66915635260161688</v>
      </c>
    </row>
    <row r="311" spans="1:3" x14ac:dyDescent="0.25">
      <c r="A311" s="19">
        <v>-182</v>
      </c>
      <c r="B311">
        <v>-1.2205060149591203</v>
      </c>
      <c r="C311">
        <v>-0.71192679602743814</v>
      </c>
    </row>
    <row r="312" spans="1:3" x14ac:dyDescent="0.25">
      <c r="A312" s="18">
        <v>-183</v>
      </c>
      <c r="B312">
        <v>-1.2194129586957354</v>
      </c>
      <c r="C312">
        <v>-0.73090859002069841</v>
      </c>
    </row>
    <row r="313" spans="1:3" x14ac:dyDescent="0.25">
      <c r="A313" s="18">
        <v>-184</v>
      </c>
      <c r="B313">
        <v>-1.2197220607995274</v>
      </c>
      <c r="C313">
        <v>-0.74290324543886088</v>
      </c>
    </row>
    <row r="314" spans="1:3" x14ac:dyDescent="0.25">
      <c r="A314" s="19">
        <v>-185</v>
      </c>
      <c r="B314">
        <v>-1.2200137043333503</v>
      </c>
      <c r="C314">
        <v>-0.75124456037153386</v>
      </c>
    </row>
    <row r="315" spans="1:3" x14ac:dyDescent="0.25">
      <c r="A315" s="19">
        <v>-186</v>
      </c>
      <c r="B315">
        <v>-1.218336143697452</v>
      </c>
      <c r="C315">
        <v>-0.75635255681978475</v>
      </c>
    </row>
    <row r="316" spans="1:3" x14ac:dyDescent="0.25">
      <c r="A316" s="18">
        <v>-187</v>
      </c>
      <c r="B316">
        <v>-1.217971586799721</v>
      </c>
      <c r="C316">
        <v>-0.76093440519566047</v>
      </c>
    </row>
    <row r="317" spans="1:3" x14ac:dyDescent="0.25">
      <c r="A317" s="18">
        <v>-188</v>
      </c>
      <c r="B317">
        <v>-1.2175732782176203</v>
      </c>
      <c r="C317">
        <v>-0.76461297420147878</v>
      </c>
    </row>
    <row r="318" spans="1:3" x14ac:dyDescent="0.25">
      <c r="A318" s="19">
        <v>-189</v>
      </c>
      <c r="B318">
        <v>-1.2171673699858121</v>
      </c>
      <c r="C318">
        <v>-0.76765491985809886</v>
      </c>
    </row>
    <row r="319" spans="1:3" x14ac:dyDescent="0.25">
      <c r="A319" s="19">
        <v>-190</v>
      </c>
      <c r="B319">
        <v>-1.2167660613196973</v>
      </c>
      <c r="C319">
        <v>-0.77022883394209507</v>
      </c>
    </row>
    <row r="320" spans="1:3" x14ac:dyDescent="0.25">
      <c r="A320" s="18">
        <v>-191</v>
      </c>
      <c r="B320">
        <v>-1.2163737354532265</v>
      </c>
      <c r="C320">
        <v>-0.77244633347917757</v>
      </c>
    </row>
    <row r="321" spans="1:3" x14ac:dyDescent="0.25">
      <c r="A321" s="18">
        <v>-192</v>
      </c>
      <c r="B321">
        <v>-1.2159916529868098</v>
      </c>
      <c r="C321">
        <v>-0.77438484431916355</v>
      </c>
    </row>
    <row r="322" spans="1:3" x14ac:dyDescent="0.25">
      <c r="A322" s="19">
        <v>-193</v>
      </c>
      <c r="B322">
        <v>-1.2156197766318473</v>
      </c>
      <c r="C322">
        <v>-0.77610007468161524</v>
      </c>
    </row>
    <row r="323" spans="1:3" x14ac:dyDescent="0.25">
      <c r="A323" s="19">
        <v>-194</v>
      </c>
      <c r="B323">
        <v>-1.2162794379424506</v>
      </c>
      <c r="C323">
        <v>-0.77827336311640916</v>
      </c>
    </row>
    <row r="324" spans="1:3" x14ac:dyDescent="0.25">
      <c r="A324" s="18">
        <v>-195</v>
      </c>
      <c r="B324">
        <v>-1.215707905298723</v>
      </c>
      <c r="C324">
        <v>-0.77952092203425261</v>
      </c>
    </row>
    <row r="325" spans="1:3" x14ac:dyDescent="0.25">
      <c r="A325" s="18">
        <v>-196</v>
      </c>
      <c r="B325">
        <v>-1.2152177957929355</v>
      </c>
      <c r="C325">
        <v>-0.78068743139496144</v>
      </c>
    </row>
    <row r="326" spans="1:3" x14ac:dyDescent="0.25">
      <c r="A326" s="19">
        <v>-197</v>
      </c>
      <c r="B326">
        <v>-1.21476153409801</v>
      </c>
      <c r="C326">
        <v>-0.78176301365201117</v>
      </c>
    </row>
    <row r="327" spans="1:3" x14ac:dyDescent="0.25">
      <c r="A327" s="19">
        <v>-198</v>
      </c>
      <c r="B327">
        <v>-1.2143331375057298</v>
      </c>
      <c r="C327">
        <v>-0.78275993037288294</v>
      </c>
    </row>
    <row r="328" spans="1:3" x14ac:dyDescent="0.25">
      <c r="A328" s="18">
        <v>-199</v>
      </c>
      <c r="B328">
        <v>-1.213927302400182</v>
      </c>
      <c r="C328">
        <v>-0.78368789506382652</v>
      </c>
    </row>
    <row r="329" spans="1:3" x14ac:dyDescent="0.25">
      <c r="A329" s="18">
        <v>-200</v>
      </c>
      <c r="B329">
        <v>-1.2135399505491722</v>
      </c>
      <c r="C329">
        <v>-0.78455509902254483</v>
      </c>
    </row>
    <row r="330" spans="1:3" x14ac:dyDescent="0.25">
      <c r="A330" s="19">
        <v>-201</v>
      </c>
      <c r="B330">
        <v>-1.2131678736617391</v>
      </c>
      <c r="C330">
        <v>-0.78536848795632708</v>
      </c>
    </row>
    <row r="331" spans="1:3" x14ac:dyDescent="0.25">
      <c r="A331" s="19">
        <v>-202</v>
      </c>
      <c r="B331">
        <v>-1.2128085052276036</v>
      </c>
      <c r="C331">
        <v>-0.78613399134994122</v>
      </c>
    </row>
    <row r="332" spans="1:3" x14ac:dyDescent="0.25">
      <c r="A332" s="18">
        <v>-203</v>
      </c>
      <c r="B332">
        <v>-1.2124597593838</v>
      </c>
      <c r="C332">
        <v>-0.78685670338640079</v>
      </c>
    </row>
    <row r="333" spans="1:3" x14ac:dyDescent="0.25">
      <c r="A333" s="18">
        <v>-204</v>
      </c>
      <c r="B333">
        <v>-1.2121199153144688</v>
      </c>
      <c r="C333">
        <v>-0.78754102690974526</v>
      </c>
    </row>
    <row r="334" spans="1:3" x14ac:dyDescent="0.25">
      <c r="A334" s="19">
        <v>-205</v>
      </c>
      <c r="B334">
        <v>-1.2117875329135772</v>
      </c>
      <c r="C334">
        <v>-0.788190788808665</v>
      </c>
    </row>
    <row r="335" spans="1:3" x14ac:dyDescent="0.25">
      <c r="A335" s="19">
        <v>-206</v>
      </c>
      <c r="B335">
        <v>-1.2114613903017837</v>
      </c>
      <c r="C335">
        <v>-0.78880933316028601</v>
      </c>
    </row>
    <row r="336" spans="1:3" x14ac:dyDescent="0.25">
      <c r="A336" s="18">
        <v>-207</v>
      </c>
      <c r="B336">
        <v>-1.2111404368588417</v>
      </c>
      <c r="C336">
        <v>-0.78939959694270656</v>
      </c>
    </row>
    <row r="337" spans="1:3" x14ac:dyDescent="0.25">
      <c r="A337" s="18">
        <v>-208</v>
      </c>
      <c r="B337">
        <v>-1.2108237574330416</v>
      </c>
      <c r="C337">
        <v>-0.78996417199116187</v>
      </c>
    </row>
    <row r="338" spans="1:3" x14ac:dyDescent="0.25">
      <c r="A338" s="19">
        <v>-209</v>
      </c>
      <c r="B338">
        <v>-1.2105105447114852</v>
      </c>
      <c r="C338">
        <v>-0.79050535602534455</v>
      </c>
    </row>
    <row r="339" spans="1:3" x14ac:dyDescent="0.25">
      <c r="A339" s="19">
        <v>-210</v>
      </c>
      <c r="B339">
        <v>-1.2102000776156399</v>
      </c>
      <c r="C339">
        <v>-0.79102519493357282</v>
      </c>
    </row>
    <row r="340" spans="1:3" x14ac:dyDescent="0.25">
      <c r="A340" s="18">
        <v>-211</v>
      </c>
      <c r="B340">
        <v>-1.2105619499366482</v>
      </c>
      <c r="C340">
        <v>-0.79195974641100508</v>
      </c>
    </row>
    <row r="341" spans="1:3" x14ac:dyDescent="0.25">
      <c r="A341" s="18">
        <v>-212</v>
      </c>
      <c r="B341">
        <v>-1.209582295490333</v>
      </c>
      <c r="C341">
        <v>-0.79200632472080057</v>
      </c>
    </row>
    <row r="342" spans="1:3" x14ac:dyDescent="0.25">
      <c r="A342" s="19">
        <v>-213</v>
      </c>
      <c r="B342">
        <v>-1.209278904617638</v>
      </c>
      <c r="C342">
        <v>-0.79247402892072416</v>
      </c>
    </row>
    <row r="343" spans="1:3" x14ac:dyDescent="0.25">
      <c r="A343" s="19">
        <v>-214</v>
      </c>
      <c r="B343">
        <v>-1.2089733930409141</v>
      </c>
      <c r="C343">
        <v>-0.79292502558135447</v>
      </c>
    </row>
    <row r="344" spans="1:3" x14ac:dyDescent="0.25">
      <c r="A344" s="18">
        <v>-215</v>
      </c>
      <c r="B344">
        <v>-1.2086678277161991</v>
      </c>
      <c r="C344">
        <v>-0.7933621893228433</v>
      </c>
    </row>
    <row r="345" spans="1:3" x14ac:dyDescent="0.25">
      <c r="A345" s="18">
        <v>-216</v>
      </c>
      <c r="B345">
        <v>-1.2083617319507347</v>
      </c>
      <c r="C345">
        <v>-0.79378662336040762</v>
      </c>
    </row>
    <row r="346" spans="1:3" x14ac:dyDescent="0.25">
      <c r="A346" s="19">
        <v>-217</v>
      </c>
      <c r="B346">
        <v>-1.2080546525941058</v>
      </c>
      <c r="C346">
        <v>-0.79419934178176155</v>
      </c>
    </row>
    <row r="347" spans="1:3" x14ac:dyDescent="0.25">
      <c r="A347" s="19">
        <v>-218</v>
      </c>
      <c r="B347">
        <v>-1.2077461470352415</v>
      </c>
      <c r="C347">
        <v>-0.79460127572779704</v>
      </c>
    </row>
    <row r="348" spans="1:3" x14ac:dyDescent="0.25">
      <c r="A348" s="18">
        <v>-219</v>
      </c>
      <c r="B348">
        <v>-1.2074357788673677</v>
      </c>
      <c r="C348">
        <v>-0.79499328336486641</v>
      </c>
    </row>
    <row r="349" spans="1:3" x14ac:dyDescent="0.25">
      <c r="A349" s="18">
        <v>-220</v>
      </c>
      <c r="B349">
        <v>-1.2071231139244745</v>
      </c>
      <c r="C349">
        <v>-0.79537615858867572</v>
      </c>
    </row>
    <row r="350" spans="1:3" x14ac:dyDescent="0.25">
      <c r="A350" s="19">
        <v>-221</v>
      </c>
      <c r="B350">
        <v>-1.2068077165981297</v>
      </c>
      <c r="C350">
        <v>-0.79575063867274709</v>
      </c>
    </row>
    <row r="351" spans="1:3" x14ac:dyDescent="0.25">
      <c r="A351" s="19">
        <v>-222</v>
      </c>
      <c r="B351">
        <v>-1.2064891463421756</v>
      </c>
      <c r="C351">
        <v>-0.79611741103022837</v>
      </c>
    </row>
    <row r="352" spans="1:3" x14ac:dyDescent="0.25">
      <c r="A352" s="18">
        <v>-223</v>
      </c>
      <c r="B352">
        <v>-1.2061669542843949</v>
      </c>
      <c r="C352">
        <v>-0.7964771192297323</v>
      </c>
    </row>
    <row r="353" spans="1:3" x14ac:dyDescent="0.25">
      <c r="A353" s="18">
        <v>-224</v>
      </c>
      <c r="B353">
        <v>-1.2058406798734964</v>
      </c>
      <c r="C353">
        <v>-0.79683036838609667</v>
      </c>
    </row>
    <row r="354" spans="1:3" x14ac:dyDescent="0.25">
      <c r="A354" s="19">
        <v>-225</v>
      </c>
      <c r="B354">
        <v>-1.2047750342131638</v>
      </c>
      <c r="C354">
        <v>-0.79669384091386697</v>
      </c>
    </row>
    <row r="355" spans="1:3" x14ac:dyDescent="0.25">
      <c r="A355" s="19">
        <v>-226</v>
      </c>
      <c r="B355">
        <v>-1.2051603052502411</v>
      </c>
      <c r="C355">
        <v>-0.7975107430093622</v>
      </c>
    </row>
    <row r="356" spans="1:3" x14ac:dyDescent="0.25">
      <c r="A356" s="18">
        <v>-227</v>
      </c>
      <c r="B356">
        <v>-1.2048106701139758</v>
      </c>
      <c r="C356">
        <v>-0.79784252238684883</v>
      </c>
    </row>
    <row r="357" spans="1:3" x14ac:dyDescent="0.25">
      <c r="A357" s="18">
        <v>-228</v>
      </c>
      <c r="B357">
        <v>-1.2044484290891337</v>
      </c>
      <c r="C357">
        <v>-0.79816566755786544</v>
      </c>
    </row>
    <row r="358" spans="1:3" x14ac:dyDescent="0.25">
      <c r="A358" s="19">
        <v>-229</v>
      </c>
      <c r="B358">
        <v>-1.204079427891098</v>
      </c>
      <c r="C358">
        <v>-0.79848488775018811</v>
      </c>
    </row>
    <row r="359" spans="1:3" x14ac:dyDescent="0.25">
      <c r="A359" s="19">
        <v>-230</v>
      </c>
      <c r="B359">
        <v>-1.2037029956609266</v>
      </c>
      <c r="C359">
        <v>-0.79880060467718672</v>
      </c>
    </row>
    <row r="360" spans="1:3" x14ac:dyDescent="0.25">
      <c r="A360" s="18">
        <v>-231</v>
      </c>
      <c r="B360">
        <v>-1.2033184470734328</v>
      </c>
      <c r="C360">
        <v>-0.79911324558054819</v>
      </c>
    </row>
    <row r="361" spans="1:3" x14ac:dyDescent="0.25">
      <c r="A361" s="18">
        <v>-232</v>
      </c>
      <c r="B361">
        <v>-1.2029250497687267</v>
      </c>
      <c r="C361">
        <v>-0.7994232286524372</v>
      </c>
    </row>
    <row r="362" spans="1:3" x14ac:dyDescent="0.25">
      <c r="A362" s="19">
        <v>-233</v>
      </c>
      <c r="B362">
        <v>-1.2025220178712768</v>
      </c>
      <c r="C362">
        <v>-0.79973096612382322</v>
      </c>
    </row>
    <row r="363" spans="1:3" x14ac:dyDescent="0.25">
      <c r="A363" s="19">
        <v>-234</v>
      </c>
      <c r="B363">
        <v>-1.2021085046027369</v>
      </c>
      <c r="C363">
        <v>-0.80003686735307233</v>
      </c>
    </row>
    <row r="364" spans="1:3" x14ac:dyDescent="0.25">
      <c r="A364" s="18">
        <v>-235</v>
      </c>
      <c r="B364">
        <v>-1.2016835939260426</v>
      </c>
      <c r="C364">
        <v>-0.8003413420438048</v>
      </c>
    </row>
    <row r="365" spans="1:3" x14ac:dyDescent="0.25">
      <c r="A365" s="18">
        <v>-236</v>
      </c>
      <c r="B365">
        <v>-1.2012462910344253</v>
      </c>
      <c r="C365">
        <v>-0.80064480366818414</v>
      </c>
    </row>
    <row r="366" spans="1:3" x14ac:dyDescent="0.25">
      <c r="A366" s="19">
        <v>-237</v>
      </c>
      <c r="B366">
        <v>-1.200795511463792</v>
      </c>
      <c r="C366">
        <v>-0.80094767318575844</v>
      </c>
    </row>
    <row r="367" spans="1:3" x14ac:dyDescent="0.25">
      <c r="A367" s="19">
        <v>-238</v>
      </c>
      <c r="B367">
        <v>-1.2003300685613272</v>
      </c>
      <c r="C367">
        <v>-0.80125038316608133</v>
      </c>
    </row>
    <row r="368" spans="1:3" x14ac:dyDescent="0.25">
      <c r="A368" s="18">
        <v>-239</v>
      </c>
      <c r="B368">
        <v>-1.1998486589873187</v>
      </c>
      <c r="C368">
        <v>-0.80155338244874497</v>
      </c>
    </row>
    <row r="369" spans="1:3" x14ac:dyDescent="0.25">
      <c r="A369" s="18">
        <v>-240</v>
      </c>
      <c r="B369">
        <v>-1.1984534739568049</v>
      </c>
      <c r="C369">
        <v>-0.80125696509417199</v>
      </c>
    </row>
    <row r="370" spans="1:3" x14ac:dyDescent="0.25">
      <c r="A370" s="19">
        <v>-241</v>
      </c>
      <c r="B370">
        <v>-1.1989651265839396</v>
      </c>
      <c r="C370">
        <v>-0.80225137889899945</v>
      </c>
    </row>
    <row r="371" spans="1:3" x14ac:dyDescent="0.25">
      <c r="A371" s="19">
        <v>-242</v>
      </c>
      <c r="B371">
        <v>-1.1982943152643395</v>
      </c>
      <c r="C371">
        <v>-0.802469533965537</v>
      </c>
    </row>
    <row r="372" spans="1:3" x14ac:dyDescent="0.25">
      <c r="A372" s="18">
        <v>-243</v>
      </c>
      <c r="B372">
        <v>-1.1977321805232022</v>
      </c>
      <c r="C372">
        <v>-0.80277815137152697</v>
      </c>
    </row>
    <row r="373" spans="1:3" x14ac:dyDescent="0.25">
      <c r="A373" s="18">
        <v>-244</v>
      </c>
      <c r="B373">
        <v>-1.1971459401109121</v>
      </c>
      <c r="C373">
        <v>-0.80309033059946489</v>
      </c>
    </row>
    <row r="374" spans="1:3" x14ac:dyDescent="0.25">
      <c r="A374" s="19">
        <v>-245</v>
      </c>
      <c r="B374">
        <v>-1.1965322875967292</v>
      </c>
      <c r="C374">
        <v>-0.80340622075286905</v>
      </c>
    </row>
    <row r="375" spans="1:3" x14ac:dyDescent="0.25">
      <c r="A375" s="19">
        <v>-246</v>
      </c>
      <c r="B375">
        <v>-1.1958884146336761</v>
      </c>
      <c r="C375">
        <v>-0.80372660746551272</v>
      </c>
    </row>
    <row r="376" spans="1:3" x14ac:dyDescent="0.25">
      <c r="A376" s="18">
        <v>-247</v>
      </c>
      <c r="B376">
        <v>-1.1952111415910547</v>
      </c>
      <c r="C376">
        <v>-0.80405238907331533</v>
      </c>
    </row>
    <row r="377" spans="1:3" x14ac:dyDescent="0.25">
      <c r="A377" s="18">
        <v>-248</v>
      </c>
      <c r="B377">
        <v>-1.1944968438673642</v>
      </c>
      <c r="C377">
        <v>-0.80438460135116885</v>
      </c>
    </row>
    <row r="378" spans="1:3" x14ac:dyDescent="0.25">
      <c r="A378" s="19">
        <v>-249</v>
      </c>
      <c r="B378">
        <v>-1.1937413690697924</v>
      </c>
      <c r="C378">
        <v>-0.80472445509241219</v>
      </c>
    </row>
    <row r="379" spans="1:3" x14ac:dyDescent="0.25">
      <c r="A379" s="19">
        <v>-250</v>
      </c>
      <c r="B379">
        <v>-1.1929399354607462</v>
      </c>
      <c r="C379">
        <v>-0.80507338620300906</v>
      </c>
    </row>
    <row r="380" spans="1:3" x14ac:dyDescent="0.25">
      <c r="A380" s="18">
        <v>-251</v>
      </c>
      <c r="B380">
        <v>-1.1920870066609697</v>
      </c>
      <c r="C380">
        <v>-0.80543312346673479</v>
      </c>
    </row>
    <row r="381" spans="1:3" x14ac:dyDescent="0.25">
      <c r="A381" s="18">
        <v>-252</v>
      </c>
      <c r="B381">
        <v>-1.1911761362177973</v>
      </c>
      <c r="C381">
        <v>-0.80580578174370254</v>
      </c>
    </row>
    <row r="382" spans="1:3" x14ac:dyDescent="0.25">
      <c r="A382" s="19">
        <v>-253</v>
      </c>
      <c r="B382">
        <v>-1.1901997738701324</v>
      </c>
      <c r="C382">
        <v>-0.80619399246649381</v>
      </c>
    </row>
    <row r="383" spans="1:3" x14ac:dyDescent="0.25">
      <c r="A383" s="19">
        <v>-254</v>
      </c>
      <c r="B383">
        <v>-1.1891490231828961</v>
      </c>
      <c r="C383">
        <v>-0.80660108996113833</v>
      </c>
    </row>
    <row r="384" spans="1:3" x14ac:dyDescent="0.25">
      <c r="A384" s="18">
        <v>-255</v>
      </c>
      <c r="B384">
        <v>-1.1880133378654529</v>
      </c>
      <c r="C384">
        <v>-0.80703138325098911</v>
      </c>
    </row>
    <row r="385" spans="1:3" x14ac:dyDescent="0.25">
      <c r="A385" s="18">
        <v>-256</v>
      </c>
      <c r="B385">
        <v>-1.1867801420749422</v>
      </c>
      <c r="C385">
        <v>-0.80749056211137626</v>
      </c>
    </row>
    <row r="386" spans="1:3" x14ac:dyDescent="0.25">
      <c r="A386" s="19">
        <v>-257</v>
      </c>
      <c r="B386">
        <v>-1.1854343600122428</v>
      </c>
      <c r="C386">
        <v>-0.80798632005927429</v>
      </c>
    </row>
    <row r="387" spans="1:3" x14ac:dyDescent="0.25">
      <c r="A387" s="19">
        <v>-258</v>
      </c>
      <c r="B387">
        <v>-1.1827502987055669</v>
      </c>
      <c r="C387">
        <v>-0.8076943696127179</v>
      </c>
    </row>
    <row r="388" spans="1:3" x14ac:dyDescent="0.25">
      <c r="A388" s="18">
        <v>-259</v>
      </c>
      <c r="B388">
        <v>-1.1808243290427873</v>
      </c>
      <c r="C388">
        <v>-0.80809129796494583</v>
      </c>
    </row>
    <row r="389" spans="1:3" x14ac:dyDescent="0.25">
      <c r="A389" s="18">
        <v>-260</v>
      </c>
      <c r="B389">
        <v>-1.178626801112336</v>
      </c>
      <c r="C389">
        <v>-0.80850700485439331</v>
      </c>
    </row>
    <row r="390" spans="1:3" x14ac:dyDescent="0.25">
      <c r="A390" s="19">
        <v>-261</v>
      </c>
      <c r="B390">
        <v>-1.1760840740488683</v>
      </c>
      <c r="C390">
        <v>-0.80894530610205806</v>
      </c>
    </row>
    <row r="391" spans="1:3" x14ac:dyDescent="0.25">
      <c r="A391" s="19">
        <v>-262</v>
      </c>
      <c r="B391">
        <v>-1.1730929770934022</v>
      </c>
      <c r="C391">
        <v>-0.80941250456797387</v>
      </c>
    </row>
    <row r="392" spans="1:3" x14ac:dyDescent="0.25">
      <c r="A392" s="18">
        <v>-263</v>
      </c>
      <c r="B392">
        <v>-1.1695020684331636</v>
      </c>
      <c r="C392">
        <v>-0.80991861414893829</v>
      </c>
    </row>
    <row r="393" spans="1:3" x14ac:dyDescent="0.25">
      <c r="A393" s="18">
        <v>-264</v>
      </c>
      <c r="B393">
        <v>-1.1650786292458857</v>
      </c>
      <c r="C393">
        <v>-0.81048126269092136</v>
      </c>
    </row>
    <row r="394" spans="1:3" x14ac:dyDescent="0.25">
      <c r="A394" s="19">
        <v>-265</v>
      </c>
      <c r="B394">
        <v>-1.1594438770761206</v>
      </c>
      <c r="C394">
        <v>-0.8111359056198566</v>
      </c>
    </row>
    <row r="395" spans="1:3" x14ac:dyDescent="0.25">
      <c r="A395" s="19">
        <v>-266</v>
      </c>
      <c r="B395">
        <v>-1.1519342559409729</v>
      </c>
      <c r="C395">
        <v>-0.8119674926965188</v>
      </c>
    </row>
    <row r="396" spans="1:3" x14ac:dyDescent="0.25">
      <c r="A396" s="18">
        <v>-267</v>
      </c>
      <c r="B396">
        <v>-1.139931514702458</v>
      </c>
      <c r="C396">
        <v>-0.81224460144036015</v>
      </c>
    </row>
    <row r="397" spans="1:3" x14ac:dyDescent="0.25">
      <c r="A397" s="18">
        <v>-268</v>
      </c>
      <c r="B397">
        <v>-1.1214731653211927</v>
      </c>
      <c r="C397">
        <v>-0.81359567805766164</v>
      </c>
    </row>
    <row r="398" spans="1:3" x14ac:dyDescent="0.25">
      <c r="A398" s="19">
        <v>-269</v>
      </c>
      <c r="B398">
        <v>-1.07767342258253</v>
      </c>
      <c r="C398">
        <v>-0.81422793889704925</v>
      </c>
    </row>
    <row r="399" spans="1:3" x14ac:dyDescent="0.25">
      <c r="A399" s="19">
        <v>-270</v>
      </c>
      <c r="B399">
        <v>-1.6994752598515611E-13</v>
      </c>
      <c r="C399">
        <v>-0.81631793754536419</v>
      </c>
    </row>
    <row r="400" spans="1:3" x14ac:dyDescent="0.25">
      <c r="A400" s="18">
        <v>-271</v>
      </c>
      <c r="B400">
        <v>1.0776447762604111</v>
      </c>
      <c r="C400">
        <v>-0.81420474183119207</v>
      </c>
    </row>
    <row r="401" spans="1:3" x14ac:dyDescent="0.25">
      <c r="A401" s="18">
        <v>-272</v>
      </c>
      <c r="B401">
        <v>1.1199765583361543</v>
      </c>
      <c r="C401">
        <v>-0.81245954261144315</v>
      </c>
    </row>
    <row r="402" spans="1:3" x14ac:dyDescent="0.25">
      <c r="A402" s="19">
        <v>-273</v>
      </c>
      <c r="B402">
        <v>1.1388645431010245</v>
      </c>
      <c r="C402">
        <v>-0.81145704494667292</v>
      </c>
    </row>
    <row r="403" spans="1:3" x14ac:dyDescent="0.25">
      <c r="A403" s="19">
        <v>-274</v>
      </c>
      <c r="B403">
        <v>1.1511946584985788</v>
      </c>
      <c r="C403">
        <v>-0.81143064785886376</v>
      </c>
    </row>
    <row r="404" spans="1:3" x14ac:dyDescent="0.25">
      <c r="A404" s="18">
        <v>-275</v>
      </c>
      <c r="B404">
        <v>1.1598389170852572</v>
      </c>
      <c r="C404">
        <v>-0.81141934761330925</v>
      </c>
    </row>
    <row r="405" spans="1:3" x14ac:dyDescent="0.25">
      <c r="A405" s="18">
        <v>-276</v>
      </c>
      <c r="B405">
        <v>1.1645695417063748</v>
      </c>
      <c r="C405">
        <v>-0.81011915881096297</v>
      </c>
    </row>
    <row r="406" spans="1:3" x14ac:dyDescent="0.25">
      <c r="A406" s="19">
        <v>-277</v>
      </c>
      <c r="B406">
        <v>1.1692004462441377</v>
      </c>
      <c r="C406">
        <v>-0.80970554575134446</v>
      </c>
    </row>
    <row r="407" spans="1:3" x14ac:dyDescent="0.25">
      <c r="A407" s="19">
        <v>-278</v>
      </c>
      <c r="B407">
        <v>1.1729054632061435</v>
      </c>
      <c r="C407">
        <v>-0.80928078921299662</v>
      </c>
    </row>
    <row r="408" spans="1:3" x14ac:dyDescent="0.25">
      <c r="A408" s="18">
        <v>-279</v>
      </c>
      <c r="B408">
        <v>1.1759621906111108</v>
      </c>
      <c r="C408">
        <v>-0.80886009923281332</v>
      </c>
    </row>
    <row r="409" spans="1:3" x14ac:dyDescent="0.25">
      <c r="A409" s="18">
        <v>-280</v>
      </c>
      <c r="B409">
        <v>1.1785449062734004</v>
      </c>
      <c r="C409">
        <v>-0.80844998898838605</v>
      </c>
    </row>
    <row r="410" spans="1:3" x14ac:dyDescent="0.25">
      <c r="A410" s="19">
        <v>-281</v>
      </c>
      <c r="B410">
        <v>1.1807679089813754</v>
      </c>
      <c r="C410">
        <v>-0.80805215995096846</v>
      </c>
    </row>
    <row r="411" spans="1:3" x14ac:dyDescent="0.25">
      <c r="A411" s="19">
        <v>-282</v>
      </c>
      <c r="B411">
        <v>1.1827099954546718</v>
      </c>
      <c r="C411">
        <v>-0.80766650185134592</v>
      </c>
    </row>
    <row r="412" spans="1:3" x14ac:dyDescent="0.25">
      <c r="A412" s="18">
        <v>-283</v>
      </c>
      <c r="B412">
        <v>1.1844276215173319</v>
      </c>
      <c r="C412">
        <v>-0.80729222979617188</v>
      </c>
    </row>
    <row r="413" spans="1:3" x14ac:dyDescent="0.25">
      <c r="A413" s="18">
        <v>-284</v>
      </c>
      <c r="B413">
        <v>1.1869472987985834</v>
      </c>
      <c r="C413">
        <v>-0.80760550226063921</v>
      </c>
    </row>
    <row r="414" spans="1:3" x14ac:dyDescent="0.25">
      <c r="A414" s="19">
        <v>-285</v>
      </c>
      <c r="B414">
        <v>1.188122538774234</v>
      </c>
      <c r="C414">
        <v>-0.80710628855901989</v>
      </c>
    </row>
    <row r="415" spans="1:3" x14ac:dyDescent="0.25">
      <c r="A415" s="19">
        <v>-286</v>
      </c>
      <c r="B415">
        <v>1.189241112330526</v>
      </c>
      <c r="C415">
        <v>-0.80666411485741329</v>
      </c>
    </row>
    <row r="416" spans="1:3" x14ac:dyDescent="0.25">
      <c r="A416" s="18">
        <v>-287</v>
      </c>
      <c r="B416">
        <v>1.1902774835652128</v>
      </c>
      <c r="C416">
        <v>-0.80624706418482872</v>
      </c>
    </row>
    <row r="417" spans="1:3" x14ac:dyDescent="0.25">
      <c r="A417" s="18">
        <v>-288</v>
      </c>
      <c r="B417">
        <v>1.1912422339346693</v>
      </c>
      <c r="C417">
        <v>-0.80585083394397261</v>
      </c>
    </row>
    <row r="418" spans="1:3" x14ac:dyDescent="0.25">
      <c r="A418" s="19">
        <v>-289</v>
      </c>
      <c r="B418">
        <v>1.1921435831917913</v>
      </c>
      <c r="C418">
        <v>-0.805471614271973</v>
      </c>
    </row>
    <row r="419" spans="1:3" x14ac:dyDescent="0.25">
      <c r="A419" s="19">
        <v>-290</v>
      </c>
      <c r="B419">
        <v>1.1929886081410075</v>
      </c>
      <c r="C419">
        <v>-0.80510644143082644</v>
      </c>
    </row>
    <row r="420" spans="1:3" x14ac:dyDescent="0.25">
      <c r="A420" s="18">
        <v>-291</v>
      </c>
      <c r="B420">
        <v>1.1937834058083749</v>
      </c>
      <c r="C420">
        <v>-0.80475295580991002</v>
      </c>
    </row>
    <row r="421" spans="1:3" x14ac:dyDescent="0.25">
      <c r="A421" s="18">
        <v>-292</v>
      </c>
      <c r="B421">
        <v>1.1945332508959143</v>
      </c>
      <c r="C421">
        <v>-0.80440924568139804</v>
      </c>
    </row>
    <row r="422" spans="1:3" x14ac:dyDescent="0.25">
      <c r="A422" s="19">
        <v>-293</v>
      </c>
      <c r="B422">
        <v>1.1952427263592582</v>
      </c>
      <c r="C422">
        <v>-0.80407373641097912</v>
      </c>
    </row>
    <row r="423" spans="1:3" x14ac:dyDescent="0.25">
      <c r="A423" s="19">
        <v>-294</v>
      </c>
      <c r="B423">
        <v>1.1959158316080163</v>
      </c>
      <c r="C423">
        <v>-0.803745110616222</v>
      </c>
    </row>
    <row r="424" spans="1:3" x14ac:dyDescent="0.25">
      <c r="A424" s="18">
        <v>-295</v>
      </c>
      <c r="B424">
        <v>1.1965560720890862</v>
      </c>
      <c r="C424">
        <v>-0.80342224963300668</v>
      </c>
    </row>
    <row r="425" spans="1:3" x14ac:dyDescent="0.25">
      <c r="A425" s="18">
        <v>-296</v>
      </c>
      <c r="B425">
        <v>1.1971665335482948</v>
      </c>
      <c r="C425">
        <v>-0.80310418991370625</v>
      </c>
    </row>
    <row r="426" spans="1:3" x14ac:dyDescent="0.25">
      <c r="A426" s="19">
        <v>-297</v>
      </c>
      <c r="B426">
        <v>1.1977499437450656</v>
      </c>
      <c r="C426">
        <v>-0.80279009005635116</v>
      </c>
    </row>
    <row r="427" spans="1:3" x14ac:dyDescent="0.25">
      <c r="A427" s="19">
        <v>-298</v>
      </c>
      <c r="B427">
        <v>1.1983087239098926</v>
      </c>
      <c r="C427">
        <v>-0.80247920551428786</v>
      </c>
    </row>
    <row r="428" spans="1:3" x14ac:dyDescent="0.25">
      <c r="A428" s="18">
        <v>-299</v>
      </c>
      <c r="B428">
        <v>1.1988450318101249</v>
      </c>
      <c r="C428">
        <v>-0.80217086892670564</v>
      </c>
    </row>
    <row r="429" spans="1:3" x14ac:dyDescent="0.25">
      <c r="A429" s="18">
        <v>-300</v>
      </c>
      <c r="B429">
        <v>1.199360797938168</v>
      </c>
      <c r="C429">
        <v>-0.80186447461104227</v>
      </c>
    </row>
    <row r="430" spans="1:3" x14ac:dyDescent="0.25">
      <c r="A430" s="19">
        <v>-301</v>
      </c>
      <c r="B430">
        <v>1.2005196104382172</v>
      </c>
      <c r="C430">
        <v>-0.80200208590942701</v>
      </c>
    </row>
    <row r="431" spans="1:3" x14ac:dyDescent="0.25">
      <c r="A431" s="19">
        <v>-302</v>
      </c>
      <c r="B431">
        <v>1.2003349658289622</v>
      </c>
      <c r="C431">
        <v>-0.80125365438215135</v>
      </c>
    </row>
    <row r="432" spans="1:3" x14ac:dyDescent="0.25">
      <c r="A432" s="18">
        <v>-303</v>
      </c>
      <c r="B432">
        <v>1.2008013589494111</v>
      </c>
      <c r="C432">
        <v>-0.80095157458892596</v>
      </c>
    </row>
    <row r="433" spans="1:3" x14ac:dyDescent="0.25">
      <c r="A433" s="18">
        <v>-304</v>
      </c>
      <c r="B433">
        <v>1.2012506860050181</v>
      </c>
      <c r="C433">
        <v>-0.8006477326173006</v>
      </c>
    </row>
    <row r="434" spans="1:3" x14ac:dyDescent="0.25">
      <c r="A434" s="19">
        <v>-305</v>
      </c>
      <c r="B434">
        <v>1.2016866443694527</v>
      </c>
      <c r="C434">
        <v>-0.80034337266960964</v>
      </c>
    </row>
    <row r="435" spans="1:3" x14ac:dyDescent="0.25">
      <c r="A435" s="19">
        <v>-306</v>
      </c>
      <c r="B435">
        <v>1.2021102964698693</v>
      </c>
      <c r="C435">
        <v>-0.80003805884126611</v>
      </c>
    </row>
    <row r="436" spans="1:3" x14ac:dyDescent="0.25">
      <c r="A436" s="18">
        <v>-307</v>
      </c>
      <c r="B436">
        <v>1.2025226249943299</v>
      </c>
      <c r="C436">
        <v>-0.7997313693815572</v>
      </c>
    </row>
    <row r="437" spans="1:3" x14ac:dyDescent="0.25">
      <c r="A437" s="18">
        <v>-308</v>
      </c>
      <c r="B437">
        <v>1.2029245353924483</v>
      </c>
      <c r="C437">
        <v>-0.79942288737060352</v>
      </c>
    </row>
    <row r="438" spans="1:3" x14ac:dyDescent="0.25">
      <c r="A438" s="19">
        <v>-309</v>
      </c>
      <c r="B438">
        <v>1.2033168651203128</v>
      </c>
      <c r="C438">
        <v>-0.79911219711193104</v>
      </c>
    </row>
    <row r="439" spans="1:3" x14ac:dyDescent="0.25">
      <c r="A439" s="19">
        <v>-310</v>
      </c>
      <c r="B439">
        <v>1.2037003917608688</v>
      </c>
      <c r="C439">
        <v>-0.79879888075227912</v>
      </c>
    </row>
    <row r="440" spans="1:3" x14ac:dyDescent="0.25">
      <c r="A440" s="18">
        <v>-311</v>
      </c>
      <c r="B440">
        <v>1.2040758402133946</v>
      </c>
      <c r="C440">
        <v>-0.79848251505745393</v>
      </c>
    </row>
    <row r="441" spans="1:3" x14ac:dyDescent="0.25">
      <c r="A441" s="18">
        <v>-312</v>
      </c>
      <c r="B441">
        <v>1.2044438891009381</v>
      </c>
      <c r="C441">
        <v>-0.79816266827142701</v>
      </c>
    </row>
    <row r="442" spans="1:3" x14ac:dyDescent="0.25">
      <c r="A442" s="19">
        <v>-313</v>
      </c>
      <c r="B442">
        <v>1.2048051765211574</v>
      </c>
      <c r="C442">
        <v>-0.79783889699294297</v>
      </c>
    </row>
    <row r="443" spans="1:3" x14ac:dyDescent="0.25">
      <c r="A443" s="19">
        <v>-314</v>
      </c>
      <c r="B443">
        <v>1.2051603052502389</v>
      </c>
      <c r="C443">
        <v>-0.79751074300937019</v>
      </c>
    </row>
    <row r="444" spans="1:3" x14ac:dyDescent="0.25">
      <c r="A444" s="18">
        <v>-315</v>
      </c>
      <c r="B444">
        <v>1.2047750342131782</v>
      </c>
      <c r="C444">
        <v>-0.79669384091385842</v>
      </c>
    </row>
    <row r="445" spans="1:3" x14ac:dyDescent="0.25">
      <c r="A445" s="18">
        <v>-316</v>
      </c>
      <c r="B445">
        <v>1.2058406798735049</v>
      </c>
      <c r="C445">
        <v>-0.796830368386094</v>
      </c>
    </row>
    <row r="446" spans="1:3" x14ac:dyDescent="0.25">
      <c r="A446" s="19">
        <v>-317</v>
      </c>
      <c r="B446">
        <v>1.2061724572699126</v>
      </c>
      <c r="C446">
        <v>-0.79648073523091312</v>
      </c>
    </row>
    <row r="447" spans="1:3" x14ac:dyDescent="0.25">
      <c r="A447" s="19">
        <v>-318</v>
      </c>
      <c r="B447">
        <v>1.2064936979937642</v>
      </c>
      <c r="C447">
        <v>-0.79612039865321216</v>
      </c>
    </row>
    <row r="448" spans="1:3" x14ac:dyDescent="0.25">
      <c r="A448" s="18">
        <v>-319</v>
      </c>
      <c r="B448">
        <v>1.2068113165926098</v>
      </c>
      <c r="C448">
        <v>-0.79575299904866725</v>
      </c>
    </row>
    <row r="449" spans="1:3" x14ac:dyDescent="0.25">
      <c r="A449" s="18">
        <v>-320</v>
      </c>
      <c r="B449">
        <v>1.2071257290298449</v>
      </c>
      <c r="C449">
        <v>-0.79537787130828386</v>
      </c>
    </row>
    <row r="450" spans="1:3" x14ac:dyDescent="0.25">
      <c r="A450" s="19">
        <v>-321</v>
      </c>
      <c r="B450">
        <v>1.2074373690166638</v>
      </c>
      <c r="C450">
        <v>-0.79499432363726918</v>
      </c>
    </row>
    <row r="451" spans="1:3" x14ac:dyDescent="0.25">
      <c r="A451" s="19">
        <v>-322</v>
      </c>
      <c r="B451">
        <v>1.2077466645328001</v>
      </c>
      <c r="C451">
        <v>-0.79460161388843253</v>
      </c>
    </row>
    <row r="452" spans="1:3" x14ac:dyDescent="0.25">
      <c r="A452" s="18">
        <v>-323</v>
      </c>
      <c r="B452">
        <v>1.2080540412421377</v>
      </c>
      <c r="C452">
        <v>-0.79419894275297687</v>
      </c>
    </row>
    <row r="453" spans="1:3" x14ac:dyDescent="0.25">
      <c r="A453" s="18">
        <v>-324</v>
      </c>
      <c r="B453">
        <v>1.2083599259718327</v>
      </c>
      <c r="C453">
        <v>-0.79378544598399015</v>
      </c>
    </row>
    <row r="454" spans="1:3" x14ac:dyDescent="0.25">
      <c r="A454" s="19">
        <v>-325</v>
      </c>
      <c r="B454">
        <v>1.2086647504305135</v>
      </c>
      <c r="C454">
        <v>-0.7933601855393938</v>
      </c>
    </row>
    <row r="455" spans="1:3" x14ac:dyDescent="0.25">
      <c r="A455" s="19">
        <v>-326</v>
      </c>
      <c r="B455">
        <v>1.208968955265538</v>
      </c>
      <c r="C455">
        <v>-0.79292213943713452</v>
      </c>
    </row>
    <row r="456" spans="1:3" x14ac:dyDescent="0.25">
      <c r="A456" s="18">
        <v>-327</v>
      </c>
      <c r="B456">
        <v>1.2092729945782432</v>
      </c>
      <c r="C456">
        <v>-0.79247019007137398</v>
      </c>
    </row>
    <row r="457" spans="1:3" x14ac:dyDescent="0.25">
      <c r="A457" s="18">
        <v>-328</v>
      </c>
      <c r="B457">
        <v>1.2095773410430777</v>
      </c>
      <c r="C457">
        <v>-0.79200311068429752</v>
      </c>
    </row>
    <row r="458" spans="1:3" x14ac:dyDescent="0.25">
      <c r="A458" s="19">
        <v>-329</v>
      </c>
      <c r="B458">
        <v>1.2098824918153024</v>
      </c>
      <c r="C458">
        <v>-0.79151954962071336</v>
      </c>
    </row>
    <row r="459" spans="1:3" x14ac:dyDescent="0.25">
      <c r="A459" s="19">
        <v>-330</v>
      </c>
      <c r="B459">
        <v>1.2092803231868219</v>
      </c>
      <c r="C459">
        <v>-0.7904301158641146</v>
      </c>
    </row>
    <row r="460" spans="1:3" x14ac:dyDescent="0.25">
      <c r="A460" s="18">
        <v>-331</v>
      </c>
      <c r="B460">
        <v>1.2106324117740785</v>
      </c>
      <c r="C460">
        <v>-0.79058409370882421</v>
      </c>
    </row>
    <row r="461" spans="1:3" x14ac:dyDescent="0.25">
      <c r="A461" s="18">
        <v>-332</v>
      </c>
      <c r="B461">
        <v>1.2108091205187026</v>
      </c>
      <c r="C461">
        <v>-0.78995472871109784</v>
      </c>
    </row>
    <row r="462" spans="1:3" x14ac:dyDescent="0.25">
      <c r="A462" s="19">
        <v>-333</v>
      </c>
      <c r="B462">
        <v>1.2111223723226681</v>
      </c>
      <c r="C462">
        <v>-0.78938795957216301</v>
      </c>
    </row>
    <row r="463" spans="1:3" x14ac:dyDescent="0.25">
      <c r="A463" s="19">
        <v>-334</v>
      </c>
      <c r="B463">
        <v>1.2114404236704468</v>
      </c>
      <c r="C463">
        <v>-0.78879584704007166</v>
      </c>
    </row>
    <row r="464" spans="1:3" x14ac:dyDescent="0.25">
      <c r="A464" s="18">
        <v>-335</v>
      </c>
      <c r="B464">
        <v>1.2117632887980523</v>
      </c>
      <c r="C464">
        <v>-0.78817521955155223</v>
      </c>
    </row>
    <row r="465" spans="1:3" x14ac:dyDescent="0.25">
      <c r="A465" s="18">
        <v>-336</v>
      </c>
      <c r="B465">
        <v>1.2120919342244636</v>
      </c>
      <c r="C465">
        <v>-0.78752308787478886</v>
      </c>
    </row>
    <row r="466" spans="1:3" x14ac:dyDescent="0.25">
      <c r="A466" s="19">
        <v>-337</v>
      </c>
      <c r="B466">
        <v>1.2124274835213014</v>
      </c>
      <c r="C466">
        <v>-0.78683604714311417</v>
      </c>
    </row>
    <row r="467" spans="1:3" x14ac:dyDescent="0.25">
      <c r="A467" s="19">
        <v>-338</v>
      </c>
      <c r="B467">
        <v>1.2127712518517069</v>
      </c>
      <c r="C467">
        <v>-0.78611019336696508</v>
      </c>
    </row>
    <row r="468" spans="1:3" x14ac:dyDescent="0.25">
      <c r="A468" s="18">
        <v>-339</v>
      </c>
      <c r="B468">
        <v>1.2131247993820056</v>
      </c>
      <c r="C468">
        <v>-0.78534102478024137</v>
      </c>
    </row>
    <row r="469" spans="1:3" x14ac:dyDescent="0.25">
      <c r="A469" s="18">
        <v>-340</v>
      </c>
      <c r="B469">
        <v>1.2134900029067544</v>
      </c>
      <c r="C469">
        <v>-0.78452331875705117</v>
      </c>
    </row>
    <row r="470" spans="1:3" x14ac:dyDescent="0.25">
      <c r="A470" s="19">
        <v>-341</v>
      </c>
      <c r="B470">
        <v>1.2138691532637671</v>
      </c>
      <c r="C470">
        <v>-0.78365097686385099</v>
      </c>
    </row>
    <row r="471" spans="1:3" x14ac:dyDescent="0.25">
      <c r="A471" s="19">
        <v>-342</v>
      </c>
      <c r="B471">
        <v>1.2142650899783416</v>
      </c>
      <c r="C471">
        <v>-0.7827168279832154</v>
      </c>
    </row>
    <row r="472" spans="1:3" x14ac:dyDescent="0.25">
      <c r="A472" s="18">
        <v>-343</v>
      </c>
      <c r="B472">
        <v>1.214681390653529</v>
      </c>
      <c r="C472">
        <v>-0.78171237568285024</v>
      </c>
    </row>
    <row r="473" spans="1:3" x14ac:dyDescent="0.25">
      <c r="A473" s="18">
        <v>-344</v>
      </c>
      <c r="B473">
        <v>1.2151226425235389</v>
      </c>
      <c r="C473">
        <v>-0.78062747062058535</v>
      </c>
    </row>
    <row r="474" spans="1:3" x14ac:dyDescent="0.25">
      <c r="A474" s="19">
        <v>-345</v>
      </c>
      <c r="B474">
        <v>1.2155948401279262</v>
      </c>
      <c r="C474">
        <v>-0.77944988098880508</v>
      </c>
    </row>
    <row r="475" spans="1:3" x14ac:dyDescent="0.25">
      <c r="A475" s="19">
        <v>-346</v>
      </c>
      <c r="B475">
        <v>1.2161059815304833</v>
      </c>
      <c r="C475">
        <v>-0.77816472265615289</v>
      </c>
    </row>
    <row r="476" spans="1:3" x14ac:dyDescent="0.25">
      <c r="A476" s="18">
        <v>-347</v>
      </c>
      <c r="B476">
        <v>1.2166669860496251</v>
      </c>
      <c r="C476">
        <v>-0.77675369402188066</v>
      </c>
    </row>
    <row r="477" spans="1:3" x14ac:dyDescent="0.25">
      <c r="A477" s="18">
        <v>-348</v>
      </c>
      <c r="B477">
        <v>1.2160336884142535</v>
      </c>
      <c r="C477">
        <v>-0.77441097990401897</v>
      </c>
    </row>
    <row r="478" spans="1:3" x14ac:dyDescent="0.25">
      <c r="A478" s="19">
        <v>-349</v>
      </c>
      <c r="B478">
        <v>1.2164327562243813</v>
      </c>
      <c r="C478">
        <v>-0.77248287078328792</v>
      </c>
    </row>
    <row r="479" spans="1:3" x14ac:dyDescent="0.25">
      <c r="A479" s="19">
        <v>-350</v>
      </c>
      <c r="B479">
        <v>1.2168520201120678</v>
      </c>
      <c r="C479">
        <v>-0.77028178585461282</v>
      </c>
    </row>
    <row r="480" spans="1:3" x14ac:dyDescent="0.25">
      <c r="A480" s="18">
        <v>-351</v>
      </c>
      <c r="B480">
        <v>1.217295795907873</v>
      </c>
      <c r="C480">
        <v>-0.76773358424301263</v>
      </c>
    </row>
    <row r="481" spans="1:3" x14ac:dyDescent="0.25">
      <c r="A481" s="18">
        <v>-352</v>
      </c>
      <c r="B481">
        <v>1.2177717469297944</v>
      </c>
      <c r="C481">
        <v>-0.76473373473157624</v>
      </c>
    </row>
    <row r="482" spans="1:3" x14ac:dyDescent="0.25">
      <c r="A482" s="19">
        <v>-353</v>
      </c>
      <c r="B482">
        <v>1.2182925424568223</v>
      </c>
      <c r="C482">
        <v>-0.76112814012528041</v>
      </c>
    </row>
    <row r="483" spans="1:3" x14ac:dyDescent="0.25">
      <c r="A483" s="19">
        <v>-354</v>
      </c>
      <c r="B483">
        <v>1.218881424968669</v>
      </c>
      <c r="C483">
        <v>-0.75667846696822094</v>
      </c>
    </row>
    <row r="484" spans="1:3" x14ac:dyDescent="0.25">
      <c r="A484" s="18">
        <v>-355</v>
      </c>
      <c r="B484">
        <v>1.219587024580826</v>
      </c>
      <c r="C484">
        <v>-0.7509927581152408</v>
      </c>
    </row>
    <row r="485" spans="1:3" x14ac:dyDescent="0.25">
      <c r="A485" s="18">
        <v>-356</v>
      </c>
      <c r="B485">
        <v>1.2205298932250248</v>
      </c>
      <c r="C485">
        <v>-0.743371855412573</v>
      </c>
    </row>
    <row r="486" spans="1:3" x14ac:dyDescent="0.25">
      <c r="A486" s="19">
        <v>-357</v>
      </c>
      <c r="B486">
        <v>1.2205975709975674</v>
      </c>
      <c r="C486">
        <v>-0.73157854514522758</v>
      </c>
    </row>
    <row r="487" spans="1:3" x14ac:dyDescent="0.25">
      <c r="A487" s="19">
        <v>-358</v>
      </c>
      <c r="B487">
        <v>1.2222161775461577</v>
      </c>
      <c r="C487">
        <v>-0.71285266583266749</v>
      </c>
    </row>
    <row r="488" spans="1:3" x14ac:dyDescent="0.25">
      <c r="A488" s="18">
        <v>-359</v>
      </c>
      <c r="B488">
        <v>1.2226294920036576</v>
      </c>
      <c r="C488">
        <v>-0.669271869475905</v>
      </c>
    </row>
    <row r="489" spans="1:3" x14ac:dyDescent="0.25">
      <c r="A489" s="18">
        <v>-360</v>
      </c>
      <c r="B489">
        <v>1.2244769063180441</v>
      </c>
      <c r="C489">
        <v>-3.9552521176699743E-14</v>
      </c>
    </row>
    <row r="490" spans="1:3" x14ac:dyDescent="0.25">
      <c r="B490">
        <f>B129</f>
        <v>1.2244769063180443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2020-01-16T15:52:38Z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