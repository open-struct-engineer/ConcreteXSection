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Spreadsheets\"/>
    </mc:Choice>
  </mc:AlternateContent>
  <xr:revisionPtr revIDLastSave="0" documentId="13_ncr:1_{E580D5B5-5996-4CF6-A50C-D95F6322560B}" xr6:coauthVersionLast="45" xr6:coauthVersionMax="45" xr10:uidLastSave="{00000000-0000-0000-0000-000000000000}"/>
  <bookViews>
    <workbookView xWindow="-120" yWindow="-120" windowWidth="29040" windowHeight="1584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'Cross Section Analysis'!$D$121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1" i="1" l="1"/>
  <c r="Q123" i="1" l="1"/>
  <c r="D120" i="1"/>
  <c r="Q122" i="1" s="1"/>
  <c r="E120" i="1"/>
  <c r="R122" i="1" s="1"/>
  <c r="C490" i="1" l="1"/>
  <c r="B490" i="1"/>
  <c r="C35" i="1" l="1"/>
  <c r="C36" i="1"/>
  <c r="C37" i="1"/>
  <c r="C38" i="1"/>
  <c r="C39" i="1"/>
  <c r="C40" i="1"/>
  <c r="C41" i="1"/>
  <c r="C42" i="1"/>
  <c r="C43" i="1"/>
  <c r="C44" i="1"/>
  <c r="C45" i="1"/>
  <c r="C34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Q129" i="1" s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30" i="1" s="1"/>
  <c r="B103" i="1"/>
  <c r="B104" i="1"/>
  <c r="B105" i="1"/>
  <c r="C72" i="1"/>
  <c r="B107" i="1"/>
  <c r="C74" i="1"/>
  <c r="C75" i="1"/>
  <c r="B34" i="1"/>
  <c r="B43" i="1" l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B31" i="1"/>
  <c r="E6" i="1"/>
  <c r="E5" i="1"/>
  <c r="D5" i="1"/>
  <c r="D4" i="1"/>
  <c r="F34" i="1" l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G3" i="1"/>
  <c r="H3" i="1" s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8" i="1" l="1"/>
  <c r="D102" i="1" s="1"/>
  <c r="G67" i="1"/>
  <c r="D101" i="1" s="1"/>
  <c r="G72" i="1"/>
  <c r="D106" i="1" s="1"/>
  <c r="F75" i="1"/>
  <c r="C109" i="1" s="1"/>
  <c r="G75" i="1"/>
  <c r="D109" i="1" s="1"/>
  <c r="F74" i="1"/>
  <c r="C108" i="1" s="1"/>
  <c r="G74" i="1"/>
  <c r="D108" i="1" s="1"/>
  <c r="F73" i="1"/>
  <c r="C107" i="1" s="1"/>
  <c r="G73" i="1"/>
  <c r="D107" i="1" s="1"/>
  <c r="F65" i="1"/>
  <c r="C99" i="1" s="1"/>
  <c r="G65" i="1"/>
  <c r="D99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F67" i="1"/>
  <c r="C101" i="1" s="1"/>
  <c r="F68" i="1"/>
  <c r="C102" i="1" s="1"/>
  <c r="F72" i="1"/>
  <c r="C106" i="1" s="1"/>
  <c r="F64" i="1"/>
  <c r="C98" i="1" s="1"/>
  <c r="G64" i="1"/>
  <c r="D98" i="1" s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T59" i="1" l="1"/>
  <c r="D83" i="1"/>
  <c r="B90" i="1"/>
  <c r="B88" i="1"/>
  <c r="G91" i="1"/>
  <c r="G58" i="1"/>
  <c r="E103" i="1" s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U59" i="1" l="1"/>
  <c r="U60" i="1" s="1"/>
  <c r="T60" i="1"/>
  <c r="F90" i="1"/>
  <c r="F89" i="1"/>
  <c r="F88" i="1"/>
  <c r="I88" i="1" s="1"/>
  <c r="H91" i="1"/>
  <c r="G88" i="1"/>
  <c r="G90" i="1"/>
  <c r="E108" i="1"/>
  <c r="E98" i="1"/>
  <c r="F98" i="1" s="1"/>
  <c r="G98" i="1" s="1"/>
  <c r="H98" i="1" s="1"/>
  <c r="J98" i="1" s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G103" i="1" s="1"/>
  <c r="H103" i="1" s="1"/>
  <c r="J103" i="1" s="1"/>
  <c r="F108" i="1"/>
  <c r="F109" i="1"/>
  <c r="I100" i="1" l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98" i="1"/>
  <c r="F110" i="1"/>
  <c r="J113" i="1" s="1"/>
  <c r="I103" i="1"/>
  <c r="J110" i="1" l="1"/>
  <c r="I104" i="1"/>
  <c r="I108" i="1"/>
  <c r="J90" i="1"/>
  <c r="K90" i="1"/>
  <c r="L90" i="1"/>
  <c r="J89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B114" i="1"/>
  <c r="D115" i="1"/>
  <c r="B115" i="1"/>
  <c r="F114" i="1" l="1"/>
  <c r="H114" i="1" s="1"/>
  <c r="J114" i="1" s="1"/>
  <c r="F115" i="1"/>
  <c r="H115" i="1" s="1"/>
  <c r="J115" i="1" s="1"/>
  <c r="I125" i="1" s="1"/>
  <c r="N115" i="1" l="1"/>
  <c r="H125" i="1"/>
  <c r="R123" i="1"/>
</calcChain>
</file>

<file path=xl/sharedStrings.xml><?xml version="1.0" encoding="utf-8"?>
<sst xmlns="http://schemas.openxmlformats.org/spreadsheetml/2006/main" count="132" uniqueCount="87">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</sst>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/>
    <xf numFmtId="164" fontId="3" fillId="0" borderId="0" xfId="0" applyNumberFormat="1" applyFont="1" applyFill="1" applyAlignment="1">
      <alignment horizontal="center"/>
    </xf>
    <xf numFmtId="166" fontId="3" fillId="0" borderId="0" xfId="0" applyNumberFormat="1" applyFont="1" applyFill="1"/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16</c:v>
                </c:pt>
                <c:pt idx="3">
                  <c:v>10</c:v>
                </c:pt>
                <c:pt idx="4">
                  <c:v>4</c:v>
                </c:pt>
                <c:pt idx="5" formatCode="General">
                  <c:v>10</c:v>
                </c:pt>
                <c:pt idx="6" formatCode="General">
                  <c:v>4</c:v>
                </c:pt>
                <c:pt idx="7" formatCode="General">
                  <c:v>4</c:v>
                </c:pt>
                <c:pt idx="8" formatCode="General">
                  <c:v>16</c:v>
                </c:pt>
                <c:pt idx="9" formatCode="General">
                  <c:v>16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 formatCode="General">
                  <c:v>4</c:v>
                </c:pt>
                <c:pt idx="6" formatCode="General">
                  <c:v>11.33333</c:v>
                </c:pt>
                <c:pt idx="7" formatCode="General">
                  <c:v>18.66666</c:v>
                </c:pt>
                <c:pt idx="8" formatCode="General">
                  <c:v>11.33333</c:v>
                </c:pt>
                <c:pt idx="9" formatCode="General">
                  <c:v>18.66666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30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14.999999622279303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-13.899443623448217</c:v>
                </c:pt>
                <c:pt idx="1">
                  <c:v>-15.943468011107889</c:v>
                </c:pt>
                <c:pt idx="2">
                  <c:v>13.89944437493393</c:v>
                </c:pt>
                <c:pt idx="3">
                  <c:v>15.943468762593602</c:v>
                </c:pt>
                <c:pt idx="4">
                  <c:v>-13.899443623448217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11.480655714155176</c:v>
                </c:pt>
                <c:pt idx="1">
                  <c:v>-8.4146192098727042</c:v>
                </c:pt>
                <c:pt idx="2">
                  <c:v>-11.480655791362208</c:v>
                </c:pt>
                <c:pt idx="3">
                  <c:v>8.4146191326656723</c:v>
                </c:pt>
                <c:pt idx="4">
                  <c:v>11.480655714155176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-10.329193516174577</c:v>
                </c:pt>
                <c:pt idx="1">
                  <c:v>-11.555608148770379</c:v>
                </c:pt>
                <c:pt idx="2">
                  <c:v>10.329194267660288</c:v>
                </c:pt>
                <c:pt idx="3">
                  <c:v>10.942401583958189</c:v>
                </c:pt>
                <c:pt idx="4">
                  <c:v>11.55560890025609</c:v>
                </c:pt>
                <c:pt idx="5">
                  <c:v>-10.942400832472478</c:v>
                </c:pt>
                <c:pt idx="6">
                  <c:v>-3.0342626932435079</c:v>
                </c:pt>
                <c:pt idx="7">
                  <c:v>4.2606681296875601</c:v>
                </c:pt>
                <c:pt idx="8">
                  <c:v>-4.2606773258393105</c:v>
                </c:pt>
                <c:pt idx="9">
                  <c:v>3.0342534970917585</c:v>
                </c:pt>
                <c:pt idx="10">
                  <c:v>-13.899443623448217</c:v>
                </c:pt>
                <c:pt idx="11">
                  <c:v>-13.899443623448217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7.0927958518176668</c:v>
                </c:pt>
                <c:pt idx="1">
                  <c:v>-4.8443691025990612</c:v>
                </c:pt>
                <c:pt idx="2">
                  <c:v>-7.0927959290246987</c:v>
                </c:pt>
                <c:pt idx="3">
                  <c:v>-1.1242134518163345</c:v>
                </c:pt>
                <c:pt idx="4">
                  <c:v>4.8443690253920293</c:v>
                </c:pt>
                <c:pt idx="5">
                  <c:v>1.1242133746093028</c:v>
                </c:pt>
                <c:pt idx="6">
                  <c:v>6.3433205836798523</c:v>
                </c:pt>
                <c:pt idx="7">
                  <c:v>5.5938453155420378</c:v>
                </c:pt>
                <c:pt idx="8">
                  <c:v>-5.5938443707368757</c:v>
                </c:pt>
                <c:pt idx="9">
                  <c:v>-6.3433196388746902</c:v>
                </c:pt>
                <c:pt idx="10">
                  <c:v>11.480655714155176</c:v>
                </c:pt>
                <c:pt idx="11">
                  <c:v>11.480655714155176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-15.943468011107889</c:v>
                </c:pt>
                <c:pt idx="1">
                  <c:v>15.943468762593602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5.7584242906899661</c:v>
                </c:pt>
                <c:pt idx="1">
                  <c:v>5.7584242906899661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-15.943468011107889</c:v>
                </c:pt>
                <c:pt idx="1">
                  <c:v>15.943468762593602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6.9028705753830089</c:v>
                </c:pt>
                <c:pt idx="1">
                  <c:v>6.9028705753830089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-14.369761550737351</c:v>
                </c:pt>
                <c:pt idx="1">
                  <c:v>#N/A</c:v>
                </c:pt>
                <c:pt idx="2">
                  <c:v>15.788152943591616</c:v>
                </c:pt>
                <c:pt idx="3">
                  <c:v>#N/A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6.9028705753830089</c:v>
                </c:pt>
                <c:pt idx="1">
                  <c:v>#N/A</c:v>
                </c:pt>
                <c:pt idx="2">
                  <c:v>6.9028705753830089</c:v>
                </c:pt>
                <c:pt idx="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15.943468762593602</c:v>
                </c:pt>
                <c:pt idx="1">
                  <c:v>-15.943468762593602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15.943468762593602</c:v>
                </c:pt>
                <c:pt idx="1">
                  <c:v>-15.943468762593602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</a:t>
            </a:r>
            <a:r>
              <a:rPr lang="en-US" baseline="0"/>
              <a:t> vs My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Analysis'!$B$129:$B$490</c:f>
              <c:numCache>
                <c:formatCode>General</c:formatCode>
                <c:ptCount val="362"/>
                <c:pt idx="0">
                  <c:v>632.70573004696018</c:v>
                </c:pt>
                <c:pt idx="1">
                  <c:v>632.63735605509953</c:v>
                </c:pt>
                <c:pt idx="2">
                  <c:v>632.50508394702285</c:v>
                </c:pt>
                <c:pt idx="3">
                  <c:v>632.30883333380632</c:v>
                </c:pt>
                <c:pt idx="4">
                  <c:v>632.04814317748719</c:v>
                </c:pt>
                <c:pt idx="5">
                  <c:v>631.72236264592254</c:v>
                </c:pt>
                <c:pt idx="6">
                  <c:v>631.37633848511405</c:v>
                </c:pt>
                <c:pt idx="7">
                  <c:v>628.88897784589142</c:v>
                </c:pt>
                <c:pt idx="8">
                  <c:v>626.41743671389656</c:v>
                </c:pt>
                <c:pt idx="9">
                  <c:v>623.95568197483476</c:v>
                </c:pt>
                <c:pt idx="10">
                  <c:v>621.49590753833252</c:v>
                </c:pt>
                <c:pt idx="11">
                  <c:v>619.03137318223548</c:v>
                </c:pt>
                <c:pt idx="12">
                  <c:v>616.55558118522652</c:v>
                </c:pt>
                <c:pt idx="13">
                  <c:v>614.06221841251079</c:v>
                </c:pt>
                <c:pt idx="14">
                  <c:v>611.54510317934307</c:v>
                </c:pt>
                <c:pt idx="15">
                  <c:v>608.99813578664919</c:v>
                </c:pt>
                <c:pt idx="16">
                  <c:v>606.41525188485741</c:v>
                </c:pt>
                <c:pt idx="17">
                  <c:v>603.79037791560324</c:v>
                </c:pt>
                <c:pt idx="18">
                  <c:v>601.11738795285157</c:v>
                </c:pt>
                <c:pt idx="19">
                  <c:v>598.39006131849249</c:v>
                </c:pt>
                <c:pt idx="20">
                  <c:v>595.60204038500592</c:v>
                </c:pt>
                <c:pt idx="21">
                  <c:v>592.74678800116851</c:v>
                </c:pt>
                <c:pt idx="22">
                  <c:v>589.81754398720898</c:v>
                </c:pt>
                <c:pt idx="23">
                  <c:v>586.8073195260215</c:v>
                </c:pt>
                <c:pt idx="24">
                  <c:v>583.79519802680227</c:v>
                </c:pt>
                <c:pt idx="25">
                  <c:v>580.87166685967225</c:v>
                </c:pt>
                <c:pt idx="26">
                  <c:v>578.02518894738284</c:v>
                </c:pt>
                <c:pt idx="27">
                  <c:v>575.24533988634334</c:v>
                </c:pt>
                <c:pt idx="28">
                  <c:v>572.52225987420229</c:v>
                </c:pt>
                <c:pt idx="29">
                  <c:v>569.84892394473854</c:v>
                </c:pt>
                <c:pt idx="30">
                  <c:v>567.21607062978546</c:v>
                </c:pt>
                <c:pt idx="31">
                  <c:v>564.61703683789494</c:v>
                </c:pt>
                <c:pt idx="32">
                  <c:v>562.6549442097438</c:v>
                </c:pt>
                <c:pt idx="33">
                  <c:v>557.84384395682162</c:v>
                </c:pt>
                <c:pt idx="34">
                  <c:v>553.12804865847011</c:v>
                </c:pt>
                <c:pt idx="35">
                  <c:v>548.49690359928036</c:v>
                </c:pt>
                <c:pt idx="36">
                  <c:v>543.94030674404542</c:v>
                </c:pt>
                <c:pt idx="37">
                  <c:v>539.44876735901039</c:v>
                </c:pt>
                <c:pt idx="38">
                  <c:v>535.01330557206279</c:v>
                </c:pt>
                <c:pt idx="39">
                  <c:v>530.62536240197016</c:v>
                </c:pt>
                <c:pt idx="40">
                  <c:v>526.27671808875164</c:v>
                </c:pt>
                <c:pt idx="41">
                  <c:v>521.95941687015738</c:v>
                </c:pt>
                <c:pt idx="42">
                  <c:v>517.6656965840956</c:v>
                </c:pt>
                <c:pt idx="43">
                  <c:v>513.38789451501009</c:v>
                </c:pt>
                <c:pt idx="44">
                  <c:v>509.11845108307699</c:v>
                </c:pt>
                <c:pt idx="45">
                  <c:v>504.07245262435418</c:v>
                </c:pt>
                <c:pt idx="46">
                  <c:v>498.40878680730322</c:v>
                </c:pt>
                <c:pt idx="47">
                  <c:v>492.81321109691157</c:v>
                </c:pt>
                <c:pt idx="48">
                  <c:v>487.27526790135983</c:v>
                </c:pt>
                <c:pt idx="49">
                  <c:v>481.78467515056815</c:v>
                </c:pt>
                <c:pt idx="50">
                  <c:v>476.33116352496302</c:v>
                </c:pt>
                <c:pt idx="51">
                  <c:v>470.90438368638763</c:v>
                </c:pt>
                <c:pt idx="52">
                  <c:v>465.49379990963848</c:v>
                </c:pt>
                <c:pt idx="53">
                  <c:v>460.08857514368037</c:v>
                </c:pt>
                <c:pt idx="54">
                  <c:v>454.67744441945058</c:v>
                </c:pt>
                <c:pt idx="55">
                  <c:v>449.24857294505523</c:v>
                </c:pt>
                <c:pt idx="56">
                  <c:v>442.71088483430492</c:v>
                </c:pt>
                <c:pt idx="57">
                  <c:v>434.98472514574718</c:v>
                </c:pt>
                <c:pt idx="58">
                  <c:v>427.19993941201272</c:v>
                </c:pt>
                <c:pt idx="59">
                  <c:v>419.33867131644382</c:v>
                </c:pt>
                <c:pt idx="60">
                  <c:v>411.38148578783171</c:v>
                </c:pt>
                <c:pt idx="61">
                  <c:v>403.3070831343353</c:v>
                </c:pt>
                <c:pt idx="62">
                  <c:v>395.09146867713906</c:v>
                </c:pt>
                <c:pt idx="63">
                  <c:v>386.70820277396405</c:v>
                </c:pt>
                <c:pt idx="64">
                  <c:v>378.12694925215106</c:v>
                </c:pt>
                <c:pt idx="65">
                  <c:v>369.31303515103895</c:v>
                </c:pt>
                <c:pt idx="66">
                  <c:v>360.80630081059655</c:v>
                </c:pt>
                <c:pt idx="67">
                  <c:v>354.00543193440086</c:v>
                </c:pt>
                <c:pt idx="68">
                  <c:v>346.97229207315019</c:v>
                </c:pt>
                <c:pt idx="69">
                  <c:v>339.66129169711439</c:v>
                </c:pt>
                <c:pt idx="70">
                  <c:v>332.01737930280518</c:v>
                </c:pt>
                <c:pt idx="71">
                  <c:v>323.97314859013193</c:v>
                </c:pt>
                <c:pt idx="72">
                  <c:v>313.7990520891658</c:v>
                </c:pt>
                <c:pt idx="73">
                  <c:v>302.91380599774959</c:v>
                </c:pt>
                <c:pt idx="74">
                  <c:v>291.24826442445158</c:v>
                </c:pt>
                <c:pt idx="75">
                  <c:v>278.64360192551788</c:v>
                </c:pt>
                <c:pt idx="76">
                  <c:v>264.89498892435569</c:v>
                </c:pt>
                <c:pt idx="77">
                  <c:v>249.7327108054977</c:v>
                </c:pt>
                <c:pt idx="78">
                  <c:v>232.79395080510113</c:v>
                </c:pt>
                <c:pt idx="79">
                  <c:v>213.57840271774816</c:v>
                </c:pt>
                <c:pt idx="80">
                  <c:v>192.45680414609359</c:v>
                </c:pt>
                <c:pt idx="81">
                  <c:v>170.78958607135945</c:v>
                </c:pt>
                <c:pt idx="82">
                  <c:v>148.52407690023011</c:v>
                </c:pt>
                <c:pt idx="83">
                  <c:v>129.99044771860366</c:v>
                </c:pt>
                <c:pt idx="84">
                  <c:v>112.74431925179634</c:v>
                </c:pt>
                <c:pt idx="85">
                  <c:v>95.041280967801057</c:v>
                </c:pt>
                <c:pt idx="86">
                  <c:v>81.41322452708971</c:v>
                </c:pt>
                <c:pt idx="87">
                  <c:v>62.463678994877775</c:v>
                </c:pt>
                <c:pt idx="88">
                  <c:v>42.703123127236644</c:v>
                </c:pt>
                <c:pt idx="89">
                  <c:v>21.95595436063914</c:v>
                </c:pt>
                <c:pt idx="90">
                  <c:v>5.7781888278829006E-5</c:v>
                </c:pt>
                <c:pt idx="91">
                  <c:v>-21.955841477975394</c:v>
                </c:pt>
                <c:pt idx="92">
                  <c:v>-42.703011891611318</c:v>
                </c:pt>
                <c:pt idx="93">
                  <c:v>-62.463569048161851</c:v>
                </c:pt>
                <c:pt idx="94">
                  <c:v>-81.413115365928618</c:v>
                </c:pt>
                <c:pt idx="95">
                  <c:v>-95.041173800533784</c:v>
                </c:pt>
                <c:pt idx="96">
                  <c:v>-112.74421305609825</c:v>
                </c:pt>
                <c:pt idx="97">
                  <c:v>-129.99033943875745</c:v>
                </c:pt>
                <c:pt idx="98">
                  <c:v>-148.52397154924483</c:v>
                </c:pt>
                <c:pt idx="99">
                  <c:v>-170.78947514856009</c:v>
                </c:pt>
                <c:pt idx="100">
                  <c:v>-192.45669345050933</c:v>
                </c:pt>
                <c:pt idx="101">
                  <c:v>-213.57829214632724</c:v>
                </c:pt>
                <c:pt idx="102">
                  <c:v>-232.79369550692496</c:v>
                </c:pt>
                <c:pt idx="103">
                  <c:v>-249.73246196746481</c:v>
                </c:pt>
                <c:pt idx="104">
                  <c:v>-264.89475273216834</c:v>
                </c:pt>
                <c:pt idx="105">
                  <c:v>-278.64338014192379</c:v>
                </c:pt>
                <c:pt idx="106">
                  <c:v>-291.24806240793379</c:v>
                </c:pt>
                <c:pt idx="107">
                  <c:v>-302.91369109357487</c:v>
                </c:pt>
                <c:pt idx="108">
                  <c:v>-313.79891565660807</c:v>
                </c:pt>
                <c:pt idx="109">
                  <c:v>-323.97303761176647</c:v>
                </c:pt>
                <c:pt idx="110">
                  <c:v>-332.0172615613979</c:v>
                </c:pt>
                <c:pt idx="111">
                  <c:v>-339.66117949708649</c:v>
                </c:pt>
                <c:pt idx="112">
                  <c:v>-346.9721674841831</c:v>
                </c:pt>
                <c:pt idx="113">
                  <c:v>-354.00529426118044</c:v>
                </c:pt>
                <c:pt idx="114">
                  <c:v>-360.80617485809506</c:v>
                </c:pt>
                <c:pt idx="115">
                  <c:v>-369.31289680311824</c:v>
                </c:pt>
                <c:pt idx="116">
                  <c:v>-378.12680012321999</c:v>
                </c:pt>
                <c:pt idx="117">
                  <c:v>-386.70806424249042</c:v>
                </c:pt>
                <c:pt idx="118">
                  <c:v>-395.09133562858267</c:v>
                </c:pt>
                <c:pt idx="119">
                  <c:v>-403.30687307473062</c:v>
                </c:pt>
                <c:pt idx="120">
                  <c:v>-411.38126868150511</c:v>
                </c:pt>
                <c:pt idx="121">
                  <c:v>-419.33853544710627</c:v>
                </c:pt>
                <c:pt idx="122">
                  <c:v>-427.19979891867632</c:v>
                </c:pt>
                <c:pt idx="123">
                  <c:v>-434.98457916997069</c:v>
                </c:pt>
                <c:pt idx="124">
                  <c:v>-442.71074966969411</c:v>
                </c:pt>
                <c:pt idx="125">
                  <c:v>-449.24836495431481</c:v>
                </c:pt>
                <c:pt idx="126">
                  <c:v>-454.6772204806116</c:v>
                </c:pt>
                <c:pt idx="127">
                  <c:v>-460.08834320406237</c:v>
                </c:pt>
                <c:pt idx="128">
                  <c:v>-465.49356175882093</c:v>
                </c:pt>
                <c:pt idx="129">
                  <c:v>-470.90414140502577</c:v>
                </c:pt>
                <c:pt idx="130">
                  <c:v>-476.33091947727138</c:v>
                </c:pt>
                <c:pt idx="131">
                  <c:v>-481.78443198428204</c:v>
                </c:pt>
                <c:pt idx="132">
                  <c:v>-487.27502855459556</c:v>
                </c:pt>
                <c:pt idx="133">
                  <c:v>-492.81297881212043</c:v>
                </c:pt>
                <c:pt idx="134">
                  <c:v>-498.4085728395155</c:v>
                </c:pt>
                <c:pt idx="135">
                  <c:v>-504.07221808211165</c:v>
                </c:pt>
                <c:pt idx="136">
                  <c:v>-509.11823537586912</c:v>
                </c:pt>
                <c:pt idx="137">
                  <c:v>-513.38807992168825</c:v>
                </c:pt>
                <c:pt idx="138">
                  <c:v>-517.66546193730005</c:v>
                </c:pt>
                <c:pt idx="139">
                  <c:v>-521.95917968138042</c:v>
                </c:pt>
                <c:pt idx="140">
                  <c:v>-526.27647795237738</c:v>
                </c:pt>
                <c:pt idx="141">
                  <c:v>-530.62511892894418</c:v>
                </c:pt>
                <c:pt idx="142">
                  <c:v>-535.01305839054453</c:v>
                </c:pt>
                <c:pt idx="143">
                  <c:v>-539.44851611438798</c:v>
                </c:pt>
                <c:pt idx="144">
                  <c:v>-543.94005109942623</c:v>
                </c:pt>
                <c:pt idx="145">
                  <c:v>-548.49664323654383</c:v>
                </c:pt>
                <c:pt idx="146">
                  <c:v>-553.12778327999786</c:v>
                </c:pt>
                <c:pt idx="147">
                  <c:v>-557.84357328787883</c:v>
                </c:pt>
                <c:pt idx="148">
                  <c:v>-562.65425624471186</c:v>
                </c:pt>
                <c:pt idx="149">
                  <c:v>-565.21134488523217</c:v>
                </c:pt>
                <c:pt idx="150">
                  <c:v>-563.1743421044265</c:v>
                </c:pt>
                <c:pt idx="151">
                  <c:v>-569.84869133027939</c:v>
                </c:pt>
                <c:pt idx="152">
                  <c:v>-572.5225208458063</c:v>
                </c:pt>
                <c:pt idx="153">
                  <c:v>-575.24510994674631</c:v>
                </c:pt>
                <c:pt idx="154">
                  <c:v>-578.02431523479925</c:v>
                </c:pt>
                <c:pt idx="155">
                  <c:v>-580.87143188096036</c:v>
                </c:pt>
                <c:pt idx="156">
                  <c:v>-583.79496033320549</c:v>
                </c:pt>
                <c:pt idx="157">
                  <c:v>-586.80710962989792</c:v>
                </c:pt>
                <c:pt idx="158">
                  <c:v>-589.81739370892092</c:v>
                </c:pt>
                <c:pt idx="159">
                  <c:v>-592.74665856675358</c:v>
                </c:pt>
                <c:pt idx="160">
                  <c:v>-595.60193612112892</c:v>
                </c:pt>
                <c:pt idx="161">
                  <c:v>-598.38998721852977</c:v>
                </c:pt>
                <c:pt idx="162">
                  <c:v>-601.11734977584911</c:v>
                </c:pt>
                <c:pt idx="163">
                  <c:v>-603.79038230103663</c:v>
                </c:pt>
                <c:pt idx="164">
                  <c:v>-606.41530648584637</c:v>
                </c:pt>
                <c:pt idx="165">
                  <c:v>-608.99824942487794</c:v>
                </c:pt>
                <c:pt idx="166">
                  <c:v>-611.54528602556286</c:v>
                </c:pt>
                <c:pt idx="167">
                  <c:v>-614.06248219726251</c:v>
                </c:pt>
                <c:pt idx="168">
                  <c:v>-616.55593944534428</c:v>
                </c:pt>
                <c:pt idx="169">
                  <c:v>-619.03184154981898</c:v>
                </c:pt>
                <c:pt idx="170">
                  <c:v>-621.4965040802565</c:v>
                </c:pt>
                <c:pt idx="171">
                  <c:v>-623.95642759251507</c:v>
                </c:pt>
                <c:pt idx="172">
                  <c:v>-626.41835547256846</c:v>
                </c:pt>
                <c:pt idx="173">
                  <c:v>-628.8893375438538</c:v>
                </c:pt>
                <c:pt idx="174">
                  <c:v>-631.3760867474773</c:v>
                </c:pt>
                <c:pt idx="175">
                  <c:v>-631.72216874816479</c:v>
                </c:pt>
                <c:pt idx="176">
                  <c:v>-632.04791480674692</c:v>
                </c:pt>
                <c:pt idx="177">
                  <c:v>-632.30860505678652</c:v>
                </c:pt>
                <c:pt idx="178">
                  <c:v>-632.50485580480597</c:v>
                </c:pt>
                <c:pt idx="179">
                  <c:v>-632.63712810858999</c:v>
                </c:pt>
                <c:pt idx="180">
                  <c:v>-632.70572783987564</c:v>
                </c:pt>
                <c:pt idx="181">
                  <c:v>-632.63712745512623</c:v>
                </c:pt>
                <c:pt idx="182">
                  <c:v>-632.50485534702295</c:v>
                </c:pt>
                <c:pt idx="183">
                  <c:v>-632.30860473380619</c:v>
                </c:pt>
                <c:pt idx="184">
                  <c:v>-632.04791457748706</c:v>
                </c:pt>
                <c:pt idx="185">
                  <c:v>-631.72213404592276</c:v>
                </c:pt>
                <c:pt idx="186">
                  <c:v>-631.37604333597847</c:v>
                </c:pt>
                <c:pt idx="187">
                  <c:v>-628.88868670917009</c:v>
                </c:pt>
                <c:pt idx="188">
                  <c:v>-626.41714945028832</c:v>
                </c:pt>
                <c:pt idx="189">
                  <c:v>-623.95539845307951</c:v>
                </c:pt>
                <c:pt idx="190">
                  <c:v>-621.49562763370545</c:v>
                </c:pt>
                <c:pt idx="191">
                  <c:v>-619.03109677762359</c:v>
                </c:pt>
                <c:pt idx="192">
                  <c:v>-616.55530817057945</c:v>
                </c:pt>
                <c:pt idx="193">
                  <c:v>-614.06194868433704</c:v>
                </c:pt>
                <c:pt idx="194">
                  <c:v>-611.54483664024906</c:v>
                </c:pt>
                <c:pt idx="195">
                  <c:v>-608.99787234491907</c:v>
                </c:pt>
                <c:pt idx="196">
                  <c:v>-606.41499145406749</c:v>
                </c:pt>
                <c:pt idx="197">
                  <c:v>-603.79012041426836</c:v>
                </c:pt>
                <c:pt idx="198">
                  <c:v>-601.11713330410203</c:v>
                </c:pt>
                <c:pt idx="199">
                  <c:v>-598.38980944977516</c:v>
                </c:pt>
                <c:pt idx="200">
                  <c:v>-595.60179122781233</c:v>
                </c:pt>
                <c:pt idx="201">
                  <c:v>-592.74654149078253</c:v>
                </c:pt>
                <c:pt idx="202">
                  <c:v>-589.81730006247437</c:v>
                </c:pt>
                <c:pt idx="203">
                  <c:v>-586.80707812939522</c:v>
                </c:pt>
                <c:pt idx="204">
                  <c:v>-583.79495971678534</c:v>
                </c:pt>
                <c:pt idx="205">
                  <c:v>-580.8714315197841</c:v>
                </c:pt>
                <c:pt idx="206">
                  <c:v>-578.02495644643648</c:v>
                </c:pt>
                <c:pt idx="207">
                  <c:v>-575.24511010502169</c:v>
                </c:pt>
                <c:pt idx="208">
                  <c:v>-572.52203270284701</c:v>
                </c:pt>
                <c:pt idx="209">
                  <c:v>-569.8486992854514</c:v>
                </c:pt>
                <c:pt idx="210">
                  <c:v>-567.21584839032357</c:v>
                </c:pt>
                <c:pt idx="211">
                  <c:v>-564.61681693442517</c:v>
                </c:pt>
                <c:pt idx="212">
                  <c:v>-562.65466602743709</c:v>
                </c:pt>
                <c:pt idx="213">
                  <c:v>-557.84356763794813</c:v>
                </c:pt>
                <c:pt idx="214">
                  <c:v>-553.12777689769689</c:v>
                </c:pt>
                <c:pt idx="215">
                  <c:v>-548.49663628385224</c:v>
                </c:pt>
                <c:pt idx="216">
                  <c:v>-543.94004377035856</c:v>
                </c:pt>
                <c:pt idx="217">
                  <c:v>-539.44850863184286</c:v>
                </c:pt>
                <c:pt idx="218">
                  <c:v>-535.0130510039038</c:v>
                </c:pt>
                <c:pt idx="219">
                  <c:v>-530.62511191242629</c:v>
                </c:pt>
                <c:pt idx="220">
                  <c:v>-526.2764716040225</c:v>
                </c:pt>
                <c:pt idx="221">
                  <c:v>-521.95917432257022</c:v>
                </c:pt>
                <c:pt idx="222">
                  <c:v>-517.66545791169222</c:v>
                </c:pt>
                <c:pt idx="223">
                  <c:v>-513.3876596635713</c:v>
                </c:pt>
                <c:pt idx="224">
                  <c:v>-509.11821999794387</c:v>
                </c:pt>
                <c:pt idx="225">
                  <c:v>-504.07226969392559</c:v>
                </c:pt>
                <c:pt idx="226">
                  <c:v>-498.40860687164451</c:v>
                </c:pt>
                <c:pt idx="227">
                  <c:v>-492.81303409360567</c:v>
                </c:pt>
                <c:pt idx="228">
                  <c:v>-487.27509377577712</c:v>
                </c:pt>
                <c:pt idx="229">
                  <c:v>-481.78450385093208</c:v>
                </c:pt>
                <c:pt idx="230">
                  <c:v>-476.33099500340847</c:v>
                </c:pt>
                <c:pt idx="231">
                  <c:v>-470.90421789870783</c:v>
                </c:pt>
                <c:pt idx="232">
                  <c:v>-465.49363681505156</c:v>
                </c:pt>
                <c:pt idx="233">
                  <c:v>-460.08841470461618</c:v>
                </c:pt>
                <c:pt idx="234">
                  <c:v>-454.6772866013518</c:v>
                </c:pt>
                <c:pt idx="235">
                  <c:v>-449.24841771619248</c:v>
                </c:pt>
                <c:pt idx="236">
                  <c:v>-442.71074734058743</c:v>
                </c:pt>
                <c:pt idx="237">
                  <c:v>-434.98458903839452</c:v>
                </c:pt>
                <c:pt idx="238">
                  <c:v>-427.19980468188686</c:v>
                </c:pt>
                <c:pt idx="239">
                  <c:v>-419.33853795603164</c:v>
                </c:pt>
                <c:pt idx="240">
                  <c:v>-411.38135379124196</c:v>
                </c:pt>
                <c:pt idx="241">
                  <c:v>-403.30695249992709</c:v>
                </c:pt>
                <c:pt idx="242">
                  <c:v>-395.09133939661302</c:v>
                </c:pt>
                <c:pt idx="243">
                  <c:v>-386.70807484850769</c:v>
                </c:pt>
                <c:pt idx="244">
                  <c:v>-378.1268226815032</c:v>
                </c:pt>
                <c:pt idx="245">
                  <c:v>-369.3129099360637</c:v>
                </c:pt>
                <c:pt idx="246">
                  <c:v>-360.80618647356482</c:v>
                </c:pt>
                <c:pt idx="247">
                  <c:v>-354.00531834723716</c:v>
                </c:pt>
                <c:pt idx="248">
                  <c:v>-346.97217920053777</c:v>
                </c:pt>
                <c:pt idx="249">
                  <c:v>-339.6611795003945</c:v>
                </c:pt>
                <c:pt idx="250">
                  <c:v>-332.01726773971797</c:v>
                </c:pt>
                <c:pt idx="251">
                  <c:v>-323.97303761298514</c:v>
                </c:pt>
                <c:pt idx="252">
                  <c:v>-313.79892733737734</c:v>
                </c:pt>
                <c:pt idx="253">
                  <c:v>-302.91368328404593</c:v>
                </c:pt>
                <c:pt idx="254">
                  <c:v>-291.24814375802725</c:v>
                </c:pt>
                <c:pt idx="255">
                  <c:v>-278.64348330811617</c:v>
                </c:pt>
                <c:pt idx="256">
                  <c:v>-264.89487235369143</c:v>
                </c:pt>
                <c:pt idx="257">
                  <c:v>-249.73259627038388</c:v>
                </c:pt>
                <c:pt idx="258">
                  <c:v>-232.79383828193315</c:v>
                </c:pt>
                <c:pt idx="259">
                  <c:v>-213.5782921642321</c:v>
                </c:pt>
                <c:pt idx="260">
                  <c:v>-192.45669367744088</c:v>
                </c:pt>
                <c:pt idx="261">
                  <c:v>-170.7894754956383</c:v>
                </c:pt>
                <c:pt idx="262">
                  <c:v>-148.52396633583237</c:v>
                </c:pt>
                <c:pt idx="263">
                  <c:v>-129.99034273767782</c:v>
                </c:pt>
                <c:pt idx="264">
                  <c:v>-112.74421305333297</c:v>
                </c:pt>
                <c:pt idx="265">
                  <c:v>-95.04117348428997</c:v>
                </c:pt>
                <c:pt idx="266">
                  <c:v>-81.413114778856311</c:v>
                </c:pt>
                <c:pt idx="267">
                  <c:v>-62.463567808003745</c:v>
                </c:pt>
                <c:pt idx="268">
                  <c:v>-42.703010465613765</c:v>
                </c:pt>
                <c:pt idx="269">
                  <c:v>-21.95584022137767</c:v>
                </c:pt>
                <c:pt idx="270">
                  <c:v>5.7781887852882836E-5</c:v>
                </c:pt>
                <c:pt idx="271">
                  <c:v>21.955955617260077</c:v>
                </c:pt>
                <c:pt idx="272">
                  <c:v>42.703124553248905</c:v>
                </c:pt>
                <c:pt idx="273">
                  <c:v>62.463680235045551</c:v>
                </c:pt>
                <c:pt idx="274">
                  <c:v>81.41322511416567</c:v>
                </c:pt>
                <c:pt idx="275">
                  <c:v>95.041281284046107</c:v>
                </c:pt>
                <c:pt idx="276">
                  <c:v>112.74431925456092</c:v>
                </c:pt>
                <c:pt idx="277">
                  <c:v>129.99044441961308</c:v>
                </c:pt>
                <c:pt idx="278">
                  <c:v>148.52408211369104</c:v>
                </c:pt>
                <c:pt idx="279">
                  <c:v>170.78958572428166</c:v>
                </c:pt>
                <c:pt idx="280">
                  <c:v>192.45680391916187</c:v>
                </c:pt>
                <c:pt idx="281">
                  <c:v>213.57840269984325</c:v>
                </c:pt>
                <c:pt idx="282">
                  <c:v>232.79380803031151</c:v>
                </c:pt>
                <c:pt idx="283">
                  <c:v>249.73257650273641</c:v>
                </c:pt>
                <c:pt idx="284">
                  <c:v>264.89486930294737</c:v>
                </c:pt>
                <c:pt idx="285">
                  <c:v>278.643498759409</c:v>
                </c:pt>
                <c:pt idx="286">
                  <c:v>291.24818307506064</c:v>
                </c:pt>
                <c:pt idx="287">
                  <c:v>302.91381380787101</c:v>
                </c:pt>
                <c:pt idx="288">
                  <c:v>313.79904041218919</c:v>
                </c:pt>
                <c:pt idx="289">
                  <c:v>323.97314858891338</c:v>
                </c:pt>
                <c:pt idx="290">
                  <c:v>332.01737312494657</c:v>
                </c:pt>
                <c:pt idx="291">
                  <c:v>339.66129169380696</c:v>
                </c:pt>
                <c:pt idx="292">
                  <c:v>346.97228035700317</c:v>
                </c:pt>
                <c:pt idx="293">
                  <c:v>354.00540784870333</c:v>
                </c:pt>
                <c:pt idx="294">
                  <c:v>360.80628919527823</c:v>
                </c:pt>
                <c:pt idx="295">
                  <c:v>369.31302201560618</c:v>
                </c:pt>
                <c:pt idx="296">
                  <c:v>378.12692669387053</c:v>
                </c:pt>
                <c:pt idx="297">
                  <c:v>386.7081921679428</c:v>
                </c:pt>
                <c:pt idx="298">
                  <c:v>395.09146490910302</c:v>
                </c:pt>
                <c:pt idx="299">
                  <c:v>403.30700371184349</c:v>
                </c:pt>
                <c:pt idx="300">
                  <c:v>411.38140067572022</c:v>
                </c:pt>
                <c:pt idx="301">
                  <c:v>419.33866880753055</c:v>
                </c:pt>
                <c:pt idx="302">
                  <c:v>427.19993364882419</c:v>
                </c:pt>
                <c:pt idx="303">
                  <c:v>434.98471527735524</c:v>
                </c:pt>
                <c:pt idx="304">
                  <c:v>442.71088716270447</c:v>
                </c:pt>
                <c:pt idx="305">
                  <c:v>449.24852018336497</c:v>
                </c:pt>
                <c:pt idx="306">
                  <c:v>454.67737829881185</c:v>
                </c:pt>
                <c:pt idx="307">
                  <c:v>460.08850364322836</c:v>
                </c:pt>
                <c:pt idx="308">
                  <c:v>465.49372485350699</c:v>
                </c:pt>
                <c:pt idx="309">
                  <c:v>470.90430719279846</c:v>
                </c:pt>
                <c:pt idx="310">
                  <c:v>476.331087998908</c:v>
                </c:pt>
                <c:pt idx="311">
                  <c:v>481.78460328398546</c:v>
                </c:pt>
                <c:pt idx="312">
                  <c:v>487.27520268022545</c:v>
                </c:pt>
                <c:pt idx="313">
                  <c:v>492.81315581544857</c:v>
                </c:pt>
                <c:pt idx="314">
                  <c:v>498.40875277650326</c:v>
                </c:pt>
                <c:pt idx="315">
                  <c:v>504.07240101321838</c:v>
                </c:pt>
                <c:pt idx="316">
                  <c:v>509.1184664598652</c:v>
                </c:pt>
                <c:pt idx="317">
                  <c:v>513.38831477298652</c:v>
                </c:pt>
                <c:pt idx="318">
                  <c:v>517.66570060969525</c:v>
                </c:pt>
                <c:pt idx="319">
                  <c:v>521.9594222289594</c:v>
                </c:pt>
                <c:pt idx="320">
                  <c:v>526.27672443709912</c:v>
                </c:pt>
                <c:pt idx="321">
                  <c:v>530.62536941848134</c:v>
                </c:pt>
                <c:pt idx="322">
                  <c:v>535.01331295869784</c:v>
                </c:pt>
                <c:pt idx="323">
                  <c:v>539.44877484155074</c:v>
                </c:pt>
                <c:pt idx="324">
                  <c:v>543.94031407310956</c:v>
                </c:pt>
                <c:pt idx="325">
                  <c:v>548.49691055196922</c:v>
                </c:pt>
                <c:pt idx="326">
                  <c:v>553.12805504076971</c:v>
                </c:pt>
                <c:pt idx="327">
                  <c:v>557.84384960674834</c:v>
                </c:pt>
                <c:pt idx="328">
                  <c:v>562.65454301297564</c:v>
                </c:pt>
                <c:pt idx="329">
                  <c:v>565.21156551456511</c:v>
                </c:pt>
                <c:pt idx="330">
                  <c:v>563.17449783074835</c:v>
                </c:pt>
                <c:pt idx="331">
                  <c:v>569.84891598962361</c:v>
                </c:pt>
                <c:pt idx="332">
                  <c:v>572.5227480163901</c:v>
                </c:pt>
                <c:pt idx="333">
                  <c:v>575.2453397283565</c:v>
                </c:pt>
                <c:pt idx="334">
                  <c:v>578.02454773651368</c:v>
                </c:pt>
                <c:pt idx="335">
                  <c:v>580.87166722084805</c:v>
                </c:pt>
                <c:pt idx="336">
                  <c:v>583.79519864322162</c:v>
                </c:pt>
                <c:pt idx="337">
                  <c:v>586.80735102669428</c:v>
                </c:pt>
                <c:pt idx="338">
                  <c:v>589.81763763350932</c:v>
                </c:pt>
                <c:pt idx="339">
                  <c:v>592.7469050769638</c:v>
                </c:pt>
                <c:pt idx="340">
                  <c:v>595.60218527811185</c:v>
                </c:pt>
                <c:pt idx="341">
                  <c:v>598.39023908699562</c:v>
                </c:pt>
                <c:pt idx="342">
                  <c:v>601.11760442429988</c:v>
                </c:pt>
                <c:pt idx="343">
                  <c:v>603.79063980201602</c:v>
                </c:pt>
                <c:pt idx="344">
                  <c:v>606.41556691621531</c:v>
                </c:pt>
                <c:pt idx="345">
                  <c:v>608.99851286610965</c:v>
                </c:pt>
                <c:pt idx="346">
                  <c:v>611.5455525640682</c:v>
                </c:pt>
                <c:pt idx="347">
                  <c:v>614.06275192474106</c:v>
                </c:pt>
                <c:pt idx="348">
                  <c:v>616.55621245917041</c:v>
                </c:pt>
                <c:pt idx="349">
                  <c:v>619.03211795346351</c:v>
                </c:pt>
                <c:pt idx="350">
                  <c:v>621.49678398374249</c:v>
                </c:pt>
                <c:pt idx="351">
                  <c:v>623.95671111292404</c:v>
                </c:pt>
                <c:pt idx="352">
                  <c:v>626.41864273458862</c:v>
                </c:pt>
                <c:pt idx="353">
                  <c:v>628.88962868038482</c:v>
                </c:pt>
                <c:pt idx="354">
                  <c:v>631.37638191265944</c:v>
                </c:pt>
                <c:pt idx="355">
                  <c:v>631.72239734773177</c:v>
                </c:pt>
                <c:pt idx="356">
                  <c:v>632.04814340674716</c:v>
                </c:pt>
                <c:pt idx="357">
                  <c:v>632.30883365678653</c:v>
                </c:pt>
                <c:pt idx="358">
                  <c:v>632.50508440480644</c:v>
                </c:pt>
                <c:pt idx="359">
                  <c:v>632.63735670859012</c:v>
                </c:pt>
                <c:pt idx="360">
                  <c:v>632.70595643987588</c:v>
                </c:pt>
                <c:pt idx="361">
                  <c:v>632.70573004696018</c:v>
                </c:pt>
              </c:numCache>
            </c:numRef>
          </c:xVal>
          <c:yVal>
            <c:numRef>
              <c:f>'Cross Section Analysis'!$C$129:$C$490</c:f>
              <c:numCache>
                <c:formatCode>General</c:formatCode>
                <c:ptCount val="362"/>
                <c:pt idx="0">
                  <c:v>0</c:v>
                </c:pt>
                <c:pt idx="1">
                  <c:v>5.5144190167259071</c:v>
                </c:pt>
                <c:pt idx="2">
                  <c:v>10.898348879476128</c:v>
                </c:pt>
                <c:pt idx="3">
                  <c:v>16.169504276156353</c:v>
                </c:pt>
                <c:pt idx="4">
                  <c:v>21.343287827868018</c:v>
                </c:pt>
                <c:pt idx="5" formatCode="0.00000">
                  <c:v>26.433220861581699</c:v>
                </c:pt>
                <c:pt idx="6" formatCode="0.00000">
                  <c:v>29.19817129071253</c:v>
                </c:pt>
                <c:pt idx="7">
                  <c:v>35.974936860975966</c:v>
                </c:pt>
                <c:pt idx="8">
                  <c:v>42.632364688614125</c:v>
                </c:pt>
                <c:pt idx="9">
                  <c:v>49.182970360899439</c:v>
                </c:pt>
                <c:pt idx="10">
                  <c:v>55.638159364539447</c:v>
                </c:pt>
                <c:pt idx="11">
                  <c:v>62.00866356121098</c:v>
                </c:pt>
                <c:pt idx="12">
                  <c:v>68.30455032904932</c:v>
                </c:pt>
                <c:pt idx="13">
                  <c:v>74.535307671432548</c:v>
                </c:pt>
                <c:pt idx="14">
                  <c:v>80.709919969122552</c:v>
                </c:pt>
                <c:pt idx="15">
                  <c:v>86.836935796786634</c:v>
                </c:pt>
                <c:pt idx="16">
                  <c:v>92.924529023728212</c:v>
                </c:pt>
                <c:pt idx="17">
                  <c:v>98.98055424133598</c:v>
                </c:pt>
                <c:pt idx="18">
                  <c:v>105.0125974144221</c:v>
                </c:pt>
                <c:pt idx="19">
                  <c:v>111.02802253449123</c:v>
                </c:pt>
                <c:pt idx="20">
                  <c:v>117.03401495548805</c:v>
                </c:pt>
                <c:pt idx="21">
                  <c:v>123.03762201308977</c:v>
                </c:pt>
                <c:pt idx="22">
                  <c:v>129.0457914642559</c:v>
                </c:pt>
                <c:pt idx="23">
                  <c:v>135.06541003335786</c:v>
                </c:pt>
                <c:pt idx="24">
                  <c:v>140.92952017763238</c:v>
                </c:pt>
                <c:pt idx="25">
                  <c:v>146.46629564593547</c:v>
                </c:pt>
                <c:pt idx="26">
                  <c:v>151.71605738229246</c:v>
                </c:pt>
                <c:pt idx="27">
                  <c:v>156.71349932578516</c:v>
                </c:pt>
                <c:pt idx="28">
                  <c:v>161.48840004576132</c:v>
                </c:pt>
                <c:pt idx="29">
                  <c:v>166.06675981630138</c:v>
                </c:pt>
                <c:pt idx="30">
                  <c:v>170.47093545218104</c:v>
                </c:pt>
                <c:pt idx="31">
                  <c:v>174.72075179824154</c:v>
                </c:pt>
                <c:pt idx="32">
                  <c:v>178.2327029756932</c:v>
                </c:pt>
                <c:pt idx="33">
                  <c:v>182.95775247751322</c:v>
                </c:pt>
                <c:pt idx="34">
                  <c:v>187.52651421477779</c:v>
                </c:pt>
                <c:pt idx="35">
                  <c:v>191.95625663409768</c:v>
                </c:pt>
                <c:pt idx="36">
                  <c:v>196.26244336406893</c:v>
                </c:pt>
                <c:pt idx="37">
                  <c:v>200.45904375547761</c:v>
                </c:pt>
                <c:pt idx="38">
                  <c:v>204.55875339756059</c:v>
                </c:pt>
                <c:pt idx="39">
                  <c:v>208.5731815882927</c:v>
                </c:pt>
                <c:pt idx="40">
                  <c:v>212.51301189231302</c:v>
                </c:pt>
                <c:pt idx="41">
                  <c:v>216.38814073163482</c:v>
                </c:pt>
                <c:pt idx="42">
                  <c:v>220.207798029918</c:v>
                </c:pt>
                <c:pt idx="43">
                  <c:v>223.98064273203454</c:v>
                </c:pt>
                <c:pt idx="44">
                  <c:v>227.71488288930104</c:v>
                </c:pt>
                <c:pt idx="45">
                  <c:v>231.06448342082757</c:v>
                </c:pt>
                <c:pt idx="46">
                  <c:v>234.08886603040975</c:v>
                </c:pt>
                <c:pt idx="47">
                  <c:v>237.10551251302226</c:v>
                </c:pt>
                <c:pt idx="48">
                  <c:v>240.12234754605581</c:v>
                </c:pt>
                <c:pt idx="49">
                  <c:v>243.14723721544749</c:v>
                </c:pt>
                <c:pt idx="50">
                  <c:v>246.1880477019761</c:v>
                </c:pt>
                <c:pt idx="51">
                  <c:v>249.25272839554171</c:v>
                </c:pt>
                <c:pt idx="52">
                  <c:v>252.34939404454215</c:v>
                </c:pt>
                <c:pt idx="53">
                  <c:v>255.48641032063156</c:v>
                </c:pt>
                <c:pt idx="54">
                  <c:v>258.67248473947228</c:v>
                </c:pt>
                <c:pt idx="55">
                  <c:v>261.91676509156827</c:v>
                </c:pt>
                <c:pt idx="56">
                  <c:v>265.60220913698555</c:v>
                </c:pt>
                <c:pt idx="57">
                  <c:v>269.76166810159634</c:v>
                </c:pt>
                <c:pt idx="58">
                  <c:v>274.01054626350503</c:v>
                </c:pt>
                <c:pt idx="59">
                  <c:v>278.36215405775448</c:v>
                </c:pt>
                <c:pt idx="60">
                  <c:v>282.83093614396159</c:v>
                </c:pt>
                <c:pt idx="61">
                  <c:v>287.43277738891021</c:v>
                </c:pt>
                <c:pt idx="62">
                  <c:v>292.18480798058016</c:v>
                </c:pt>
                <c:pt idx="63">
                  <c:v>297.10662285290863</c:v>
                </c:pt>
                <c:pt idx="64">
                  <c:v>302.21974389684493</c:v>
                </c:pt>
                <c:pt idx="65">
                  <c:v>307.54852648085796</c:v>
                </c:pt>
                <c:pt idx="66">
                  <c:v>312.65203018383949</c:v>
                </c:pt>
                <c:pt idx="67">
                  <c:v>316.39494582081107</c:v>
                </c:pt>
                <c:pt idx="68">
                  <c:v>320.33680487384072</c:v>
                </c:pt>
                <c:pt idx="69">
                  <c:v>324.50645448898302</c:v>
                </c:pt>
                <c:pt idx="70">
                  <c:v>328.93830586070231</c:v>
                </c:pt>
                <c:pt idx="71">
                  <c:v>333.67212273764386</c:v>
                </c:pt>
                <c:pt idx="72">
                  <c:v>336.92601521517798</c:v>
                </c:pt>
                <c:pt idx="73">
                  <c:v>340.27288044137725</c:v>
                </c:pt>
                <c:pt idx="74">
                  <c:v>343.80032700914404</c:v>
                </c:pt>
                <c:pt idx="75">
                  <c:v>347.54185079065525</c:v>
                </c:pt>
                <c:pt idx="76">
                  <c:v>351.53936900767684</c:v>
                </c:pt>
                <c:pt idx="77">
                  <c:v>355.84512091732154</c:v>
                </c:pt>
                <c:pt idx="78">
                  <c:v>360.52556141742019</c:v>
                </c:pt>
                <c:pt idx="79">
                  <c:v>365.66662466786312</c:v>
                </c:pt>
                <c:pt idx="80">
                  <c:v>371.11125461274071</c:v>
                </c:pt>
                <c:pt idx="81">
                  <c:v>376.48377944986345</c:v>
                </c:pt>
                <c:pt idx="82">
                  <c:v>381.80023011287687</c:v>
                </c:pt>
                <c:pt idx="83">
                  <c:v>384.58436873771115</c:v>
                </c:pt>
                <c:pt idx="84">
                  <c:v>386.19795451020053</c:v>
                </c:pt>
                <c:pt idx="85">
                  <c:v>387.58957518429099</c:v>
                </c:pt>
                <c:pt idx="86">
                  <c:v>388.56244912037675</c:v>
                </c:pt>
                <c:pt idx="87">
                  <c:v>389.53034020546994</c:v>
                </c:pt>
                <c:pt idx="88">
                  <c:v>390.28470670129292</c:v>
                </c:pt>
                <c:pt idx="89">
                  <c:v>390.8270595349893</c:v>
                </c:pt>
                <c:pt idx="90">
                  <c:v>391.15829010256516</c:v>
                </c:pt>
                <c:pt idx="91">
                  <c:v>390.82700210594692</c:v>
                </c:pt>
                <c:pt idx="92">
                  <c:v>390.28467026331293</c:v>
                </c:pt>
                <c:pt idx="93">
                  <c:v>389.53031644287569</c:v>
                </c:pt>
                <c:pt idx="94">
                  <c:v>388.5624390474851</c:v>
                </c:pt>
                <c:pt idx="95">
                  <c:v>387.58956956197363</c:v>
                </c:pt>
                <c:pt idx="96">
                  <c:v>386.19795279780288</c:v>
                </c:pt>
                <c:pt idx="97">
                  <c:v>384.58440391000198</c:v>
                </c:pt>
                <c:pt idx="98">
                  <c:v>381.80025828886829</c:v>
                </c:pt>
                <c:pt idx="99">
                  <c:v>376.48377864325568</c:v>
                </c:pt>
                <c:pt idx="100">
                  <c:v>371.11125406134124</c:v>
                </c:pt>
                <c:pt idx="101">
                  <c:v>365.6666252695253</c:v>
                </c:pt>
                <c:pt idx="102">
                  <c:v>360.52486104448474</c:v>
                </c:pt>
                <c:pt idx="103">
                  <c:v>355.8445956680485</c:v>
                </c:pt>
                <c:pt idx="104">
                  <c:v>351.53897191321141</c:v>
                </c:pt>
                <c:pt idx="105">
                  <c:v>347.54154908297221</c:v>
                </c:pt>
                <c:pt idx="106">
                  <c:v>343.80011249904788</c:v>
                </c:pt>
                <c:pt idx="107">
                  <c:v>340.27290213691884</c:v>
                </c:pt>
                <c:pt idx="108">
                  <c:v>336.9259913610428</c:v>
                </c:pt>
                <c:pt idx="109">
                  <c:v>333.67214271903168</c:v>
                </c:pt>
                <c:pt idx="110">
                  <c:v>328.93811585848965</c:v>
                </c:pt>
                <c:pt idx="111">
                  <c:v>324.50647568177345</c:v>
                </c:pt>
                <c:pt idx="112">
                  <c:v>320.33660745621029</c:v>
                </c:pt>
                <c:pt idx="113">
                  <c:v>316.39458743696639</c:v>
                </c:pt>
                <c:pt idx="114">
                  <c:v>312.65189164953978</c:v>
                </c:pt>
                <c:pt idx="115">
                  <c:v>307.54854412497548</c:v>
                </c:pt>
                <c:pt idx="116">
                  <c:v>302.21975171600076</c:v>
                </c:pt>
                <c:pt idx="117">
                  <c:v>297.1066438939776</c:v>
                </c:pt>
                <c:pt idx="118">
                  <c:v>292.18483707063194</c:v>
                </c:pt>
                <c:pt idx="119">
                  <c:v>287.43271945396771</c:v>
                </c:pt>
                <c:pt idx="120">
                  <c:v>282.83086969233051</c:v>
                </c:pt>
                <c:pt idx="121">
                  <c:v>278.36218618102367</c:v>
                </c:pt>
                <c:pt idx="122">
                  <c:v>274.01057484656491</c:v>
                </c:pt>
                <c:pt idx="123">
                  <c:v>269.76169182843682</c:v>
                </c:pt>
                <c:pt idx="124">
                  <c:v>265.60224924389928</c:v>
                </c:pt>
                <c:pt idx="125">
                  <c:v>261.9167893498738</c:v>
                </c:pt>
                <c:pt idx="126">
                  <c:v>258.67250532048587</c:v>
                </c:pt>
                <c:pt idx="127">
                  <c:v>255.48643014132682</c:v>
                </c:pt>
                <c:pt idx="128">
                  <c:v>252.34941379382278</c:v>
                </c:pt>
                <c:pt idx="129">
                  <c:v>249.25274885614149</c:v>
                </c:pt>
                <c:pt idx="130">
                  <c:v>246.18806974443834</c:v>
                </c:pt>
                <c:pt idx="131">
                  <c:v>243.14726179386497</c:v>
                </c:pt>
                <c:pt idx="132">
                  <c:v>240.12237569509441</c:v>
                </c:pt>
                <c:pt idx="133">
                  <c:v>237.10554534598708</c:v>
                </c:pt>
                <c:pt idx="134">
                  <c:v>234.08890731426609</c:v>
                </c:pt>
                <c:pt idx="135">
                  <c:v>231.06452017464741</c:v>
                </c:pt>
                <c:pt idx="136">
                  <c:v>227.71492381199815</c:v>
                </c:pt>
                <c:pt idx="137">
                  <c:v>223.98084096524568</c:v>
                </c:pt>
                <c:pt idx="138">
                  <c:v>220.20783662323473</c:v>
                </c:pt>
                <c:pt idx="139">
                  <c:v>216.38818095878435</c:v>
                </c:pt>
                <c:pt idx="140">
                  <c:v>212.51305365822648</c:v>
                </c:pt>
                <c:pt idx="141">
                  <c:v>208.57322481805627</c:v>
                </c:pt>
                <c:pt idx="142">
                  <c:v>204.55879803683783</c:v>
                </c:pt>
                <c:pt idx="143">
                  <c:v>200.45908977079034</c:v>
                </c:pt>
                <c:pt idx="144">
                  <c:v>196.26249074333921</c:v>
                </c:pt>
                <c:pt idx="145">
                  <c:v>191.95630538745178</c:v>
                </c:pt>
                <c:pt idx="146">
                  <c:v>187.52656437561953</c:v>
                </c:pt>
                <c:pt idx="147">
                  <c:v>182.95780410381562</c:v>
                </c:pt>
                <c:pt idx="148">
                  <c:v>178.23263818339842</c:v>
                </c:pt>
                <c:pt idx="149">
                  <c:v>174.15426746167856</c:v>
                </c:pt>
                <c:pt idx="150">
                  <c:v>169.92036147750341</c:v>
                </c:pt>
                <c:pt idx="151">
                  <c:v>166.06679305890248</c:v>
                </c:pt>
                <c:pt idx="152">
                  <c:v>161.48849053674616</c:v>
                </c:pt>
                <c:pt idx="153">
                  <c:v>156.71353655801789</c:v>
                </c:pt>
                <c:pt idx="154">
                  <c:v>151.71604023099411</c:v>
                </c:pt>
                <c:pt idx="155">
                  <c:v>146.46633640664899</c:v>
                </c:pt>
                <c:pt idx="156">
                  <c:v>140.92956290391098</c:v>
                </c:pt>
                <c:pt idx="157">
                  <c:v>135.06545622806618</c:v>
                </c:pt>
                <c:pt idx="158">
                  <c:v>129.04584155498705</c:v>
                </c:pt>
                <c:pt idx="159">
                  <c:v>123.03767438527694</c:v>
                </c:pt>
                <c:pt idx="160">
                  <c:v>117.03407001576876</c:v>
                </c:pt>
                <c:pt idx="161">
                  <c:v>111.02808078311305</c:v>
                </c:pt>
                <c:pt idx="162">
                  <c:v>105.01265946605237</c:v>
                </c:pt>
                <c:pt idx="163">
                  <c:v>98.980620850569778</c:v>
                </c:pt>
                <c:pt idx="164">
                  <c:v>92.924601116406947</c:v>
                </c:pt>
                <c:pt idx="165">
                  <c:v>86.837014508520085</c:v>
                </c:pt>
                <c:pt idx="166">
                  <c:v>80.710006692770975</c:v>
                </c:pt>
                <c:pt idx="167">
                  <c:v>74.535404115761281</c:v>
                </c:pt>
                <c:pt idx="168">
                  <c:v>68.304658591356372</c:v>
                </c:pt>
                <c:pt idx="169">
                  <c:v>62.008786217486929</c:v>
                </c:pt>
                <c:pt idx="170">
                  <c:v>55.638299581695307</c:v>
                </c:pt>
                <c:pt idx="171">
                  <c:v>49.183132036869473</c:v>
                </c:pt>
                <c:pt idx="172">
                  <c:v>42.632552612381026</c:v>
                </c:pt>
                <c:pt idx="173">
                  <c:v>35.975069861200488</c:v>
                </c:pt>
                <c:pt idx="174">
                  <c:v>29.198235897232255</c:v>
                </c:pt>
                <c:pt idx="175">
                  <c:v>26.433220379348327</c:v>
                </c:pt>
                <c:pt idx="176">
                  <c:v>21.343287825174638</c:v>
                </c:pt>
                <c:pt idx="177">
                  <c:v>16.169504273143072</c:v>
                </c:pt>
                <c:pt idx="178">
                  <c:v>10.898348876455</c:v>
                </c:pt>
                <c:pt idx="179">
                  <c:v>5.5144190144326819</c:v>
                </c:pt>
                <c:pt idx="180">
                  <c:v>3.9146536949258656E-14</c:v>
                </c:pt>
                <c:pt idx="181">
                  <c:v>-5.5144190167258875</c:v>
                </c:pt>
                <c:pt idx="182">
                  <c:v>-10.898348879476066</c:v>
                </c:pt>
                <c:pt idx="183">
                  <c:v>-16.16950427615631</c:v>
                </c:pt>
                <c:pt idx="184">
                  <c:v>-21.343287827867972</c:v>
                </c:pt>
                <c:pt idx="185">
                  <c:v>-26.433220861581624</c:v>
                </c:pt>
                <c:pt idx="186">
                  <c:v>-29.198230624504529</c:v>
                </c:pt>
                <c:pt idx="187">
                  <c:v>-35.974995298505149</c:v>
                </c:pt>
                <c:pt idx="188">
                  <c:v>-42.632422228063724</c:v>
                </c:pt>
                <c:pt idx="189">
                  <c:v>-49.183027002667934</c:v>
                </c:pt>
                <c:pt idx="190">
                  <c:v>-55.638215110956601</c:v>
                </c:pt>
                <c:pt idx="191">
                  <c:v>-62.008718416259832</c:v>
                </c:pt>
                <c:pt idx="192">
                  <c:v>-68.304604298044694</c:v>
                </c:pt>
                <c:pt idx="193">
                  <c:v>-74.535360760750734</c:v>
                </c:pt>
                <c:pt idx="194">
                  <c:v>-80.709972185976653</c:v>
                </c:pt>
                <c:pt idx="195">
                  <c:v>-86.836987149037384</c:v>
                </c:pt>
                <c:pt idx="196">
                  <c:v>-92.924579519725441</c:v>
                </c:pt>
                <c:pt idx="197">
                  <c:v>-98.980603889786707</c:v>
                </c:pt>
                <c:pt idx="198">
                  <c:v>-105.01264622427874</c:v>
                </c:pt>
                <c:pt idx="199">
                  <c:v>-111.02807051485887</c:v>
                </c:pt>
                <c:pt idx="200">
                  <c:v>-117.03406211554652</c:v>
                </c:pt>
                <c:pt idx="201">
                  <c:v>-123.03766836202858</c:v>
                </c:pt>
                <c:pt idx="202">
                  <c:v>-129.04583701122007</c:v>
                </c:pt>
                <c:pt idx="203">
                  <c:v>-135.06545478741276</c:v>
                </c:pt>
                <c:pt idx="204">
                  <c:v>-140.92956286694618</c:v>
                </c:pt>
                <c:pt idx="205">
                  <c:v>-146.46633637989083</c:v>
                </c:pt>
                <c:pt idx="206">
                  <c:v>-151.7160963081341</c:v>
                </c:pt>
                <c:pt idx="207">
                  <c:v>-156.71353657387039</c:v>
                </c:pt>
                <c:pt idx="208">
                  <c:v>-161.4884357319294</c:v>
                </c:pt>
                <c:pt idx="209">
                  <c:v>-166.06679404423735</c:v>
                </c:pt>
                <c:pt idx="210">
                  <c:v>-170.47096831456949</c:v>
                </c:pt>
                <c:pt idx="211">
                  <c:v>-174.72078337855623</c:v>
                </c:pt>
                <c:pt idx="212">
                  <c:v>-178.23275558591112</c:v>
                </c:pt>
                <c:pt idx="213">
                  <c:v>-182.95780242398942</c:v>
                </c:pt>
                <c:pt idx="214">
                  <c:v>-187.52656241201851</c:v>
                </c:pt>
                <c:pt idx="215">
                  <c:v>-191.95630317939572</c:v>
                </c:pt>
                <c:pt idx="216">
                  <c:v>-196.26248834585775</c:v>
                </c:pt>
                <c:pt idx="217">
                  <c:v>-200.45908725431295</c:v>
                </c:pt>
                <c:pt idx="218">
                  <c:v>-204.55879548696967</c:v>
                </c:pt>
                <c:pt idx="219">
                  <c:v>-208.57322233551196</c:v>
                </c:pt>
                <c:pt idx="220">
                  <c:v>-212.51305135892858</c:v>
                </c:pt>
                <c:pt idx="221">
                  <c:v>-216.38817897414305</c:v>
                </c:pt>
                <c:pt idx="222">
                  <c:v>-220.20783510021724</c:v>
                </c:pt>
                <c:pt idx="223">
                  <c:v>-223.98067867878419</c:v>
                </c:pt>
                <c:pt idx="224">
                  <c:v>-227.71491775527531</c:v>
                </c:pt>
                <c:pt idx="225">
                  <c:v>-231.06453728316868</c:v>
                </c:pt>
                <c:pt idx="226">
                  <c:v>-234.08891871972872</c:v>
                </c:pt>
                <c:pt idx="227">
                  <c:v>-237.10556406083984</c:v>
                </c:pt>
                <c:pt idx="228">
                  <c:v>-240.12239798219125</c:v>
                </c:pt>
                <c:pt idx="229">
                  <c:v>-243.14728656663894</c:v>
                </c:pt>
                <c:pt idx="230">
                  <c:v>-246.18809599252162</c:v>
                </c:pt>
                <c:pt idx="231">
                  <c:v>-249.25277564746366</c:v>
                </c:pt>
                <c:pt idx="232">
                  <c:v>-252.34944027773298</c:v>
                </c:pt>
                <c:pt idx="233">
                  <c:v>-255.48645555298054</c:v>
                </c:pt>
                <c:pt idx="234">
                  <c:v>-258.67252898697836</c:v>
                </c:pt>
                <c:pt idx="235">
                  <c:v>-261.91680836843625</c:v>
                </c:pt>
                <c:pt idx="236">
                  <c:v>-265.60224616799752</c:v>
                </c:pt>
                <c:pt idx="237">
                  <c:v>-269.76170451147073</c:v>
                </c:pt>
                <c:pt idx="238">
                  <c:v>-274.01058205689748</c:v>
                </c:pt>
                <c:pt idx="239">
                  <c:v>-278.36218923770241</c:v>
                </c:pt>
                <c:pt idx="240">
                  <c:v>-282.83097071196869</c:v>
                </c:pt>
                <c:pt idx="241">
                  <c:v>-287.43281134787605</c:v>
                </c:pt>
                <c:pt idx="242">
                  <c:v>-292.18484132302865</c:v>
                </c:pt>
                <c:pt idx="243">
                  <c:v>-297.10665557858283</c:v>
                </c:pt>
                <c:pt idx="244">
                  <c:v>-302.21977600091054</c:v>
                </c:pt>
                <c:pt idx="245">
                  <c:v>-307.54855795678202</c:v>
                </c:pt>
                <c:pt idx="246">
                  <c:v>-312.65205323413346</c:v>
                </c:pt>
                <c:pt idx="247">
                  <c:v>-316.3949682795357</c:v>
                </c:pt>
                <c:pt idx="248">
                  <c:v>-320.33682674001125</c:v>
                </c:pt>
                <c:pt idx="249">
                  <c:v>-324.50647576012375</c:v>
                </c:pt>
                <c:pt idx="250">
                  <c:v>-328.93832653230032</c:v>
                </c:pt>
                <c:pt idx="251">
                  <c:v>-333.67214280349378</c:v>
                </c:pt>
                <c:pt idx="252">
                  <c:v>-336.9260181011673</c:v>
                </c:pt>
                <c:pt idx="253">
                  <c:v>-340.27288297328914</c:v>
                </c:pt>
                <c:pt idx="254">
                  <c:v>-343.80032920773402</c:v>
                </c:pt>
                <c:pt idx="255">
                  <c:v>-347.54185266721038</c:v>
                </c:pt>
                <c:pt idx="256">
                  <c:v>-351.53937057700637</c:v>
                </c:pt>
                <c:pt idx="257">
                  <c:v>-355.84512219246096</c:v>
                </c:pt>
                <c:pt idx="258">
                  <c:v>-360.52556241144231</c:v>
                </c:pt>
                <c:pt idx="259">
                  <c:v>-365.66662539406519</c:v>
                </c:pt>
                <c:pt idx="260">
                  <c:v>-371.11125556175347</c:v>
                </c:pt>
                <c:pt idx="261">
                  <c:v>-376.48378066287381</c:v>
                </c:pt>
                <c:pt idx="262">
                  <c:v>-381.80023154786977</c:v>
                </c:pt>
                <c:pt idx="263">
                  <c:v>-384.58436679321659</c:v>
                </c:pt>
                <c:pt idx="264">
                  <c:v>-386.19795283124023</c:v>
                </c:pt>
                <c:pt idx="265">
                  <c:v>-387.58957377671624</c:v>
                </c:pt>
                <c:pt idx="266">
                  <c:v>-388.56244795953444</c:v>
                </c:pt>
                <c:pt idx="267">
                  <c:v>-389.5303393321206</c:v>
                </c:pt>
                <c:pt idx="268">
                  <c:v>-390.28470611825503</c:v>
                </c:pt>
                <c:pt idx="269">
                  <c:v>-390.82705924367031</c:v>
                </c:pt>
                <c:pt idx="270">
                  <c:v>-391.15829010253412</c:v>
                </c:pt>
                <c:pt idx="271">
                  <c:v>-390.82700239722163</c:v>
                </c:pt>
                <c:pt idx="272">
                  <c:v>-390.28467084632621</c:v>
                </c:pt>
                <c:pt idx="273">
                  <c:v>-389.53031731621081</c:v>
                </c:pt>
                <c:pt idx="274">
                  <c:v>-388.56244020832253</c:v>
                </c:pt>
                <c:pt idx="275">
                  <c:v>-387.58957096954674</c:v>
                </c:pt>
                <c:pt idx="276">
                  <c:v>-386.19795447676279</c:v>
                </c:pt>
                <c:pt idx="277">
                  <c:v>-384.584405855157</c:v>
                </c:pt>
                <c:pt idx="278">
                  <c:v>-381.80025685416456</c:v>
                </c:pt>
                <c:pt idx="279">
                  <c:v>-376.48377743024429</c:v>
                </c:pt>
                <c:pt idx="280">
                  <c:v>-371.11125311232792</c:v>
                </c:pt>
                <c:pt idx="281">
                  <c:v>-365.6666245433226</c:v>
                </c:pt>
                <c:pt idx="282">
                  <c:v>-360.52486005027669</c:v>
                </c:pt>
                <c:pt idx="283">
                  <c:v>-355.84459439276441</c:v>
                </c:pt>
                <c:pt idx="284">
                  <c:v>-351.5389703437686</c:v>
                </c:pt>
                <c:pt idx="285">
                  <c:v>-347.54154720632744</c:v>
                </c:pt>
                <c:pt idx="286">
                  <c:v>-343.80011030211006</c:v>
                </c:pt>
                <c:pt idx="287">
                  <c:v>-340.27289960647801</c:v>
                </c:pt>
                <c:pt idx="288">
                  <c:v>-336.92598848371182</c:v>
                </c:pt>
                <c:pt idx="289">
                  <c:v>-333.67212265318039</c:v>
                </c:pt>
                <c:pt idx="290">
                  <c:v>-328.93809519565673</c:v>
                </c:pt>
                <c:pt idx="291">
                  <c:v>-324.50645441063421</c:v>
                </c:pt>
                <c:pt idx="292">
                  <c:v>-320.33658558988941</c:v>
                </c:pt>
                <c:pt idx="293">
                  <c:v>-316.39456497797642</c:v>
                </c:pt>
                <c:pt idx="294">
                  <c:v>-312.65186859912814</c:v>
                </c:pt>
                <c:pt idx="295">
                  <c:v>-307.54851264640399</c:v>
                </c:pt>
                <c:pt idx="296">
                  <c:v>-302.21971961188854</c:v>
                </c:pt>
                <c:pt idx="297">
                  <c:v>-297.10661116827492</c:v>
                </c:pt>
                <c:pt idx="298">
                  <c:v>-292.18480372816896</c:v>
                </c:pt>
                <c:pt idx="299">
                  <c:v>-287.43268549793521</c:v>
                </c:pt>
                <c:pt idx="300">
                  <c:v>-282.83083512128542</c:v>
                </c:pt>
                <c:pt idx="301">
                  <c:v>-278.36215100108365</c:v>
                </c:pt>
                <c:pt idx="302">
                  <c:v>-274.01053905318366</c:v>
                </c:pt>
                <c:pt idx="303">
                  <c:v>-269.76165541857506</c:v>
                </c:pt>
                <c:pt idx="304">
                  <c:v>-265.60221221196048</c:v>
                </c:pt>
                <c:pt idx="305">
                  <c:v>-261.91674607303815</c:v>
                </c:pt>
                <c:pt idx="306">
                  <c:v>-258.67246107297177</c:v>
                </c:pt>
                <c:pt idx="307">
                  <c:v>-255.48638490896636</c:v>
                </c:pt>
                <c:pt idx="308">
                  <c:v>-252.3493675606166</c:v>
                </c:pt>
                <c:pt idx="309">
                  <c:v>-249.25270160420072</c:v>
                </c:pt>
                <c:pt idx="310">
                  <c:v>-246.18802145387085</c:v>
                </c:pt>
                <c:pt idx="311">
                  <c:v>-243.14721244264857</c:v>
                </c:pt>
                <c:pt idx="312">
                  <c:v>-240.12232525893188</c:v>
                </c:pt>
                <c:pt idx="313">
                  <c:v>-237.10549379814029</c:v>
                </c:pt>
                <c:pt idx="314">
                  <c:v>-234.0888546253702</c:v>
                </c:pt>
                <c:pt idx="315">
                  <c:v>-231.06446631249722</c:v>
                </c:pt>
                <c:pt idx="316">
                  <c:v>-227.71488894557922</c:v>
                </c:pt>
                <c:pt idx="317">
                  <c:v>-223.98080501851743</c:v>
                </c:pt>
                <c:pt idx="318">
                  <c:v>-220.20779955293301</c:v>
                </c:pt>
                <c:pt idx="319">
                  <c:v>-216.38814271627402</c:v>
                </c:pt>
                <c:pt idx="320">
                  <c:v>-212.5130141916095</c:v>
                </c:pt>
                <c:pt idx="321">
                  <c:v>-208.57318407083605</c:v>
                </c:pt>
                <c:pt idx="322">
                  <c:v>-204.55875594742773</c:v>
                </c:pt>
                <c:pt idx="323">
                  <c:v>-200.45904627195458</c:v>
                </c:pt>
                <c:pt idx="324">
                  <c:v>-196.26244576155025</c:v>
                </c:pt>
                <c:pt idx="325">
                  <c:v>-191.95625884215406</c:v>
                </c:pt>
                <c:pt idx="326">
                  <c:v>-187.52651617837898</c:v>
                </c:pt>
                <c:pt idx="327">
                  <c:v>-182.95775415733883</c:v>
                </c:pt>
                <c:pt idx="328">
                  <c:v>-178.23258803300996</c:v>
                </c:pt>
                <c:pt idx="329">
                  <c:v>-174.15423588560137</c:v>
                </c:pt>
                <c:pt idx="330">
                  <c:v>-169.92031937590198</c:v>
                </c:pt>
                <c:pt idx="331">
                  <c:v>-166.06675883097338</c:v>
                </c:pt>
                <c:pt idx="332">
                  <c:v>-161.48845485049901</c:v>
                </c:pt>
                <c:pt idx="333">
                  <c:v>-156.71349930996161</c:v>
                </c:pt>
                <c:pt idx="334">
                  <c:v>-151.7160013052154</c:v>
                </c:pt>
                <c:pt idx="335">
                  <c:v>-146.46629567269352</c:v>
                </c:pt>
                <c:pt idx="336">
                  <c:v>-140.92952021459703</c:v>
                </c:pt>
                <c:pt idx="337">
                  <c:v>-135.06541147402055</c:v>
                </c:pt>
                <c:pt idx="338">
                  <c:v>-129.04579600802145</c:v>
                </c:pt>
                <c:pt idx="339">
                  <c:v>-123.0376280363367</c:v>
                </c:pt>
                <c:pt idx="340">
                  <c:v>-117.03402285570814</c:v>
                </c:pt>
                <c:pt idx="341">
                  <c:v>-111.02803280274297</c:v>
                </c:pt>
                <c:pt idx="342">
                  <c:v>-105.01261065619269</c:v>
                </c:pt>
                <c:pt idx="343">
                  <c:v>-98.980571202115456</c:v>
                </c:pt>
                <c:pt idx="344">
                  <c:v>-92.924550620404645</c:v>
                </c:pt>
                <c:pt idx="345">
                  <c:v>-86.83696315626301</c:v>
                </c:pt>
                <c:pt idx="346">
                  <c:v>-80.709954475908717</c:v>
                </c:pt>
                <c:pt idx="347">
                  <c:v>-74.53535102643248</c:v>
                </c:pt>
                <c:pt idx="348">
                  <c:v>-68.304604622347242</c:v>
                </c:pt>
                <c:pt idx="349">
                  <c:v>-62.00873136241934</c:v>
                </c:pt>
                <c:pt idx="350">
                  <c:v>-55.638243835253654</c:v>
                </c:pt>
                <c:pt idx="351">
                  <c:v>-49.183075395068286</c:v>
                </c:pt>
                <c:pt idx="352">
                  <c:v>-42.632495072888098</c:v>
                </c:pt>
                <c:pt idx="353">
                  <c:v>-35.975011423721512</c:v>
                </c:pt>
                <c:pt idx="354">
                  <c:v>-29.198176565394178</c:v>
                </c:pt>
                <c:pt idx="355">
                  <c:v>-26.433220379354449</c:v>
                </c:pt>
                <c:pt idx="356">
                  <c:v>-21.343287825174674</c:v>
                </c:pt>
                <c:pt idx="357">
                  <c:v>-16.169504273143215</c:v>
                </c:pt>
                <c:pt idx="358">
                  <c:v>-10.898348876454911</c:v>
                </c:pt>
                <c:pt idx="359">
                  <c:v>-5.5144190144327565</c:v>
                </c:pt>
                <c:pt idx="360">
                  <c:v>-1.2518894970119809E-13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7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bg2">
                  <a:lumMod val="90000"/>
                </a:schemeClr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-110.39933161915417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386.39766066703982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</a:t>
            </a:r>
            <a:endParaRPr lang="en-US" baseline="0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'Cross Section Analysis'!$R$129:$R$229</c:f>
              <c:numCache>
                <c:formatCode>General</c:formatCode>
                <c:ptCount val="10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82.518119719049963</c:v>
                </c:pt>
                <c:pt idx="5">
                  <c:v>106.939142036109</c:v>
                </c:pt>
                <c:pt idx="6">
                  <c:v>129.81968374076214</c:v>
                </c:pt>
                <c:pt idx="7">
                  <c:v>#N/A</c:v>
                </c:pt>
                <c:pt idx="8">
                  <c:v>#N/A</c:v>
                </c:pt>
                <c:pt idx="9">
                  <c:v>189.59355733334388</c:v>
                </c:pt>
                <c:pt idx="10">
                  <c:v>207.50112241704608</c:v>
                </c:pt>
                <c:pt idx="11">
                  <c:v>301.90609150992356</c:v>
                </c:pt>
                <c:pt idx="12">
                  <c:v>243.09834518606473</c:v>
                </c:pt>
                <c:pt idx="13">
                  <c:v>260.97326975722717</c:v>
                </c:pt>
                <c:pt idx="14">
                  <c:v>278.8832453693588</c:v>
                </c:pt>
                <c:pt idx="15">
                  <c:v>296.81184682650144</c:v>
                </c:pt>
                <c:pt idx="16">
                  <c:v>314.73899390254536</c:v>
                </c:pt>
                <c:pt idx="17">
                  <c:v>332.64106538736922</c:v>
                </c:pt>
                <c:pt idx="18">
                  <c:v>350.49120405664502</c:v>
                </c:pt>
                <c:pt idx="19">
                  <c:v>368.25905352701005</c:v>
                </c:pt>
                <c:pt idx="20">
                  <c:v>385.91282637735685</c:v>
                </c:pt>
                <c:pt idx="21">
                  <c:v>403.24670964829141</c:v>
                </c:pt>
                <c:pt idx="22">
                  <c:v>420.5280847219085</c:v>
                </c:pt>
                <c:pt idx="23">
                  <c:v>436.61838119189525</c:v>
                </c:pt>
                <c:pt idx="24">
                  <c:v>451.2479189230051</c:v>
                </c:pt>
                <c:pt idx="25">
                  <c:v>465.28257671290055</c:v>
                </c:pt>
                <c:pt idx="26">
                  <c:v>479.62047923971573</c:v>
                </c:pt>
                <c:pt idx="27">
                  <c:v>490.94199640150299</c:v>
                </c:pt>
                <c:pt idx="28">
                  <c:v>494.76937664854211</c:v>
                </c:pt>
                <c:pt idx="29">
                  <c:v>498.22457451866035</c:v>
                </c:pt>
                <c:pt idx="30">
                  <c:v>498.76421814203167</c:v>
                </c:pt>
                <c:pt idx="31">
                  <c:v>499.22294894659223</c:v>
                </c:pt>
                <c:pt idx="32">
                  <c:v>499.48940992493107</c:v>
                </c:pt>
                <c:pt idx="33">
                  <c:v>499.52891511943045</c:v>
                </c:pt>
                <c:pt idx="34">
                  <c:v>499.29804026069138</c:v>
                </c:pt>
                <c:pt idx="35">
                  <c:v>498.1276904313425</c:v>
                </c:pt>
                <c:pt idx="36">
                  <c:v>496.74216846449264</c:v>
                </c:pt>
                <c:pt idx="37">
                  <c:v>494.60099218659013</c:v>
                </c:pt>
                <c:pt idx="38">
                  <c:v>491.30274751339806</c:v>
                </c:pt>
                <c:pt idx="39">
                  <c:v>487.07301046162422</c:v>
                </c:pt>
                <c:pt idx="40">
                  <c:v>481.33211312389352</c:v>
                </c:pt>
                <c:pt idx="41">
                  <c:v>477.73958978033738</c:v>
                </c:pt>
                <c:pt idx="42">
                  <c:v>477.69408328218003</c:v>
                </c:pt>
                <c:pt idx="43">
                  <c:v>477.54069041885066</c:v>
                </c:pt>
                <c:pt idx="44">
                  <c:v>477.26064808135197</c:v>
                </c:pt>
                <c:pt idx="45">
                  <c:v>476.83473598907898</c:v>
                </c:pt>
                <c:pt idx="46">
                  <c:v>475.16805176278854</c:v>
                </c:pt>
                <c:pt idx="47">
                  <c:v>474.39012769963063</c:v>
                </c:pt>
                <c:pt idx="48">
                  <c:v>473.19994701905608</c:v>
                </c:pt>
                <c:pt idx="49">
                  <c:v>471.58330313400353</c:v>
                </c:pt>
                <c:pt idx="50">
                  <c:v>469.72393685930786</c:v>
                </c:pt>
                <c:pt idx="51">
                  <c:v>467.60008534008324</c:v>
                </c:pt>
                <c:pt idx="52">
                  <c:v>465.19021571769355</c:v>
                </c:pt>
                <c:pt idx="53">
                  <c:v>462.47310503534794</c:v>
                </c:pt>
                <c:pt idx="54">
                  <c:v>459.42791221167431</c:v>
                </c:pt>
                <c:pt idx="55">
                  <c:v>456.03424154138514</c:v>
                </c:pt>
                <c:pt idx="56">
                  <c:v>452.27219746660552</c:v>
                </c:pt>
                <c:pt idx="57">
                  <c:v>448.1224287361855</c:v>
                </c:pt>
                <c:pt idx="58">
                  <c:v>443.56617444498539</c:v>
                </c:pt>
                <c:pt idx="59">
                  <c:v>438.54401238985542</c:v>
                </c:pt>
                <c:pt idx="60">
                  <c:v>432.89570360958277</c:v>
                </c:pt>
                <c:pt idx="61">
                  <c:v>426.59471741868674</c:v>
                </c:pt>
                <c:pt idx="62">
                  <c:v>419.80884805529678</c:v>
                </c:pt>
                <c:pt idx="63">
                  <c:v>412.52174411467399</c:v>
                </c:pt>
                <c:pt idx="64">
                  <c:v>404.71789058254984</c:v>
                </c:pt>
                <c:pt idx="65">
                  <c:v>396.38239151924756</c:v>
                </c:pt>
                <c:pt idx="66">
                  <c:v>387.50086529352609</c:v>
                </c:pt>
                <c:pt idx="67">
                  <c:v>378.06015961366518</c:v>
                </c:pt>
                <c:pt idx="68">
                  <c:v>367.78234920355368</c:v>
                </c:pt>
                <c:pt idx="69">
                  <c:v>356.55744795332038</c:v>
                </c:pt>
                <c:pt idx="70">
                  <c:v>344.83661427323739</c:v>
                </c:pt>
                <c:pt idx="71">
                  <c:v>332.48526959533194</c:v>
                </c:pt>
                <c:pt idx="72">
                  <c:v>319.49247052340672</c:v>
                </c:pt>
                <c:pt idx="73">
                  <c:v>305.79947464618903</c:v>
                </c:pt>
                <c:pt idx="74">
                  <c:v>290.99749608936031</c:v>
                </c:pt>
                <c:pt idx="75">
                  <c:v>275.27973441395659</c:v>
                </c:pt>
                <c:pt idx="76">
                  <c:v>258.86601292110538</c:v>
                </c:pt>
                <c:pt idx="77">
                  <c:v>0</c:v>
                </c:pt>
              </c:numCache>
            </c:numRef>
          </c:xVal>
          <c:yVal>
            <c:numRef>
              <c:f>'Cross Section Analysis'!$Q$129:$Q$229</c:f>
              <c:numCache>
                <c:formatCode>General</c:formatCode>
                <c:ptCount val="101"/>
                <c:pt idx="0">
                  <c:v>-685.79999999999984</c:v>
                </c:pt>
                <c:pt idx="1">
                  <c:v>-680.79999999999984</c:v>
                </c:pt>
                <c:pt idx="2">
                  <c:v>-649.13369333333321</c:v>
                </c:pt>
                <c:pt idx="3">
                  <c:v>-617.46738666666658</c:v>
                </c:pt>
                <c:pt idx="4">
                  <c:v>-585.80107999999996</c:v>
                </c:pt>
                <c:pt idx="5">
                  <c:v>-554.13477333333333</c:v>
                </c:pt>
                <c:pt idx="6">
                  <c:v>-522.4684666666667</c:v>
                </c:pt>
                <c:pt idx="7">
                  <c:v>-490.80216000000001</c:v>
                </c:pt>
                <c:pt idx="8">
                  <c:v>-459.13585333333333</c:v>
                </c:pt>
                <c:pt idx="9">
                  <c:v>-427.46954666666664</c:v>
                </c:pt>
                <c:pt idx="10">
                  <c:v>-395.80323999999996</c:v>
                </c:pt>
                <c:pt idx="11">
                  <c:v>-364.13693333333327</c:v>
                </c:pt>
                <c:pt idx="12">
                  <c:v>-332.47062666666659</c:v>
                </c:pt>
                <c:pt idx="13">
                  <c:v>-300.8043199999999</c:v>
                </c:pt>
                <c:pt idx="14">
                  <c:v>-269.13801333333322</c:v>
                </c:pt>
                <c:pt idx="15">
                  <c:v>-237.47170666666656</c:v>
                </c:pt>
                <c:pt idx="16">
                  <c:v>-205.80539999999991</c:v>
                </c:pt>
                <c:pt idx="17">
                  <c:v>-174.13909333333325</c:v>
                </c:pt>
                <c:pt idx="18">
                  <c:v>-142.47278666666659</c:v>
                </c:pt>
                <c:pt idx="19">
                  <c:v>-110.80647999999994</c:v>
                </c:pt>
                <c:pt idx="20">
                  <c:v>-79.14017333333328</c:v>
                </c:pt>
                <c:pt idx="21">
                  <c:v>-47.473866666666616</c:v>
                </c:pt>
                <c:pt idx="22">
                  <c:v>-15.807559999999953</c:v>
                </c:pt>
                <c:pt idx="23">
                  <c:v>15.858746666666711</c:v>
                </c:pt>
                <c:pt idx="24">
                  <c:v>47.525053333333375</c:v>
                </c:pt>
                <c:pt idx="25">
                  <c:v>79.191360000000032</c:v>
                </c:pt>
                <c:pt idx="26">
                  <c:v>110.85766666666669</c:v>
                </c:pt>
                <c:pt idx="27">
                  <c:v>142.52397333333334</c:v>
                </c:pt>
                <c:pt idx="28">
                  <c:v>174.19028</c:v>
                </c:pt>
                <c:pt idx="29">
                  <c:v>205.85658666666666</c:v>
                </c:pt>
                <c:pt idx="30">
                  <c:v>237.52289333333331</c:v>
                </c:pt>
                <c:pt idx="31">
                  <c:v>269.18919999999997</c:v>
                </c:pt>
                <c:pt idx="32">
                  <c:v>300.85550666666666</c:v>
                </c:pt>
                <c:pt idx="33">
                  <c:v>332.52181333333334</c:v>
                </c:pt>
                <c:pt idx="34">
                  <c:v>364.18812000000003</c:v>
                </c:pt>
                <c:pt idx="35">
                  <c:v>395.85442666666671</c:v>
                </c:pt>
                <c:pt idx="36">
                  <c:v>427.5207333333334</c:v>
                </c:pt>
                <c:pt idx="37">
                  <c:v>459.18704000000008</c:v>
                </c:pt>
                <c:pt idx="38">
                  <c:v>490.85334666666677</c:v>
                </c:pt>
                <c:pt idx="39">
                  <c:v>522.51965333333339</c:v>
                </c:pt>
                <c:pt idx="40">
                  <c:v>554.18596000000002</c:v>
                </c:pt>
                <c:pt idx="41">
                  <c:v>585.85226666666665</c:v>
                </c:pt>
                <c:pt idx="42">
                  <c:v>617.51857333333328</c:v>
                </c:pt>
                <c:pt idx="43">
                  <c:v>649.18487999999991</c:v>
                </c:pt>
                <c:pt idx="44">
                  <c:v>680.85118666666654</c:v>
                </c:pt>
                <c:pt idx="45">
                  <c:v>712.51749333333316</c:v>
                </c:pt>
                <c:pt idx="46">
                  <c:v>744.18379999999979</c:v>
                </c:pt>
                <c:pt idx="47">
                  <c:v>775.85010666666642</c:v>
                </c:pt>
                <c:pt idx="48">
                  <c:v>807.51641333333305</c:v>
                </c:pt>
                <c:pt idx="49">
                  <c:v>839.18271999999968</c:v>
                </c:pt>
                <c:pt idx="50">
                  <c:v>870.8490266666663</c:v>
                </c:pt>
                <c:pt idx="51">
                  <c:v>902.51533333333293</c:v>
                </c:pt>
                <c:pt idx="52">
                  <c:v>934.18163999999956</c:v>
                </c:pt>
                <c:pt idx="53">
                  <c:v>965.84794666666619</c:v>
                </c:pt>
                <c:pt idx="54">
                  <c:v>997.51425333333282</c:v>
                </c:pt>
                <c:pt idx="55">
                  <c:v>1029.1805599999996</c:v>
                </c:pt>
                <c:pt idx="56">
                  <c:v>1060.8468666666663</c:v>
                </c:pt>
                <c:pt idx="57">
                  <c:v>1092.513173333333</c:v>
                </c:pt>
                <c:pt idx="58">
                  <c:v>1124.1794799999998</c:v>
                </c:pt>
                <c:pt idx="59">
                  <c:v>1155.8457866666665</c:v>
                </c:pt>
                <c:pt idx="60">
                  <c:v>1187.5120933333333</c:v>
                </c:pt>
                <c:pt idx="61">
                  <c:v>1219.1784</c:v>
                </c:pt>
                <c:pt idx="62">
                  <c:v>1250.8447066666668</c:v>
                </c:pt>
                <c:pt idx="63">
                  <c:v>1282.5110133333335</c:v>
                </c:pt>
                <c:pt idx="64">
                  <c:v>1314.1773200000002</c:v>
                </c:pt>
                <c:pt idx="65">
                  <c:v>1345.843626666667</c:v>
                </c:pt>
                <c:pt idx="66">
                  <c:v>1377.5099333333337</c:v>
                </c:pt>
                <c:pt idx="67">
                  <c:v>1409.1762400000005</c:v>
                </c:pt>
                <c:pt idx="68">
                  <c:v>1440.8425466666672</c:v>
                </c:pt>
                <c:pt idx="69">
                  <c:v>1472.5088533333339</c:v>
                </c:pt>
                <c:pt idx="70">
                  <c:v>1504.1751600000007</c:v>
                </c:pt>
                <c:pt idx="71">
                  <c:v>1535.8414666666674</c:v>
                </c:pt>
                <c:pt idx="72">
                  <c:v>1567.5077733333342</c:v>
                </c:pt>
                <c:pt idx="73">
                  <c:v>1599.1740800000009</c:v>
                </c:pt>
                <c:pt idx="74">
                  <c:v>1630.8403866666677</c:v>
                </c:pt>
                <c:pt idx="75">
                  <c:v>1662.5066933333344</c:v>
                </c:pt>
                <c:pt idx="76">
                  <c:v>1694.1730000000011</c:v>
                </c:pt>
                <c:pt idx="77">
                  <c:v>1694.1730000000011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9"/>
            <c:spPr>
              <a:noFill/>
              <a:ln w="15875">
                <a:solidFill>
                  <a:srgbClr val="FF0000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364.0054944640259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2700" cap="rnd">
              <a:solidFill>
                <a:schemeClr val="accent3"/>
              </a:solidFill>
              <a:prstDash val="sysDash"/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'Cross Section Analysis'!$R$122:$R$124</c:f>
              <c:numCache>
                <c:formatCode>General</c:formatCode>
                <c:ptCount val="3"/>
                <c:pt idx="0">
                  <c:v>364.0054944640259</c:v>
                </c:pt>
                <c:pt idx="1">
                  <c:v>401.85963294528204</c:v>
                </c:pt>
              </c:numCache>
            </c:numRef>
          </c:xVal>
          <c:yVal>
            <c:numRef>
              <c:f>'Cross Section Analysis'!$Q$122:$Q$124</c:f>
              <c:numCache>
                <c:formatCode>General</c:formatCode>
                <c:ptCount val="3"/>
                <c:pt idx="0">
                  <c:v>-50</c:v>
                </c:pt>
                <c:pt idx="1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504826</xdr:colOff>
      <xdr:row>0</xdr:row>
      <xdr:rowOff>123825</xdr:rowOff>
    </xdr:from>
    <xdr:to>
      <xdr:col>18</xdr:col>
      <xdr:colOff>133351</xdr:colOff>
      <xdr:row>33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838201</xdr:colOff>
      <xdr:row>44</xdr:row>
      <xdr:rowOff>150187</xdr:rowOff>
    </xdr:from>
    <xdr:to>
      <xdr:col>18</xdr:col>
      <xdr:colOff>209550</xdr:colOff>
      <xdr:row>78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120</xdr:row>
      <xdr:rowOff>0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771525</xdr:colOff>
          <xdr:row>121</xdr:row>
          <xdr:rowOff>66675</xdr:rowOff>
        </xdr:from>
        <xdr:to>
          <xdr:col>2</xdr:col>
          <xdr:colOff>885825</xdr:colOff>
          <xdr:row>126</xdr:row>
          <xdr:rowOff>47625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234950</xdr:colOff>
      <xdr:row>127</xdr:row>
      <xdr:rowOff>69850</xdr:rowOff>
    </xdr:from>
    <xdr:to>
      <xdr:col>14</xdr:col>
      <xdr:colOff>660400</xdr:colOff>
      <xdr:row>170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47625</xdr:rowOff>
        </xdr:from>
        <xdr:to>
          <xdr:col>5</xdr:col>
          <xdr:colOff>1152525</xdr:colOff>
          <xdr:row>126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121</xdr:row>
          <xdr:rowOff>152400</xdr:rowOff>
        </xdr:from>
        <xdr:to>
          <xdr:col>13</xdr:col>
          <xdr:colOff>342900</xdr:colOff>
          <xdr:row>125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314325</xdr:colOff>
      <xdr:row>171</xdr:row>
      <xdr:rowOff>142875</xdr:rowOff>
    </xdr:from>
    <xdr:to>
      <xdr:col>15</xdr:col>
      <xdr:colOff>82550</xdr:colOff>
      <xdr:row>215</xdr:row>
      <xdr:rowOff>22225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A111" workbookViewId="0">
      <selection activeCell="B120" sqref="B120"/>
    </sheetView>
  </sheetViews>
  <sheetFormatPr defaultColWidth="8.85546875" defaultRowHeight="15" x14ac:dyDescent="0.25"/>
  <cols>
    <col min="1" max="1" width="16.42578125" customWidth="1"/>
    <col min="2" max="2" width="18.42578125" bestFit="1" customWidth="1"/>
    <col min="3" max="3" width="13.85546875" customWidth="1"/>
    <col min="4" max="4" width="10.7109375" customWidth="1"/>
    <col min="5" max="5" width="10.42578125" customWidth="1"/>
    <col min="6" max="6" width="19.85546875" customWidth="1"/>
    <col min="7" max="7" width="12.42578125" bestFit="1" customWidth="1"/>
    <col min="8" max="8" width="14.42578125" bestFit="1" customWidth="1"/>
    <col min="9" max="9" width="13.42578125" bestFit="1" customWidth="1"/>
    <col min="10" max="10" width="10.140625" customWidth="1"/>
    <col min="11" max="11" width="11.7109375" customWidth="1"/>
    <col min="14" max="14" width="12.42578125" customWidth="1"/>
  </cols>
  <sheetData>
    <row r="1" spans="1:8" x14ac:dyDescent="0.25">
      <c r="D1" t="s">
        <v>7</v>
      </c>
      <c r="G1" t="s">
        <v>14</v>
      </c>
    </row>
    <row r="2" spans="1:8" x14ac:dyDescent="0.25">
      <c r="A2" s="2" t="s">
        <v>4</v>
      </c>
      <c r="B2" s="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5">
      <c r="A3" s="2" t="s">
        <v>13</v>
      </c>
      <c r="B3" s="5">
        <f>(POWER(145,1.5)*33*SQRT(1000*B2))/1000</f>
        <v>4074.2806880478911</v>
      </c>
      <c r="C3" t="s">
        <v>5</v>
      </c>
      <c r="D3" s="8">
        <v>0</v>
      </c>
      <c r="E3" s="8">
        <v>0</v>
      </c>
      <c r="G3" s="9">
        <f>MAX(MAX(D3:D7),MAX(E3:E7))</f>
        <v>30</v>
      </c>
      <c r="H3" s="9">
        <f>G3</f>
        <v>30</v>
      </c>
    </row>
    <row r="4" spans="1:8" x14ac:dyDescent="0.25">
      <c r="A4" s="2" t="s">
        <v>35</v>
      </c>
      <c r="B4" s="1">
        <f>IF(B2&lt;=4,0.85,IF(B2&lt;=8,0.85 - ((0.05*(B2-4))/1),0.65))</f>
        <v>0.79999999999999993</v>
      </c>
      <c r="D4" s="8">
        <f>B5</f>
        <v>20</v>
      </c>
      <c r="E4" s="8">
        <v>0</v>
      </c>
      <c r="G4">
        <v>-1</v>
      </c>
      <c r="H4">
        <v>-1</v>
      </c>
    </row>
    <row r="5" spans="1:8" x14ac:dyDescent="0.25">
      <c r="A5" s="2" t="s">
        <v>2</v>
      </c>
      <c r="B5" s="6">
        <v>20</v>
      </c>
      <c r="C5" t="s">
        <v>6</v>
      </c>
      <c r="D5" s="8">
        <f>B5</f>
        <v>20</v>
      </c>
      <c r="E5" s="8">
        <f>B6</f>
        <v>30</v>
      </c>
      <c r="G5" t="s">
        <v>33</v>
      </c>
    </row>
    <row r="6" spans="1:8" x14ac:dyDescent="0.25">
      <c r="A6" s="2" t="s">
        <v>3</v>
      </c>
      <c r="B6" s="6">
        <v>30</v>
      </c>
      <c r="C6" t="s">
        <v>6</v>
      </c>
      <c r="D6" s="8">
        <v>0</v>
      </c>
      <c r="E6" s="8">
        <f>B6</f>
        <v>30</v>
      </c>
      <c r="G6" t="s">
        <v>0</v>
      </c>
      <c r="H6" t="s">
        <v>1</v>
      </c>
    </row>
    <row r="7" spans="1:8" x14ac:dyDescent="0.25">
      <c r="D7" s="8">
        <v>0</v>
      </c>
      <c r="E7" s="8">
        <v>0</v>
      </c>
      <c r="G7">
        <f>B5/2</f>
        <v>10</v>
      </c>
      <c r="H7">
        <f>B6/2</f>
        <v>15</v>
      </c>
    </row>
    <row r="9" spans="1:8" x14ac:dyDescent="0.25">
      <c r="A9" t="s">
        <v>8</v>
      </c>
    </row>
    <row r="10" spans="1:8" x14ac:dyDescent="0.25">
      <c r="A10" t="s">
        <v>9</v>
      </c>
      <c r="B10" s="6">
        <v>60</v>
      </c>
      <c r="C10" t="s">
        <v>5</v>
      </c>
    </row>
    <row r="11" spans="1:8" x14ac:dyDescent="0.25">
      <c r="A11" t="s">
        <v>12</v>
      </c>
      <c r="B11" s="5">
        <v>30000</v>
      </c>
      <c r="C11" t="s">
        <v>5</v>
      </c>
    </row>
    <row r="12" spans="1:8" x14ac:dyDescent="0.25">
      <c r="B12" s="1" t="s">
        <v>10</v>
      </c>
      <c r="C12" t="s">
        <v>11</v>
      </c>
      <c r="D12" s="1" t="s">
        <v>0</v>
      </c>
      <c r="E12" s="1" t="s">
        <v>1</v>
      </c>
    </row>
    <row r="13" spans="1:8" x14ac:dyDescent="0.25">
      <c r="A13">
        <v>1</v>
      </c>
      <c r="B13" s="3">
        <v>10</v>
      </c>
      <c r="C13" s="7">
        <f ca="1">OFFSET(Reference!A$1,MATCH('Cross Section Analysis'!B13,Reference!A$1:A$12,0)-1,2)</f>
        <v>1.27</v>
      </c>
      <c r="D13" s="6">
        <v>4</v>
      </c>
      <c r="E13" s="6">
        <v>4</v>
      </c>
    </row>
    <row r="14" spans="1:8" x14ac:dyDescent="0.25">
      <c r="A14">
        <v>2</v>
      </c>
      <c r="B14" s="3">
        <v>10</v>
      </c>
      <c r="C14" s="7">
        <f ca="1">OFFSET(Reference!A$1,MATCH('Cross Section Analysis'!B14,Reference!A$1:A$12,0)-1,2)</f>
        <v>1.27</v>
      </c>
      <c r="D14" s="6">
        <v>16</v>
      </c>
      <c r="E14" s="6">
        <v>4</v>
      </c>
    </row>
    <row r="15" spans="1:8" x14ac:dyDescent="0.25">
      <c r="A15">
        <v>3</v>
      </c>
      <c r="B15" s="3">
        <v>10</v>
      </c>
      <c r="C15" s="7">
        <f ca="1">OFFSET(Reference!A$1,MATCH('Cross Section Analysis'!B15,Reference!A$1:A$12,0)-1,2)</f>
        <v>1.27</v>
      </c>
      <c r="D15" s="6">
        <v>16</v>
      </c>
      <c r="E15" s="6">
        <v>26</v>
      </c>
    </row>
    <row r="16" spans="1:8" x14ac:dyDescent="0.25">
      <c r="A16">
        <v>4</v>
      </c>
      <c r="B16" s="3">
        <v>10</v>
      </c>
      <c r="C16" s="7">
        <f ca="1">OFFSET(Reference!A$1,MATCH('Cross Section Analysis'!B16,Reference!A$1:A$12,0)-1,2)</f>
        <v>1.27</v>
      </c>
      <c r="D16" s="6">
        <v>10</v>
      </c>
      <c r="E16" s="6">
        <v>26</v>
      </c>
    </row>
    <row r="17" spans="1:5" x14ac:dyDescent="0.25">
      <c r="A17">
        <v>5</v>
      </c>
      <c r="B17" s="3">
        <v>10</v>
      </c>
      <c r="C17" s="7">
        <f ca="1">OFFSET(Reference!A$1,MATCH('Cross Section Analysis'!B17,Reference!A$1:A$12,0)-1,2)</f>
        <v>1.27</v>
      </c>
      <c r="D17" s="6">
        <v>4</v>
      </c>
      <c r="E17" s="6">
        <v>26</v>
      </c>
    </row>
    <row r="18" spans="1:5" x14ac:dyDescent="0.25">
      <c r="A18">
        <v>6</v>
      </c>
      <c r="B18" s="3">
        <v>10</v>
      </c>
      <c r="C18" s="7">
        <f ca="1">OFFSET(Reference!A$1,MATCH('Cross Section Analysis'!B18,Reference!A$1:A$12,0)-1,2)</f>
        <v>1.27</v>
      </c>
      <c r="D18" s="4">
        <v>10</v>
      </c>
      <c r="E18" s="4">
        <v>4</v>
      </c>
    </row>
    <row r="19" spans="1:5" x14ac:dyDescent="0.25">
      <c r="A19">
        <v>7</v>
      </c>
      <c r="B19" s="3">
        <v>10</v>
      </c>
      <c r="C19" s="7">
        <f ca="1">OFFSET(Reference!A$1,MATCH('Cross Section Analysis'!B19,Reference!A$1:A$12,0)-1,2)</f>
        <v>1.27</v>
      </c>
      <c r="D19" s="4">
        <v>4</v>
      </c>
      <c r="E19" s="4">
        <v>11.33333</v>
      </c>
    </row>
    <row r="20" spans="1:5" x14ac:dyDescent="0.25">
      <c r="A20">
        <v>8</v>
      </c>
      <c r="B20" s="3">
        <v>10</v>
      </c>
      <c r="C20" s="7">
        <f ca="1">OFFSET(Reference!A$1,MATCH('Cross Section Analysis'!B20,Reference!A$1:A$12,0)-1,2)</f>
        <v>1.27</v>
      </c>
      <c r="D20" s="4">
        <v>4</v>
      </c>
      <c r="E20" s="4">
        <v>18.66666</v>
      </c>
    </row>
    <row r="21" spans="1:5" x14ac:dyDescent="0.25">
      <c r="A21">
        <v>9</v>
      </c>
      <c r="B21" s="3">
        <v>10</v>
      </c>
      <c r="C21" s="7">
        <f ca="1">OFFSET(Reference!A$1,MATCH('Cross Section Analysis'!B21,Reference!A$1:A$12,0)-1,2)</f>
        <v>1.27</v>
      </c>
      <c r="D21" s="4">
        <v>16</v>
      </c>
      <c r="E21" s="4">
        <v>11.33333</v>
      </c>
    </row>
    <row r="22" spans="1:5" x14ac:dyDescent="0.25">
      <c r="A22">
        <v>10</v>
      </c>
      <c r="B22" s="3">
        <v>10</v>
      </c>
      <c r="C22" s="7">
        <f ca="1">OFFSET(Reference!A$1,MATCH('Cross Section Analysis'!B22,Reference!A$1:A$12,0)-1,2)</f>
        <v>1.27</v>
      </c>
      <c r="D22" s="4">
        <v>16</v>
      </c>
      <c r="E22" s="4">
        <v>18.66666</v>
      </c>
    </row>
    <row r="23" spans="1:5" x14ac:dyDescent="0.25">
      <c r="A23">
        <v>11</v>
      </c>
      <c r="B23" s="3">
        <v>0</v>
      </c>
      <c r="C23" s="7">
        <f ca="1">OFFSET(Reference!A$1,MATCH('Cross Section Analysis'!B23,Reference!A$1:A$12,0)-1,2)</f>
        <v>0</v>
      </c>
      <c r="D23" s="4"/>
      <c r="E23" s="4"/>
    </row>
    <row r="24" spans="1:5" x14ac:dyDescent="0.25">
      <c r="A24">
        <v>12</v>
      </c>
      <c r="B24" s="3">
        <v>0</v>
      </c>
      <c r="C24" s="7">
        <f ca="1">OFFSET(Reference!A$1,MATCH('Cross Section Analysis'!B24,Reference!A$1:A$12,0)-1,2)</f>
        <v>0</v>
      </c>
      <c r="D24" s="4"/>
      <c r="E24" s="4"/>
    </row>
    <row r="26" spans="1:5" x14ac:dyDescent="0.25">
      <c r="A26" s="31" t="s">
        <v>15</v>
      </c>
    </row>
    <row r="27" spans="1:5" x14ac:dyDescent="0.25">
      <c r="A27" s="2" t="s">
        <v>16</v>
      </c>
    </row>
    <row r="28" spans="1:5" x14ac:dyDescent="0.25">
      <c r="A28" s="2" t="s">
        <v>17</v>
      </c>
      <c r="B28">
        <f>B5*B6</f>
        <v>600</v>
      </c>
      <c r="C28" t="s">
        <v>18</v>
      </c>
    </row>
    <row r="29" spans="1:5" x14ac:dyDescent="0.25">
      <c r="A29" s="2" t="s">
        <v>19</v>
      </c>
      <c r="B29">
        <f>B28*B2</f>
        <v>3000</v>
      </c>
      <c r="C29" t="s">
        <v>20</v>
      </c>
    </row>
    <row r="30" spans="1:5" x14ac:dyDescent="0.25">
      <c r="A30" s="2" t="s">
        <v>21</v>
      </c>
      <c r="B30">
        <f>B29*(B6/2)</f>
        <v>45000</v>
      </c>
      <c r="C30" t="s">
        <v>23</v>
      </c>
    </row>
    <row r="31" spans="1:5" x14ac:dyDescent="0.25">
      <c r="A31" s="2" t="s">
        <v>22</v>
      </c>
      <c r="B31">
        <f>B29*(B5/2)</f>
        <v>30000</v>
      </c>
      <c r="C31" t="s">
        <v>23</v>
      </c>
    </row>
    <row r="33" spans="1:6" x14ac:dyDescent="0.25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5">
      <c r="A34">
        <f>A13</f>
        <v>1</v>
      </c>
      <c r="B34" s="10">
        <f ca="1">C13</f>
        <v>1.27</v>
      </c>
      <c r="C34" s="9">
        <f>($B$10-($B$2))</f>
        <v>55</v>
      </c>
      <c r="D34" s="9">
        <f ca="1">B34*C34</f>
        <v>69.849999999999994</v>
      </c>
      <c r="E34" s="9">
        <f ca="1">D34*E13</f>
        <v>279.39999999999998</v>
      </c>
      <c r="F34" s="9">
        <f ca="1">D34*D13</f>
        <v>279.39999999999998</v>
      </c>
    </row>
    <row r="35" spans="1:6" x14ac:dyDescent="0.25">
      <c r="A35">
        <f t="shared" ref="A35:A45" si="0">A14</f>
        <v>2</v>
      </c>
      <c r="B35" s="10">
        <f t="shared" ref="B35:B45" ca="1" si="1">C14</f>
        <v>1.27</v>
      </c>
      <c r="C35" s="9">
        <f t="shared" ref="C35:C45" si="2">($B$10-($B$2))</f>
        <v>55</v>
      </c>
      <c r="D35" s="9">
        <f t="shared" ref="D35:D45" ca="1" si="3">B35*C35</f>
        <v>69.849999999999994</v>
      </c>
      <c r="E35" s="9">
        <f t="shared" ref="E35:E45" ca="1" si="4">D35*E14</f>
        <v>279.39999999999998</v>
      </c>
      <c r="F35" s="9">
        <f t="shared" ref="F35:F45" ca="1" si="5">D35*D14</f>
        <v>1117.5999999999999</v>
      </c>
    </row>
    <row r="36" spans="1:6" x14ac:dyDescent="0.25">
      <c r="A36">
        <f t="shared" si="0"/>
        <v>3</v>
      </c>
      <c r="B36" s="10">
        <f t="shared" ca="1" si="1"/>
        <v>1.27</v>
      </c>
      <c r="C36" s="9">
        <f t="shared" si="2"/>
        <v>55</v>
      </c>
      <c r="D36" s="9">
        <f t="shared" ca="1" si="3"/>
        <v>69.849999999999994</v>
      </c>
      <c r="E36" s="9">
        <f t="shared" ca="1" si="4"/>
        <v>1816.1</v>
      </c>
      <c r="F36" s="9">
        <f t="shared" ca="1" si="5"/>
        <v>1117.5999999999999</v>
      </c>
    </row>
    <row r="37" spans="1:6" x14ac:dyDescent="0.25">
      <c r="A37">
        <f t="shared" si="0"/>
        <v>4</v>
      </c>
      <c r="B37" s="10">
        <f t="shared" ca="1" si="1"/>
        <v>1.27</v>
      </c>
      <c r="C37" s="9">
        <f t="shared" si="2"/>
        <v>55</v>
      </c>
      <c r="D37" s="9">
        <f t="shared" ca="1" si="3"/>
        <v>69.849999999999994</v>
      </c>
      <c r="E37" s="9">
        <f t="shared" ca="1" si="4"/>
        <v>1816.1</v>
      </c>
      <c r="F37" s="9">
        <f t="shared" ca="1" si="5"/>
        <v>698.5</v>
      </c>
    </row>
    <row r="38" spans="1:6" x14ac:dyDescent="0.25">
      <c r="A38">
        <f t="shared" si="0"/>
        <v>5</v>
      </c>
      <c r="B38" s="10">
        <f t="shared" ca="1" si="1"/>
        <v>1.27</v>
      </c>
      <c r="C38" s="9">
        <f t="shared" si="2"/>
        <v>55</v>
      </c>
      <c r="D38" s="9">
        <f t="shared" ca="1" si="3"/>
        <v>69.849999999999994</v>
      </c>
      <c r="E38" s="9">
        <f t="shared" ca="1" si="4"/>
        <v>1816.1</v>
      </c>
      <c r="F38" s="9">
        <f t="shared" ca="1" si="5"/>
        <v>279.39999999999998</v>
      </c>
    </row>
    <row r="39" spans="1:6" x14ac:dyDescent="0.25">
      <c r="A39">
        <f t="shared" si="0"/>
        <v>6</v>
      </c>
      <c r="B39" s="10">
        <f t="shared" ca="1" si="1"/>
        <v>1.27</v>
      </c>
      <c r="C39" s="9">
        <f t="shared" si="2"/>
        <v>55</v>
      </c>
      <c r="D39" s="9">
        <f t="shared" ca="1" si="3"/>
        <v>69.849999999999994</v>
      </c>
      <c r="E39" s="9">
        <f t="shared" ca="1" si="4"/>
        <v>279.39999999999998</v>
      </c>
      <c r="F39" s="9">
        <f t="shared" ca="1" si="5"/>
        <v>698.5</v>
      </c>
    </row>
    <row r="40" spans="1:6" x14ac:dyDescent="0.25">
      <c r="A40">
        <f t="shared" si="0"/>
        <v>7</v>
      </c>
      <c r="B40" s="10">
        <f t="shared" ca="1" si="1"/>
        <v>1.27</v>
      </c>
      <c r="C40" s="9">
        <f t="shared" si="2"/>
        <v>55</v>
      </c>
      <c r="D40" s="9">
        <f t="shared" ca="1" si="3"/>
        <v>69.849999999999994</v>
      </c>
      <c r="E40" s="9">
        <f ca="1">D40*E19</f>
        <v>791.63310049999995</v>
      </c>
      <c r="F40" s="9">
        <f t="shared" ca="1" si="5"/>
        <v>279.39999999999998</v>
      </c>
    </row>
    <row r="41" spans="1:6" x14ac:dyDescent="0.25">
      <c r="A41">
        <f t="shared" si="0"/>
        <v>8</v>
      </c>
      <c r="B41" s="10">
        <f t="shared" ca="1" si="1"/>
        <v>1.27</v>
      </c>
      <c r="C41" s="9">
        <f t="shared" si="2"/>
        <v>55</v>
      </c>
      <c r="D41" s="9">
        <f t="shared" ca="1" si="3"/>
        <v>69.849999999999994</v>
      </c>
      <c r="E41" s="9">
        <f t="shared" ca="1" si="4"/>
        <v>1303.8662009999998</v>
      </c>
      <c r="F41" s="9">
        <f t="shared" ca="1" si="5"/>
        <v>279.39999999999998</v>
      </c>
    </row>
    <row r="42" spans="1:6" x14ac:dyDescent="0.25">
      <c r="A42">
        <f t="shared" si="0"/>
        <v>9</v>
      </c>
      <c r="B42" s="10">
        <f t="shared" ca="1" si="1"/>
        <v>1.27</v>
      </c>
      <c r="C42" s="9">
        <f t="shared" si="2"/>
        <v>55</v>
      </c>
      <c r="D42" s="9">
        <f t="shared" ca="1" si="3"/>
        <v>69.849999999999994</v>
      </c>
      <c r="E42" s="9">
        <f t="shared" ca="1" si="4"/>
        <v>791.63310049999995</v>
      </c>
      <c r="F42" s="9">
        <f t="shared" ca="1" si="5"/>
        <v>1117.5999999999999</v>
      </c>
    </row>
    <row r="43" spans="1:6" x14ac:dyDescent="0.25">
      <c r="A43">
        <f t="shared" si="0"/>
        <v>10</v>
      </c>
      <c r="B43" s="10">
        <f t="shared" ca="1" si="1"/>
        <v>1.27</v>
      </c>
      <c r="C43" s="9">
        <f t="shared" si="2"/>
        <v>55</v>
      </c>
      <c r="D43" s="9">
        <f t="shared" ca="1" si="3"/>
        <v>69.849999999999994</v>
      </c>
      <c r="E43" s="9">
        <f t="shared" ca="1" si="4"/>
        <v>1303.8662009999998</v>
      </c>
      <c r="F43" s="9">
        <f t="shared" ca="1" si="5"/>
        <v>1117.5999999999999</v>
      </c>
    </row>
    <row r="44" spans="1:6" x14ac:dyDescent="0.25">
      <c r="A44">
        <f t="shared" si="0"/>
        <v>11</v>
      </c>
      <c r="B44" s="10">
        <f t="shared" ca="1" si="1"/>
        <v>0</v>
      </c>
      <c r="C44" s="9">
        <f t="shared" si="2"/>
        <v>55</v>
      </c>
      <c r="D44" s="9">
        <f t="shared" ca="1" si="3"/>
        <v>0</v>
      </c>
      <c r="E44" s="9">
        <f t="shared" ca="1" si="4"/>
        <v>0</v>
      </c>
      <c r="F44" s="9">
        <f t="shared" ca="1" si="5"/>
        <v>0</v>
      </c>
    </row>
    <row r="45" spans="1:6" ht="15.75" thickBot="1" x14ac:dyDescent="0.3">
      <c r="A45">
        <f t="shared" si="0"/>
        <v>12</v>
      </c>
      <c r="B45" s="10">
        <f t="shared" ca="1" si="1"/>
        <v>0</v>
      </c>
      <c r="C45" s="9">
        <f t="shared" si="2"/>
        <v>55</v>
      </c>
      <c r="D45" s="30">
        <f t="shared" ca="1" si="3"/>
        <v>0</v>
      </c>
      <c r="E45" s="30">
        <f t="shared" ca="1" si="4"/>
        <v>0</v>
      </c>
      <c r="F45" s="30">
        <f t="shared" ca="1" si="5"/>
        <v>0</v>
      </c>
    </row>
    <row r="46" spans="1:6" ht="15.75" thickTop="1" x14ac:dyDescent="0.25">
      <c r="C46" s="9"/>
      <c r="D46" s="9">
        <f ca="1">SUM(D34:D45)</f>
        <v>698.50000000000011</v>
      </c>
      <c r="E46" s="9">
        <f t="shared" ref="E46:F46" ca="1" si="6">SUM(E34:E45)</f>
        <v>10477.498603</v>
      </c>
      <c r="F46" s="9">
        <f t="shared" ca="1" si="6"/>
        <v>6985</v>
      </c>
    </row>
    <row r="48" spans="1:6" x14ac:dyDescent="0.25">
      <c r="A48" s="2" t="s">
        <v>28</v>
      </c>
      <c r="B48" s="9">
        <f ca="1">B29+D46</f>
        <v>3698.5</v>
      </c>
      <c r="D48" t="s">
        <v>31</v>
      </c>
      <c r="E48" t="s">
        <v>32</v>
      </c>
    </row>
    <row r="49" spans="1:21" x14ac:dyDescent="0.25">
      <c r="A49" s="2" t="s">
        <v>29</v>
      </c>
      <c r="B49" s="9">
        <f ca="1">E46+B30</f>
        <v>55477.498603</v>
      </c>
      <c r="D49" s="1">
        <f ca="1">B50/B48</f>
        <v>10</v>
      </c>
      <c r="E49" s="7">
        <f ca="1">B49/B48</f>
        <v>14.999999622279303</v>
      </c>
    </row>
    <row r="50" spans="1:21" x14ac:dyDescent="0.25">
      <c r="A50" s="2" t="s">
        <v>30</v>
      </c>
      <c r="B50" s="9">
        <f ca="1">F46+B31</f>
        <v>36985</v>
      </c>
    </row>
    <row r="52" spans="1:21" x14ac:dyDescent="0.25">
      <c r="A52" s="32" t="s">
        <v>34</v>
      </c>
    </row>
    <row r="53" spans="1:21" x14ac:dyDescent="0.25">
      <c r="A53" s="2" t="s">
        <v>36</v>
      </c>
      <c r="B53" s="4">
        <v>-95.865940628262962</v>
      </c>
      <c r="C53" t="s">
        <v>39</v>
      </c>
    </row>
    <row r="55" spans="1:21" x14ac:dyDescent="0.25">
      <c r="A55" s="2" t="s">
        <v>16</v>
      </c>
    </row>
    <row r="56" spans="1:21" x14ac:dyDescent="0.25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5">
      <c r="A57" s="9">
        <f ca="1">D3-$D$49</f>
        <v>-10</v>
      </c>
      <c r="B57" s="10">
        <f ca="1">E3-$E$49</f>
        <v>-14.999999622279303</v>
      </c>
      <c r="C57" s="7">
        <f ca="1">A57*COS(RADIANS(-1*$B$53))+B57*SIN(RADIANS(-1*$B$53))</f>
        <v>-13.899443623448217</v>
      </c>
      <c r="D57" s="7">
        <f ca="1">-1*A57*SIN(RADIANS(-1*$B$53))+B57*COS(RADIANS(-1*$B$53))</f>
        <v>11.480655714155176</v>
      </c>
      <c r="F57" t="s">
        <v>40</v>
      </c>
      <c r="G57">
        <f ca="1">MAX(D57:D61)-MIN(D57:D61)</f>
        <v>22.961311505517386</v>
      </c>
      <c r="H57" t="s">
        <v>6</v>
      </c>
      <c r="T57" t="s">
        <v>82</v>
      </c>
    </row>
    <row r="58" spans="1:21" x14ac:dyDescent="0.25">
      <c r="A58" s="9">
        <f ca="1">D4-$D$49</f>
        <v>10</v>
      </c>
      <c r="B58" s="10">
        <f t="shared" ref="B58:B61" ca="1" si="7">E4-$E$49</f>
        <v>-14.999999622279303</v>
      </c>
      <c r="C58" s="7">
        <f t="shared" ref="C58:C61" ca="1" si="8">A58*COS(RADIANS(-1*$B$53))+B58*SIN(RADIANS(-1*$B$53))</f>
        <v>-15.943468011107889</v>
      </c>
      <c r="D58" s="7">
        <f t="shared" ref="D58:D61" ca="1" si="9">-1*A58*SIN(RADIANS(-1*$B$53))+B58*COS(RADIANS(-1*$B$53))</f>
        <v>-8.4146192098727042</v>
      </c>
      <c r="F58" t="s">
        <v>62</v>
      </c>
      <c r="G58" s="10">
        <f ca="1">MAX(D57:D61)</f>
        <v>11.480655714155176</v>
      </c>
      <c r="T58" t="s">
        <v>0</v>
      </c>
      <c r="U58" t="s">
        <v>1</v>
      </c>
    </row>
    <row r="59" spans="1:21" x14ac:dyDescent="0.25">
      <c r="A59" s="9">
        <f ca="1">D5-$D$49</f>
        <v>10</v>
      </c>
      <c r="B59" s="10">
        <f t="shared" ca="1" si="7"/>
        <v>15.000000377720697</v>
      </c>
      <c r="C59" s="7">
        <f t="shared" ca="1" si="8"/>
        <v>13.89944437493393</v>
      </c>
      <c r="D59" s="7">
        <f t="shared" ca="1" si="9"/>
        <v>-11.480655791362208</v>
      </c>
      <c r="T59">
        <f ca="1">MAX(MAX(C57:C61),MAX(D57:D61))</f>
        <v>15.943468762593602</v>
      </c>
      <c r="U59">
        <f ca="1">T59</f>
        <v>15.943468762593602</v>
      </c>
    </row>
    <row r="60" spans="1:21" x14ac:dyDescent="0.25">
      <c r="A60" s="9">
        <f ca="1">D6-$D$49</f>
        <v>-10</v>
      </c>
      <c r="B60" s="10">
        <f t="shared" ca="1" si="7"/>
        <v>15.000000377720697</v>
      </c>
      <c r="C60" s="7">
        <f t="shared" ca="1" si="8"/>
        <v>15.943468762593602</v>
      </c>
      <c r="D60" s="7">
        <f t="shared" ca="1" si="9"/>
        <v>8.4146191326656723</v>
      </c>
      <c r="T60">
        <f ca="1">-1*T59</f>
        <v>-15.943468762593602</v>
      </c>
      <c r="U60">
        <f ca="1">-1*U59</f>
        <v>-15.943468762593602</v>
      </c>
    </row>
    <row r="61" spans="1:21" x14ac:dyDescent="0.25">
      <c r="A61" s="9">
        <f ca="1">D7-$D$49</f>
        <v>-10</v>
      </c>
      <c r="B61" s="10">
        <f t="shared" ca="1" si="7"/>
        <v>-14.999999622279303</v>
      </c>
      <c r="C61" s="7">
        <f t="shared" ca="1" si="8"/>
        <v>-13.899443623448217</v>
      </c>
      <c r="D61" s="7">
        <f t="shared" ca="1" si="9"/>
        <v>11.480655714155176</v>
      </c>
    </row>
    <row r="62" spans="1:21" x14ac:dyDescent="0.25">
      <c r="A62" s="9"/>
    </row>
    <row r="63" spans="1:21" x14ac:dyDescent="0.25">
      <c r="A63" s="33" t="s">
        <v>24</v>
      </c>
      <c r="F63" s="1" t="s">
        <v>37</v>
      </c>
      <c r="G63" s="1" t="s">
        <v>38</v>
      </c>
    </row>
    <row r="64" spans="1:21" x14ac:dyDescent="0.25">
      <c r="A64" s="11">
        <f t="shared" ref="A64:C75" si="10">A13</f>
        <v>1</v>
      </c>
      <c r="B64" s="9">
        <f t="shared" si="10"/>
        <v>10</v>
      </c>
      <c r="C64" s="9">
        <f t="shared" ca="1" si="10"/>
        <v>1.27</v>
      </c>
      <c r="D64" s="9">
        <f ca="1">D13-$D$49</f>
        <v>-6</v>
      </c>
      <c r="E64" s="9">
        <f ca="1">E13-$E$49</f>
        <v>-10.999999622279303</v>
      </c>
      <c r="F64" s="7">
        <f ca="1">D64*COS(RADIANS(-1*$B$53))+E64*SIN(RADIANS(-1*$B$53))</f>
        <v>-10.329193516174577</v>
      </c>
      <c r="G64" s="7">
        <f ca="1">-1*D64*SIN(RADIANS(-1*$B$53))+E64*COS(RADIANS(-1*$B$53))</f>
        <v>7.0927958518176668</v>
      </c>
    </row>
    <row r="65" spans="1:7" x14ac:dyDescent="0.25">
      <c r="A65" s="11">
        <f t="shared" si="10"/>
        <v>2</v>
      </c>
      <c r="B65" s="9">
        <f t="shared" si="10"/>
        <v>10</v>
      </c>
      <c r="C65" s="9">
        <f t="shared" ca="1" si="10"/>
        <v>1.27</v>
      </c>
      <c r="D65" s="9">
        <f t="shared" ref="D65:D75" ca="1" si="11">D14-$D$49</f>
        <v>6</v>
      </c>
      <c r="E65" s="9">
        <f t="shared" ref="E65:E75" ca="1" si="12">E14-$E$49</f>
        <v>-10.999999622279303</v>
      </c>
      <c r="F65" s="7">
        <f t="shared" ref="F65:F75" ca="1" si="13">D65*COS(RADIANS(-1*$B$53))+E65*SIN(RADIANS(-1*$B$53))</f>
        <v>-11.555608148770379</v>
      </c>
      <c r="G65" s="7">
        <f t="shared" ref="G65:G75" ca="1" si="14">-1*D65*SIN(RADIANS(-1*$B$53))+E65*COS(RADIANS(-1*$B$53))</f>
        <v>-4.8443691025990612</v>
      </c>
    </row>
    <row r="66" spans="1:7" x14ac:dyDescent="0.25">
      <c r="A66" s="11">
        <f t="shared" si="10"/>
        <v>3</v>
      </c>
      <c r="B66" s="9">
        <f t="shared" si="10"/>
        <v>10</v>
      </c>
      <c r="C66" s="9">
        <f t="shared" ca="1" si="10"/>
        <v>1.27</v>
      </c>
      <c r="D66" s="9">
        <f t="shared" ca="1" si="11"/>
        <v>6</v>
      </c>
      <c r="E66" s="9">
        <f t="shared" ca="1" si="12"/>
        <v>11.000000377720697</v>
      </c>
      <c r="F66" s="7">
        <f t="shared" ca="1" si="13"/>
        <v>10.329194267660288</v>
      </c>
      <c r="G66" s="7">
        <f t="shared" ca="1" si="14"/>
        <v>-7.0927959290246987</v>
      </c>
    </row>
    <row r="67" spans="1:7" x14ac:dyDescent="0.25">
      <c r="A67" s="11">
        <f t="shared" si="10"/>
        <v>4</v>
      </c>
      <c r="B67" s="9">
        <f t="shared" si="10"/>
        <v>10</v>
      </c>
      <c r="C67" s="9">
        <f t="shared" ca="1" si="10"/>
        <v>1.27</v>
      </c>
      <c r="D67" s="9">
        <f t="shared" ca="1" si="11"/>
        <v>0</v>
      </c>
      <c r="E67" s="9">
        <f t="shared" ca="1" si="12"/>
        <v>11.000000377720697</v>
      </c>
      <c r="F67" s="7">
        <f t="shared" ca="1" si="13"/>
        <v>10.942401583958189</v>
      </c>
      <c r="G67" s="7">
        <f t="shared" ca="1" si="14"/>
        <v>-1.1242134518163345</v>
      </c>
    </row>
    <row r="68" spans="1:7" x14ac:dyDescent="0.25">
      <c r="A68" s="11">
        <f t="shared" si="10"/>
        <v>5</v>
      </c>
      <c r="B68" s="9">
        <f t="shared" si="10"/>
        <v>10</v>
      </c>
      <c r="C68" s="9">
        <f t="shared" ca="1" si="10"/>
        <v>1.27</v>
      </c>
      <c r="D68" s="9">
        <f t="shared" ca="1" si="11"/>
        <v>-6</v>
      </c>
      <c r="E68" s="9">
        <f t="shared" ca="1" si="12"/>
        <v>11.000000377720697</v>
      </c>
      <c r="F68" s="7">
        <f t="shared" ca="1" si="13"/>
        <v>11.55560890025609</v>
      </c>
      <c r="G68" s="7">
        <f t="shared" ca="1" si="14"/>
        <v>4.8443690253920293</v>
      </c>
    </row>
    <row r="69" spans="1:7" x14ac:dyDescent="0.25">
      <c r="A69" s="11">
        <f t="shared" si="10"/>
        <v>6</v>
      </c>
      <c r="B69" s="9">
        <f t="shared" si="10"/>
        <v>10</v>
      </c>
      <c r="C69" s="9">
        <f t="shared" ca="1" si="10"/>
        <v>1.27</v>
      </c>
      <c r="D69" s="9">
        <f t="shared" ca="1" si="11"/>
        <v>0</v>
      </c>
      <c r="E69" s="9">
        <f t="shared" ca="1" si="12"/>
        <v>-10.999999622279303</v>
      </c>
      <c r="F69" s="7">
        <f t="shared" ca="1" si="13"/>
        <v>-10.942400832472478</v>
      </c>
      <c r="G69" s="7">
        <f t="shared" ca="1" si="14"/>
        <v>1.1242133746093028</v>
      </c>
    </row>
    <row r="70" spans="1:7" x14ac:dyDescent="0.25">
      <c r="A70" s="11">
        <f t="shared" si="10"/>
        <v>7</v>
      </c>
      <c r="B70" s="9">
        <f t="shared" si="10"/>
        <v>10</v>
      </c>
      <c r="C70" s="9">
        <f t="shared" ca="1" si="10"/>
        <v>1.27</v>
      </c>
      <c r="D70" s="9">
        <f t="shared" ca="1" si="11"/>
        <v>-6</v>
      </c>
      <c r="E70" s="9">
        <f t="shared" ca="1" si="12"/>
        <v>-3.6666696222793025</v>
      </c>
      <c r="F70" s="7">
        <f t="shared" ca="1" si="13"/>
        <v>-3.0342626932435079</v>
      </c>
      <c r="G70" s="7">
        <f t="shared" ca="1" si="14"/>
        <v>6.3433205836798523</v>
      </c>
    </row>
    <row r="71" spans="1:7" x14ac:dyDescent="0.25">
      <c r="A71" s="11">
        <f t="shared" si="10"/>
        <v>8</v>
      </c>
      <c r="B71" s="9">
        <f t="shared" si="10"/>
        <v>10</v>
      </c>
      <c r="C71" s="9">
        <f t="shared" ca="1" si="10"/>
        <v>1.27</v>
      </c>
      <c r="D71" s="9">
        <f t="shared" ca="1" si="11"/>
        <v>-6</v>
      </c>
      <c r="E71" s="9">
        <f t="shared" ca="1" si="12"/>
        <v>3.6666603777206976</v>
      </c>
      <c r="F71" s="7">
        <f t="shared" ca="1" si="13"/>
        <v>4.2606681296875601</v>
      </c>
      <c r="G71" s="7">
        <f t="shared" ca="1" si="14"/>
        <v>5.5938453155420378</v>
      </c>
    </row>
    <row r="72" spans="1:7" x14ac:dyDescent="0.25">
      <c r="A72" s="11">
        <f t="shared" si="10"/>
        <v>9</v>
      </c>
      <c r="B72" s="9">
        <f t="shared" si="10"/>
        <v>10</v>
      </c>
      <c r="C72" s="9">
        <f t="shared" ca="1" si="10"/>
        <v>1.27</v>
      </c>
      <c r="D72" s="9">
        <f t="shared" ca="1" si="11"/>
        <v>6</v>
      </c>
      <c r="E72" s="9">
        <f t="shared" ca="1" si="12"/>
        <v>-3.6666696222793025</v>
      </c>
      <c r="F72" s="7">
        <f t="shared" ca="1" si="13"/>
        <v>-4.2606773258393105</v>
      </c>
      <c r="G72" s="7">
        <f t="shared" ca="1" si="14"/>
        <v>-5.5938443707368757</v>
      </c>
    </row>
    <row r="73" spans="1:7" x14ac:dyDescent="0.25">
      <c r="A73" s="11">
        <f t="shared" si="10"/>
        <v>10</v>
      </c>
      <c r="B73" s="9">
        <f t="shared" si="10"/>
        <v>10</v>
      </c>
      <c r="C73" s="9">
        <f t="shared" ca="1" si="10"/>
        <v>1.27</v>
      </c>
      <c r="D73" s="9">
        <f t="shared" ca="1" si="11"/>
        <v>6</v>
      </c>
      <c r="E73" s="9">
        <f t="shared" ca="1" si="12"/>
        <v>3.6666603777206976</v>
      </c>
      <c r="F73" s="7">
        <f t="shared" ca="1" si="13"/>
        <v>3.0342534970917585</v>
      </c>
      <c r="G73" s="7">
        <f t="shared" ca="1" si="14"/>
        <v>-6.3433196388746902</v>
      </c>
    </row>
    <row r="74" spans="1:7" x14ac:dyDescent="0.25">
      <c r="A74" s="11">
        <f t="shared" si="10"/>
        <v>11</v>
      </c>
      <c r="B74" s="9">
        <f t="shared" si="10"/>
        <v>0</v>
      </c>
      <c r="C74" s="9">
        <f t="shared" ca="1" si="10"/>
        <v>0</v>
      </c>
      <c r="D74" s="9">
        <f t="shared" ca="1" si="11"/>
        <v>-10</v>
      </c>
      <c r="E74" s="9">
        <f t="shared" ca="1" si="12"/>
        <v>-14.999999622279303</v>
      </c>
      <c r="F74" s="7">
        <f t="shared" ca="1" si="13"/>
        <v>-13.899443623448217</v>
      </c>
      <c r="G74" s="7">
        <f t="shared" ca="1" si="14"/>
        <v>11.480655714155176</v>
      </c>
    </row>
    <row r="75" spans="1:7" x14ac:dyDescent="0.25">
      <c r="A75" s="11">
        <f t="shared" si="10"/>
        <v>12</v>
      </c>
      <c r="B75" s="9">
        <f t="shared" si="10"/>
        <v>0</v>
      </c>
      <c r="C75" s="9">
        <f t="shared" ca="1" si="10"/>
        <v>0</v>
      </c>
      <c r="D75" s="9">
        <f t="shared" ca="1" si="11"/>
        <v>-10</v>
      </c>
      <c r="E75" s="9">
        <f t="shared" ca="1" si="12"/>
        <v>-14.999999622279303</v>
      </c>
      <c r="F75" s="7">
        <f t="shared" ca="1" si="13"/>
        <v>-13.899443623448217</v>
      </c>
      <c r="G75" s="7">
        <f t="shared" ca="1" si="14"/>
        <v>11.480655714155176</v>
      </c>
    </row>
    <row r="77" spans="1:7" x14ac:dyDescent="0.25">
      <c r="D77" t="s">
        <v>0</v>
      </c>
      <c r="E77" t="s">
        <v>1</v>
      </c>
    </row>
    <row r="78" spans="1:7" x14ac:dyDescent="0.25">
      <c r="A78" s="2" t="s">
        <v>41</v>
      </c>
      <c r="B78" s="4">
        <v>5.7222314234652103</v>
      </c>
      <c r="C78" t="s">
        <v>6</v>
      </c>
      <c r="D78" s="7">
        <f ca="1">MIN(C57:C61)</f>
        <v>-15.943468011107889</v>
      </c>
      <c r="E78" s="7">
        <f ca="1">MAX(D57:D61)-B78</f>
        <v>5.7584242906899661</v>
      </c>
    </row>
    <row r="79" spans="1:7" x14ac:dyDescent="0.25">
      <c r="A79" s="2"/>
      <c r="D79" s="7">
        <f ca="1">MAX(C57:C61)</f>
        <v>15.943468762593602</v>
      </c>
      <c r="E79" s="7">
        <f ca="1">E78</f>
        <v>5.7584242906899661</v>
      </c>
    </row>
    <row r="80" spans="1:7" x14ac:dyDescent="0.25">
      <c r="A80" s="2"/>
    </row>
    <row r="81" spans="1:12" x14ac:dyDescent="0.25">
      <c r="A81" s="2" t="s">
        <v>42</v>
      </c>
      <c r="B81" s="1">
        <f>B78*B4</f>
        <v>4.5777851387721675</v>
      </c>
      <c r="C81" t="s">
        <v>6</v>
      </c>
      <c r="D81" t="s">
        <v>0</v>
      </c>
      <c r="E81" t="s">
        <v>1</v>
      </c>
    </row>
    <row r="82" spans="1:12" x14ac:dyDescent="0.25">
      <c r="D82" s="7">
        <f ca="1">MIN(C57:C61)</f>
        <v>-15.943468011107889</v>
      </c>
      <c r="E82" s="7">
        <f ca="1">MAX(D57:D61)-B81</f>
        <v>6.9028705753830089</v>
      </c>
    </row>
    <row r="83" spans="1:12" x14ac:dyDescent="0.25">
      <c r="D83" s="7">
        <f ca="1">MAX(C57:C61)</f>
        <v>15.943468762593602</v>
      </c>
      <c r="E83" s="7">
        <f ca="1">E82</f>
        <v>6.9028705753830089</v>
      </c>
    </row>
    <row r="84" spans="1:12" x14ac:dyDescent="0.25">
      <c r="A84" t="s">
        <v>47</v>
      </c>
    </row>
    <row r="85" spans="1:12" x14ac:dyDescent="0.25">
      <c r="A85" s="2" t="s">
        <v>55</v>
      </c>
      <c r="B85" s="1">
        <f>0.85*B2</f>
        <v>4.25</v>
      </c>
      <c r="C85" t="s">
        <v>5</v>
      </c>
    </row>
    <row r="87" spans="1:12" x14ac:dyDescent="0.25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5">
      <c r="A88">
        <v>1</v>
      </c>
      <c r="B88" s="7">
        <f t="shared" ref="B88:C91" ca="1" si="15">C57</f>
        <v>-13.899443623448217</v>
      </c>
      <c r="C88" s="7">
        <f t="shared" ca="1" si="15"/>
        <v>11.480655714155176</v>
      </c>
      <c r="D88" s="7">
        <f t="shared" ref="D88:E91" ca="1" si="16">C58</f>
        <v>-15.943468011107889</v>
      </c>
      <c r="E88" s="7">
        <f t="shared" ca="1" si="16"/>
        <v>-8.4146192098727042</v>
      </c>
      <c r="F88" s="1">
        <f ca="1">IF(AND(E88&gt;=E$82,C88&lt;=E$82),1,IF(AND(C88&gt;=E$82,E88&gt;=E$82),3,IF(AND(E88&lt;=E$82,C88&gt;=E$82),2,0)))</f>
        <v>2</v>
      </c>
      <c r="G88" s="1">
        <f ca="1">IF(E88=C88,"H",IF(B88=D88,"V",(E88-C88)/(D88-B88)))</f>
        <v>9.7333843197473762</v>
      </c>
      <c r="H88" s="7">
        <f ca="1">IF(OR(F88=1,F88=2),IF(G88="V",B88,(E$82-C88+(G88*B88))/G88),NA())</f>
        <v>-14.369761550737351</v>
      </c>
      <c r="I88" s="7">
        <f ca="1">IF(OR(F88=1,F88=2),E$82,NA())</f>
        <v>6.9028705753830089</v>
      </c>
      <c r="J88" s="8">
        <f ca="1">IF(F88=0,0,IF(F88=1,-0.5*B$85*(H88+D88)*(I88-E88),IF(F88=2,-0.5*B$85*(B88+H88)*(C88-I88),IF(F88=3,-0.5*B$85*(B88+D88)*(C88-E88),0))))</f>
        <v>274.99698807898693</v>
      </c>
      <c r="K88" s="8">
        <f ca="1">IF(F88=1,(1/6)*B$85*(E88-I88)*((H88*(2*I88+E88))+(D88*(I88+2*E88))),IF(F88=2,(1/6)*B$85*(I88-C88)*((B88*(2*C88+I88))+(H88*(C88+2*I88))),IF(F88=3,(1/6)*B$85*(E88-C88)*((B88*(2*C88+E88))+(D88*(C88+2*E88))),0)))</f>
        <v>2524.2165000321434</v>
      </c>
      <c r="L88" s="8">
        <f ca="1">IF(F88=1,(1/6)*B$85*(POWER(H88,2)+H88*D88+POWER(D88,2))*(E88-I88),IF(F88=2,(1/6)*B$85*(POWER(B88,2)+B88*H88+POWER(H88,2))*(I88-C88),IF(F88=3,(1/6)*B$85*(POWER(B88,2)+B88*D88+POWER(D88,2))*(E88-C88),0)))</f>
        <v>-1943.6658843817233</v>
      </c>
    </row>
    <row r="89" spans="1:12" x14ac:dyDescent="0.25">
      <c r="A89">
        <v>2</v>
      </c>
      <c r="B89" s="7">
        <f t="shared" ca="1" si="15"/>
        <v>-15.943468011107889</v>
      </c>
      <c r="C89" s="7">
        <f t="shared" ca="1" si="15"/>
        <v>-8.4146192098727042</v>
      </c>
      <c r="D89" s="7">
        <f t="shared" ca="1" si="16"/>
        <v>13.89944437493393</v>
      </c>
      <c r="E89" s="7">
        <f t="shared" ca="1" si="16"/>
        <v>-11.480655791362208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-0.10273918784560573</v>
      </c>
      <c r="H89" s="7" t="e">
        <f t="shared" ref="H89:H91" ca="1" si="19">IF(OR(F89=1,F89=2),IF(G89="V",B89,(E$82-C89+(G89*B89))/G89),NA())</f>
        <v>#N/A</v>
      </c>
      <c r="I89" s="7" t="e">
        <f t="shared" ref="I89:I91" ca="1" si="20">IF(OR(F89=1,F89=2),E$82,NA())</f>
        <v>#N/A</v>
      </c>
      <c r="J89" s="8">
        <f t="shared" ref="J89:J91" ca="1" si="21">IF(F89=0,0,IF(F89=1,-0.5*B$85*(H89+D89)*(I89-E89),IF(F89=2,-0.5*B$85*(B89+H89)*(C89-I89),IF(F89=3,-0.5*B$85*(B89+D89)*(C89-E89),0))))</f>
        <v>0</v>
      </c>
      <c r="K89" s="8">
        <f t="shared" ref="K89:K91" ca="1" si="22">IF(F89=1,(1/6)*B$85*(E89-I89)*((H89*(2*I89+E89))+(D89*(I89+2*E89))),IF(F89=2,(1/6)*B$85*(I89-C89)*((B89*(2*C89+I89))+(H89*(C89+2*I89))),IF(F89=3,(1/6)*B$85*(E89-C89)*((B89*(2*C89+E89))+(D89*(C89+2*E89))),0)))</f>
        <v>0</v>
      </c>
      <c r="L89" s="8">
        <f t="shared" ref="L89:L91" ca="1" si="23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5">
      <c r="A90">
        <v>3</v>
      </c>
      <c r="B90" s="7">
        <f t="shared" ca="1" si="15"/>
        <v>13.89944437493393</v>
      </c>
      <c r="C90" s="7">
        <f t="shared" ca="1" si="15"/>
        <v>-11.480655791362208</v>
      </c>
      <c r="D90" s="7">
        <f t="shared" ca="1" si="16"/>
        <v>15.943468762593602</v>
      </c>
      <c r="E90" s="7">
        <f t="shared" ca="1" si="16"/>
        <v>8.4146191326656723</v>
      </c>
      <c r="F90" s="1">
        <f t="shared" ca="1" si="17"/>
        <v>1</v>
      </c>
      <c r="G90" s="1">
        <f t="shared" ca="1" si="18"/>
        <v>9.7333843197473762</v>
      </c>
      <c r="H90" s="7">
        <f t="shared" ca="1" si="19"/>
        <v>15.788152943591616</v>
      </c>
      <c r="I90" s="7">
        <f t="shared" ca="1" si="20"/>
        <v>6.9028705753830089</v>
      </c>
      <c r="J90" s="8">
        <f t="shared" ca="1" si="21"/>
        <v>101.93674583595009</v>
      </c>
      <c r="K90" s="8">
        <f t="shared" ca="1" si="22"/>
        <v>780.83324127581693</v>
      </c>
      <c r="L90" s="8">
        <f t="shared" ca="1" si="23"/>
        <v>808.66102206659389</v>
      </c>
    </row>
    <row r="91" spans="1:12" ht="15.75" thickBot="1" x14ac:dyDescent="0.3">
      <c r="A91">
        <v>4</v>
      </c>
      <c r="B91" s="7">
        <f t="shared" ca="1" si="15"/>
        <v>15.943468762593602</v>
      </c>
      <c r="C91" s="7">
        <f t="shared" ca="1" si="15"/>
        <v>8.4146191326656723</v>
      </c>
      <c r="D91" s="7">
        <f t="shared" ca="1" si="16"/>
        <v>-13.899443623448217</v>
      </c>
      <c r="E91" s="7">
        <f t="shared" ca="1" si="16"/>
        <v>11.480655714155176</v>
      </c>
      <c r="F91" s="1">
        <f t="shared" ca="1" si="17"/>
        <v>3</v>
      </c>
      <c r="G91" s="1">
        <f t="shared" ca="1" si="18"/>
        <v>-0.10273918784560573</v>
      </c>
      <c r="H91" s="7" t="e">
        <f t="shared" ca="1" si="19"/>
        <v>#N/A</v>
      </c>
      <c r="I91" s="7" t="e">
        <f t="shared" ca="1" si="20"/>
        <v>#N/A</v>
      </c>
      <c r="J91" s="29">
        <f t="shared" ca="1" si="21"/>
        <v>13.317493681470834</v>
      </c>
      <c r="K91" s="29">
        <f t="shared" ca="1" si="22"/>
        <v>33.119435776416999</v>
      </c>
      <c r="L91" s="29">
        <f t="shared" ca="1" si="23"/>
        <v>490.35091467006231</v>
      </c>
    </row>
    <row r="92" spans="1:12" ht="15.75" thickTop="1" x14ac:dyDescent="0.25">
      <c r="B92" s="1"/>
      <c r="C92" s="1"/>
      <c r="D92" s="1"/>
      <c r="E92" s="1"/>
      <c r="F92" s="1"/>
      <c r="G92" s="1"/>
      <c r="H92" s="1"/>
      <c r="I92" s="1"/>
      <c r="J92" s="8">
        <f ca="1">SUM(J88:J91)</f>
        <v>390.25122759640783</v>
      </c>
      <c r="K92" s="8">
        <f ca="1">SUM(K88:K91)</f>
        <v>3338.1691770843772</v>
      </c>
      <c r="L92" s="8">
        <f ca="1">SUM(L88:L91)*-1</f>
        <v>644.65394764506709</v>
      </c>
    </row>
    <row r="95" spans="1:12" x14ac:dyDescent="0.25">
      <c r="A95" t="s">
        <v>56</v>
      </c>
    </row>
    <row r="96" spans="1:12" x14ac:dyDescent="0.25">
      <c r="A96" s="2" t="s">
        <v>58</v>
      </c>
      <c r="B96" s="1">
        <v>3.0000000000000001E-3</v>
      </c>
    </row>
    <row r="97" spans="1:10" x14ac:dyDescent="0.25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10" x14ac:dyDescent="0.25">
      <c r="A98" s="11">
        <f>A64</f>
        <v>1</v>
      </c>
      <c r="B98" s="10">
        <f ca="1">C13</f>
        <v>1.27</v>
      </c>
      <c r="C98">
        <f t="shared" ca="1" si="24"/>
        <v>-10.329193516174577</v>
      </c>
      <c r="D98">
        <f t="shared" ca="1" si="25"/>
        <v>7.0927958518176668</v>
      </c>
      <c r="E98" s="10">
        <f ca="1">G$58-D98</f>
        <v>4.3878598623375096</v>
      </c>
      <c r="F98" s="14">
        <f ca="1">IF(B98=0,0,((B$78-E98)/B$78)*B$96)</f>
        <v>6.9957231491328553E-4</v>
      </c>
      <c r="G98" s="7">
        <f ca="1">IF(AND(F98&gt;0,E98&lt;=B$81),MIN((F98*B$11),B$10)-B$85,MAX(F98*B$11,-1*B$10))</f>
        <v>16.737169447398564</v>
      </c>
      <c r="H98" s="7">
        <f ca="1">G98*B98</f>
        <v>21.256205198196177</v>
      </c>
      <c r="I98" s="7">
        <f ca="1">H98*D98</f>
        <v>150.76592405515098</v>
      </c>
      <c r="J98" s="7">
        <f ca="1">H98*C98</f>
        <v>-219.55945691168429</v>
      </c>
    </row>
    <row r="99" spans="1:10" x14ac:dyDescent="0.25">
      <c r="A99" s="11">
        <f t="shared" ref="A99:A108" si="26">A65</f>
        <v>2</v>
      </c>
      <c r="B99" s="10">
        <f t="shared" ref="B99:B109" ca="1" si="27">C14</f>
        <v>1.27</v>
      </c>
      <c r="C99">
        <f t="shared" ca="1" si="24"/>
        <v>-11.555608148770379</v>
      </c>
      <c r="D99">
        <f t="shared" ca="1" si="25"/>
        <v>-4.8443691025990612</v>
      </c>
      <c r="E99" s="10">
        <f t="shared" ref="E99:E109" ca="1" si="28">G$58-D99</f>
        <v>16.325024816754237</v>
      </c>
      <c r="F99" s="14">
        <f t="shared" ref="F99:F109" ca="1" si="29">IF(B99=0,0,((B$78-E99)/B$78)*B$96)</f>
        <v>-5.5587371124890443E-3</v>
      </c>
      <c r="G99" s="7">
        <f t="shared" ref="G99:G109" ca="1" si="30">IF(AND(F99&gt;0,E99&lt;=B$81),MIN((F99*B$11),B$10)-B$85,MAX(F99*B$11,-1*B$10))</f>
        <v>-60</v>
      </c>
      <c r="H99" s="7">
        <f t="shared" ref="H99:H109" ca="1" si="31">G99*B99</f>
        <v>-76.2</v>
      </c>
      <c r="I99" s="7">
        <f t="shared" ref="I99:I109" ca="1" si="32">H99*D99</f>
        <v>369.14092561804847</v>
      </c>
      <c r="J99" s="7">
        <f t="shared" ref="J99:J109" ca="1" si="33">H99*C99</f>
        <v>880.53734093630283</v>
      </c>
    </row>
    <row r="100" spans="1:10" x14ac:dyDescent="0.25">
      <c r="A100" s="11">
        <f t="shared" si="26"/>
        <v>3</v>
      </c>
      <c r="B100" s="10">
        <f t="shared" ca="1" si="27"/>
        <v>1.27</v>
      </c>
      <c r="C100">
        <f t="shared" ca="1" si="24"/>
        <v>10.329194267660288</v>
      </c>
      <c r="D100">
        <f t="shared" ca="1" si="25"/>
        <v>-7.0927959290246987</v>
      </c>
      <c r="E100" s="10">
        <f t="shared" ca="1" si="28"/>
        <v>18.573451643179876</v>
      </c>
      <c r="F100" s="14">
        <f t="shared" ca="1" si="29"/>
        <v>-6.7375220968950373E-3</v>
      </c>
      <c r="G100" s="7">
        <f t="shared" ca="1" si="30"/>
        <v>-60</v>
      </c>
      <c r="H100" s="7">
        <f t="shared" ca="1" si="31"/>
        <v>-76.2</v>
      </c>
      <c r="I100" s="7">
        <f t="shared" ca="1" si="32"/>
        <v>540.47104979168205</v>
      </c>
      <c r="J100" s="7">
        <f t="shared" ca="1" si="33"/>
        <v>-787.08460319571395</v>
      </c>
    </row>
    <row r="101" spans="1:10" x14ac:dyDescent="0.25">
      <c r="A101" s="11">
        <f t="shared" si="26"/>
        <v>4</v>
      </c>
      <c r="B101" s="10">
        <f t="shared" ca="1" si="27"/>
        <v>1.27</v>
      </c>
      <c r="C101">
        <f t="shared" ca="1" si="24"/>
        <v>10.942401583958189</v>
      </c>
      <c r="D101">
        <f t="shared" ca="1" si="25"/>
        <v>-1.1242134518163345</v>
      </c>
      <c r="E101" s="10">
        <f t="shared" ca="1" si="28"/>
        <v>12.604869165971511</v>
      </c>
      <c r="F101" s="14">
        <f t="shared" ca="1" si="29"/>
        <v>-3.6083673831938715E-3</v>
      </c>
      <c r="G101" s="7">
        <f t="shared" ca="1" si="30"/>
        <v>-60</v>
      </c>
      <c r="H101" s="7">
        <f t="shared" ca="1" si="31"/>
        <v>-76.2</v>
      </c>
      <c r="I101" s="7">
        <f t="shared" ca="1" si="32"/>
        <v>85.665065028404683</v>
      </c>
      <c r="J101" s="7">
        <f t="shared" ca="1" si="33"/>
        <v>-833.81100069761396</v>
      </c>
    </row>
    <row r="102" spans="1:10" x14ac:dyDescent="0.25">
      <c r="A102" s="11">
        <f t="shared" si="26"/>
        <v>5</v>
      </c>
      <c r="B102" s="10">
        <f t="shared" ca="1" si="27"/>
        <v>1.27</v>
      </c>
      <c r="C102">
        <f t="shared" ca="1" si="24"/>
        <v>11.55560890025609</v>
      </c>
      <c r="D102">
        <f t="shared" ca="1" si="25"/>
        <v>4.8443690253920293</v>
      </c>
      <c r="E102" s="10">
        <f t="shared" ca="1" si="28"/>
        <v>6.6362866887631471</v>
      </c>
      <c r="F102" s="14">
        <f t="shared" ca="1" si="29"/>
        <v>-4.7921266949270598E-4</v>
      </c>
      <c r="G102" s="7">
        <f t="shared" ca="1" si="30"/>
        <v>-14.376380084781179</v>
      </c>
      <c r="H102" s="7">
        <f t="shared" ca="1" si="31"/>
        <v>-18.258002707672098</v>
      </c>
      <c r="I102" s="7">
        <f t="shared" ca="1" si="32"/>
        <v>-88.448502782570515</v>
      </c>
      <c r="J102" s="7">
        <f t="shared" ca="1" si="33"/>
        <v>-210.98233858967549</v>
      </c>
    </row>
    <row r="103" spans="1:10" x14ac:dyDescent="0.25">
      <c r="A103" s="11">
        <f t="shared" si="26"/>
        <v>6</v>
      </c>
      <c r="B103" s="10">
        <f t="shared" ca="1" si="27"/>
        <v>1.27</v>
      </c>
      <c r="C103">
        <f t="shared" ca="1" si="24"/>
        <v>-10.942400832472478</v>
      </c>
      <c r="D103">
        <f t="shared" ca="1" si="25"/>
        <v>1.1242133746093028</v>
      </c>
      <c r="E103" s="10">
        <f t="shared" ca="1" si="28"/>
        <v>10.356442339545874</v>
      </c>
      <c r="F103" s="14">
        <f t="shared" ca="1" si="29"/>
        <v>-2.4295823987878799E-3</v>
      </c>
      <c r="G103" s="7">
        <f t="shared" ca="1" si="30"/>
        <v>-60</v>
      </c>
      <c r="H103" s="7">
        <f t="shared" ca="1" si="31"/>
        <v>-76.2</v>
      </c>
      <c r="I103" s="7">
        <f t="shared" ca="1" si="32"/>
        <v>-85.665059145228881</v>
      </c>
      <c r="J103" s="7">
        <f t="shared" ca="1" si="33"/>
        <v>833.81094343440282</v>
      </c>
    </row>
    <row r="104" spans="1:10" x14ac:dyDescent="0.25">
      <c r="A104" s="11">
        <f t="shared" si="26"/>
        <v>7</v>
      </c>
      <c r="B104" s="10">
        <f t="shared" ca="1" si="27"/>
        <v>1.27</v>
      </c>
      <c r="C104">
        <f t="shared" ca="1" si="24"/>
        <v>-3.0342626932435079</v>
      </c>
      <c r="D104">
        <f t="shared" ca="1" si="25"/>
        <v>6.3433205836798523</v>
      </c>
      <c r="E104" s="10">
        <f t="shared" ca="1" si="28"/>
        <v>5.1373351304753241</v>
      </c>
      <c r="F104" s="14">
        <f t="shared" ca="1" si="29"/>
        <v>3.0664416538174054E-4</v>
      </c>
      <c r="G104" s="7">
        <f t="shared" ca="1" si="30"/>
        <v>9.1993249614522163</v>
      </c>
      <c r="H104" s="7">
        <f t="shared" ca="1" si="31"/>
        <v>11.683142701044314</v>
      </c>
      <c r="I104" s="7">
        <f t="shared" ca="1" si="32"/>
        <v>74.109919577603421</v>
      </c>
      <c r="J104" s="7">
        <f t="shared" ca="1" si="33"/>
        <v>-35.449724037618957</v>
      </c>
    </row>
    <row r="105" spans="1:10" x14ac:dyDescent="0.25">
      <c r="A105" s="11">
        <f t="shared" si="26"/>
        <v>8</v>
      </c>
      <c r="B105" s="10">
        <f t="shared" ca="1" si="27"/>
        <v>1.27</v>
      </c>
      <c r="C105">
        <f t="shared" ca="1" si="24"/>
        <v>4.2606681296875601</v>
      </c>
      <c r="D105">
        <f t="shared" ca="1" si="25"/>
        <v>5.5938453155420378</v>
      </c>
      <c r="E105" s="10">
        <f t="shared" ca="1" si="28"/>
        <v>5.8868103986131386</v>
      </c>
      <c r="F105" s="14">
        <f t="shared" ca="1" si="29"/>
        <v>-8.6283984149804403E-5</v>
      </c>
      <c r="G105" s="7">
        <f t="shared" ca="1" si="30"/>
        <v>-2.5885195244941319</v>
      </c>
      <c r="H105" s="7">
        <f t="shared" ca="1" si="31"/>
        <v>-3.2874197961075478</v>
      </c>
      <c r="I105" s="7">
        <f t="shared" ca="1" si="32"/>
        <v>-18.389317826676368</v>
      </c>
      <c r="J105" s="7">
        <f t="shared" ca="1" si="33"/>
        <v>-14.006604754179406</v>
      </c>
    </row>
    <row r="106" spans="1:10" x14ac:dyDescent="0.25">
      <c r="A106" s="11">
        <f t="shared" si="26"/>
        <v>9</v>
      </c>
      <c r="B106" s="10">
        <f t="shared" ca="1" si="27"/>
        <v>1.27</v>
      </c>
      <c r="C106">
        <f t="shared" ca="1" si="24"/>
        <v>-4.2606773258393105</v>
      </c>
      <c r="D106">
        <f t="shared" ca="1" si="25"/>
        <v>-5.5938443707368757</v>
      </c>
      <c r="E106" s="10">
        <f t="shared" ca="1" si="28"/>
        <v>17.074500084892051</v>
      </c>
      <c r="F106" s="14">
        <f t="shared" ca="1" si="29"/>
        <v>-5.9516652620205902E-3</v>
      </c>
      <c r="G106" s="7">
        <f t="shared" ca="1" si="30"/>
        <v>-60</v>
      </c>
      <c r="H106" s="7">
        <f t="shared" ca="1" si="31"/>
        <v>-76.2</v>
      </c>
      <c r="I106" s="7">
        <f t="shared" ca="1" si="32"/>
        <v>426.25094105014995</v>
      </c>
      <c r="J106" s="7">
        <f t="shared" ca="1" si="33"/>
        <v>324.66361222895546</v>
      </c>
    </row>
    <row r="107" spans="1:10" x14ac:dyDescent="0.25">
      <c r="A107" s="11">
        <f t="shared" si="26"/>
        <v>10</v>
      </c>
      <c r="B107" s="10">
        <f t="shared" ca="1" si="27"/>
        <v>1.27</v>
      </c>
      <c r="C107">
        <f t="shared" ca="1" si="24"/>
        <v>3.0342534970917585</v>
      </c>
      <c r="D107">
        <f t="shared" ca="1" si="25"/>
        <v>-6.3433196388746902</v>
      </c>
      <c r="E107" s="10">
        <f t="shared" ca="1" si="28"/>
        <v>17.823975353029866</v>
      </c>
      <c r="F107" s="14">
        <f t="shared" ca="1" si="29"/>
        <v>-6.3445934115521352E-3</v>
      </c>
      <c r="G107" s="7">
        <f t="shared" ca="1" si="30"/>
        <v>-60</v>
      </c>
      <c r="H107" s="7">
        <f t="shared" ca="1" si="31"/>
        <v>-76.2</v>
      </c>
      <c r="I107" s="7">
        <f t="shared" ca="1" si="32"/>
        <v>483.36095648225142</v>
      </c>
      <c r="J107" s="7">
        <f t="shared" ca="1" si="33"/>
        <v>-231.210116478392</v>
      </c>
    </row>
    <row r="108" spans="1:10" x14ac:dyDescent="0.25">
      <c r="A108" s="11">
        <f t="shared" si="26"/>
        <v>11</v>
      </c>
      <c r="B108" s="10">
        <f t="shared" ca="1" si="27"/>
        <v>0</v>
      </c>
      <c r="C108">
        <f t="shared" ca="1" si="24"/>
        <v>-13.899443623448217</v>
      </c>
      <c r="D108">
        <f t="shared" ca="1" si="25"/>
        <v>11.480655714155176</v>
      </c>
      <c r="E108" s="10">
        <f t="shared" ca="1" si="28"/>
        <v>0</v>
      </c>
      <c r="F108" s="14">
        <f t="shared" ca="1" si="29"/>
        <v>0</v>
      </c>
      <c r="G108" s="7">
        <f t="shared" ca="1" si="30"/>
        <v>0</v>
      </c>
      <c r="H108" s="7">
        <f t="shared" ca="1" si="31"/>
        <v>0</v>
      </c>
      <c r="I108" s="7">
        <f t="shared" ca="1" si="32"/>
        <v>0</v>
      </c>
      <c r="J108" s="7">
        <f t="shared" ca="1" si="33"/>
        <v>0</v>
      </c>
    </row>
    <row r="109" spans="1:10" ht="15.75" thickBot="1" x14ac:dyDescent="0.3">
      <c r="A109" s="11">
        <f>A75</f>
        <v>12</v>
      </c>
      <c r="B109" s="10">
        <f t="shared" ca="1" si="27"/>
        <v>0</v>
      </c>
      <c r="C109">
        <f t="shared" ca="1" si="24"/>
        <v>-13.899443623448217</v>
      </c>
      <c r="D109">
        <f t="shared" ca="1" si="25"/>
        <v>11.480655714155176</v>
      </c>
      <c r="E109" s="10">
        <f t="shared" ca="1" si="28"/>
        <v>0</v>
      </c>
      <c r="F109" s="28">
        <f t="shared" ca="1" si="29"/>
        <v>0</v>
      </c>
      <c r="G109" s="7">
        <f t="shared" ca="1" si="30"/>
        <v>0</v>
      </c>
      <c r="H109" s="27">
        <f t="shared" ca="1" si="31"/>
        <v>0</v>
      </c>
      <c r="I109" s="27">
        <f t="shared" ca="1" si="32"/>
        <v>0</v>
      </c>
      <c r="J109" s="27">
        <f t="shared" ca="1" si="33"/>
        <v>0</v>
      </c>
    </row>
    <row r="110" spans="1:10" ht="15.75" thickTop="1" x14ac:dyDescent="0.25">
      <c r="F110" s="14">
        <f ca="1">MIN(F98:F109)</f>
        <v>-6.7375220968950373E-3</v>
      </c>
      <c r="H110" s="7">
        <f ca="1">SUM(H98:H109)</f>
        <v>-445.80607460453916</v>
      </c>
      <c r="I110" s="7">
        <f ca="1">SUM(I98:I109)</f>
        <v>1937.2619018488149</v>
      </c>
      <c r="J110" s="7">
        <f ca="1">SUM(J98:J109)*-1</f>
        <v>293.09194806521691</v>
      </c>
    </row>
    <row r="113" spans="1:26" x14ac:dyDescent="0.25">
      <c r="A113" s="2" t="s">
        <v>67</v>
      </c>
      <c r="B113" s="37">
        <f ca="1">J92+H110</f>
        <v>-55.554847008131333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0.9</v>
      </c>
    </row>
    <row r="114" spans="1:26" x14ac:dyDescent="0.25">
      <c r="A114" s="2" t="s">
        <v>69</v>
      </c>
      <c r="B114" s="7">
        <f ca="1">(((K92+I110)*COS(RADIANS(B53)))+((L92+J110)*SIN(RADIANS(B53))))</f>
        <v>-1471.9911092396044</v>
      </c>
      <c r="C114" t="s">
        <v>23</v>
      </c>
      <c r="D114" s="7">
        <f ca="1">(B113*(E49-H7))</f>
        <v>2.0984215555112108E-5</v>
      </c>
      <c r="E114" t="s">
        <v>23</v>
      </c>
      <c r="F114" s="7">
        <f ca="1">B114+D114</f>
        <v>-1471.9910882553888</v>
      </c>
      <c r="G114" s="13" t="str">
        <f>"= Mnx,gc"</f>
        <v>= Mnx,gc</v>
      </c>
      <c r="H114" s="7">
        <f ca="1">F114/12</f>
        <v>-122.66592402128241</v>
      </c>
      <c r="I114" t="s">
        <v>72</v>
      </c>
      <c r="J114" s="34">
        <f ca="1">H114*J113</f>
        <v>-110.39933161915417</v>
      </c>
      <c r="K114" t="s">
        <v>72</v>
      </c>
    </row>
    <row r="115" spans="1:26" x14ac:dyDescent="0.25">
      <c r="A115" s="2" t="s">
        <v>70</v>
      </c>
      <c r="B115" s="7">
        <f ca="1">(-1*(K92+I110)*SIN(RADIANS(B53)))+((L92+J110)*COS(RADIANS(B53)))</f>
        <v>5151.9688088938647</v>
      </c>
      <c r="C115" t="s">
        <v>23</v>
      </c>
      <c r="D115" s="1">
        <f ca="1">-1*B113*(D49-G7)</f>
        <v>0</v>
      </c>
      <c r="E115" t="s">
        <v>23</v>
      </c>
      <c r="F115" s="7">
        <f ca="1">B115+D115</f>
        <v>5151.9688088938647</v>
      </c>
      <c r="G115" s="13" t="str">
        <f>"= Mny,gc"</f>
        <v>= Mny,gc</v>
      </c>
      <c r="H115" s="7">
        <f ca="1">F115/12</f>
        <v>429.3307340744887</v>
      </c>
      <c r="I115" t="s">
        <v>72</v>
      </c>
      <c r="J115" s="34">
        <f ca="1">H115*J113</f>
        <v>386.39766066703982</v>
      </c>
      <c r="K115" t="s">
        <v>72</v>
      </c>
      <c r="M115" t="s">
        <v>79</v>
      </c>
      <c r="N115" s="12">
        <f ca="1">DEGREES(ATAN2(J114,J115))</f>
        <v>105.94539590092285</v>
      </c>
    </row>
    <row r="116" spans="1:26" x14ac:dyDescent="0.25">
      <c r="J116" s="36">
        <f ca="1">B113*J113</f>
        <v>-49.999362307318201</v>
      </c>
      <c r="K116" t="s">
        <v>20</v>
      </c>
    </row>
    <row r="117" spans="1:26" x14ac:dyDescent="0.25">
      <c r="A117" s="26" t="s">
        <v>74</v>
      </c>
      <c r="I117" t="s">
        <v>83</v>
      </c>
      <c r="J117" s="1">
        <f ca="1">0.65*((0.85*B2*B5*B6)+((B10-0.85*B2)*SUM(C13:C24)))*0.8</f>
        <v>1694.173</v>
      </c>
      <c r="K117" t="s">
        <v>20</v>
      </c>
    </row>
    <row r="118" spans="1:26" x14ac:dyDescent="0.25">
      <c r="A118" s="2" t="s">
        <v>75</v>
      </c>
      <c r="B118" s="4">
        <v>-50</v>
      </c>
      <c r="C118" t="s">
        <v>20</v>
      </c>
      <c r="I118" t="s">
        <v>84</v>
      </c>
      <c r="J118" s="1">
        <f ca="1">-1*0.9*B10*SUM(C13:C24)</f>
        <v>-685.79999999999984</v>
      </c>
      <c r="K118" t="s">
        <v>20</v>
      </c>
    </row>
    <row r="119" spans="1:26" x14ac:dyDescent="0.25">
      <c r="A119" s="2" t="s">
        <v>76</v>
      </c>
      <c r="B119" s="4">
        <v>-100</v>
      </c>
      <c r="C119" t="s">
        <v>72</v>
      </c>
      <c r="G119" s="2" t="s">
        <v>80</v>
      </c>
      <c r="H119" s="35">
        <v>100</v>
      </c>
    </row>
    <row r="120" spans="1:26" x14ac:dyDescent="0.25">
      <c r="A120" s="2" t="s">
        <v>77</v>
      </c>
      <c r="B120" s="4">
        <v>350</v>
      </c>
      <c r="C120" t="s">
        <v>72</v>
      </c>
      <c r="D120">
        <f>B118</f>
        <v>-50</v>
      </c>
      <c r="E120">
        <f>SQRT((B119*B119)+(B120*B120))</f>
        <v>364.0054944640259</v>
      </c>
      <c r="G120" s="2" t="s">
        <v>81</v>
      </c>
      <c r="H120" s="1">
        <v>101</v>
      </c>
    </row>
    <row r="121" spans="1:26" x14ac:dyDescent="0.25">
      <c r="A121" s="2" t="s">
        <v>78</v>
      </c>
      <c r="B121" s="15">
        <f>DEGREES(ATAN2(B119,B120))</f>
        <v>105.94539590092285</v>
      </c>
    </row>
    <row r="122" spans="1:26" x14ac:dyDescent="0.25">
      <c r="Q122">
        <f>D120</f>
        <v>-50</v>
      </c>
      <c r="R122">
        <f>E120</f>
        <v>364.0054944640259</v>
      </c>
    </row>
    <row r="123" spans="1:26" x14ac:dyDescent="0.25">
      <c r="A123" s="17"/>
      <c r="B123" s="18"/>
      <c r="C123" s="18"/>
      <c r="D123" s="18"/>
      <c r="E123" s="18"/>
      <c r="F123" s="18"/>
      <c r="G123" s="18"/>
      <c r="H123" s="18"/>
      <c r="I123" s="18"/>
      <c r="Q123">
        <f>B118</f>
        <v>-50</v>
      </c>
      <c r="R123">
        <f ca="1">SQRT((J114*J114)+(J115*J115))</f>
        <v>401.85963294528204</v>
      </c>
    </row>
    <row r="124" spans="1:26" x14ac:dyDescent="0.25">
      <c r="A124" s="19"/>
      <c r="B124" s="18"/>
      <c r="C124" s="18"/>
      <c r="D124" s="18"/>
      <c r="E124" s="18"/>
      <c r="F124" s="18"/>
      <c r="G124" s="18"/>
      <c r="H124" s="20">
        <v>0</v>
      </c>
      <c r="I124" s="38">
        <v>0</v>
      </c>
      <c r="J124" s="18"/>
      <c r="K124" s="18"/>
      <c r="L124" s="16"/>
      <c r="M124" s="18"/>
      <c r="N124" s="18"/>
    </row>
    <row r="125" spans="1:26" x14ac:dyDescent="0.25">
      <c r="A125" s="19"/>
      <c r="B125" s="25"/>
      <c r="C125" s="18"/>
      <c r="D125" s="19"/>
      <c r="E125" s="20"/>
      <c r="F125" s="20"/>
      <c r="G125" s="19"/>
      <c r="H125" s="25">
        <f ca="1">J114</f>
        <v>-110.39933161915417</v>
      </c>
      <c r="I125" s="5">
        <f ca="1">J115</f>
        <v>386.39766066703982</v>
      </c>
      <c r="J125" s="19"/>
      <c r="K125" s="20"/>
      <c r="L125" s="16"/>
      <c r="M125" s="19"/>
      <c r="N125" s="20"/>
    </row>
    <row r="126" spans="1:26" x14ac:dyDescent="0.25">
      <c r="A126" s="19"/>
      <c r="B126" s="21"/>
      <c r="C126" s="20"/>
      <c r="D126" s="19"/>
      <c r="E126" s="25"/>
      <c r="F126" s="18"/>
      <c r="G126" s="19"/>
      <c r="H126" s="20"/>
      <c r="I126" s="16"/>
      <c r="J126" s="19"/>
      <c r="K126" s="20"/>
      <c r="L126" s="16"/>
      <c r="M126" s="19"/>
      <c r="N126" s="20"/>
    </row>
    <row r="127" spans="1:26" x14ac:dyDescent="0.25">
      <c r="A127" s="19"/>
      <c r="B127" s="20"/>
      <c r="C127" s="21"/>
      <c r="D127" s="19"/>
      <c r="E127" s="20"/>
      <c r="F127" s="18"/>
      <c r="G127" s="19"/>
      <c r="H127" s="20"/>
      <c r="I127" s="16"/>
      <c r="J127" s="19"/>
      <c r="K127" s="20"/>
      <c r="L127" s="16"/>
      <c r="M127" s="19"/>
      <c r="N127" s="20"/>
      <c r="Q127" s="2" t="s">
        <v>86</v>
      </c>
      <c r="R127">
        <v>75</v>
      </c>
      <c r="V127">
        <v>0</v>
      </c>
      <c r="W127">
        <v>0</v>
      </c>
      <c r="Y127">
        <v>936.60728553527588</v>
      </c>
      <c r="Z127">
        <v>-22797095.37958568</v>
      </c>
    </row>
    <row r="128" spans="1:26" x14ac:dyDescent="0.25">
      <c r="A128" s="19" t="s">
        <v>85</v>
      </c>
      <c r="B128" s="20" t="s">
        <v>76</v>
      </c>
      <c r="C128" s="21" t="s">
        <v>77</v>
      </c>
      <c r="D128" s="19"/>
      <c r="E128" s="20"/>
      <c r="F128" s="18"/>
      <c r="G128" s="19"/>
      <c r="H128" s="20"/>
      <c r="I128" s="16"/>
      <c r="J128" s="19"/>
      <c r="K128" s="20"/>
      <c r="L128" s="16"/>
      <c r="M128" s="19"/>
      <c r="N128" s="20"/>
      <c r="Q128" t="s">
        <v>75</v>
      </c>
      <c r="R128" t="s">
        <v>49</v>
      </c>
      <c r="V128">
        <v>-2.4317614588653669E-6</v>
      </c>
      <c r="W128">
        <v>-5.7127635955112055E-7</v>
      </c>
      <c r="Y128">
        <v>338.87028815642947</v>
      </c>
      <c r="Z128">
        <v>-52044671.57310798</v>
      </c>
    </row>
    <row r="129" spans="1:19" x14ac:dyDescent="0.25">
      <c r="A129" s="18">
        <v>0</v>
      </c>
      <c r="B129" s="20">
        <v>632.70573004696018</v>
      </c>
      <c r="C129" s="18">
        <v>0</v>
      </c>
      <c r="D129" s="19"/>
      <c r="E129" s="20"/>
      <c r="F129" s="18"/>
      <c r="G129" s="19"/>
      <c r="H129" s="20"/>
      <c r="I129" s="16"/>
      <c r="J129" s="19"/>
      <c r="K129" s="20"/>
      <c r="L129" s="16"/>
      <c r="M129" s="19"/>
      <c r="N129" s="20"/>
      <c r="Q129">
        <f ca="1">J118</f>
        <v>-685.79999999999984</v>
      </c>
      <c r="R129">
        <v>0</v>
      </c>
    </row>
    <row r="130" spans="1:19" x14ac:dyDescent="0.25">
      <c r="A130" s="19">
        <v>-1</v>
      </c>
      <c r="B130" s="20">
        <v>632.63735605509953</v>
      </c>
      <c r="C130" s="18">
        <v>5.5144190167259071</v>
      </c>
      <c r="D130" s="19"/>
      <c r="E130" s="20"/>
      <c r="F130" s="18"/>
      <c r="G130" s="19"/>
      <c r="H130" s="20"/>
      <c r="I130" s="16"/>
      <c r="J130" s="19"/>
      <c r="K130" s="20"/>
      <c r="L130" s="16"/>
      <c r="M130" s="19"/>
      <c r="N130" s="20"/>
      <c r="P130">
        <v>1</v>
      </c>
      <c r="Q130">
        <v>-680.79999999999984</v>
      </c>
      <c r="R130" t="e">
        <v>#N/A</v>
      </c>
      <c r="S130">
        <v>0</v>
      </c>
    </row>
    <row r="131" spans="1:19" x14ac:dyDescent="0.25">
      <c r="A131" s="19">
        <v>-2</v>
      </c>
      <c r="B131" s="20">
        <v>632.50508394702285</v>
      </c>
      <c r="C131" s="18">
        <v>10.898348879476128</v>
      </c>
      <c r="D131" s="18"/>
      <c r="E131" s="18"/>
      <c r="F131" s="18"/>
      <c r="G131" s="18"/>
      <c r="H131" s="18"/>
      <c r="I131" s="18"/>
      <c r="P131">
        <v>2</v>
      </c>
      <c r="Q131">
        <v>-649.13369333333321</v>
      </c>
      <c r="R131" t="e">
        <v>#N/A</v>
      </c>
      <c r="S131">
        <v>0</v>
      </c>
    </row>
    <row r="132" spans="1:19" x14ac:dyDescent="0.25">
      <c r="A132" s="18">
        <v>-3</v>
      </c>
      <c r="B132" s="18">
        <v>632.30883333380632</v>
      </c>
      <c r="C132" s="18">
        <v>16.169504276156353</v>
      </c>
      <c r="D132" s="18"/>
      <c r="E132" s="18"/>
      <c r="F132" s="18"/>
      <c r="G132" s="18"/>
      <c r="H132" s="18"/>
      <c r="I132" s="18"/>
      <c r="P132">
        <v>3</v>
      </c>
      <c r="Q132">
        <v>-617.46738666666658</v>
      </c>
      <c r="R132" t="e">
        <v>#N/A</v>
      </c>
      <c r="S132">
        <v>89.942704239585552</v>
      </c>
    </row>
    <row r="133" spans="1:19" x14ac:dyDescent="0.25">
      <c r="A133" s="18">
        <v>-4</v>
      </c>
      <c r="B133" s="18">
        <v>632.04814317748719</v>
      </c>
      <c r="C133" s="18">
        <v>21.343287827868018</v>
      </c>
      <c r="D133" s="18"/>
      <c r="E133" s="18"/>
      <c r="F133" s="18"/>
      <c r="G133" s="18"/>
      <c r="H133" s="18"/>
      <c r="I133" s="18"/>
      <c r="P133">
        <v>4</v>
      </c>
      <c r="Q133">
        <v>-585.80107999999996</v>
      </c>
      <c r="R133">
        <v>82.518119719049963</v>
      </c>
      <c r="S133">
        <v>105.9453959009206</v>
      </c>
    </row>
    <row r="134" spans="1:19" x14ac:dyDescent="0.25">
      <c r="A134" s="19">
        <v>-5</v>
      </c>
      <c r="B134" s="20">
        <v>631.72236264592254</v>
      </c>
      <c r="C134" s="21">
        <v>26.433220861581699</v>
      </c>
      <c r="D134" s="21"/>
      <c r="E134" s="18"/>
      <c r="F134" s="18"/>
      <c r="G134" s="18"/>
      <c r="H134" s="18"/>
      <c r="I134" s="18"/>
      <c r="P134">
        <v>5</v>
      </c>
      <c r="Q134">
        <v>-554.13477333333333</v>
      </c>
      <c r="R134">
        <v>106.939142036109</v>
      </c>
      <c r="S134">
        <v>105.94539590091635</v>
      </c>
    </row>
    <row r="135" spans="1:19" x14ac:dyDescent="0.25">
      <c r="A135" s="19">
        <v>-6</v>
      </c>
      <c r="B135" s="20">
        <v>631.37633848511405</v>
      </c>
      <c r="C135" s="21">
        <v>29.19817129071253</v>
      </c>
      <c r="D135" s="21"/>
      <c r="E135" s="18"/>
      <c r="F135" s="18"/>
      <c r="G135" s="18"/>
      <c r="H135" s="18"/>
      <c r="I135" s="18"/>
      <c r="P135">
        <v>6</v>
      </c>
      <c r="Q135">
        <v>-522.4684666666667</v>
      </c>
      <c r="R135">
        <v>129.81968374076214</v>
      </c>
      <c r="S135">
        <v>105.94539590092283</v>
      </c>
    </row>
    <row r="136" spans="1:19" x14ac:dyDescent="0.25">
      <c r="A136" s="18">
        <v>-7</v>
      </c>
      <c r="B136" s="18">
        <v>628.88897784589142</v>
      </c>
      <c r="C136" s="18">
        <v>35.974936860975966</v>
      </c>
      <c r="D136" s="18"/>
      <c r="E136" s="18"/>
      <c r="F136" s="18"/>
      <c r="G136" s="18"/>
      <c r="H136" s="18"/>
      <c r="I136" s="18"/>
      <c r="P136">
        <v>7</v>
      </c>
      <c r="Q136">
        <v>-490.80216000000001</v>
      </c>
      <c r="R136" t="e">
        <v>#N/A</v>
      </c>
      <c r="S136">
        <v>89.94270423958551</v>
      </c>
    </row>
    <row r="137" spans="1:19" x14ac:dyDescent="0.25">
      <c r="A137" s="18">
        <v>-8</v>
      </c>
      <c r="B137" s="20">
        <v>626.41743671389656</v>
      </c>
      <c r="C137" s="18">
        <v>42.632364688614125</v>
      </c>
      <c r="D137" s="18"/>
      <c r="E137" s="18"/>
      <c r="F137" s="18"/>
      <c r="G137" s="18"/>
      <c r="H137" s="18"/>
      <c r="I137" s="18"/>
      <c r="P137">
        <v>8</v>
      </c>
      <c r="Q137">
        <v>-459.13585333333333</v>
      </c>
      <c r="R137" t="e">
        <v>#N/A</v>
      </c>
      <c r="S137">
        <v>89.942704239585538</v>
      </c>
    </row>
    <row r="138" spans="1:19" x14ac:dyDescent="0.25">
      <c r="A138" s="19">
        <v>-9</v>
      </c>
      <c r="B138" s="20">
        <v>623.95568197483476</v>
      </c>
      <c r="C138" s="18">
        <v>49.182970360899439</v>
      </c>
      <c r="D138" s="18"/>
      <c r="E138" s="18"/>
      <c r="F138" s="18"/>
      <c r="G138" s="18"/>
      <c r="H138" s="18"/>
      <c r="I138" s="18"/>
      <c r="P138">
        <v>9</v>
      </c>
      <c r="Q138">
        <v>-427.46954666666664</v>
      </c>
      <c r="R138">
        <v>189.59355733334388</v>
      </c>
      <c r="S138">
        <v>105.94539590092285</v>
      </c>
    </row>
    <row r="139" spans="1:19" x14ac:dyDescent="0.25">
      <c r="A139" s="19">
        <v>-10</v>
      </c>
      <c r="B139" s="18">
        <v>621.49590753833252</v>
      </c>
      <c r="C139" s="18">
        <v>55.638159364539447</v>
      </c>
      <c r="D139" s="18"/>
      <c r="E139" s="18"/>
      <c r="F139" s="18"/>
      <c r="G139" s="18"/>
      <c r="H139" s="18"/>
      <c r="I139" s="18"/>
      <c r="P139">
        <v>10</v>
      </c>
      <c r="Q139">
        <v>-395.80323999999996</v>
      </c>
      <c r="R139">
        <v>207.50112241704608</v>
      </c>
      <c r="S139">
        <v>105.9453959009229</v>
      </c>
    </row>
    <row r="140" spans="1:19" x14ac:dyDescent="0.25">
      <c r="A140" s="18">
        <v>-11</v>
      </c>
      <c r="B140" s="18">
        <v>619.03137318223548</v>
      </c>
      <c r="C140" s="18">
        <v>62.00866356121098</v>
      </c>
      <c r="D140" s="18"/>
      <c r="E140" s="18"/>
      <c r="F140" s="18"/>
      <c r="G140" s="18"/>
      <c r="H140" s="18"/>
      <c r="I140" s="18"/>
      <c r="P140">
        <v>11</v>
      </c>
      <c r="Q140">
        <v>-364.13693333333327</v>
      </c>
      <c r="R140">
        <v>301.90609150992356</v>
      </c>
      <c r="S140">
        <v>142.28706291803664</v>
      </c>
    </row>
    <row r="141" spans="1:19" x14ac:dyDescent="0.25">
      <c r="A141" s="18">
        <v>-12</v>
      </c>
      <c r="B141" s="18">
        <v>616.55558118522652</v>
      </c>
      <c r="C141" s="18">
        <v>68.30455032904932</v>
      </c>
      <c r="D141" s="18"/>
      <c r="E141" s="18"/>
      <c r="F141" s="18"/>
      <c r="G141" s="18"/>
      <c r="H141" s="18"/>
      <c r="I141" s="18"/>
      <c r="P141">
        <v>12</v>
      </c>
      <c r="Q141">
        <v>-332.47062666666659</v>
      </c>
      <c r="R141">
        <v>243.09834518606473</v>
      </c>
      <c r="S141">
        <v>105.94539590092289</v>
      </c>
    </row>
    <row r="142" spans="1:19" x14ac:dyDescent="0.25">
      <c r="A142" s="19">
        <v>-13</v>
      </c>
      <c r="B142" s="18">
        <v>614.06221841251079</v>
      </c>
      <c r="C142" s="18">
        <v>74.535307671432548</v>
      </c>
      <c r="D142" s="18"/>
      <c r="E142" s="18"/>
      <c r="F142" s="18"/>
      <c r="G142" s="18"/>
      <c r="H142" s="18"/>
      <c r="I142" s="18"/>
      <c r="P142">
        <v>13</v>
      </c>
      <c r="Q142">
        <v>-300.8043199999999</v>
      </c>
      <c r="R142">
        <v>260.97326975722717</v>
      </c>
      <c r="S142">
        <v>105.94539590092282</v>
      </c>
    </row>
    <row r="143" spans="1:19" x14ac:dyDescent="0.25">
      <c r="A143" s="19">
        <v>-14</v>
      </c>
      <c r="B143" s="18">
        <v>611.54510317934307</v>
      </c>
      <c r="C143" s="18">
        <v>80.709919969122552</v>
      </c>
      <c r="D143" s="18"/>
      <c r="E143" s="18"/>
      <c r="F143" s="18"/>
      <c r="G143" s="18"/>
      <c r="H143" s="18"/>
      <c r="I143" s="18"/>
      <c r="P143">
        <v>14</v>
      </c>
      <c r="Q143">
        <v>-269.13801333333322</v>
      </c>
      <c r="R143">
        <v>278.8832453693588</v>
      </c>
      <c r="S143">
        <v>105.94539590092282</v>
      </c>
    </row>
    <row r="144" spans="1:19" x14ac:dyDescent="0.25">
      <c r="A144" s="18">
        <v>-15</v>
      </c>
      <c r="B144" s="18">
        <v>608.99813578664919</v>
      </c>
      <c r="C144" s="18">
        <v>86.836935796786634</v>
      </c>
      <c r="D144" s="22"/>
      <c r="E144" s="18"/>
      <c r="F144" s="18"/>
      <c r="G144" s="18"/>
      <c r="H144" s="19"/>
      <c r="I144" s="23"/>
      <c r="P144">
        <v>15</v>
      </c>
      <c r="Q144">
        <v>-237.47170666666656</v>
      </c>
      <c r="R144">
        <v>296.81184682650144</v>
      </c>
      <c r="S144">
        <v>105.94539590092286</v>
      </c>
    </row>
    <row r="145" spans="1:19" x14ac:dyDescent="0.25">
      <c r="A145" s="18">
        <v>-16</v>
      </c>
      <c r="B145" s="18">
        <v>606.41525188485741</v>
      </c>
      <c r="C145" s="18">
        <v>92.924529023728212</v>
      </c>
      <c r="D145" s="24"/>
      <c r="E145" s="18"/>
      <c r="F145" s="18"/>
      <c r="G145" s="18"/>
      <c r="H145" s="19"/>
      <c r="I145" s="23"/>
      <c r="P145">
        <v>16</v>
      </c>
      <c r="Q145">
        <v>-205.80539999999991</v>
      </c>
      <c r="R145">
        <v>314.73899390254536</v>
      </c>
      <c r="S145">
        <v>105.94539590092285</v>
      </c>
    </row>
    <row r="146" spans="1:19" x14ac:dyDescent="0.25">
      <c r="A146" s="19">
        <v>-17</v>
      </c>
      <c r="B146" s="18">
        <v>603.79037791560324</v>
      </c>
      <c r="C146" s="18">
        <v>98.98055424133598</v>
      </c>
      <c r="D146" s="18"/>
      <c r="E146" s="18"/>
      <c r="F146" s="18"/>
      <c r="G146" s="18"/>
      <c r="H146" s="18"/>
      <c r="I146" s="18"/>
      <c r="P146">
        <v>17</v>
      </c>
      <c r="Q146">
        <v>-174.13909333333325</v>
      </c>
      <c r="R146">
        <v>332.64106538736922</v>
      </c>
      <c r="S146">
        <v>105.94539590092282</v>
      </c>
    </row>
    <row r="147" spans="1:19" x14ac:dyDescent="0.25">
      <c r="A147" s="19">
        <v>-18</v>
      </c>
      <c r="B147">
        <v>601.11738795285157</v>
      </c>
      <c r="C147">
        <v>105.0125974144221</v>
      </c>
      <c r="P147">
        <v>18</v>
      </c>
      <c r="Q147">
        <v>-142.47278666666659</v>
      </c>
      <c r="R147">
        <v>350.49120405664502</v>
      </c>
      <c r="S147">
        <v>105.94539590092288</v>
      </c>
    </row>
    <row r="148" spans="1:19" x14ac:dyDescent="0.25">
      <c r="A148" s="18">
        <v>-19</v>
      </c>
      <c r="B148">
        <v>598.39006131849249</v>
      </c>
      <c r="C148">
        <v>111.02802253449123</v>
      </c>
      <c r="P148">
        <v>19</v>
      </c>
      <c r="Q148">
        <v>-110.80647999999994</v>
      </c>
      <c r="R148">
        <v>368.25905352701005</v>
      </c>
      <c r="S148">
        <v>105.94539590092285</v>
      </c>
    </row>
    <row r="149" spans="1:19" x14ac:dyDescent="0.25">
      <c r="A149" s="18">
        <v>-20</v>
      </c>
      <c r="B149">
        <v>595.60204038500592</v>
      </c>
      <c r="C149">
        <v>117.03401495548805</v>
      </c>
      <c r="P149">
        <v>20</v>
      </c>
      <c r="Q149">
        <v>-79.14017333333328</v>
      </c>
      <c r="R149">
        <v>385.91282637735685</v>
      </c>
      <c r="S149">
        <v>105.94539590092286</v>
      </c>
    </row>
    <row r="150" spans="1:19" x14ac:dyDescent="0.25">
      <c r="A150" s="19">
        <v>-21</v>
      </c>
      <c r="B150">
        <v>592.74678800116851</v>
      </c>
      <c r="C150">
        <v>123.03762201308977</v>
      </c>
      <c r="P150">
        <v>21</v>
      </c>
      <c r="Q150">
        <v>-47.473866666666616</v>
      </c>
      <c r="R150">
        <v>403.24670964829141</v>
      </c>
      <c r="S150">
        <v>105.94539590092283</v>
      </c>
    </row>
    <row r="151" spans="1:19" x14ac:dyDescent="0.25">
      <c r="A151" s="19">
        <v>-22</v>
      </c>
      <c r="B151">
        <v>589.81754398720898</v>
      </c>
      <c r="C151">
        <v>129.0457914642559</v>
      </c>
      <c r="P151">
        <v>22</v>
      </c>
      <c r="Q151">
        <v>-15.807559999999953</v>
      </c>
      <c r="R151">
        <v>420.5280847219085</v>
      </c>
      <c r="S151">
        <v>105.94539590092283</v>
      </c>
    </row>
    <row r="152" spans="1:19" x14ac:dyDescent="0.25">
      <c r="A152" s="18">
        <v>-23</v>
      </c>
      <c r="B152">
        <v>586.8073195260215</v>
      </c>
      <c r="C152">
        <v>135.06541003335786</v>
      </c>
      <c r="P152">
        <v>23</v>
      </c>
      <c r="Q152">
        <v>15.858746666666711</v>
      </c>
      <c r="R152">
        <v>436.61838119189525</v>
      </c>
      <c r="S152">
        <v>105.94539590092282</v>
      </c>
    </row>
    <row r="153" spans="1:19" x14ac:dyDescent="0.25">
      <c r="A153" s="18">
        <v>-24</v>
      </c>
      <c r="B153">
        <v>583.79519802680227</v>
      </c>
      <c r="C153">
        <v>140.92952017763238</v>
      </c>
      <c r="P153">
        <v>24</v>
      </c>
      <c r="Q153">
        <v>47.525053333333375</v>
      </c>
      <c r="R153">
        <v>451.2479189230051</v>
      </c>
      <c r="S153">
        <v>105.94539590092285</v>
      </c>
    </row>
    <row r="154" spans="1:19" x14ac:dyDescent="0.25">
      <c r="A154" s="19">
        <v>-25</v>
      </c>
      <c r="B154">
        <v>580.87166685967225</v>
      </c>
      <c r="C154">
        <v>146.46629564593547</v>
      </c>
      <c r="P154">
        <v>25</v>
      </c>
      <c r="Q154">
        <v>79.191360000000032</v>
      </c>
      <c r="R154">
        <v>465.28257671290055</v>
      </c>
      <c r="S154">
        <v>105.94539590092286</v>
      </c>
    </row>
    <row r="155" spans="1:19" x14ac:dyDescent="0.25">
      <c r="A155" s="19">
        <v>-26</v>
      </c>
      <c r="B155">
        <v>578.02518894738284</v>
      </c>
      <c r="C155">
        <v>151.71605738229246</v>
      </c>
      <c r="P155">
        <v>26</v>
      </c>
      <c r="Q155">
        <v>110.85766666666669</v>
      </c>
      <c r="R155">
        <v>479.62047923971573</v>
      </c>
      <c r="S155">
        <v>105.94539590092285</v>
      </c>
    </row>
    <row r="156" spans="1:19" x14ac:dyDescent="0.25">
      <c r="A156" s="18">
        <v>-27</v>
      </c>
      <c r="B156">
        <v>575.24533988634334</v>
      </c>
      <c r="C156">
        <v>156.71349932578516</v>
      </c>
      <c r="P156">
        <v>27</v>
      </c>
      <c r="Q156">
        <v>142.52397333333334</v>
      </c>
      <c r="R156">
        <v>490.94199640150299</v>
      </c>
      <c r="S156">
        <v>105.94539590092286</v>
      </c>
    </row>
    <row r="157" spans="1:19" x14ac:dyDescent="0.25">
      <c r="A157" s="18">
        <v>-28</v>
      </c>
      <c r="B157">
        <v>572.52225987420229</v>
      </c>
      <c r="C157">
        <v>161.48840004576132</v>
      </c>
      <c r="P157">
        <v>28</v>
      </c>
      <c r="Q157">
        <v>174.19028</v>
      </c>
      <c r="R157">
        <v>494.76937664854211</v>
      </c>
      <c r="S157">
        <v>105.94539590092283</v>
      </c>
    </row>
    <row r="158" spans="1:19" x14ac:dyDescent="0.25">
      <c r="A158" s="19">
        <v>-29</v>
      </c>
      <c r="B158">
        <v>569.84892394473854</v>
      </c>
      <c r="C158">
        <v>166.06675981630138</v>
      </c>
      <c r="P158">
        <v>29</v>
      </c>
      <c r="Q158">
        <v>205.85658666666666</v>
      </c>
      <c r="R158">
        <v>498.22457451866035</v>
      </c>
      <c r="S158">
        <v>105.94539590092285</v>
      </c>
    </row>
    <row r="159" spans="1:19" x14ac:dyDescent="0.25">
      <c r="A159" s="19">
        <v>-30</v>
      </c>
      <c r="B159">
        <v>567.21607062978546</v>
      </c>
      <c r="C159">
        <v>170.47093545218104</v>
      </c>
      <c r="P159">
        <v>30</v>
      </c>
      <c r="Q159">
        <v>237.52289333333331</v>
      </c>
      <c r="R159">
        <v>498.76421814203167</v>
      </c>
      <c r="S159">
        <v>105.94539590092283</v>
      </c>
    </row>
    <row r="160" spans="1:19" x14ac:dyDescent="0.25">
      <c r="A160" s="18">
        <v>-31</v>
      </c>
      <c r="B160">
        <v>564.61703683789494</v>
      </c>
      <c r="C160">
        <v>174.72075179824154</v>
      </c>
      <c r="P160">
        <v>31</v>
      </c>
      <c r="Q160">
        <v>269.18919999999997</v>
      </c>
      <c r="R160">
        <v>499.22294894659223</v>
      </c>
      <c r="S160">
        <v>105.94539590092283</v>
      </c>
    </row>
    <row r="161" spans="1:19" x14ac:dyDescent="0.25">
      <c r="A161" s="18">
        <v>-32</v>
      </c>
      <c r="B161">
        <v>562.6549442097438</v>
      </c>
      <c r="C161">
        <v>178.2327029756932</v>
      </c>
      <c r="P161">
        <v>32</v>
      </c>
      <c r="Q161">
        <v>300.85550666666666</v>
      </c>
      <c r="R161">
        <v>499.48940992493107</v>
      </c>
      <c r="S161">
        <v>105.94539590092283</v>
      </c>
    </row>
    <row r="162" spans="1:19" x14ac:dyDescent="0.25">
      <c r="A162" s="19">
        <v>-33</v>
      </c>
      <c r="B162">
        <v>557.84384395682162</v>
      </c>
      <c r="C162">
        <v>182.95775247751322</v>
      </c>
      <c r="P162">
        <v>33</v>
      </c>
      <c r="Q162">
        <v>332.52181333333334</v>
      </c>
      <c r="R162">
        <v>499.52891511943045</v>
      </c>
      <c r="S162">
        <v>105.94539590092283</v>
      </c>
    </row>
    <row r="163" spans="1:19" x14ac:dyDescent="0.25">
      <c r="A163" s="19">
        <v>-34</v>
      </c>
      <c r="B163">
        <v>553.12804865847011</v>
      </c>
      <c r="C163">
        <v>187.52651421477779</v>
      </c>
      <c r="P163">
        <v>34</v>
      </c>
      <c r="Q163">
        <v>364.18812000000003</v>
      </c>
      <c r="R163">
        <v>499.29804026069138</v>
      </c>
      <c r="S163">
        <v>105.94539590092286</v>
      </c>
    </row>
    <row r="164" spans="1:19" x14ac:dyDescent="0.25">
      <c r="A164" s="18">
        <v>-35</v>
      </c>
      <c r="B164">
        <v>548.49690359928036</v>
      </c>
      <c r="C164">
        <v>191.95625663409768</v>
      </c>
      <c r="P164">
        <v>35</v>
      </c>
      <c r="Q164">
        <v>395.85442666666671</v>
      </c>
      <c r="R164">
        <v>498.1276904313425</v>
      </c>
      <c r="S164">
        <v>105.94539590092286</v>
      </c>
    </row>
    <row r="165" spans="1:19" x14ac:dyDescent="0.25">
      <c r="A165" s="18">
        <v>-36</v>
      </c>
      <c r="B165">
        <v>543.94030674404542</v>
      </c>
      <c r="C165">
        <v>196.26244336406893</v>
      </c>
      <c r="P165">
        <v>36</v>
      </c>
      <c r="Q165">
        <v>427.5207333333334</v>
      </c>
      <c r="R165">
        <v>496.74216846449264</v>
      </c>
      <c r="S165">
        <v>105.94539590092285</v>
      </c>
    </row>
    <row r="166" spans="1:19" x14ac:dyDescent="0.25">
      <c r="A166" s="19">
        <v>-37</v>
      </c>
      <c r="B166">
        <v>539.44876735901039</v>
      </c>
      <c r="C166">
        <v>200.45904375547761</v>
      </c>
      <c r="P166">
        <v>37</v>
      </c>
      <c r="Q166">
        <v>459.18704000000008</v>
      </c>
      <c r="R166">
        <v>494.60099218659013</v>
      </c>
      <c r="S166">
        <v>105.94539590092286</v>
      </c>
    </row>
    <row r="167" spans="1:19" x14ac:dyDescent="0.25">
      <c r="A167" s="19">
        <v>-38</v>
      </c>
      <c r="B167">
        <v>535.01330557206279</v>
      </c>
      <c r="C167">
        <v>204.55875339756059</v>
      </c>
      <c r="P167">
        <v>38</v>
      </c>
      <c r="Q167">
        <v>490.85334666666677</v>
      </c>
      <c r="R167">
        <v>491.30274751339806</v>
      </c>
      <c r="S167">
        <v>105.94539590092285</v>
      </c>
    </row>
    <row r="168" spans="1:19" x14ac:dyDescent="0.25">
      <c r="A168" s="18">
        <v>-39</v>
      </c>
      <c r="B168">
        <v>530.62536240197016</v>
      </c>
      <c r="C168">
        <v>208.5731815882927</v>
      </c>
      <c r="P168">
        <v>39</v>
      </c>
      <c r="Q168">
        <v>522.51965333333339</v>
      </c>
      <c r="R168">
        <v>487.07301046162422</v>
      </c>
      <c r="S168">
        <v>105.94539590092283</v>
      </c>
    </row>
    <row r="169" spans="1:19" x14ac:dyDescent="0.25">
      <c r="A169" s="18">
        <v>-40</v>
      </c>
      <c r="B169">
        <v>526.27671808875164</v>
      </c>
      <c r="C169">
        <v>212.51301189231302</v>
      </c>
      <c r="P169">
        <v>40</v>
      </c>
      <c r="Q169">
        <v>554.18596000000002</v>
      </c>
      <c r="R169">
        <v>481.33211312389352</v>
      </c>
      <c r="S169">
        <v>105.94539590092286</v>
      </c>
    </row>
    <row r="170" spans="1:19" x14ac:dyDescent="0.25">
      <c r="A170" s="19">
        <v>-41</v>
      </c>
      <c r="B170">
        <v>521.95941687015738</v>
      </c>
      <c r="C170">
        <v>216.38814073163482</v>
      </c>
      <c r="P170">
        <v>41</v>
      </c>
      <c r="Q170">
        <v>585.85226666666665</v>
      </c>
      <c r="R170">
        <v>477.73958978033738</v>
      </c>
      <c r="S170">
        <v>105.94539590092283</v>
      </c>
    </row>
    <row r="171" spans="1:19" x14ac:dyDescent="0.25">
      <c r="A171" s="19">
        <v>-42</v>
      </c>
      <c r="B171">
        <v>517.6656965840956</v>
      </c>
      <c r="C171">
        <v>220.207798029918</v>
      </c>
      <c r="P171">
        <v>42</v>
      </c>
      <c r="Q171">
        <v>617.51857333333328</v>
      </c>
      <c r="R171">
        <v>477.69408328218003</v>
      </c>
      <c r="S171">
        <v>105.94539590092285</v>
      </c>
    </row>
    <row r="172" spans="1:19" x14ac:dyDescent="0.25">
      <c r="A172" s="18">
        <v>-43</v>
      </c>
      <c r="B172">
        <v>513.38789451501009</v>
      </c>
      <c r="C172">
        <v>223.98064273203454</v>
      </c>
      <c r="P172">
        <v>43</v>
      </c>
      <c r="Q172">
        <v>649.18487999999991</v>
      </c>
      <c r="R172">
        <v>477.54069041885066</v>
      </c>
      <c r="S172">
        <v>105.94539590092283</v>
      </c>
    </row>
    <row r="173" spans="1:19" x14ac:dyDescent="0.25">
      <c r="A173" s="18">
        <v>-44</v>
      </c>
      <c r="B173">
        <v>509.11845108307699</v>
      </c>
      <c r="C173">
        <v>227.71488288930104</v>
      </c>
      <c r="P173">
        <v>44</v>
      </c>
      <c r="Q173">
        <v>680.85118666666654</v>
      </c>
      <c r="R173">
        <v>477.26064808135197</v>
      </c>
      <c r="S173">
        <v>105.94539590092285</v>
      </c>
    </row>
    <row r="174" spans="1:19" x14ac:dyDescent="0.25">
      <c r="A174" s="19">
        <v>-45</v>
      </c>
      <c r="B174">
        <v>504.07245262435418</v>
      </c>
      <c r="C174">
        <v>231.06448342082757</v>
      </c>
      <c r="P174">
        <v>45</v>
      </c>
      <c r="Q174">
        <v>712.51749333333316</v>
      </c>
      <c r="R174">
        <v>476.83473598907898</v>
      </c>
      <c r="S174">
        <v>105.94539590092286</v>
      </c>
    </row>
    <row r="175" spans="1:19" x14ac:dyDescent="0.25">
      <c r="A175" s="19">
        <v>-46</v>
      </c>
      <c r="B175">
        <v>498.40878680730322</v>
      </c>
      <c r="C175">
        <v>234.08886603040975</v>
      </c>
      <c r="P175">
        <v>46</v>
      </c>
      <c r="Q175">
        <v>744.18379999999979</v>
      </c>
      <c r="R175">
        <v>475.16805176278854</v>
      </c>
      <c r="S175">
        <v>105.94539590092283</v>
      </c>
    </row>
    <row r="176" spans="1:19" x14ac:dyDescent="0.25">
      <c r="A176" s="18">
        <v>-47</v>
      </c>
      <c r="B176">
        <v>492.81321109691157</v>
      </c>
      <c r="C176">
        <v>237.10551251302226</v>
      </c>
      <c r="P176">
        <v>47</v>
      </c>
      <c r="Q176">
        <v>775.85010666666642</v>
      </c>
      <c r="R176">
        <v>474.39012769963063</v>
      </c>
      <c r="S176">
        <v>105.94539590092283</v>
      </c>
    </row>
    <row r="177" spans="1:19" x14ac:dyDescent="0.25">
      <c r="A177" s="18">
        <v>-48</v>
      </c>
      <c r="B177">
        <v>487.27526790135983</v>
      </c>
      <c r="C177">
        <v>240.12234754605581</v>
      </c>
      <c r="P177">
        <v>48</v>
      </c>
      <c r="Q177">
        <v>807.51641333333305</v>
      </c>
      <c r="R177">
        <v>473.19994701905608</v>
      </c>
      <c r="S177">
        <v>105.94539590092285</v>
      </c>
    </row>
    <row r="178" spans="1:19" x14ac:dyDescent="0.25">
      <c r="A178" s="19">
        <v>-49</v>
      </c>
      <c r="B178">
        <v>481.78467515056815</v>
      </c>
      <c r="C178">
        <v>243.14723721544749</v>
      </c>
      <c r="P178">
        <v>49</v>
      </c>
      <c r="Q178">
        <v>839.18271999999968</v>
      </c>
      <c r="R178">
        <v>471.58330313400353</v>
      </c>
      <c r="S178">
        <v>105.94539590092285</v>
      </c>
    </row>
    <row r="179" spans="1:19" x14ac:dyDescent="0.25">
      <c r="A179" s="19">
        <v>-50</v>
      </c>
      <c r="B179">
        <v>476.33116352496302</v>
      </c>
      <c r="C179">
        <v>246.1880477019761</v>
      </c>
      <c r="P179">
        <v>50</v>
      </c>
      <c r="Q179">
        <v>870.8490266666663</v>
      </c>
      <c r="R179">
        <v>469.72393685930786</v>
      </c>
      <c r="S179">
        <v>105.94539590092285</v>
      </c>
    </row>
    <row r="180" spans="1:19" x14ac:dyDescent="0.25">
      <c r="A180" s="18">
        <v>-51</v>
      </c>
      <c r="B180">
        <v>470.90438368638763</v>
      </c>
      <c r="C180">
        <v>249.25272839554171</v>
      </c>
      <c r="P180">
        <v>51</v>
      </c>
      <c r="Q180">
        <v>902.51533333333293</v>
      </c>
      <c r="R180">
        <v>467.60008534008324</v>
      </c>
      <c r="S180">
        <v>105.94539590092285</v>
      </c>
    </row>
    <row r="181" spans="1:19" x14ac:dyDescent="0.25">
      <c r="A181" s="18">
        <v>-52</v>
      </c>
      <c r="B181">
        <v>465.49379990963848</v>
      </c>
      <c r="C181">
        <v>252.34939404454215</v>
      </c>
      <c r="P181">
        <v>52</v>
      </c>
      <c r="Q181">
        <v>934.18163999999956</v>
      </c>
      <c r="R181">
        <v>465.19021571769355</v>
      </c>
      <c r="S181">
        <v>105.94539590092283</v>
      </c>
    </row>
    <row r="182" spans="1:19" x14ac:dyDescent="0.25">
      <c r="A182" s="19">
        <v>-53</v>
      </c>
      <c r="B182">
        <v>460.08857514368037</v>
      </c>
      <c r="C182">
        <v>255.48641032063156</v>
      </c>
      <c r="P182">
        <v>53</v>
      </c>
      <c r="Q182">
        <v>965.84794666666619</v>
      </c>
      <c r="R182">
        <v>462.47310503534794</v>
      </c>
      <c r="S182">
        <v>105.94539590092285</v>
      </c>
    </row>
    <row r="183" spans="1:19" x14ac:dyDescent="0.25">
      <c r="A183" s="19">
        <v>-54</v>
      </c>
      <c r="B183">
        <v>454.67744441945058</v>
      </c>
      <c r="C183">
        <v>258.67248473947228</v>
      </c>
      <c r="P183">
        <v>54</v>
      </c>
      <c r="Q183">
        <v>997.51425333333282</v>
      </c>
      <c r="R183">
        <v>459.42791221167431</v>
      </c>
      <c r="S183">
        <v>105.94539590092285</v>
      </c>
    </row>
    <row r="184" spans="1:19" x14ac:dyDescent="0.25">
      <c r="A184" s="18">
        <v>-55</v>
      </c>
      <c r="B184">
        <v>449.24857294505523</v>
      </c>
      <c r="C184">
        <v>261.91676509156827</v>
      </c>
      <c r="P184">
        <v>55</v>
      </c>
      <c r="Q184">
        <v>1029.1805599999996</v>
      </c>
      <c r="R184">
        <v>456.03424154138514</v>
      </c>
      <c r="S184">
        <v>105.94539590092286</v>
      </c>
    </row>
    <row r="185" spans="1:19" x14ac:dyDescent="0.25">
      <c r="A185" s="18">
        <v>-56</v>
      </c>
      <c r="B185">
        <v>442.71088483430492</v>
      </c>
      <c r="C185">
        <v>265.60220913698555</v>
      </c>
      <c r="P185">
        <v>56</v>
      </c>
      <c r="Q185">
        <v>1060.8468666666663</v>
      </c>
      <c r="R185">
        <v>452.27219746660552</v>
      </c>
      <c r="S185">
        <v>105.94539590092286</v>
      </c>
    </row>
    <row r="186" spans="1:19" x14ac:dyDescent="0.25">
      <c r="A186" s="19">
        <v>-57</v>
      </c>
      <c r="B186">
        <v>434.98472514574718</v>
      </c>
      <c r="C186">
        <v>269.76166810159634</v>
      </c>
      <c r="P186">
        <v>57</v>
      </c>
      <c r="Q186">
        <v>1092.513173333333</v>
      </c>
      <c r="R186">
        <v>448.1224287361855</v>
      </c>
      <c r="S186">
        <v>105.94539590092285</v>
      </c>
    </row>
    <row r="187" spans="1:19" x14ac:dyDescent="0.25">
      <c r="A187" s="19">
        <v>-58</v>
      </c>
      <c r="B187">
        <v>427.19993941201272</v>
      </c>
      <c r="C187">
        <v>274.01054626350503</v>
      </c>
      <c r="P187">
        <v>58</v>
      </c>
      <c r="Q187">
        <v>1124.1794799999998</v>
      </c>
      <c r="R187">
        <v>443.56617444498539</v>
      </c>
      <c r="S187">
        <v>105.94539590092283</v>
      </c>
    </row>
    <row r="188" spans="1:19" x14ac:dyDescent="0.25">
      <c r="A188" s="18">
        <v>-59</v>
      </c>
      <c r="B188">
        <v>419.33867131644382</v>
      </c>
      <c r="C188">
        <v>278.36215405775448</v>
      </c>
      <c r="P188">
        <v>59</v>
      </c>
      <c r="Q188">
        <v>1155.8457866666665</v>
      </c>
      <c r="R188">
        <v>438.54401238985542</v>
      </c>
      <c r="S188">
        <v>105.94539590092283</v>
      </c>
    </row>
    <row r="189" spans="1:19" x14ac:dyDescent="0.25">
      <c r="A189" s="18">
        <v>-60</v>
      </c>
      <c r="B189">
        <v>411.38148578783171</v>
      </c>
      <c r="C189">
        <v>282.83093614396159</v>
      </c>
      <c r="P189">
        <v>60</v>
      </c>
      <c r="Q189">
        <v>1187.5120933333333</v>
      </c>
      <c r="R189">
        <v>432.89570360958277</v>
      </c>
      <c r="S189">
        <v>105.94539590092285</v>
      </c>
    </row>
    <row r="190" spans="1:19" x14ac:dyDescent="0.25">
      <c r="A190" s="19">
        <v>-61</v>
      </c>
      <c r="B190">
        <v>403.3070831343353</v>
      </c>
      <c r="C190">
        <v>287.43277738891021</v>
      </c>
      <c r="P190">
        <v>61</v>
      </c>
      <c r="Q190">
        <v>1219.1784</v>
      </c>
      <c r="R190">
        <v>426.59471741868674</v>
      </c>
      <c r="S190">
        <v>105.94539590092285</v>
      </c>
    </row>
    <row r="191" spans="1:19" x14ac:dyDescent="0.25">
      <c r="A191" s="19">
        <v>-62</v>
      </c>
      <c r="B191">
        <v>395.09146867713906</v>
      </c>
      <c r="C191">
        <v>292.18480798058016</v>
      </c>
      <c r="P191">
        <v>62</v>
      </c>
      <c r="Q191">
        <v>1250.8447066666668</v>
      </c>
      <c r="R191">
        <v>419.80884805529678</v>
      </c>
      <c r="S191">
        <v>105.94539590092285</v>
      </c>
    </row>
    <row r="192" spans="1:19" x14ac:dyDescent="0.25">
      <c r="A192" s="18">
        <v>-63</v>
      </c>
      <c r="B192">
        <v>386.70820277396405</v>
      </c>
      <c r="C192">
        <v>297.10662285290863</v>
      </c>
      <c r="P192">
        <v>63</v>
      </c>
      <c r="Q192">
        <v>1282.5110133333335</v>
      </c>
      <c r="R192">
        <v>412.52174411467399</v>
      </c>
      <c r="S192">
        <v>105.94539590092283</v>
      </c>
    </row>
    <row r="193" spans="1:19" x14ac:dyDescent="0.25">
      <c r="A193" s="18">
        <v>-64</v>
      </c>
      <c r="B193">
        <v>378.12694925215106</v>
      </c>
      <c r="C193">
        <v>302.21974389684493</v>
      </c>
      <c r="P193">
        <v>64</v>
      </c>
      <c r="Q193">
        <v>1314.1773200000002</v>
      </c>
      <c r="R193">
        <v>404.71789058254984</v>
      </c>
      <c r="S193">
        <v>105.94539590092285</v>
      </c>
    </row>
    <row r="194" spans="1:19" x14ac:dyDescent="0.25">
      <c r="A194" s="19">
        <v>-65</v>
      </c>
      <c r="B194">
        <v>369.31303515103895</v>
      </c>
      <c r="C194">
        <v>307.54852648085796</v>
      </c>
      <c r="P194">
        <v>65</v>
      </c>
      <c r="Q194">
        <v>1345.843626666667</v>
      </c>
      <c r="R194">
        <v>396.38239151924756</v>
      </c>
      <c r="S194">
        <v>105.94539590092285</v>
      </c>
    </row>
    <row r="195" spans="1:19" x14ac:dyDescent="0.25">
      <c r="A195" s="19">
        <v>-66</v>
      </c>
      <c r="B195">
        <v>360.80630081059655</v>
      </c>
      <c r="C195">
        <v>312.65203018383949</v>
      </c>
      <c r="P195">
        <v>66</v>
      </c>
      <c r="Q195">
        <v>1377.5099333333337</v>
      </c>
      <c r="R195">
        <v>387.50086529352609</v>
      </c>
      <c r="S195">
        <v>105.94539590092285</v>
      </c>
    </row>
    <row r="196" spans="1:19" x14ac:dyDescent="0.25">
      <c r="A196" s="18">
        <v>-67</v>
      </c>
      <c r="B196">
        <v>354.00543193440086</v>
      </c>
      <c r="C196">
        <v>316.39494582081107</v>
      </c>
      <c r="P196">
        <v>67</v>
      </c>
      <c r="Q196">
        <v>1409.1762400000005</v>
      </c>
      <c r="R196">
        <v>378.06015961366518</v>
      </c>
      <c r="S196">
        <v>105.94539590092285</v>
      </c>
    </row>
    <row r="197" spans="1:19" x14ac:dyDescent="0.25">
      <c r="A197" s="18">
        <v>-68</v>
      </c>
      <c r="B197">
        <v>346.97229207315019</v>
      </c>
      <c r="C197">
        <v>320.33680487384072</v>
      </c>
      <c r="P197">
        <v>68</v>
      </c>
      <c r="Q197">
        <v>1440.8425466666672</v>
      </c>
      <c r="R197">
        <v>367.78234920355368</v>
      </c>
      <c r="S197">
        <v>105.94539590092285</v>
      </c>
    </row>
    <row r="198" spans="1:19" x14ac:dyDescent="0.25">
      <c r="A198" s="19">
        <v>-69</v>
      </c>
      <c r="B198">
        <v>339.66129169711439</v>
      </c>
      <c r="C198">
        <v>324.50645448898302</v>
      </c>
      <c r="P198">
        <v>69</v>
      </c>
      <c r="Q198">
        <v>1472.5088533333339</v>
      </c>
      <c r="R198">
        <v>356.55744795332038</v>
      </c>
      <c r="S198">
        <v>105.94539590092283</v>
      </c>
    </row>
    <row r="199" spans="1:19" x14ac:dyDescent="0.25">
      <c r="A199" s="19">
        <v>-70</v>
      </c>
      <c r="B199">
        <v>332.01737930280518</v>
      </c>
      <c r="C199">
        <v>328.93830586070231</v>
      </c>
      <c r="P199">
        <v>70</v>
      </c>
      <c r="Q199">
        <v>1504.1751600000007</v>
      </c>
      <c r="R199">
        <v>344.83661427323739</v>
      </c>
      <c r="S199">
        <v>105.94539590092286</v>
      </c>
    </row>
    <row r="200" spans="1:19" x14ac:dyDescent="0.25">
      <c r="A200" s="18">
        <v>-71</v>
      </c>
      <c r="B200">
        <v>323.97314859013193</v>
      </c>
      <c r="C200">
        <v>333.67212273764386</v>
      </c>
      <c r="P200">
        <v>71</v>
      </c>
      <c r="Q200">
        <v>1535.8414666666674</v>
      </c>
      <c r="R200">
        <v>332.48526959533194</v>
      </c>
      <c r="S200">
        <v>105.94539590092283</v>
      </c>
    </row>
    <row r="201" spans="1:19" x14ac:dyDescent="0.25">
      <c r="A201" s="18">
        <v>-72</v>
      </c>
      <c r="B201">
        <v>313.7990520891658</v>
      </c>
      <c r="C201">
        <v>336.92601521517798</v>
      </c>
      <c r="P201">
        <v>72</v>
      </c>
      <c r="Q201">
        <v>1567.5077733333342</v>
      </c>
      <c r="R201">
        <v>319.49247052340672</v>
      </c>
      <c r="S201">
        <v>105.94539590092285</v>
      </c>
    </row>
    <row r="202" spans="1:19" x14ac:dyDescent="0.25">
      <c r="A202" s="19">
        <v>-73</v>
      </c>
      <c r="B202">
        <v>302.91380599774959</v>
      </c>
      <c r="C202">
        <v>340.27288044137725</v>
      </c>
      <c r="P202">
        <v>73</v>
      </c>
      <c r="Q202">
        <v>1599.1740800000009</v>
      </c>
      <c r="R202">
        <v>305.79947464618903</v>
      </c>
      <c r="S202">
        <v>105.94539590092288</v>
      </c>
    </row>
    <row r="203" spans="1:19" x14ac:dyDescent="0.25">
      <c r="A203" s="19">
        <v>-74</v>
      </c>
      <c r="B203">
        <v>291.24826442445158</v>
      </c>
      <c r="C203">
        <v>343.80032700914404</v>
      </c>
      <c r="P203">
        <v>74</v>
      </c>
      <c r="Q203">
        <v>1630.8403866666677</v>
      </c>
      <c r="R203">
        <v>290.99749608936031</v>
      </c>
      <c r="S203">
        <v>105.94539590092285</v>
      </c>
    </row>
    <row r="204" spans="1:19" x14ac:dyDescent="0.25">
      <c r="A204" s="18">
        <v>-75</v>
      </c>
      <c r="B204">
        <v>278.64360192551788</v>
      </c>
      <c r="C204">
        <v>347.54185079065525</v>
      </c>
      <c r="P204">
        <v>75</v>
      </c>
      <c r="Q204">
        <v>1662.5066933333344</v>
      </c>
      <c r="R204">
        <v>275.27973441395659</v>
      </c>
      <c r="S204">
        <v>105.94539590092288</v>
      </c>
    </row>
    <row r="205" spans="1:19" x14ac:dyDescent="0.25">
      <c r="A205" s="18">
        <v>-76</v>
      </c>
      <c r="B205">
        <v>264.89498892435569</v>
      </c>
      <c r="C205">
        <v>351.53936900767684</v>
      </c>
      <c r="P205">
        <v>76</v>
      </c>
      <c r="Q205">
        <v>1694.1730000000011</v>
      </c>
      <c r="R205">
        <v>258.86601292110538</v>
      </c>
      <c r="S205">
        <v>105.94539590092285</v>
      </c>
    </row>
    <row r="206" spans="1:19" x14ac:dyDescent="0.25">
      <c r="A206" s="19">
        <v>-77</v>
      </c>
      <c r="B206">
        <v>249.7327108054977</v>
      </c>
      <c r="C206">
        <v>355.84512091732154</v>
      </c>
      <c r="Q206">
        <v>1694.1730000000011</v>
      </c>
      <c r="R206">
        <v>0</v>
      </c>
    </row>
    <row r="207" spans="1:19" x14ac:dyDescent="0.25">
      <c r="A207" s="19">
        <v>-78</v>
      </c>
      <c r="B207">
        <v>232.79395080510113</v>
      </c>
      <c r="C207">
        <v>360.52556141742019</v>
      </c>
    </row>
    <row r="208" spans="1:19" x14ac:dyDescent="0.25">
      <c r="A208" s="18">
        <v>-79</v>
      </c>
      <c r="B208">
        <v>213.57840271774816</v>
      </c>
      <c r="C208">
        <v>365.66662466786312</v>
      </c>
    </row>
    <row r="209" spans="1:3" x14ac:dyDescent="0.25">
      <c r="A209" s="18">
        <v>-80</v>
      </c>
      <c r="B209">
        <v>192.45680414609359</v>
      </c>
      <c r="C209">
        <v>371.11125461274071</v>
      </c>
    </row>
    <row r="210" spans="1:3" x14ac:dyDescent="0.25">
      <c r="A210" s="19">
        <v>-81</v>
      </c>
      <c r="B210">
        <v>170.78958607135945</v>
      </c>
      <c r="C210">
        <v>376.48377944986345</v>
      </c>
    </row>
    <row r="211" spans="1:3" x14ac:dyDescent="0.25">
      <c r="A211" s="19">
        <v>-82</v>
      </c>
      <c r="B211">
        <v>148.52407690023011</v>
      </c>
      <c r="C211">
        <v>381.80023011287687</v>
      </c>
    </row>
    <row r="212" spans="1:3" x14ac:dyDescent="0.25">
      <c r="A212" s="18">
        <v>-83</v>
      </c>
      <c r="B212">
        <v>129.99044771860366</v>
      </c>
      <c r="C212">
        <v>384.58436873771115</v>
      </c>
    </row>
    <row r="213" spans="1:3" x14ac:dyDescent="0.25">
      <c r="A213" s="18">
        <v>-84</v>
      </c>
      <c r="B213">
        <v>112.74431925179634</v>
      </c>
      <c r="C213">
        <v>386.19795451020053</v>
      </c>
    </row>
    <row r="214" spans="1:3" x14ac:dyDescent="0.25">
      <c r="A214" s="19">
        <v>-85</v>
      </c>
      <c r="B214">
        <v>95.041280967801057</v>
      </c>
      <c r="C214">
        <v>387.58957518429099</v>
      </c>
    </row>
    <row r="215" spans="1:3" x14ac:dyDescent="0.25">
      <c r="A215" s="19">
        <v>-86</v>
      </c>
      <c r="B215">
        <v>81.41322452708971</v>
      </c>
      <c r="C215">
        <v>388.56244912037675</v>
      </c>
    </row>
    <row r="216" spans="1:3" x14ac:dyDescent="0.25">
      <c r="A216" s="18">
        <v>-87</v>
      </c>
      <c r="B216">
        <v>62.463678994877775</v>
      </c>
      <c r="C216">
        <v>389.53034020546994</v>
      </c>
    </row>
    <row r="217" spans="1:3" x14ac:dyDescent="0.25">
      <c r="A217" s="18">
        <v>-88</v>
      </c>
      <c r="B217">
        <v>42.703123127236644</v>
      </c>
      <c r="C217">
        <v>390.28470670129292</v>
      </c>
    </row>
    <row r="218" spans="1:3" x14ac:dyDescent="0.25">
      <c r="A218" s="19">
        <v>-89</v>
      </c>
      <c r="B218">
        <v>21.95595436063914</v>
      </c>
      <c r="C218">
        <v>390.8270595349893</v>
      </c>
    </row>
    <row r="219" spans="1:3" x14ac:dyDescent="0.25">
      <c r="A219" s="19">
        <v>-90</v>
      </c>
      <c r="B219">
        <v>5.7781888278829006E-5</v>
      </c>
      <c r="C219">
        <v>391.15829010256516</v>
      </c>
    </row>
    <row r="220" spans="1:3" x14ac:dyDescent="0.25">
      <c r="A220" s="18">
        <v>-91</v>
      </c>
      <c r="B220">
        <v>-21.955841477975394</v>
      </c>
      <c r="C220">
        <v>390.82700210594692</v>
      </c>
    </row>
    <row r="221" spans="1:3" x14ac:dyDescent="0.25">
      <c r="A221" s="18">
        <v>-92</v>
      </c>
      <c r="B221">
        <v>-42.703011891611318</v>
      </c>
      <c r="C221">
        <v>390.28467026331293</v>
      </c>
    </row>
    <row r="222" spans="1:3" x14ac:dyDescent="0.25">
      <c r="A222" s="19">
        <v>-93</v>
      </c>
      <c r="B222">
        <v>-62.463569048161851</v>
      </c>
      <c r="C222">
        <v>389.53031644287569</v>
      </c>
    </row>
    <row r="223" spans="1:3" x14ac:dyDescent="0.25">
      <c r="A223" s="19">
        <v>-94</v>
      </c>
      <c r="B223">
        <v>-81.413115365928618</v>
      </c>
      <c r="C223">
        <v>388.5624390474851</v>
      </c>
    </row>
    <row r="224" spans="1:3" x14ac:dyDescent="0.25">
      <c r="A224" s="18">
        <v>-95</v>
      </c>
      <c r="B224">
        <v>-95.041173800533784</v>
      </c>
      <c r="C224">
        <v>387.58956956197363</v>
      </c>
    </row>
    <row r="225" spans="1:3" x14ac:dyDescent="0.25">
      <c r="A225" s="18">
        <v>-96</v>
      </c>
      <c r="B225">
        <v>-112.74421305609825</v>
      </c>
      <c r="C225">
        <v>386.19795279780288</v>
      </c>
    </row>
    <row r="226" spans="1:3" x14ac:dyDescent="0.25">
      <c r="A226" s="19">
        <v>-97</v>
      </c>
      <c r="B226">
        <v>-129.99033943875745</v>
      </c>
      <c r="C226">
        <v>384.58440391000198</v>
      </c>
    </row>
    <row r="227" spans="1:3" x14ac:dyDescent="0.25">
      <c r="A227" s="19">
        <v>-98</v>
      </c>
      <c r="B227">
        <v>-148.52397154924483</v>
      </c>
      <c r="C227">
        <v>381.80025828886829</v>
      </c>
    </row>
    <row r="228" spans="1:3" x14ac:dyDescent="0.25">
      <c r="A228" s="18">
        <v>-99</v>
      </c>
      <c r="B228">
        <v>-170.78947514856009</v>
      </c>
      <c r="C228">
        <v>376.48377864325568</v>
      </c>
    </row>
    <row r="229" spans="1:3" x14ac:dyDescent="0.25">
      <c r="A229" s="18">
        <v>-100</v>
      </c>
      <c r="B229">
        <v>-192.45669345050933</v>
      </c>
      <c r="C229">
        <v>371.11125406134124</v>
      </c>
    </row>
    <row r="230" spans="1:3" x14ac:dyDescent="0.25">
      <c r="A230" s="19">
        <v>-101</v>
      </c>
      <c r="B230">
        <v>-213.57829214632724</v>
      </c>
      <c r="C230">
        <v>365.6666252695253</v>
      </c>
    </row>
    <row r="231" spans="1:3" x14ac:dyDescent="0.25">
      <c r="A231" s="19">
        <v>-102</v>
      </c>
      <c r="B231">
        <v>-232.79369550692496</v>
      </c>
      <c r="C231">
        <v>360.52486104448474</v>
      </c>
    </row>
    <row r="232" spans="1:3" x14ac:dyDescent="0.25">
      <c r="A232" s="18">
        <v>-103</v>
      </c>
      <c r="B232">
        <v>-249.73246196746481</v>
      </c>
      <c r="C232">
        <v>355.8445956680485</v>
      </c>
    </row>
    <row r="233" spans="1:3" x14ac:dyDescent="0.25">
      <c r="A233" s="18">
        <v>-104</v>
      </c>
      <c r="B233">
        <v>-264.89475273216834</v>
      </c>
      <c r="C233">
        <v>351.53897191321141</v>
      </c>
    </row>
    <row r="234" spans="1:3" x14ac:dyDescent="0.25">
      <c r="A234" s="19">
        <v>-105</v>
      </c>
      <c r="B234">
        <v>-278.64338014192379</v>
      </c>
      <c r="C234">
        <v>347.54154908297221</v>
      </c>
    </row>
    <row r="235" spans="1:3" x14ac:dyDescent="0.25">
      <c r="A235" s="19">
        <v>-106</v>
      </c>
      <c r="B235">
        <v>-291.24806240793379</v>
      </c>
      <c r="C235">
        <v>343.80011249904788</v>
      </c>
    </row>
    <row r="236" spans="1:3" x14ac:dyDescent="0.25">
      <c r="A236" s="18">
        <v>-107</v>
      </c>
      <c r="B236">
        <v>-302.91369109357487</v>
      </c>
      <c r="C236">
        <v>340.27290213691884</v>
      </c>
    </row>
    <row r="237" spans="1:3" x14ac:dyDescent="0.25">
      <c r="A237" s="18">
        <v>-108</v>
      </c>
      <c r="B237">
        <v>-313.79891565660807</v>
      </c>
      <c r="C237">
        <v>336.9259913610428</v>
      </c>
    </row>
    <row r="238" spans="1:3" x14ac:dyDescent="0.25">
      <c r="A238" s="19">
        <v>-109</v>
      </c>
      <c r="B238">
        <v>-323.97303761176647</v>
      </c>
      <c r="C238">
        <v>333.67214271903168</v>
      </c>
    </row>
    <row r="239" spans="1:3" x14ac:dyDescent="0.25">
      <c r="A239" s="19">
        <v>-110</v>
      </c>
      <c r="B239">
        <v>-332.0172615613979</v>
      </c>
      <c r="C239">
        <v>328.93811585848965</v>
      </c>
    </row>
    <row r="240" spans="1:3" x14ac:dyDescent="0.25">
      <c r="A240" s="18">
        <v>-111</v>
      </c>
      <c r="B240">
        <v>-339.66117949708649</v>
      </c>
      <c r="C240">
        <v>324.50647568177345</v>
      </c>
    </row>
    <row r="241" spans="1:3" x14ac:dyDescent="0.25">
      <c r="A241" s="18">
        <v>-112</v>
      </c>
      <c r="B241">
        <v>-346.9721674841831</v>
      </c>
      <c r="C241">
        <v>320.33660745621029</v>
      </c>
    </row>
    <row r="242" spans="1:3" x14ac:dyDescent="0.25">
      <c r="A242" s="19">
        <v>-113</v>
      </c>
      <c r="B242">
        <v>-354.00529426118044</v>
      </c>
      <c r="C242">
        <v>316.39458743696639</v>
      </c>
    </row>
    <row r="243" spans="1:3" x14ac:dyDescent="0.25">
      <c r="A243" s="19">
        <v>-114</v>
      </c>
      <c r="B243">
        <v>-360.80617485809506</v>
      </c>
      <c r="C243">
        <v>312.65189164953978</v>
      </c>
    </row>
    <row r="244" spans="1:3" x14ac:dyDescent="0.25">
      <c r="A244" s="18">
        <v>-115</v>
      </c>
      <c r="B244">
        <v>-369.31289680311824</v>
      </c>
      <c r="C244">
        <v>307.54854412497548</v>
      </c>
    </row>
    <row r="245" spans="1:3" x14ac:dyDescent="0.25">
      <c r="A245" s="18">
        <v>-116</v>
      </c>
      <c r="B245">
        <v>-378.12680012321999</v>
      </c>
      <c r="C245">
        <v>302.21975171600076</v>
      </c>
    </row>
    <row r="246" spans="1:3" x14ac:dyDescent="0.25">
      <c r="A246" s="19">
        <v>-117</v>
      </c>
      <c r="B246">
        <v>-386.70806424249042</v>
      </c>
      <c r="C246">
        <v>297.1066438939776</v>
      </c>
    </row>
    <row r="247" spans="1:3" x14ac:dyDescent="0.25">
      <c r="A247" s="19">
        <v>-118</v>
      </c>
      <c r="B247">
        <v>-395.09133562858267</v>
      </c>
      <c r="C247">
        <v>292.18483707063194</v>
      </c>
    </row>
    <row r="248" spans="1:3" x14ac:dyDescent="0.25">
      <c r="A248" s="18">
        <v>-119</v>
      </c>
      <c r="B248">
        <v>-403.30687307473062</v>
      </c>
      <c r="C248">
        <v>287.43271945396771</v>
      </c>
    </row>
    <row r="249" spans="1:3" x14ac:dyDescent="0.25">
      <c r="A249" s="18">
        <v>-120</v>
      </c>
      <c r="B249">
        <v>-411.38126868150511</v>
      </c>
      <c r="C249">
        <v>282.83086969233051</v>
      </c>
    </row>
    <row r="250" spans="1:3" x14ac:dyDescent="0.25">
      <c r="A250" s="19">
        <v>-121</v>
      </c>
      <c r="B250">
        <v>-419.33853544710627</v>
      </c>
      <c r="C250">
        <v>278.36218618102367</v>
      </c>
    </row>
    <row r="251" spans="1:3" x14ac:dyDescent="0.25">
      <c r="A251" s="19">
        <v>-122</v>
      </c>
      <c r="B251">
        <v>-427.19979891867632</v>
      </c>
      <c r="C251">
        <v>274.01057484656491</v>
      </c>
    </row>
    <row r="252" spans="1:3" x14ac:dyDescent="0.25">
      <c r="A252" s="18">
        <v>-123</v>
      </c>
      <c r="B252">
        <v>-434.98457916997069</v>
      </c>
      <c r="C252">
        <v>269.76169182843682</v>
      </c>
    </row>
    <row r="253" spans="1:3" x14ac:dyDescent="0.25">
      <c r="A253" s="18">
        <v>-124</v>
      </c>
      <c r="B253">
        <v>-442.71074966969411</v>
      </c>
      <c r="C253">
        <v>265.60224924389928</v>
      </c>
    </row>
    <row r="254" spans="1:3" x14ac:dyDescent="0.25">
      <c r="A254" s="19">
        <v>-125</v>
      </c>
      <c r="B254">
        <v>-449.24836495431481</v>
      </c>
      <c r="C254">
        <v>261.9167893498738</v>
      </c>
    </row>
    <row r="255" spans="1:3" x14ac:dyDescent="0.25">
      <c r="A255" s="19">
        <v>-126</v>
      </c>
      <c r="B255">
        <v>-454.6772204806116</v>
      </c>
      <c r="C255">
        <v>258.67250532048587</v>
      </c>
    </row>
    <row r="256" spans="1:3" x14ac:dyDescent="0.25">
      <c r="A256" s="18">
        <v>-127</v>
      </c>
      <c r="B256">
        <v>-460.08834320406237</v>
      </c>
      <c r="C256">
        <v>255.48643014132682</v>
      </c>
    </row>
    <row r="257" spans="1:3" x14ac:dyDescent="0.25">
      <c r="A257" s="18">
        <v>-128</v>
      </c>
      <c r="B257">
        <v>-465.49356175882093</v>
      </c>
      <c r="C257">
        <v>252.34941379382278</v>
      </c>
    </row>
    <row r="258" spans="1:3" x14ac:dyDescent="0.25">
      <c r="A258" s="19">
        <v>-129</v>
      </c>
      <c r="B258">
        <v>-470.90414140502577</v>
      </c>
      <c r="C258">
        <v>249.25274885614149</v>
      </c>
    </row>
    <row r="259" spans="1:3" x14ac:dyDescent="0.25">
      <c r="A259" s="19">
        <v>-130</v>
      </c>
      <c r="B259">
        <v>-476.33091947727138</v>
      </c>
      <c r="C259">
        <v>246.18806974443834</v>
      </c>
    </row>
    <row r="260" spans="1:3" x14ac:dyDescent="0.25">
      <c r="A260" s="18">
        <v>-131</v>
      </c>
      <c r="B260">
        <v>-481.78443198428204</v>
      </c>
      <c r="C260">
        <v>243.14726179386497</v>
      </c>
    </row>
    <row r="261" spans="1:3" x14ac:dyDescent="0.25">
      <c r="A261" s="18">
        <v>-132</v>
      </c>
      <c r="B261">
        <v>-487.27502855459556</v>
      </c>
      <c r="C261">
        <v>240.12237569509441</v>
      </c>
    </row>
    <row r="262" spans="1:3" x14ac:dyDescent="0.25">
      <c r="A262" s="19">
        <v>-133</v>
      </c>
      <c r="B262">
        <v>-492.81297881212043</v>
      </c>
      <c r="C262">
        <v>237.10554534598708</v>
      </c>
    </row>
    <row r="263" spans="1:3" x14ac:dyDescent="0.25">
      <c r="A263" s="19">
        <v>-134</v>
      </c>
      <c r="B263">
        <v>-498.4085728395155</v>
      </c>
      <c r="C263">
        <v>234.08890731426609</v>
      </c>
    </row>
    <row r="264" spans="1:3" x14ac:dyDescent="0.25">
      <c r="A264" s="18">
        <v>-135</v>
      </c>
      <c r="B264">
        <v>-504.07221808211165</v>
      </c>
      <c r="C264">
        <v>231.06452017464741</v>
      </c>
    </row>
    <row r="265" spans="1:3" x14ac:dyDescent="0.25">
      <c r="A265" s="18">
        <v>-136</v>
      </c>
      <c r="B265">
        <v>-509.11823537586912</v>
      </c>
      <c r="C265">
        <v>227.71492381199815</v>
      </c>
    </row>
    <row r="266" spans="1:3" x14ac:dyDescent="0.25">
      <c r="A266" s="19">
        <v>-137</v>
      </c>
      <c r="B266">
        <v>-513.38807992168825</v>
      </c>
      <c r="C266">
        <v>223.98084096524568</v>
      </c>
    </row>
    <row r="267" spans="1:3" x14ac:dyDescent="0.25">
      <c r="A267" s="19">
        <v>-138</v>
      </c>
      <c r="B267">
        <v>-517.66546193730005</v>
      </c>
      <c r="C267">
        <v>220.20783662323473</v>
      </c>
    </row>
    <row r="268" spans="1:3" x14ac:dyDescent="0.25">
      <c r="A268" s="18">
        <v>-139</v>
      </c>
      <c r="B268">
        <v>-521.95917968138042</v>
      </c>
      <c r="C268">
        <v>216.38818095878435</v>
      </c>
    </row>
    <row r="269" spans="1:3" x14ac:dyDescent="0.25">
      <c r="A269" s="18">
        <v>-140</v>
      </c>
      <c r="B269">
        <v>-526.27647795237738</v>
      </c>
      <c r="C269">
        <v>212.51305365822648</v>
      </c>
    </row>
    <row r="270" spans="1:3" x14ac:dyDescent="0.25">
      <c r="A270" s="19">
        <v>-141</v>
      </c>
      <c r="B270">
        <v>-530.62511892894418</v>
      </c>
      <c r="C270">
        <v>208.57322481805627</v>
      </c>
    </row>
    <row r="271" spans="1:3" x14ac:dyDescent="0.25">
      <c r="A271" s="19">
        <v>-142</v>
      </c>
      <c r="B271">
        <v>-535.01305839054453</v>
      </c>
      <c r="C271">
        <v>204.55879803683783</v>
      </c>
    </row>
    <row r="272" spans="1:3" x14ac:dyDescent="0.25">
      <c r="A272" s="18">
        <v>-143</v>
      </c>
      <c r="B272">
        <v>-539.44851611438798</v>
      </c>
      <c r="C272">
        <v>200.45908977079034</v>
      </c>
    </row>
    <row r="273" spans="1:3" x14ac:dyDescent="0.25">
      <c r="A273" s="18">
        <v>-144</v>
      </c>
      <c r="B273">
        <v>-543.94005109942623</v>
      </c>
      <c r="C273">
        <v>196.26249074333921</v>
      </c>
    </row>
    <row r="274" spans="1:3" x14ac:dyDescent="0.25">
      <c r="A274" s="19">
        <v>-145</v>
      </c>
      <c r="B274">
        <v>-548.49664323654383</v>
      </c>
      <c r="C274">
        <v>191.95630538745178</v>
      </c>
    </row>
    <row r="275" spans="1:3" x14ac:dyDescent="0.25">
      <c r="A275" s="19">
        <v>-146</v>
      </c>
      <c r="B275">
        <v>-553.12778327999786</v>
      </c>
      <c r="C275">
        <v>187.52656437561953</v>
      </c>
    </row>
    <row r="276" spans="1:3" x14ac:dyDescent="0.25">
      <c r="A276" s="18">
        <v>-147</v>
      </c>
      <c r="B276">
        <v>-557.84357328787883</v>
      </c>
      <c r="C276">
        <v>182.95780410381562</v>
      </c>
    </row>
    <row r="277" spans="1:3" x14ac:dyDescent="0.25">
      <c r="A277" s="18">
        <v>-148</v>
      </c>
      <c r="B277">
        <v>-562.65425624471186</v>
      </c>
      <c r="C277">
        <v>178.23263818339842</v>
      </c>
    </row>
    <row r="278" spans="1:3" x14ac:dyDescent="0.25">
      <c r="A278" s="19">
        <v>-149</v>
      </c>
      <c r="B278">
        <v>-565.21134488523217</v>
      </c>
      <c r="C278">
        <v>174.15426746167856</v>
      </c>
    </row>
    <row r="279" spans="1:3" x14ac:dyDescent="0.25">
      <c r="A279" s="19">
        <v>-150</v>
      </c>
      <c r="B279">
        <v>-563.1743421044265</v>
      </c>
      <c r="C279">
        <v>169.92036147750341</v>
      </c>
    </row>
    <row r="280" spans="1:3" x14ac:dyDescent="0.25">
      <c r="A280" s="18">
        <v>-151</v>
      </c>
      <c r="B280">
        <v>-569.84869133027939</v>
      </c>
      <c r="C280">
        <v>166.06679305890248</v>
      </c>
    </row>
    <row r="281" spans="1:3" x14ac:dyDescent="0.25">
      <c r="A281" s="18">
        <v>-152</v>
      </c>
      <c r="B281">
        <v>-572.5225208458063</v>
      </c>
      <c r="C281">
        <v>161.48849053674616</v>
      </c>
    </row>
    <row r="282" spans="1:3" x14ac:dyDescent="0.25">
      <c r="A282" s="19">
        <v>-153</v>
      </c>
      <c r="B282">
        <v>-575.24510994674631</v>
      </c>
      <c r="C282">
        <v>156.71353655801789</v>
      </c>
    </row>
    <row r="283" spans="1:3" x14ac:dyDescent="0.25">
      <c r="A283" s="19">
        <v>-154</v>
      </c>
      <c r="B283">
        <v>-578.02431523479925</v>
      </c>
      <c r="C283">
        <v>151.71604023099411</v>
      </c>
    </row>
    <row r="284" spans="1:3" x14ac:dyDescent="0.25">
      <c r="A284" s="18">
        <v>-155</v>
      </c>
      <c r="B284">
        <v>-580.87143188096036</v>
      </c>
      <c r="C284">
        <v>146.46633640664899</v>
      </c>
    </row>
    <row r="285" spans="1:3" x14ac:dyDescent="0.25">
      <c r="A285" s="18">
        <v>-156</v>
      </c>
      <c r="B285">
        <v>-583.79496033320549</v>
      </c>
      <c r="C285">
        <v>140.92956290391098</v>
      </c>
    </row>
    <row r="286" spans="1:3" x14ac:dyDescent="0.25">
      <c r="A286" s="19">
        <v>-157</v>
      </c>
      <c r="B286">
        <v>-586.80710962989792</v>
      </c>
      <c r="C286">
        <v>135.06545622806618</v>
      </c>
    </row>
    <row r="287" spans="1:3" x14ac:dyDescent="0.25">
      <c r="A287" s="19">
        <v>-158</v>
      </c>
      <c r="B287">
        <v>-589.81739370892092</v>
      </c>
      <c r="C287">
        <v>129.04584155498705</v>
      </c>
    </row>
    <row r="288" spans="1:3" x14ac:dyDescent="0.25">
      <c r="A288" s="18">
        <v>-159</v>
      </c>
      <c r="B288">
        <v>-592.74665856675358</v>
      </c>
      <c r="C288">
        <v>123.03767438527694</v>
      </c>
    </row>
    <row r="289" spans="1:3" x14ac:dyDescent="0.25">
      <c r="A289" s="18">
        <v>-160</v>
      </c>
      <c r="B289">
        <v>-595.60193612112892</v>
      </c>
      <c r="C289">
        <v>117.03407001576876</v>
      </c>
    </row>
    <row r="290" spans="1:3" x14ac:dyDescent="0.25">
      <c r="A290" s="19">
        <v>-161</v>
      </c>
      <c r="B290">
        <v>-598.38998721852977</v>
      </c>
      <c r="C290">
        <v>111.02808078311305</v>
      </c>
    </row>
    <row r="291" spans="1:3" x14ac:dyDescent="0.25">
      <c r="A291" s="19">
        <v>-162</v>
      </c>
      <c r="B291">
        <v>-601.11734977584911</v>
      </c>
      <c r="C291">
        <v>105.01265946605237</v>
      </c>
    </row>
    <row r="292" spans="1:3" x14ac:dyDescent="0.25">
      <c r="A292" s="18">
        <v>-163</v>
      </c>
      <c r="B292">
        <v>-603.79038230103663</v>
      </c>
      <c r="C292">
        <v>98.980620850569778</v>
      </c>
    </row>
    <row r="293" spans="1:3" x14ac:dyDescent="0.25">
      <c r="A293" s="18">
        <v>-164</v>
      </c>
      <c r="B293">
        <v>-606.41530648584637</v>
      </c>
      <c r="C293">
        <v>92.924601116406947</v>
      </c>
    </row>
    <row r="294" spans="1:3" x14ac:dyDescent="0.25">
      <c r="A294" s="19">
        <v>-165</v>
      </c>
      <c r="B294">
        <v>-608.99824942487794</v>
      </c>
      <c r="C294">
        <v>86.837014508520085</v>
      </c>
    </row>
    <row r="295" spans="1:3" x14ac:dyDescent="0.25">
      <c r="A295" s="19">
        <v>-166</v>
      </c>
      <c r="B295">
        <v>-611.54528602556286</v>
      </c>
      <c r="C295">
        <v>80.710006692770975</v>
      </c>
    </row>
    <row r="296" spans="1:3" x14ac:dyDescent="0.25">
      <c r="A296" s="18">
        <v>-167</v>
      </c>
      <c r="B296">
        <v>-614.06248219726251</v>
      </c>
      <c r="C296">
        <v>74.535404115761281</v>
      </c>
    </row>
    <row r="297" spans="1:3" x14ac:dyDescent="0.25">
      <c r="A297" s="18">
        <v>-168</v>
      </c>
      <c r="B297">
        <v>-616.55593944534428</v>
      </c>
      <c r="C297">
        <v>68.304658591356372</v>
      </c>
    </row>
    <row r="298" spans="1:3" x14ac:dyDescent="0.25">
      <c r="A298" s="19">
        <v>-169</v>
      </c>
      <c r="B298">
        <v>-619.03184154981898</v>
      </c>
      <c r="C298">
        <v>62.008786217486929</v>
      </c>
    </row>
    <row r="299" spans="1:3" x14ac:dyDescent="0.25">
      <c r="A299" s="19">
        <v>-170</v>
      </c>
      <c r="B299">
        <v>-621.4965040802565</v>
      </c>
      <c r="C299">
        <v>55.638299581695307</v>
      </c>
    </row>
    <row r="300" spans="1:3" x14ac:dyDescent="0.25">
      <c r="A300" s="18">
        <v>-171</v>
      </c>
      <c r="B300">
        <v>-623.95642759251507</v>
      </c>
      <c r="C300">
        <v>49.183132036869473</v>
      </c>
    </row>
    <row r="301" spans="1:3" x14ac:dyDescent="0.25">
      <c r="A301" s="18">
        <v>-172</v>
      </c>
      <c r="B301">
        <v>-626.41835547256846</v>
      </c>
      <c r="C301">
        <v>42.632552612381026</v>
      </c>
    </row>
    <row r="302" spans="1:3" x14ac:dyDescent="0.25">
      <c r="A302" s="19">
        <v>-173</v>
      </c>
      <c r="B302">
        <v>-628.8893375438538</v>
      </c>
      <c r="C302">
        <v>35.975069861200488</v>
      </c>
    </row>
    <row r="303" spans="1:3" x14ac:dyDescent="0.25">
      <c r="A303" s="19">
        <v>-174</v>
      </c>
      <c r="B303">
        <v>-631.3760867474773</v>
      </c>
      <c r="C303">
        <v>29.198235897232255</v>
      </c>
    </row>
    <row r="304" spans="1:3" x14ac:dyDescent="0.25">
      <c r="A304" s="18">
        <v>-175</v>
      </c>
      <c r="B304">
        <v>-631.72216874816479</v>
      </c>
      <c r="C304">
        <v>26.433220379348327</v>
      </c>
    </row>
    <row r="305" spans="1:3" x14ac:dyDescent="0.25">
      <c r="A305" s="18">
        <v>-176</v>
      </c>
      <c r="B305">
        <v>-632.04791480674692</v>
      </c>
      <c r="C305">
        <v>21.343287825174638</v>
      </c>
    </row>
    <row r="306" spans="1:3" x14ac:dyDescent="0.25">
      <c r="A306" s="19">
        <v>-177</v>
      </c>
      <c r="B306">
        <v>-632.30860505678652</v>
      </c>
      <c r="C306">
        <v>16.169504273143072</v>
      </c>
    </row>
    <row r="307" spans="1:3" x14ac:dyDescent="0.25">
      <c r="A307" s="19">
        <v>-178</v>
      </c>
      <c r="B307">
        <v>-632.50485580480597</v>
      </c>
      <c r="C307">
        <v>10.898348876455</v>
      </c>
    </row>
    <row r="308" spans="1:3" x14ac:dyDescent="0.25">
      <c r="A308" s="18">
        <v>-179</v>
      </c>
      <c r="B308">
        <v>-632.63712810858999</v>
      </c>
      <c r="C308">
        <v>5.5144190144326819</v>
      </c>
    </row>
    <row r="309" spans="1:3" x14ac:dyDescent="0.25">
      <c r="A309" s="18">
        <v>-180</v>
      </c>
      <c r="B309">
        <v>-632.70572783987564</v>
      </c>
      <c r="C309">
        <v>3.9146536949258656E-14</v>
      </c>
    </row>
    <row r="310" spans="1:3" x14ac:dyDescent="0.25">
      <c r="A310" s="19">
        <v>-181</v>
      </c>
      <c r="B310">
        <v>-632.63712745512623</v>
      </c>
      <c r="C310">
        <v>-5.5144190167258875</v>
      </c>
    </row>
    <row r="311" spans="1:3" x14ac:dyDescent="0.25">
      <c r="A311" s="19">
        <v>-182</v>
      </c>
      <c r="B311">
        <v>-632.50485534702295</v>
      </c>
      <c r="C311">
        <v>-10.898348879476066</v>
      </c>
    </row>
    <row r="312" spans="1:3" x14ac:dyDescent="0.25">
      <c r="A312" s="18">
        <v>-183</v>
      </c>
      <c r="B312">
        <v>-632.30860473380619</v>
      </c>
      <c r="C312">
        <v>-16.16950427615631</v>
      </c>
    </row>
    <row r="313" spans="1:3" x14ac:dyDescent="0.25">
      <c r="A313" s="18">
        <v>-184</v>
      </c>
      <c r="B313">
        <v>-632.04791457748706</v>
      </c>
      <c r="C313">
        <v>-21.343287827867972</v>
      </c>
    </row>
    <row r="314" spans="1:3" x14ac:dyDescent="0.25">
      <c r="A314" s="19">
        <v>-185</v>
      </c>
      <c r="B314">
        <v>-631.72213404592276</v>
      </c>
      <c r="C314">
        <v>-26.433220861581624</v>
      </c>
    </row>
    <row r="315" spans="1:3" x14ac:dyDescent="0.25">
      <c r="A315" s="19">
        <v>-186</v>
      </c>
      <c r="B315">
        <v>-631.37604333597847</v>
      </c>
      <c r="C315">
        <v>-29.198230624504529</v>
      </c>
    </row>
    <row r="316" spans="1:3" x14ac:dyDescent="0.25">
      <c r="A316" s="18">
        <v>-187</v>
      </c>
      <c r="B316">
        <v>-628.88868670917009</v>
      </c>
      <c r="C316">
        <v>-35.974995298505149</v>
      </c>
    </row>
    <row r="317" spans="1:3" x14ac:dyDescent="0.25">
      <c r="A317" s="18">
        <v>-188</v>
      </c>
      <c r="B317">
        <v>-626.41714945028832</v>
      </c>
      <c r="C317">
        <v>-42.632422228063724</v>
      </c>
    </row>
    <row r="318" spans="1:3" x14ac:dyDescent="0.25">
      <c r="A318" s="19">
        <v>-189</v>
      </c>
      <c r="B318">
        <v>-623.95539845307951</v>
      </c>
      <c r="C318">
        <v>-49.183027002667934</v>
      </c>
    </row>
    <row r="319" spans="1:3" x14ac:dyDescent="0.25">
      <c r="A319" s="19">
        <v>-190</v>
      </c>
      <c r="B319">
        <v>-621.49562763370545</v>
      </c>
      <c r="C319">
        <v>-55.638215110956601</v>
      </c>
    </row>
    <row r="320" spans="1:3" x14ac:dyDescent="0.25">
      <c r="A320" s="18">
        <v>-191</v>
      </c>
      <c r="B320">
        <v>-619.03109677762359</v>
      </c>
      <c r="C320">
        <v>-62.008718416259832</v>
      </c>
    </row>
    <row r="321" spans="1:3" x14ac:dyDescent="0.25">
      <c r="A321" s="18">
        <v>-192</v>
      </c>
      <c r="B321">
        <v>-616.55530817057945</v>
      </c>
      <c r="C321">
        <v>-68.304604298044694</v>
      </c>
    </row>
    <row r="322" spans="1:3" x14ac:dyDescent="0.25">
      <c r="A322" s="19">
        <v>-193</v>
      </c>
      <c r="B322">
        <v>-614.06194868433704</v>
      </c>
      <c r="C322">
        <v>-74.535360760750734</v>
      </c>
    </row>
    <row r="323" spans="1:3" x14ac:dyDescent="0.25">
      <c r="A323" s="19">
        <v>-194</v>
      </c>
      <c r="B323">
        <v>-611.54483664024906</v>
      </c>
      <c r="C323">
        <v>-80.709972185976653</v>
      </c>
    </row>
    <row r="324" spans="1:3" x14ac:dyDescent="0.25">
      <c r="A324" s="18">
        <v>-195</v>
      </c>
      <c r="B324">
        <v>-608.99787234491907</v>
      </c>
      <c r="C324">
        <v>-86.836987149037384</v>
      </c>
    </row>
    <row r="325" spans="1:3" x14ac:dyDescent="0.25">
      <c r="A325" s="18">
        <v>-196</v>
      </c>
      <c r="B325">
        <v>-606.41499145406749</v>
      </c>
      <c r="C325">
        <v>-92.924579519725441</v>
      </c>
    </row>
    <row r="326" spans="1:3" x14ac:dyDescent="0.25">
      <c r="A326" s="19">
        <v>-197</v>
      </c>
      <c r="B326">
        <v>-603.79012041426836</v>
      </c>
      <c r="C326">
        <v>-98.980603889786707</v>
      </c>
    </row>
    <row r="327" spans="1:3" x14ac:dyDescent="0.25">
      <c r="A327" s="19">
        <v>-198</v>
      </c>
      <c r="B327">
        <v>-601.11713330410203</v>
      </c>
      <c r="C327">
        <v>-105.01264622427874</v>
      </c>
    </row>
    <row r="328" spans="1:3" x14ac:dyDescent="0.25">
      <c r="A328" s="18">
        <v>-199</v>
      </c>
      <c r="B328">
        <v>-598.38980944977516</v>
      </c>
      <c r="C328">
        <v>-111.02807051485887</v>
      </c>
    </row>
    <row r="329" spans="1:3" x14ac:dyDescent="0.25">
      <c r="A329" s="18">
        <v>-200</v>
      </c>
      <c r="B329">
        <v>-595.60179122781233</v>
      </c>
      <c r="C329">
        <v>-117.03406211554652</v>
      </c>
    </row>
    <row r="330" spans="1:3" x14ac:dyDescent="0.25">
      <c r="A330" s="19">
        <v>-201</v>
      </c>
      <c r="B330">
        <v>-592.74654149078253</v>
      </c>
      <c r="C330">
        <v>-123.03766836202858</v>
      </c>
    </row>
    <row r="331" spans="1:3" x14ac:dyDescent="0.25">
      <c r="A331" s="19">
        <v>-202</v>
      </c>
      <c r="B331">
        <v>-589.81730006247437</v>
      </c>
      <c r="C331">
        <v>-129.04583701122007</v>
      </c>
    </row>
    <row r="332" spans="1:3" x14ac:dyDescent="0.25">
      <c r="A332" s="18">
        <v>-203</v>
      </c>
      <c r="B332">
        <v>-586.80707812939522</v>
      </c>
      <c r="C332">
        <v>-135.06545478741276</v>
      </c>
    </row>
    <row r="333" spans="1:3" x14ac:dyDescent="0.25">
      <c r="A333" s="18">
        <v>-204</v>
      </c>
      <c r="B333">
        <v>-583.79495971678534</v>
      </c>
      <c r="C333">
        <v>-140.92956286694618</v>
      </c>
    </row>
    <row r="334" spans="1:3" x14ac:dyDescent="0.25">
      <c r="A334" s="19">
        <v>-205</v>
      </c>
      <c r="B334">
        <v>-580.8714315197841</v>
      </c>
      <c r="C334">
        <v>-146.46633637989083</v>
      </c>
    </row>
    <row r="335" spans="1:3" x14ac:dyDescent="0.25">
      <c r="A335" s="19">
        <v>-206</v>
      </c>
      <c r="B335">
        <v>-578.02495644643648</v>
      </c>
      <c r="C335">
        <v>-151.7160963081341</v>
      </c>
    </row>
    <row r="336" spans="1:3" x14ac:dyDescent="0.25">
      <c r="A336" s="18">
        <v>-207</v>
      </c>
      <c r="B336">
        <v>-575.24511010502169</v>
      </c>
      <c r="C336">
        <v>-156.71353657387039</v>
      </c>
    </row>
    <row r="337" spans="1:3" x14ac:dyDescent="0.25">
      <c r="A337" s="18">
        <v>-208</v>
      </c>
      <c r="B337">
        <v>-572.52203270284701</v>
      </c>
      <c r="C337">
        <v>-161.4884357319294</v>
      </c>
    </row>
    <row r="338" spans="1:3" x14ac:dyDescent="0.25">
      <c r="A338" s="19">
        <v>-209</v>
      </c>
      <c r="B338">
        <v>-569.8486992854514</v>
      </c>
      <c r="C338">
        <v>-166.06679404423735</v>
      </c>
    </row>
    <row r="339" spans="1:3" x14ac:dyDescent="0.25">
      <c r="A339" s="19">
        <v>-210</v>
      </c>
      <c r="B339">
        <v>-567.21584839032357</v>
      </c>
      <c r="C339">
        <v>-170.47096831456949</v>
      </c>
    </row>
    <row r="340" spans="1:3" x14ac:dyDescent="0.25">
      <c r="A340" s="18">
        <v>-211</v>
      </c>
      <c r="B340">
        <v>-564.61681693442517</v>
      </c>
      <c r="C340">
        <v>-174.72078337855623</v>
      </c>
    </row>
    <row r="341" spans="1:3" x14ac:dyDescent="0.25">
      <c r="A341" s="18">
        <v>-212</v>
      </c>
      <c r="B341">
        <v>-562.65466602743709</v>
      </c>
      <c r="C341">
        <v>-178.23275558591112</v>
      </c>
    </row>
    <row r="342" spans="1:3" x14ac:dyDescent="0.25">
      <c r="A342" s="19">
        <v>-213</v>
      </c>
      <c r="B342">
        <v>-557.84356763794813</v>
      </c>
      <c r="C342">
        <v>-182.95780242398942</v>
      </c>
    </row>
    <row r="343" spans="1:3" x14ac:dyDescent="0.25">
      <c r="A343" s="19">
        <v>-214</v>
      </c>
      <c r="B343">
        <v>-553.12777689769689</v>
      </c>
      <c r="C343">
        <v>-187.52656241201851</v>
      </c>
    </row>
    <row r="344" spans="1:3" x14ac:dyDescent="0.25">
      <c r="A344" s="18">
        <v>-215</v>
      </c>
      <c r="B344">
        <v>-548.49663628385224</v>
      </c>
      <c r="C344">
        <v>-191.95630317939572</v>
      </c>
    </row>
    <row r="345" spans="1:3" x14ac:dyDescent="0.25">
      <c r="A345" s="18">
        <v>-216</v>
      </c>
      <c r="B345">
        <v>-543.94004377035856</v>
      </c>
      <c r="C345">
        <v>-196.26248834585775</v>
      </c>
    </row>
    <row r="346" spans="1:3" x14ac:dyDescent="0.25">
      <c r="A346" s="19">
        <v>-217</v>
      </c>
      <c r="B346">
        <v>-539.44850863184286</v>
      </c>
      <c r="C346">
        <v>-200.45908725431295</v>
      </c>
    </row>
    <row r="347" spans="1:3" x14ac:dyDescent="0.25">
      <c r="A347" s="19">
        <v>-218</v>
      </c>
      <c r="B347">
        <v>-535.0130510039038</v>
      </c>
      <c r="C347">
        <v>-204.55879548696967</v>
      </c>
    </row>
    <row r="348" spans="1:3" x14ac:dyDescent="0.25">
      <c r="A348" s="18">
        <v>-219</v>
      </c>
      <c r="B348">
        <v>-530.62511191242629</v>
      </c>
      <c r="C348">
        <v>-208.57322233551196</v>
      </c>
    </row>
    <row r="349" spans="1:3" x14ac:dyDescent="0.25">
      <c r="A349" s="18">
        <v>-220</v>
      </c>
      <c r="B349">
        <v>-526.2764716040225</v>
      </c>
      <c r="C349">
        <v>-212.51305135892858</v>
      </c>
    </row>
    <row r="350" spans="1:3" x14ac:dyDescent="0.25">
      <c r="A350" s="19">
        <v>-221</v>
      </c>
      <c r="B350">
        <v>-521.95917432257022</v>
      </c>
      <c r="C350">
        <v>-216.38817897414305</v>
      </c>
    </row>
    <row r="351" spans="1:3" x14ac:dyDescent="0.25">
      <c r="A351" s="19">
        <v>-222</v>
      </c>
      <c r="B351">
        <v>-517.66545791169222</v>
      </c>
      <c r="C351">
        <v>-220.20783510021724</v>
      </c>
    </row>
    <row r="352" spans="1:3" x14ac:dyDescent="0.25">
      <c r="A352" s="18">
        <v>-223</v>
      </c>
      <c r="B352">
        <v>-513.3876596635713</v>
      </c>
      <c r="C352">
        <v>-223.98067867878419</v>
      </c>
    </row>
    <row r="353" spans="1:3" x14ac:dyDescent="0.25">
      <c r="A353" s="18">
        <v>-224</v>
      </c>
      <c r="B353">
        <v>-509.11821999794387</v>
      </c>
      <c r="C353">
        <v>-227.71491775527531</v>
      </c>
    </row>
    <row r="354" spans="1:3" x14ac:dyDescent="0.25">
      <c r="A354" s="19">
        <v>-225</v>
      </c>
      <c r="B354">
        <v>-504.07226969392559</v>
      </c>
      <c r="C354">
        <v>-231.06453728316868</v>
      </c>
    </row>
    <row r="355" spans="1:3" x14ac:dyDescent="0.25">
      <c r="A355" s="19">
        <v>-226</v>
      </c>
      <c r="B355">
        <v>-498.40860687164451</v>
      </c>
      <c r="C355">
        <v>-234.08891871972872</v>
      </c>
    </row>
    <row r="356" spans="1:3" x14ac:dyDescent="0.25">
      <c r="A356" s="18">
        <v>-227</v>
      </c>
      <c r="B356">
        <v>-492.81303409360567</v>
      </c>
      <c r="C356">
        <v>-237.10556406083984</v>
      </c>
    </row>
    <row r="357" spans="1:3" x14ac:dyDescent="0.25">
      <c r="A357" s="18">
        <v>-228</v>
      </c>
      <c r="B357">
        <v>-487.27509377577712</v>
      </c>
      <c r="C357">
        <v>-240.12239798219125</v>
      </c>
    </row>
    <row r="358" spans="1:3" x14ac:dyDescent="0.25">
      <c r="A358" s="19">
        <v>-229</v>
      </c>
      <c r="B358">
        <v>-481.78450385093208</v>
      </c>
      <c r="C358">
        <v>-243.14728656663894</v>
      </c>
    </row>
    <row r="359" spans="1:3" x14ac:dyDescent="0.25">
      <c r="A359" s="19">
        <v>-230</v>
      </c>
      <c r="B359">
        <v>-476.33099500340847</v>
      </c>
      <c r="C359">
        <v>-246.18809599252162</v>
      </c>
    </row>
    <row r="360" spans="1:3" x14ac:dyDescent="0.25">
      <c r="A360" s="18">
        <v>-231</v>
      </c>
      <c r="B360">
        <v>-470.90421789870783</v>
      </c>
      <c r="C360">
        <v>-249.25277564746366</v>
      </c>
    </row>
    <row r="361" spans="1:3" x14ac:dyDescent="0.25">
      <c r="A361" s="18">
        <v>-232</v>
      </c>
      <c r="B361">
        <v>-465.49363681505156</v>
      </c>
      <c r="C361">
        <v>-252.34944027773298</v>
      </c>
    </row>
    <row r="362" spans="1:3" x14ac:dyDescent="0.25">
      <c r="A362" s="19">
        <v>-233</v>
      </c>
      <c r="B362">
        <v>-460.08841470461618</v>
      </c>
      <c r="C362">
        <v>-255.48645555298054</v>
      </c>
    </row>
    <row r="363" spans="1:3" x14ac:dyDescent="0.25">
      <c r="A363" s="19">
        <v>-234</v>
      </c>
      <c r="B363">
        <v>-454.6772866013518</v>
      </c>
      <c r="C363">
        <v>-258.67252898697836</v>
      </c>
    </row>
    <row r="364" spans="1:3" x14ac:dyDescent="0.25">
      <c r="A364" s="18">
        <v>-235</v>
      </c>
      <c r="B364">
        <v>-449.24841771619248</v>
      </c>
      <c r="C364">
        <v>-261.91680836843625</v>
      </c>
    </row>
    <row r="365" spans="1:3" x14ac:dyDescent="0.25">
      <c r="A365" s="18">
        <v>-236</v>
      </c>
      <c r="B365">
        <v>-442.71074734058743</v>
      </c>
      <c r="C365">
        <v>-265.60224616799752</v>
      </c>
    </row>
    <row r="366" spans="1:3" x14ac:dyDescent="0.25">
      <c r="A366" s="19">
        <v>-237</v>
      </c>
      <c r="B366">
        <v>-434.98458903839452</v>
      </c>
      <c r="C366">
        <v>-269.76170451147073</v>
      </c>
    </row>
    <row r="367" spans="1:3" x14ac:dyDescent="0.25">
      <c r="A367" s="19">
        <v>-238</v>
      </c>
      <c r="B367">
        <v>-427.19980468188686</v>
      </c>
      <c r="C367">
        <v>-274.01058205689748</v>
      </c>
    </row>
    <row r="368" spans="1:3" x14ac:dyDescent="0.25">
      <c r="A368" s="18">
        <v>-239</v>
      </c>
      <c r="B368">
        <v>-419.33853795603164</v>
      </c>
      <c r="C368">
        <v>-278.36218923770241</v>
      </c>
    </row>
    <row r="369" spans="1:3" x14ac:dyDescent="0.25">
      <c r="A369" s="18">
        <v>-240</v>
      </c>
      <c r="B369">
        <v>-411.38135379124196</v>
      </c>
      <c r="C369">
        <v>-282.83097071196869</v>
      </c>
    </row>
    <row r="370" spans="1:3" x14ac:dyDescent="0.25">
      <c r="A370" s="19">
        <v>-241</v>
      </c>
      <c r="B370">
        <v>-403.30695249992709</v>
      </c>
      <c r="C370">
        <v>-287.43281134787605</v>
      </c>
    </row>
    <row r="371" spans="1:3" x14ac:dyDescent="0.25">
      <c r="A371" s="19">
        <v>-242</v>
      </c>
      <c r="B371">
        <v>-395.09133939661302</v>
      </c>
      <c r="C371">
        <v>-292.18484132302865</v>
      </c>
    </row>
    <row r="372" spans="1:3" x14ac:dyDescent="0.25">
      <c r="A372" s="18">
        <v>-243</v>
      </c>
      <c r="B372">
        <v>-386.70807484850769</v>
      </c>
      <c r="C372">
        <v>-297.10665557858283</v>
      </c>
    </row>
    <row r="373" spans="1:3" x14ac:dyDescent="0.25">
      <c r="A373" s="18">
        <v>-244</v>
      </c>
      <c r="B373">
        <v>-378.1268226815032</v>
      </c>
      <c r="C373">
        <v>-302.21977600091054</v>
      </c>
    </row>
    <row r="374" spans="1:3" x14ac:dyDescent="0.25">
      <c r="A374" s="19">
        <v>-245</v>
      </c>
      <c r="B374">
        <v>-369.3129099360637</v>
      </c>
      <c r="C374">
        <v>-307.54855795678202</v>
      </c>
    </row>
    <row r="375" spans="1:3" x14ac:dyDescent="0.25">
      <c r="A375" s="19">
        <v>-246</v>
      </c>
      <c r="B375">
        <v>-360.80618647356482</v>
      </c>
      <c r="C375">
        <v>-312.65205323413346</v>
      </c>
    </row>
    <row r="376" spans="1:3" x14ac:dyDescent="0.25">
      <c r="A376" s="18">
        <v>-247</v>
      </c>
      <c r="B376">
        <v>-354.00531834723716</v>
      </c>
      <c r="C376">
        <v>-316.3949682795357</v>
      </c>
    </row>
    <row r="377" spans="1:3" x14ac:dyDescent="0.25">
      <c r="A377" s="18">
        <v>-248</v>
      </c>
      <c r="B377">
        <v>-346.97217920053777</v>
      </c>
      <c r="C377">
        <v>-320.33682674001125</v>
      </c>
    </row>
    <row r="378" spans="1:3" x14ac:dyDescent="0.25">
      <c r="A378" s="19">
        <v>-249</v>
      </c>
      <c r="B378">
        <v>-339.6611795003945</v>
      </c>
      <c r="C378">
        <v>-324.50647576012375</v>
      </c>
    </row>
    <row r="379" spans="1:3" x14ac:dyDescent="0.25">
      <c r="A379" s="19">
        <v>-250</v>
      </c>
      <c r="B379">
        <v>-332.01726773971797</v>
      </c>
      <c r="C379">
        <v>-328.93832653230032</v>
      </c>
    </row>
    <row r="380" spans="1:3" x14ac:dyDescent="0.25">
      <c r="A380" s="18">
        <v>-251</v>
      </c>
      <c r="B380">
        <v>-323.97303761298514</v>
      </c>
      <c r="C380">
        <v>-333.67214280349378</v>
      </c>
    </row>
    <row r="381" spans="1:3" x14ac:dyDescent="0.25">
      <c r="A381" s="18">
        <v>-252</v>
      </c>
      <c r="B381">
        <v>-313.79892733737734</v>
      </c>
      <c r="C381">
        <v>-336.9260181011673</v>
      </c>
    </row>
    <row r="382" spans="1:3" x14ac:dyDescent="0.25">
      <c r="A382" s="19">
        <v>-253</v>
      </c>
      <c r="B382">
        <v>-302.91368328404593</v>
      </c>
      <c r="C382">
        <v>-340.27288297328914</v>
      </c>
    </row>
    <row r="383" spans="1:3" x14ac:dyDescent="0.25">
      <c r="A383" s="19">
        <v>-254</v>
      </c>
      <c r="B383">
        <v>-291.24814375802725</v>
      </c>
      <c r="C383">
        <v>-343.80032920773402</v>
      </c>
    </row>
    <row r="384" spans="1:3" x14ac:dyDescent="0.25">
      <c r="A384" s="18">
        <v>-255</v>
      </c>
      <c r="B384">
        <v>-278.64348330811617</v>
      </c>
      <c r="C384">
        <v>-347.54185266721038</v>
      </c>
    </row>
    <row r="385" spans="1:3" x14ac:dyDescent="0.25">
      <c r="A385" s="18">
        <v>-256</v>
      </c>
      <c r="B385">
        <v>-264.89487235369143</v>
      </c>
      <c r="C385">
        <v>-351.53937057700637</v>
      </c>
    </row>
    <row r="386" spans="1:3" x14ac:dyDescent="0.25">
      <c r="A386" s="19">
        <v>-257</v>
      </c>
      <c r="B386">
        <v>-249.73259627038388</v>
      </c>
      <c r="C386">
        <v>-355.84512219246096</v>
      </c>
    </row>
    <row r="387" spans="1:3" x14ac:dyDescent="0.25">
      <c r="A387" s="19">
        <v>-258</v>
      </c>
      <c r="B387">
        <v>-232.79383828193315</v>
      </c>
      <c r="C387">
        <v>-360.52556241144231</v>
      </c>
    </row>
    <row r="388" spans="1:3" x14ac:dyDescent="0.25">
      <c r="A388" s="18">
        <v>-259</v>
      </c>
      <c r="B388">
        <v>-213.5782921642321</v>
      </c>
      <c r="C388">
        <v>-365.66662539406519</v>
      </c>
    </row>
    <row r="389" spans="1:3" x14ac:dyDescent="0.25">
      <c r="A389" s="18">
        <v>-260</v>
      </c>
      <c r="B389">
        <v>-192.45669367744088</v>
      </c>
      <c r="C389">
        <v>-371.11125556175347</v>
      </c>
    </row>
    <row r="390" spans="1:3" x14ac:dyDescent="0.25">
      <c r="A390" s="19">
        <v>-261</v>
      </c>
      <c r="B390">
        <v>-170.7894754956383</v>
      </c>
      <c r="C390">
        <v>-376.48378066287381</v>
      </c>
    </row>
    <row r="391" spans="1:3" x14ac:dyDescent="0.25">
      <c r="A391" s="19">
        <v>-262</v>
      </c>
      <c r="B391">
        <v>-148.52396633583237</v>
      </c>
      <c r="C391">
        <v>-381.80023154786977</v>
      </c>
    </row>
    <row r="392" spans="1:3" x14ac:dyDescent="0.25">
      <c r="A392" s="18">
        <v>-263</v>
      </c>
      <c r="B392">
        <v>-129.99034273767782</v>
      </c>
      <c r="C392">
        <v>-384.58436679321659</v>
      </c>
    </row>
    <row r="393" spans="1:3" x14ac:dyDescent="0.25">
      <c r="A393" s="18">
        <v>-264</v>
      </c>
      <c r="B393">
        <v>-112.74421305333297</v>
      </c>
      <c r="C393">
        <v>-386.19795283124023</v>
      </c>
    </row>
    <row r="394" spans="1:3" x14ac:dyDescent="0.25">
      <c r="A394" s="19">
        <v>-265</v>
      </c>
      <c r="B394">
        <v>-95.04117348428997</v>
      </c>
      <c r="C394">
        <v>-387.58957377671624</v>
      </c>
    </row>
    <row r="395" spans="1:3" x14ac:dyDescent="0.25">
      <c r="A395" s="19">
        <v>-266</v>
      </c>
      <c r="B395">
        <v>-81.413114778856311</v>
      </c>
      <c r="C395">
        <v>-388.56244795953444</v>
      </c>
    </row>
    <row r="396" spans="1:3" x14ac:dyDescent="0.25">
      <c r="A396" s="18">
        <v>-267</v>
      </c>
      <c r="B396">
        <v>-62.463567808003745</v>
      </c>
      <c r="C396">
        <v>-389.5303393321206</v>
      </c>
    </row>
    <row r="397" spans="1:3" x14ac:dyDescent="0.25">
      <c r="A397" s="18">
        <v>-268</v>
      </c>
      <c r="B397">
        <v>-42.703010465613765</v>
      </c>
      <c r="C397">
        <v>-390.28470611825503</v>
      </c>
    </row>
    <row r="398" spans="1:3" x14ac:dyDescent="0.25">
      <c r="A398" s="19">
        <v>-269</v>
      </c>
      <c r="B398">
        <v>-21.95584022137767</v>
      </c>
      <c r="C398">
        <v>-390.82705924367031</v>
      </c>
    </row>
    <row r="399" spans="1:3" x14ac:dyDescent="0.25">
      <c r="A399" s="19">
        <v>-270</v>
      </c>
      <c r="B399">
        <v>5.7781887852882836E-5</v>
      </c>
      <c r="C399">
        <v>-391.15829010253412</v>
      </c>
    </row>
    <row r="400" spans="1:3" x14ac:dyDescent="0.25">
      <c r="A400" s="18">
        <v>-271</v>
      </c>
      <c r="B400">
        <v>21.955955617260077</v>
      </c>
      <c r="C400">
        <v>-390.82700239722163</v>
      </c>
    </row>
    <row r="401" spans="1:3" x14ac:dyDescent="0.25">
      <c r="A401" s="18">
        <v>-272</v>
      </c>
      <c r="B401">
        <v>42.703124553248905</v>
      </c>
      <c r="C401">
        <v>-390.28467084632621</v>
      </c>
    </row>
    <row r="402" spans="1:3" x14ac:dyDescent="0.25">
      <c r="A402" s="19">
        <v>-273</v>
      </c>
      <c r="B402">
        <v>62.463680235045551</v>
      </c>
      <c r="C402">
        <v>-389.53031731621081</v>
      </c>
    </row>
    <row r="403" spans="1:3" x14ac:dyDescent="0.25">
      <c r="A403" s="19">
        <v>-274</v>
      </c>
      <c r="B403">
        <v>81.41322511416567</v>
      </c>
      <c r="C403">
        <v>-388.56244020832253</v>
      </c>
    </row>
    <row r="404" spans="1:3" x14ac:dyDescent="0.25">
      <c r="A404" s="18">
        <v>-275</v>
      </c>
      <c r="B404">
        <v>95.041281284046107</v>
      </c>
      <c r="C404">
        <v>-387.58957096954674</v>
      </c>
    </row>
    <row r="405" spans="1:3" x14ac:dyDescent="0.25">
      <c r="A405" s="18">
        <v>-276</v>
      </c>
      <c r="B405">
        <v>112.74431925456092</v>
      </c>
      <c r="C405">
        <v>-386.19795447676279</v>
      </c>
    </row>
    <row r="406" spans="1:3" x14ac:dyDescent="0.25">
      <c r="A406" s="19">
        <v>-277</v>
      </c>
      <c r="B406">
        <v>129.99044441961308</v>
      </c>
      <c r="C406">
        <v>-384.584405855157</v>
      </c>
    </row>
    <row r="407" spans="1:3" x14ac:dyDescent="0.25">
      <c r="A407" s="19">
        <v>-278</v>
      </c>
      <c r="B407">
        <v>148.52408211369104</v>
      </c>
      <c r="C407">
        <v>-381.80025685416456</v>
      </c>
    </row>
    <row r="408" spans="1:3" x14ac:dyDescent="0.25">
      <c r="A408" s="18">
        <v>-279</v>
      </c>
      <c r="B408">
        <v>170.78958572428166</v>
      </c>
      <c r="C408">
        <v>-376.48377743024429</v>
      </c>
    </row>
    <row r="409" spans="1:3" x14ac:dyDescent="0.25">
      <c r="A409" s="18">
        <v>-280</v>
      </c>
      <c r="B409">
        <v>192.45680391916187</v>
      </c>
      <c r="C409">
        <v>-371.11125311232792</v>
      </c>
    </row>
    <row r="410" spans="1:3" x14ac:dyDescent="0.25">
      <c r="A410" s="19">
        <v>-281</v>
      </c>
      <c r="B410">
        <v>213.57840269984325</v>
      </c>
      <c r="C410">
        <v>-365.6666245433226</v>
      </c>
    </row>
    <row r="411" spans="1:3" x14ac:dyDescent="0.25">
      <c r="A411" s="19">
        <v>-282</v>
      </c>
      <c r="B411">
        <v>232.79380803031151</v>
      </c>
      <c r="C411">
        <v>-360.52486005027669</v>
      </c>
    </row>
    <row r="412" spans="1:3" x14ac:dyDescent="0.25">
      <c r="A412" s="18">
        <v>-283</v>
      </c>
      <c r="B412">
        <v>249.73257650273641</v>
      </c>
      <c r="C412">
        <v>-355.84459439276441</v>
      </c>
    </row>
    <row r="413" spans="1:3" x14ac:dyDescent="0.25">
      <c r="A413" s="18">
        <v>-284</v>
      </c>
      <c r="B413">
        <v>264.89486930294737</v>
      </c>
      <c r="C413">
        <v>-351.5389703437686</v>
      </c>
    </row>
    <row r="414" spans="1:3" x14ac:dyDescent="0.25">
      <c r="A414" s="19">
        <v>-285</v>
      </c>
      <c r="B414">
        <v>278.643498759409</v>
      </c>
      <c r="C414">
        <v>-347.54154720632744</v>
      </c>
    </row>
    <row r="415" spans="1:3" x14ac:dyDescent="0.25">
      <c r="A415" s="19">
        <v>-286</v>
      </c>
      <c r="B415">
        <v>291.24818307506064</v>
      </c>
      <c r="C415">
        <v>-343.80011030211006</v>
      </c>
    </row>
    <row r="416" spans="1:3" x14ac:dyDescent="0.25">
      <c r="A416" s="18">
        <v>-287</v>
      </c>
      <c r="B416">
        <v>302.91381380787101</v>
      </c>
      <c r="C416">
        <v>-340.27289960647801</v>
      </c>
    </row>
    <row r="417" spans="1:3" x14ac:dyDescent="0.25">
      <c r="A417" s="18">
        <v>-288</v>
      </c>
      <c r="B417">
        <v>313.79904041218919</v>
      </c>
      <c r="C417">
        <v>-336.92598848371182</v>
      </c>
    </row>
    <row r="418" spans="1:3" x14ac:dyDescent="0.25">
      <c r="A418" s="19">
        <v>-289</v>
      </c>
      <c r="B418">
        <v>323.97314858891338</v>
      </c>
      <c r="C418">
        <v>-333.67212265318039</v>
      </c>
    </row>
    <row r="419" spans="1:3" x14ac:dyDescent="0.25">
      <c r="A419" s="19">
        <v>-290</v>
      </c>
      <c r="B419">
        <v>332.01737312494657</v>
      </c>
      <c r="C419">
        <v>-328.93809519565673</v>
      </c>
    </row>
    <row r="420" spans="1:3" x14ac:dyDescent="0.25">
      <c r="A420" s="18">
        <v>-291</v>
      </c>
      <c r="B420">
        <v>339.66129169380696</v>
      </c>
      <c r="C420">
        <v>-324.50645441063421</v>
      </c>
    </row>
    <row r="421" spans="1:3" x14ac:dyDescent="0.25">
      <c r="A421" s="18">
        <v>-292</v>
      </c>
      <c r="B421">
        <v>346.97228035700317</v>
      </c>
      <c r="C421">
        <v>-320.33658558988941</v>
      </c>
    </row>
    <row r="422" spans="1:3" x14ac:dyDescent="0.25">
      <c r="A422" s="19">
        <v>-293</v>
      </c>
      <c r="B422">
        <v>354.00540784870333</v>
      </c>
      <c r="C422">
        <v>-316.39456497797642</v>
      </c>
    </row>
    <row r="423" spans="1:3" x14ac:dyDescent="0.25">
      <c r="A423" s="19">
        <v>-294</v>
      </c>
      <c r="B423">
        <v>360.80628919527823</v>
      </c>
      <c r="C423">
        <v>-312.65186859912814</v>
      </c>
    </row>
    <row r="424" spans="1:3" x14ac:dyDescent="0.25">
      <c r="A424" s="18">
        <v>-295</v>
      </c>
      <c r="B424">
        <v>369.31302201560618</v>
      </c>
      <c r="C424">
        <v>-307.54851264640399</v>
      </c>
    </row>
    <row r="425" spans="1:3" x14ac:dyDescent="0.25">
      <c r="A425" s="18">
        <v>-296</v>
      </c>
      <c r="B425">
        <v>378.12692669387053</v>
      </c>
      <c r="C425">
        <v>-302.21971961188854</v>
      </c>
    </row>
    <row r="426" spans="1:3" x14ac:dyDescent="0.25">
      <c r="A426" s="19">
        <v>-297</v>
      </c>
      <c r="B426">
        <v>386.7081921679428</v>
      </c>
      <c r="C426">
        <v>-297.10661116827492</v>
      </c>
    </row>
    <row r="427" spans="1:3" x14ac:dyDescent="0.25">
      <c r="A427" s="19">
        <v>-298</v>
      </c>
      <c r="B427">
        <v>395.09146490910302</v>
      </c>
      <c r="C427">
        <v>-292.18480372816896</v>
      </c>
    </row>
    <row r="428" spans="1:3" x14ac:dyDescent="0.25">
      <c r="A428" s="18">
        <v>-299</v>
      </c>
      <c r="B428">
        <v>403.30700371184349</v>
      </c>
      <c r="C428">
        <v>-287.43268549793521</v>
      </c>
    </row>
    <row r="429" spans="1:3" x14ac:dyDescent="0.25">
      <c r="A429" s="18">
        <v>-300</v>
      </c>
      <c r="B429">
        <v>411.38140067572022</v>
      </c>
      <c r="C429">
        <v>-282.83083512128542</v>
      </c>
    </row>
    <row r="430" spans="1:3" x14ac:dyDescent="0.25">
      <c r="A430" s="19">
        <v>-301</v>
      </c>
      <c r="B430">
        <v>419.33866880753055</v>
      </c>
      <c r="C430">
        <v>-278.36215100108365</v>
      </c>
    </row>
    <row r="431" spans="1:3" x14ac:dyDescent="0.25">
      <c r="A431" s="19">
        <v>-302</v>
      </c>
      <c r="B431">
        <v>427.19993364882419</v>
      </c>
      <c r="C431">
        <v>-274.01053905318366</v>
      </c>
    </row>
    <row r="432" spans="1:3" x14ac:dyDescent="0.25">
      <c r="A432" s="18">
        <v>-303</v>
      </c>
      <c r="B432">
        <v>434.98471527735524</v>
      </c>
      <c r="C432">
        <v>-269.76165541857506</v>
      </c>
    </row>
    <row r="433" spans="1:3" x14ac:dyDescent="0.25">
      <c r="A433" s="18">
        <v>-304</v>
      </c>
      <c r="B433">
        <v>442.71088716270447</v>
      </c>
      <c r="C433">
        <v>-265.60221221196048</v>
      </c>
    </row>
    <row r="434" spans="1:3" x14ac:dyDescent="0.25">
      <c r="A434" s="19">
        <v>-305</v>
      </c>
      <c r="B434">
        <v>449.24852018336497</v>
      </c>
      <c r="C434">
        <v>-261.91674607303815</v>
      </c>
    </row>
    <row r="435" spans="1:3" x14ac:dyDescent="0.25">
      <c r="A435" s="19">
        <v>-306</v>
      </c>
      <c r="B435">
        <v>454.67737829881185</v>
      </c>
      <c r="C435">
        <v>-258.67246107297177</v>
      </c>
    </row>
    <row r="436" spans="1:3" x14ac:dyDescent="0.25">
      <c r="A436" s="18">
        <v>-307</v>
      </c>
      <c r="B436">
        <v>460.08850364322836</v>
      </c>
      <c r="C436">
        <v>-255.48638490896636</v>
      </c>
    </row>
    <row r="437" spans="1:3" x14ac:dyDescent="0.25">
      <c r="A437" s="18">
        <v>-308</v>
      </c>
      <c r="B437">
        <v>465.49372485350699</v>
      </c>
      <c r="C437">
        <v>-252.3493675606166</v>
      </c>
    </row>
    <row r="438" spans="1:3" x14ac:dyDescent="0.25">
      <c r="A438" s="19">
        <v>-309</v>
      </c>
      <c r="B438">
        <v>470.90430719279846</v>
      </c>
      <c r="C438">
        <v>-249.25270160420072</v>
      </c>
    </row>
    <row r="439" spans="1:3" x14ac:dyDescent="0.25">
      <c r="A439" s="19">
        <v>-310</v>
      </c>
      <c r="B439">
        <v>476.331087998908</v>
      </c>
      <c r="C439">
        <v>-246.18802145387085</v>
      </c>
    </row>
    <row r="440" spans="1:3" x14ac:dyDescent="0.25">
      <c r="A440" s="18">
        <v>-311</v>
      </c>
      <c r="B440">
        <v>481.78460328398546</v>
      </c>
      <c r="C440">
        <v>-243.14721244264857</v>
      </c>
    </row>
    <row r="441" spans="1:3" x14ac:dyDescent="0.25">
      <c r="A441" s="18">
        <v>-312</v>
      </c>
      <c r="B441">
        <v>487.27520268022545</v>
      </c>
      <c r="C441">
        <v>-240.12232525893188</v>
      </c>
    </row>
    <row r="442" spans="1:3" x14ac:dyDescent="0.25">
      <c r="A442" s="19">
        <v>-313</v>
      </c>
      <c r="B442">
        <v>492.81315581544857</v>
      </c>
      <c r="C442">
        <v>-237.10549379814029</v>
      </c>
    </row>
    <row r="443" spans="1:3" x14ac:dyDescent="0.25">
      <c r="A443" s="19">
        <v>-314</v>
      </c>
      <c r="B443">
        <v>498.40875277650326</v>
      </c>
      <c r="C443">
        <v>-234.0888546253702</v>
      </c>
    </row>
    <row r="444" spans="1:3" x14ac:dyDescent="0.25">
      <c r="A444" s="18">
        <v>-315</v>
      </c>
      <c r="B444">
        <v>504.07240101321838</v>
      </c>
      <c r="C444">
        <v>-231.06446631249722</v>
      </c>
    </row>
    <row r="445" spans="1:3" x14ac:dyDescent="0.25">
      <c r="A445" s="18">
        <v>-316</v>
      </c>
      <c r="B445">
        <v>509.1184664598652</v>
      </c>
      <c r="C445">
        <v>-227.71488894557922</v>
      </c>
    </row>
    <row r="446" spans="1:3" x14ac:dyDescent="0.25">
      <c r="A446" s="19">
        <v>-317</v>
      </c>
      <c r="B446">
        <v>513.38831477298652</v>
      </c>
      <c r="C446">
        <v>-223.98080501851743</v>
      </c>
    </row>
    <row r="447" spans="1:3" x14ac:dyDescent="0.25">
      <c r="A447" s="19">
        <v>-318</v>
      </c>
      <c r="B447">
        <v>517.66570060969525</v>
      </c>
      <c r="C447">
        <v>-220.20779955293301</v>
      </c>
    </row>
    <row r="448" spans="1:3" x14ac:dyDescent="0.25">
      <c r="A448" s="18">
        <v>-319</v>
      </c>
      <c r="B448">
        <v>521.9594222289594</v>
      </c>
      <c r="C448">
        <v>-216.38814271627402</v>
      </c>
    </row>
    <row r="449" spans="1:3" x14ac:dyDescent="0.25">
      <c r="A449" s="18">
        <v>-320</v>
      </c>
      <c r="B449">
        <v>526.27672443709912</v>
      </c>
      <c r="C449">
        <v>-212.5130141916095</v>
      </c>
    </row>
    <row r="450" spans="1:3" x14ac:dyDescent="0.25">
      <c r="A450" s="19">
        <v>-321</v>
      </c>
      <c r="B450">
        <v>530.62536941848134</v>
      </c>
      <c r="C450">
        <v>-208.57318407083605</v>
      </c>
    </row>
    <row r="451" spans="1:3" x14ac:dyDescent="0.25">
      <c r="A451" s="19">
        <v>-322</v>
      </c>
      <c r="B451">
        <v>535.01331295869784</v>
      </c>
      <c r="C451">
        <v>-204.55875594742773</v>
      </c>
    </row>
    <row r="452" spans="1:3" x14ac:dyDescent="0.25">
      <c r="A452" s="18">
        <v>-323</v>
      </c>
      <c r="B452">
        <v>539.44877484155074</v>
      </c>
      <c r="C452">
        <v>-200.45904627195458</v>
      </c>
    </row>
    <row r="453" spans="1:3" x14ac:dyDescent="0.25">
      <c r="A453" s="18">
        <v>-324</v>
      </c>
      <c r="B453">
        <v>543.94031407310956</v>
      </c>
      <c r="C453">
        <v>-196.26244576155025</v>
      </c>
    </row>
    <row r="454" spans="1:3" x14ac:dyDescent="0.25">
      <c r="A454" s="19">
        <v>-325</v>
      </c>
      <c r="B454">
        <v>548.49691055196922</v>
      </c>
      <c r="C454">
        <v>-191.95625884215406</v>
      </c>
    </row>
    <row r="455" spans="1:3" x14ac:dyDescent="0.25">
      <c r="A455" s="19">
        <v>-326</v>
      </c>
      <c r="B455">
        <v>553.12805504076971</v>
      </c>
      <c r="C455">
        <v>-187.52651617837898</v>
      </c>
    </row>
    <row r="456" spans="1:3" x14ac:dyDescent="0.25">
      <c r="A456" s="18">
        <v>-327</v>
      </c>
      <c r="B456">
        <v>557.84384960674834</v>
      </c>
      <c r="C456">
        <v>-182.95775415733883</v>
      </c>
    </row>
    <row r="457" spans="1:3" x14ac:dyDescent="0.25">
      <c r="A457" s="18">
        <v>-328</v>
      </c>
      <c r="B457">
        <v>562.65454301297564</v>
      </c>
      <c r="C457">
        <v>-178.23258803300996</v>
      </c>
    </row>
    <row r="458" spans="1:3" x14ac:dyDescent="0.25">
      <c r="A458" s="19">
        <v>-329</v>
      </c>
      <c r="B458">
        <v>565.21156551456511</v>
      </c>
      <c r="C458">
        <v>-174.15423588560137</v>
      </c>
    </row>
    <row r="459" spans="1:3" x14ac:dyDescent="0.25">
      <c r="A459" s="19">
        <v>-330</v>
      </c>
      <c r="B459">
        <v>563.17449783074835</v>
      </c>
      <c r="C459">
        <v>-169.92031937590198</v>
      </c>
    </row>
    <row r="460" spans="1:3" x14ac:dyDescent="0.25">
      <c r="A460" s="18">
        <v>-331</v>
      </c>
      <c r="B460">
        <v>569.84891598962361</v>
      </c>
      <c r="C460">
        <v>-166.06675883097338</v>
      </c>
    </row>
    <row r="461" spans="1:3" x14ac:dyDescent="0.25">
      <c r="A461" s="18">
        <v>-332</v>
      </c>
      <c r="B461">
        <v>572.5227480163901</v>
      </c>
      <c r="C461">
        <v>-161.48845485049901</v>
      </c>
    </row>
    <row r="462" spans="1:3" x14ac:dyDescent="0.25">
      <c r="A462" s="19">
        <v>-333</v>
      </c>
      <c r="B462">
        <v>575.2453397283565</v>
      </c>
      <c r="C462">
        <v>-156.71349930996161</v>
      </c>
    </row>
    <row r="463" spans="1:3" x14ac:dyDescent="0.25">
      <c r="A463" s="19">
        <v>-334</v>
      </c>
      <c r="B463">
        <v>578.02454773651368</v>
      </c>
      <c r="C463">
        <v>-151.7160013052154</v>
      </c>
    </row>
    <row r="464" spans="1:3" x14ac:dyDescent="0.25">
      <c r="A464" s="18">
        <v>-335</v>
      </c>
      <c r="B464">
        <v>580.87166722084805</v>
      </c>
      <c r="C464">
        <v>-146.46629567269352</v>
      </c>
    </row>
    <row r="465" spans="1:3" x14ac:dyDescent="0.25">
      <c r="A465" s="18">
        <v>-336</v>
      </c>
      <c r="B465">
        <v>583.79519864322162</v>
      </c>
      <c r="C465">
        <v>-140.92952021459703</v>
      </c>
    </row>
    <row r="466" spans="1:3" x14ac:dyDescent="0.25">
      <c r="A466" s="19">
        <v>-337</v>
      </c>
      <c r="B466">
        <v>586.80735102669428</v>
      </c>
      <c r="C466">
        <v>-135.06541147402055</v>
      </c>
    </row>
    <row r="467" spans="1:3" x14ac:dyDescent="0.25">
      <c r="A467" s="19">
        <v>-338</v>
      </c>
      <c r="B467">
        <v>589.81763763350932</v>
      </c>
      <c r="C467">
        <v>-129.04579600802145</v>
      </c>
    </row>
    <row r="468" spans="1:3" x14ac:dyDescent="0.25">
      <c r="A468" s="18">
        <v>-339</v>
      </c>
      <c r="B468">
        <v>592.7469050769638</v>
      </c>
      <c r="C468">
        <v>-123.0376280363367</v>
      </c>
    </row>
    <row r="469" spans="1:3" x14ac:dyDescent="0.25">
      <c r="A469" s="18">
        <v>-340</v>
      </c>
      <c r="B469">
        <v>595.60218527811185</v>
      </c>
      <c r="C469">
        <v>-117.03402285570814</v>
      </c>
    </row>
    <row r="470" spans="1:3" x14ac:dyDescent="0.25">
      <c r="A470" s="19">
        <v>-341</v>
      </c>
      <c r="B470">
        <v>598.39023908699562</v>
      </c>
      <c r="C470">
        <v>-111.02803280274297</v>
      </c>
    </row>
    <row r="471" spans="1:3" x14ac:dyDescent="0.25">
      <c r="A471" s="19">
        <v>-342</v>
      </c>
      <c r="B471">
        <v>601.11760442429988</v>
      </c>
      <c r="C471">
        <v>-105.01261065619269</v>
      </c>
    </row>
    <row r="472" spans="1:3" x14ac:dyDescent="0.25">
      <c r="A472" s="18">
        <v>-343</v>
      </c>
      <c r="B472">
        <v>603.79063980201602</v>
      </c>
      <c r="C472">
        <v>-98.980571202115456</v>
      </c>
    </row>
    <row r="473" spans="1:3" x14ac:dyDescent="0.25">
      <c r="A473" s="18">
        <v>-344</v>
      </c>
      <c r="B473">
        <v>606.41556691621531</v>
      </c>
      <c r="C473">
        <v>-92.924550620404645</v>
      </c>
    </row>
    <row r="474" spans="1:3" x14ac:dyDescent="0.25">
      <c r="A474" s="19">
        <v>-345</v>
      </c>
      <c r="B474">
        <v>608.99851286610965</v>
      </c>
      <c r="C474">
        <v>-86.83696315626301</v>
      </c>
    </row>
    <row r="475" spans="1:3" x14ac:dyDescent="0.25">
      <c r="A475" s="19">
        <v>-346</v>
      </c>
      <c r="B475">
        <v>611.5455525640682</v>
      </c>
      <c r="C475">
        <v>-80.709954475908717</v>
      </c>
    </row>
    <row r="476" spans="1:3" x14ac:dyDescent="0.25">
      <c r="A476" s="18">
        <v>-347</v>
      </c>
      <c r="B476">
        <v>614.06275192474106</v>
      </c>
      <c r="C476">
        <v>-74.53535102643248</v>
      </c>
    </row>
    <row r="477" spans="1:3" x14ac:dyDescent="0.25">
      <c r="A477" s="18">
        <v>-348</v>
      </c>
      <c r="B477">
        <v>616.55621245917041</v>
      </c>
      <c r="C477">
        <v>-68.304604622347242</v>
      </c>
    </row>
    <row r="478" spans="1:3" x14ac:dyDescent="0.25">
      <c r="A478" s="19">
        <v>-349</v>
      </c>
      <c r="B478">
        <v>619.03211795346351</v>
      </c>
      <c r="C478">
        <v>-62.00873136241934</v>
      </c>
    </row>
    <row r="479" spans="1:3" x14ac:dyDescent="0.25">
      <c r="A479" s="19">
        <v>-350</v>
      </c>
      <c r="B479">
        <v>621.49678398374249</v>
      </c>
      <c r="C479">
        <v>-55.638243835253654</v>
      </c>
    </row>
    <row r="480" spans="1:3" x14ac:dyDescent="0.25">
      <c r="A480" s="18">
        <v>-351</v>
      </c>
      <c r="B480">
        <v>623.95671111292404</v>
      </c>
      <c r="C480">
        <v>-49.183075395068286</v>
      </c>
    </row>
    <row r="481" spans="1:3" x14ac:dyDescent="0.25">
      <c r="A481" s="18">
        <v>-352</v>
      </c>
      <c r="B481">
        <v>626.41864273458862</v>
      </c>
      <c r="C481">
        <v>-42.632495072888098</v>
      </c>
    </row>
    <row r="482" spans="1:3" x14ac:dyDescent="0.25">
      <c r="A482" s="19">
        <v>-353</v>
      </c>
      <c r="B482">
        <v>628.88962868038482</v>
      </c>
      <c r="C482">
        <v>-35.975011423721512</v>
      </c>
    </row>
    <row r="483" spans="1:3" x14ac:dyDescent="0.25">
      <c r="A483" s="19">
        <v>-354</v>
      </c>
      <c r="B483">
        <v>631.37638191265944</v>
      </c>
      <c r="C483">
        <v>-29.198176565394178</v>
      </c>
    </row>
    <row r="484" spans="1:3" x14ac:dyDescent="0.25">
      <c r="A484" s="18">
        <v>-355</v>
      </c>
      <c r="B484">
        <v>631.72239734773177</v>
      </c>
      <c r="C484">
        <v>-26.433220379354449</v>
      </c>
    </row>
    <row r="485" spans="1:3" x14ac:dyDescent="0.25">
      <c r="A485" s="18">
        <v>-356</v>
      </c>
      <c r="B485">
        <v>632.04814340674716</v>
      </c>
      <c r="C485">
        <v>-21.343287825174674</v>
      </c>
    </row>
    <row r="486" spans="1:3" x14ac:dyDescent="0.25">
      <c r="A486" s="19">
        <v>-357</v>
      </c>
      <c r="B486">
        <v>632.30883365678653</v>
      </c>
      <c r="C486">
        <v>-16.169504273143215</v>
      </c>
    </row>
    <row r="487" spans="1:3" x14ac:dyDescent="0.25">
      <c r="A487" s="19">
        <v>-358</v>
      </c>
      <c r="B487">
        <v>632.50508440480644</v>
      </c>
      <c r="C487">
        <v>-10.898348876454911</v>
      </c>
    </row>
    <row r="488" spans="1:3" x14ac:dyDescent="0.25">
      <c r="A488" s="18">
        <v>-359</v>
      </c>
      <c r="B488">
        <v>632.63735670859012</v>
      </c>
      <c r="C488">
        <v>-5.5144190144327565</v>
      </c>
    </row>
    <row r="489" spans="1:3" x14ac:dyDescent="0.25">
      <c r="A489" s="18">
        <v>-360</v>
      </c>
      <c r="B489">
        <v>632.70595643987588</v>
      </c>
      <c r="C489">
        <v>-1.2518894970119809E-13</v>
      </c>
    </row>
    <row r="490" spans="1:3" x14ac:dyDescent="0.25">
      <c r="B490">
        <f>B129</f>
        <v>632.70573004696018</v>
      </c>
      <c r="C490">
        <f>C129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point" altText="Attempt to Find_x000a_Interaction point for Goal_x000a_(Form Button)">
                <anchor moveWithCells="1" sizeWithCells="1">
                  <from>
                    <xdr:col>0</xdr:col>
                    <xdr:colOff>771525</xdr:colOff>
                    <xdr:row>121</xdr:row>
                    <xdr:rowOff>66675</xdr:rowOff>
                  </from>
                  <to>
                    <xdr:col>2</xdr:col>
                    <xdr:colOff>885825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47625</xdr:rowOff>
                  </from>
                  <to>
                    <xdr:col>5</xdr:col>
                    <xdr:colOff>1152525</xdr:colOff>
                    <xdr:row>126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542925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C2" sqref="C2"/>
    </sheetView>
  </sheetViews>
  <sheetFormatPr defaultColWidth="8.85546875" defaultRowHeight="15" x14ac:dyDescent="0.25"/>
  <sheetData>
    <row r="1" spans="1:3" x14ac:dyDescent="0.25">
      <c r="A1">
        <v>0</v>
      </c>
      <c r="B1">
        <v>0</v>
      </c>
      <c r="C1">
        <v>0</v>
      </c>
    </row>
    <row r="2" spans="1:3" x14ac:dyDescent="0.25">
      <c r="A2">
        <v>3</v>
      </c>
      <c r="B2">
        <v>0.375</v>
      </c>
      <c r="C2">
        <v>0.11</v>
      </c>
    </row>
    <row r="3" spans="1:3" x14ac:dyDescent="0.25">
      <c r="A3">
        <v>4</v>
      </c>
      <c r="B3">
        <v>0.5</v>
      </c>
      <c r="C3">
        <v>0.2</v>
      </c>
    </row>
    <row r="4" spans="1:3" x14ac:dyDescent="0.25">
      <c r="A4">
        <v>5</v>
      </c>
      <c r="B4">
        <v>0.625</v>
      </c>
      <c r="C4">
        <v>0.31</v>
      </c>
    </row>
    <row r="5" spans="1:3" x14ac:dyDescent="0.25">
      <c r="A5">
        <v>6</v>
      </c>
      <c r="B5">
        <v>0.75</v>
      </c>
      <c r="C5">
        <v>0.44</v>
      </c>
    </row>
    <row r="6" spans="1:3" x14ac:dyDescent="0.25">
      <c r="A6">
        <v>7</v>
      </c>
      <c r="B6">
        <v>0.875</v>
      </c>
      <c r="C6">
        <v>0.6</v>
      </c>
    </row>
    <row r="7" spans="1:3" x14ac:dyDescent="0.25">
      <c r="A7">
        <v>8</v>
      </c>
      <c r="B7">
        <v>1</v>
      </c>
      <c r="C7">
        <v>0.79</v>
      </c>
    </row>
    <row r="8" spans="1:3" x14ac:dyDescent="0.25">
      <c r="A8">
        <v>9</v>
      </c>
      <c r="B8">
        <v>1.1279999999999999</v>
      </c>
      <c r="C8">
        <v>1</v>
      </c>
    </row>
    <row r="9" spans="1:3" x14ac:dyDescent="0.25">
      <c r="A9">
        <v>10</v>
      </c>
      <c r="B9">
        <v>1.27</v>
      </c>
      <c r="C9">
        <v>1.27</v>
      </c>
    </row>
    <row r="10" spans="1:3" x14ac:dyDescent="0.25">
      <c r="A10">
        <v>11</v>
      </c>
      <c r="B10">
        <v>1.41</v>
      </c>
      <c r="C10">
        <v>1.56</v>
      </c>
    </row>
    <row r="11" spans="1:3" x14ac:dyDescent="0.25">
      <c r="A11">
        <v>14</v>
      </c>
      <c r="B11">
        <v>1.6930000000000001</v>
      </c>
      <c r="C11">
        <v>2.25</v>
      </c>
    </row>
    <row r="12" spans="1:3" x14ac:dyDescent="0.25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 Bockoven</cp:lastModifiedBy>
  <dcterms:created xsi:type="dcterms:W3CDTF">2020-01-14T22:46:38Z</dcterms:created>
  <dcterms:modified xsi:type="dcterms:W3CDTF">2020-01-16T21:32:14Z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