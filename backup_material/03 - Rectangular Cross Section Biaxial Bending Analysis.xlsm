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 codeName="{83B8AF0C-AF01-CA8F-8D1D-96F9A44741E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onaldbockoven/Downloads/"/>
    </mc:Choice>
  </mc:AlternateContent>
  <xr:revisionPtr revIDLastSave="0" documentId="13_ncr:1_{8E4CECD1-2C89-B148-A3A9-29E820C5411A}" xr6:coauthVersionLast="45" xr6:coauthVersionMax="45" xr10:uidLastSave="{00000000-0000-0000-0000-000000000000}"/>
  <bookViews>
    <workbookView xWindow="0" yWindow="440" windowWidth="25600" windowHeight="14520" xr2:uid="{A97B9A5E-BB54-4E55-BD22-158AAF84A460}"/>
  </bookViews>
  <sheets>
    <sheet name="Cross Section Analysis" sheetId="1" r:id="rId1"/>
    <sheet name="Reference" sheetId="2" r:id="rId2"/>
  </sheets>
  <definedNames>
    <definedName name="solver_adj" localSheetId="0" hidden="1">'Cross Section Analysis'!$B$53,'Cross Section Analysis'!$B$78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'Cross Section Analysis'!$B$53</definedName>
    <definedName name="solver_lhs2" localSheetId="0" hidden="1">'Cross Section Analysis'!$B$53</definedName>
    <definedName name="solver_lhs3" localSheetId="0" hidden="1">'Cross Section Analysis'!$B$78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'Cross Section Analysis'!$M$119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360</definedName>
    <definedName name="solver_rhs2" localSheetId="0" hidden="1">0</definedName>
    <definedName name="solver_rhs3" localSheetId="0" hidden="1">0.0001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9" i="1" l="1"/>
  <c r="C35" i="1"/>
  <c r="C36" i="1"/>
  <c r="C37" i="1"/>
  <c r="C38" i="1"/>
  <c r="C39" i="1"/>
  <c r="C40" i="1"/>
  <c r="C41" i="1"/>
  <c r="C42" i="1"/>
  <c r="C43" i="1"/>
  <c r="C44" i="1"/>
  <c r="C45" i="1"/>
  <c r="C34" i="1"/>
  <c r="X114" i="1" l="1"/>
  <c r="X115" i="1"/>
  <c r="D120" i="1"/>
  <c r="B121" i="1" l="1"/>
  <c r="X138" i="1" l="1"/>
  <c r="W136" i="1"/>
  <c r="V133" i="1"/>
  <c r="X133" i="1"/>
  <c r="X130" i="1"/>
  <c r="D130" i="1" l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129" i="1"/>
  <c r="Q123" i="1" l="1"/>
  <c r="Q122" i="1"/>
  <c r="E120" i="1"/>
  <c r="R122" i="1" s="1"/>
  <c r="C490" i="1" l="1"/>
  <c r="B490" i="1"/>
  <c r="D490" i="1" l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B85" i="1"/>
  <c r="B3" i="1"/>
  <c r="J117" i="1" l="1"/>
  <c r="J118" i="1"/>
  <c r="B98" i="1"/>
  <c r="B4" i="1"/>
  <c r="B81" i="1" s="1"/>
  <c r="A75" i="1"/>
  <c r="A109" i="1" s="1"/>
  <c r="B75" i="1"/>
  <c r="A65" i="1"/>
  <c r="A99" i="1" s="1"/>
  <c r="B65" i="1"/>
  <c r="A66" i="1"/>
  <c r="A100" i="1" s="1"/>
  <c r="B66" i="1"/>
  <c r="A67" i="1"/>
  <c r="A101" i="1" s="1"/>
  <c r="B67" i="1"/>
  <c r="A68" i="1"/>
  <c r="A102" i="1" s="1"/>
  <c r="B68" i="1"/>
  <c r="A69" i="1"/>
  <c r="A103" i="1" s="1"/>
  <c r="B69" i="1"/>
  <c r="A70" i="1"/>
  <c r="A104" i="1" s="1"/>
  <c r="B70" i="1"/>
  <c r="A71" i="1"/>
  <c r="A105" i="1" s="1"/>
  <c r="B71" i="1"/>
  <c r="A72" i="1"/>
  <c r="A106" i="1" s="1"/>
  <c r="B72" i="1"/>
  <c r="A73" i="1"/>
  <c r="A107" i="1" s="1"/>
  <c r="B73" i="1"/>
  <c r="A74" i="1"/>
  <c r="A108" i="1" s="1"/>
  <c r="B74" i="1"/>
  <c r="B64" i="1"/>
  <c r="A64" i="1"/>
  <c r="A98" i="1" s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30" i="1" s="1"/>
  <c r="B103" i="1"/>
  <c r="B104" i="1"/>
  <c r="B105" i="1"/>
  <c r="C72" i="1"/>
  <c r="B107" i="1"/>
  <c r="C74" i="1"/>
  <c r="C75" i="1"/>
  <c r="B34" i="1"/>
  <c r="V113" i="1" l="1"/>
  <c r="X113" i="1" s="1"/>
  <c r="Q129" i="1"/>
  <c r="F75" i="1"/>
  <c r="G75" i="1"/>
  <c r="F74" i="1"/>
  <c r="G74" i="1"/>
  <c r="B43" i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B31" i="1"/>
  <c r="E6" i="1"/>
  <c r="E5" i="1"/>
  <c r="D5" i="1"/>
  <c r="D4" i="1"/>
  <c r="G3" i="1" l="1"/>
  <c r="H3" i="1" s="1"/>
  <c r="F34" i="1"/>
  <c r="E34" i="1"/>
  <c r="D43" i="1"/>
  <c r="E43" i="1" s="1"/>
  <c r="F39" i="1"/>
  <c r="E44" i="1"/>
  <c r="F44" i="1"/>
  <c r="F36" i="1"/>
  <c r="E36" i="1"/>
  <c r="E41" i="1"/>
  <c r="F42" i="1"/>
  <c r="F45" i="1"/>
  <c r="F37" i="1"/>
  <c r="F38" i="1"/>
  <c r="F40" i="1"/>
  <c r="E35" i="1"/>
  <c r="D46" i="1" l="1"/>
  <c r="B48" i="1" s="1"/>
  <c r="F43" i="1"/>
  <c r="F46" i="1" s="1"/>
  <c r="B50" i="1" s="1"/>
  <c r="E46" i="1"/>
  <c r="B49" i="1" s="1"/>
  <c r="D49" i="1" l="1"/>
  <c r="A60" i="1" s="1"/>
  <c r="E49" i="1"/>
  <c r="B60" i="1" s="1"/>
  <c r="C60" i="1" l="1"/>
  <c r="B91" i="1" s="1"/>
  <c r="D60" i="1"/>
  <c r="C91" i="1" s="1"/>
  <c r="B57" i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E64" i="1"/>
  <c r="E73" i="1"/>
  <c r="E70" i="1"/>
  <c r="E66" i="1"/>
  <c r="E71" i="1"/>
  <c r="G67" i="1" l="1"/>
  <c r="D101" i="1" s="1"/>
  <c r="F66" i="1"/>
  <c r="C100" i="1" s="1"/>
  <c r="G66" i="1"/>
  <c r="D100" i="1" s="1"/>
  <c r="F69" i="1"/>
  <c r="C103" i="1" s="1"/>
  <c r="G69" i="1"/>
  <c r="D103" i="1" s="1"/>
  <c r="F71" i="1"/>
  <c r="C105" i="1" s="1"/>
  <c r="G71" i="1"/>
  <c r="D105" i="1" s="1"/>
  <c r="F70" i="1"/>
  <c r="C104" i="1" s="1"/>
  <c r="G70" i="1"/>
  <c r="D104" i="1" s="1"/>
  <c r="G68" i="1"/>
  <c r="D102" i="1" s="1"/>
  <c r="F72" i="1"/>
  <c r="C106" i="1" s="1"/>
  <c r="G72" i="1"/>
  <c r="D106" i="1" s="1"/>
  <c r="G73" i="1"/>
  <c r="D107" i="1" s="1"/>
  <c r="G65" i="1"/>
  <c r="D99" i="1" s="1"/>
  <c r="F73" i="1"/>
  <c r="C107" i="1" s="1"/>
  <c r="G64" i="1"/>
  <c r="F65" i="1"/>
  <c r="C99" i="1" s="1"/>
  <c r="F64" i="1"/>
  <c r="C98" i="1" s="1"/>
  <c r="F67" i="1"/>
  <c r="C101" i="1" s="1"/>
  <c r="F68" i="1"/>
  <c r="C102" i="1" s="1"/>
  <c r="C109" i="1"/>
  <c r="D109" i="1"/>
  <c r="C108" i="1"/>
  <c r="D108" i="1"/>
  <c r="C61" i="1"/>
  <c r="D91" i="1" s="1"/>
  <c r="D61" i="1"/>
  <c r="E91" i="1" s="1"/>
  <c r="C58" i="1"/>
  <c r="D58" i="1"/>
  <c r="C59" i="1"/>
  <c r="D89" i="1" s="1"/>
  <c r="D59" i="1"/>
  <c r="C57" i="1"/>
  <c r="D57" i="1"/>
  <c r="C88" i="1" s="1"/>
  <c r="D90" i="1"/>
  <c r="E90" i="1"/>
  <c r="G76" i="1" l="1"/>
  <c r="D98" i="1"/>
  <c r="T59" i="1"/>
  <c r="D83" i="1"/>
  <c r="B90" i="1"/>
  <c r="B88" i="1"/>
  <c r="G91" i="1"/>
  <c r="G58" i="1"/>
  <c r="E103" i="1" s="1"/>
  <c r="E88" i="1"/>
  <c r="E82" i="1"/>
  <c r="F91" i="1" s="1"/>
  <c r="C89" i="1"/>
  <c r="D79" i="1"/>
  <c r="G57" i="1"/>
  <c r="E78" i="1"/>
  <c r="E79" i="1" s="1"/>
  <c r="E89" i="1"/>
  <c r="C90" i="1"/>
  <c r="D88" i="1"/>
  <c r="B89" i="1"/>
  <c r="D78" i="1"/>
  <c r="D82" i="1"/>
  <c r="U59" i="1" l="1"/>
  <c r="U60" i="1" s="1"/>
  <c r="T60" i="1"/>
  <c r="F90" i="1"/>
  <c r="F89" i="1"/>
  <c r="F88" i="1"/>
  <c r="I88" i="1" s="1"/>
  <c r="H91" i="1"/>
  <c r="G88" i="1"/>
  <c r="G90" i="1"/>
  <c r="E108" i="1"/>
  <c r="E98" i="1"/>
  <c r="E106" i="1"/>
  <c r="F106" i="1" s="1"/>
  <c r="E100" i="1"/>
  <c r="F100" i="1" s="1"/>
  <c r="G100" i="1" s="1"/>
  <c r="H100" i="1" s="1"/>
  <c r="J100" i="1" s="1"/>
  <c r="E105" i="1"/>
  <c r="F105" i="1" s="1"/>
  <c r="E102" i="1"/>
  <c r="F102" i="1" s="1"/>
  <c r="G102" i="1" s="1"/>
  <c r="H102" i="1" s="1"/>
  <c r="J102" i="1" s="1"/>
  <c r="E104" i="1"/>
  <c r="F104" i="1" s="1"/>
  <c r="E107" i="1"/>
  <c r="F107" i="1" s="1"/>
  <c r="E109" i="1"/>
  <c r="E99" i="1"/>
  <c r="F99" i="1" s="1"/>
  <c r="G99" i="1" s="1"/>
  <c r="H99" i="1" s="1"/>
  <c r="J99" i="1" s="1"/>
  <c r="E101" i="1"/>
  <c r="F101" i="1" s="1"/>
  <c r="G101" i="1" s="1"/>
  <c r="H101" i="1" s="1"/>
  <c r="J101" i="1" s="1"/>
  <c r="I91" i="1"/>
  <c r="E83" i="1"/>
  <c r="G89" i="1"/>
  <c r="F103" i="1"/>
  <c r="G103" i="1" s="1"/>
  <c r="H103" i="1" s="1"/>
  <c r="J103" i="1" s="1"/>
  <c r="F108" i="1"/>
  <c r="F109" i="1"/>
  <c r="P115" i="1" l="1"/>
  <c r="F98" i="1"/>
  <c r="G98" i="1" s="1"/>
  <c r="H98" i="1" s="1"/>
  <c r="J98" i="1" s="1"/>
  <c r="I100" i="1"/>
  <c r="I101" i="1"/>
  <c r="I99" i="1"/>
  <c r="H90" i="1"/>
  <c r="L91" i="1"/>
  <c r="H89" i="1"/>
  <c r="G106" i="1"/>
  <c r="H106" i="1" s="1"/>
  <c r="J106" i="1" s="1"/>
  <c r="G108" i="1"/>
  <c r="H108" i="1" s="1"/>
  <c r="J108" i="1" s="1"/>
  <c r="J91" i="1"/>
  <c r="K91" i="1"/>
  <c r="G109" i="1"/>
  <c r="H109" i="1" s="1"/>
  <c r="J109" i="1" s="1"/>
  <c r="H88" i="1"/>
  <c r="K88" i="1" s="1"/>
  <c r="I102" i="1"/>
  <c r="G105" i="1"/>
  <c r="H105" i="1" s="1"/>
  <c r="J105" i="1" s="1"/>
  <c r="I89" i="1"/>
  <c r="G107" i="1"/>
  <c r="H107" i="1" s="1"/>
  <c r="J107" i="1" s="1"/>
  <c r="G104" i="1"/>
  <c r="H104" i="1" s="1"/>
  <c r="J104" i="1" s="1"/>
  <c r="I90" i="1"/>
  <c r="I103" i="1"/>
  <c r="J89" i="1" l="1"/>
  <c r="F110" i="1"/>
  <c r="J113" i="1" s="1"/>
  <c r="I98" i="1"/>
  <c r="J110" i="1"/>
  <c r="I104" i="1"/>
  <c r="I108" i="1"/>
  <c r="J90" i="1"/>
  <c r="K90" i="1"/>
  <c r="L90" i="1"/>
  <c r="L89" i="1"/>
  <c r="K89" i="1"/>
  <c r="I106" i="1"/>
  <c r="L88" i="1"/>
  <c r="J88" i="1"/>
  <c r="I105" i="1"/>
  <c r="I109" i="1"/>
  <c r="H110" i="1"/>
  <c r="I107" i="1"/>
  <c r="L92" i="1" l="1"/>
  <c r="K92" i="1"/>
  <c r="J92" i="1"/>
  <c r="B113" i="1" s="1"/>
  <c r="D114" i="1" s="1"/>
  <c r="I110" i="1"/>
  <c r="J116" i="1" l="1"/>
  <c r="B114" i="1"/>
  <c r="D115" i="1"/>
  <c r="B115" i="1"/>
  <c r="L119" i="1" l="1"/>
  <c r="W113" i="1"/>
  <c r="Y133" i="1"/>
  <c r="F114" i="1"/>
  <c r="H114" i="1" s="1"/>
  <c r="J114" i="1" s="1"/>
  <c r="W114" i="1" s="1"/>
  <c r="F115" i="1"/>
  <c r="H115" i="1" s="1"/>
  <c r="J115" i="1" s="1"/>
  <c r="W115" i="1" s="1"/>
  <c r="X116" i="1" s="1"/>
  <c r="W116" i="1" l="1"/>
  <c r="N115" i="1"/>
  <c r="Y134" i="1"/>
  <c r="M117" i="1"/>
  <c r="I125" i="1"/>
  <c r="H125" i="1"/>
  <c r="Y136" i="1" l="1" a="1"/>
  <c r="Y136" i="1" s="1"/>
  <c r="Y138" i="1" s="1"/>
  <c r="R123" i="1"/>
  <c r="M119" i="1"/>
  <c r="Y137" i="1" l="1"/>
  <c r="Y139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<sst xmlns="http://schemas.openxmlformats.org/spreadsheetml/2006/main" count="156" uniqueCount="109">
  <si>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</si>
  <si>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</si>
  <si>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</si>
  <si>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</si>
  <si>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</si>
  <si>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</si>
  <si>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</si>
  <si>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</si>
  <si>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</si>
  <si>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</si>
  <si>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</si>
  <si>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</si>
  <si>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</si>
  <si>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</si>
  <si>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</si>
  <si>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</si>
  <si>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</si>
  <si>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</si>
  <si>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</si>
  <si>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</si>
  <si>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</si>
  <si>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</si>
  <si>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</si>
  <si>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</si>
  <si>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</si>
  <si>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</si>
  <si>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</si>
  <si>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</si>
  <si>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</si>
  <si>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</si>
  <si>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</si>
  <si>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</si>
  <si>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</si>
  <si>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</si>
  <si>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</si>
  <si>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</si>
  <si>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</si>
  <si>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</si>
  <si>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</si>
  <si>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degrees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</si>
  <si>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</si>
  <si>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</si>
  <si>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</si>
  <si>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</si>
  <si>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</si>
  <si>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</si>
  <si>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</si>
  <si>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</si>
  <si>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</si>
  <si>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</si>
  <si>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</si>
  <si>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</si>
  <si>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</si>
  <si>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</si>
  <si>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</si>
  <si>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</si>
  <si>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</si>
  <si>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</si>
  <si>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</si>
  <si>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</si>
  <si>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</si>
  <si>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</si>
  <si>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</si>
  <si>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</si>
  <si>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</si>
  <si>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</si>
  <si>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</si>
  <si>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</si>
  <si>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</si>
  <si>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</si>
  <si>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</si>
  <si>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</si>
  <si>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</si>
  <si>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</si>
  <si>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</si>
  <si>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</si>
  <si>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</si>
  <si>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</si>
  <si>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 xml:space="preserve">Theta = </t>
  </si>
  <si>
    <t xml:space="preserve">theta = </t>
  </si>
  <si>
    <t>Iterations to try:</t>
  </si>
  <si>
    <t>Iterations Used:</t>
  </si>
  <si>
    <t>scale</t>
  </si>
  <si>
    <t>max phiPn</t>
  </si>
  <si>
    <t>min phiPn</t>
  </si>
  <si>
    <t>Alpha</t>
  </si>
  <si>
    <t>points:</t>
  </si>
  <si>
    <t>Depth for all bars yield in compression:</t>
  </si>
  <si>
    <t>Sign Convention Note:</t>
  </si>
  <si>
    <t>Right hand rule with compression positive</t>
  </si>
  <si>
    <t>this means that +Mx puts compression on the top</t>
  </si>
  <si>
    <t>of the cross-section and +My puts compression on</t>
  </si>
  <si>
    <t>the left of the cross section</t>
  </si>
  <si>
    <t>(See Sign Convention Note Above)</t>
  </si>
  <si>
    <t>Newton-Raphson Approach:</t>
  </si>
  <si>
    <t>dp/dna_d</t>
  </si>
  <si>
    <t>dM/dna_d</t>
  </si>
  <si>
    <t>dp/dna_a</t>
  </si>
  <si>
    <t>dM/dna_a</t>
  </si>
  <si>
    <t>Partial Derivative Matrix, J</t>
  </si>
  <si>
    <t>=</t>
  </si>
  <si>
    <t>new angle</t>
  </si>
  <si>
    <t>new depth</t>
  </si>
  <si>
    <t>delta</t>
  </si>
  <si>
    <t>run macro to populate below</t>
  </si>
  <si>
    <t>Coordinate Transfermation to account for skewed tension zone</t>
  </si>
  <si>
    <t>Pn,shift</t>
  </si>
  <si>
    <t>Mx,shift</t>
  </si>
  <si>
    <t>My,shift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</si>
</sst>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 applyAlignment="1">
      <alignment horizontal="center"/>
    </xf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2" fontId="0" fillId="2" borderId="0" xfId="0" applyNumberFormat="1" applyFill="1" applyAlignment="1" applyProtection="1">
      <alignment horizontal="center"/>
      <protection locked="0"/>
    </xf>
    <xf numFmtId="0" fontId="3" fillId="0" borderId="0" xfId="0" applyFont="1" applyFill="1" applyProtection="1">
      <protection locked="0"/>
    </xf>
    <xf numFmtId="0" fontId="3" fillId="0" borderId="0" xfId="0" applyFont="1" applyFill="1" applyAlignment="1" applyProtection="1">
      <alignment horizontal="center"/>
      <protection locked="0"/>
    </xf>
    <xf numFmtId="0" fontId="3" fillId="0" borderId="0" xfId="0" applyFont="1" applyFill="1" applyAlignment="1" applyProtection="1">
      <alignment horizontal="right"/>
      <protection locked="0"/>
    </xf>
    <xf numFmtId="166" fontId="3" fillId="0" borderId="0" xfId="0" applyNumberFormat="1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7" xfId="0" applyBorder="1"/>
    <xf numFmtId="0" fontId="0" fillId="0" borderId="8" xfId="0" applyBorder="1"/>
    <xf numFmtId="166" fontId="0" fillId="0" borderId="0" xfId="0" applyNumberFormat="1"/>
    <xf numFmtId="0" fontId="0" fillId="0" borderId="9" xfId="0" applyBorder="1"/>
    <xf numFmtId="0" fontId="0" fillId="0" borderId="10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11" xfId="0" applyBorder="1"/>
    <xf numFmtId="0" fontId="0" fillId="0" borderId="10" xfId="0" applyBorder="1"/>
    <xf numFmtId="0" fontId="0" fillId="0" borderId="0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Analysis'!$D$3:$D$7</c:f>
              <c:numCache>
                <c:formatCode>0.00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'Cross Section Analysis'!$E$3:$E$7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30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Analysis'!$D$13:$D$24</c:f>
              <c:numCache>
                <c:formatCode>0.00</c:formatCode>
                <c:ptCount val="12"/>
                <c:pt idx="0">
                  <c:v>4</c:v>
                </c:pt>
                <c:pt idx="1">
                  <c:v>16</c:v>
                </c:pt>
                <c:pt idx="2">
                  <c:v>4</c:v>
                </c:pt>
                <c:pt idx="3">
                  <c:v>10</c:v>
                </c:pt>
                <c:pt idx="4">
                  <c:v>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Analysis'!$E$13:$E$24</c:f>
              <c:numCache>
                <c:formatCode>0.00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'Cross Section Analysis'!$G$3:$G$4</c:f>
              <c:numCache>
                <c:formatCode>General</c:formatCode>
                <c:ptCount val="2"/>
                <c:pt idx="0" formatCode="0.00">
                  <c:v>31</c:v>
                </c:pt>
                <c:pt idx="1">
                  <c:v>-1</c:v>
                </c:pt>
              </c:numCache>
            </c:numRef>
          </c:xVal>
          <c:yVal>
            <c:numRef>
              <c:f>'Cross Section Analysis'!$H$3:$H$4</c:f>
              <c:numCache>
                <c:formatCode>General</c:formatCode>
                <c:ptCount val="2"/>
                <c:pt idx="0" formatCode="0.00">
                  <c:v>31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'Cross Section Analysis'!$D$49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Analysis'!$E$49</c:f>
              <c:numCache>
                <c:formatCode>0.000</c:formatCode>
                <c:ptCount val="1"/>
                <c:pt idx="0">
                  <c:v>15.229409569306561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'Cross Section Analysis'!$G$7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Analysis'!$H$7</c:f>
              <c:numCache>
                <c:formatCode>General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Analysis'!$C$57:$C$61</c:f>
              <c:numCache>
                <c:formatCode>0.000</c:formatCode>
                <c:ptCount val="5"/>
                <c:pt idx="0">
                  <c:v>-11.283015227913708</c:v>
                </c:pt>
                <c:pt idx="1">
                  <c:v>-17.61101080398122</c:v>
                </c:pt>
                <c:pt idx="2">
                  <c:v>10.847767489822216</c:v>
                </c:pt>
                <c:pt idx="3">
                  <c:v>17.175763065889729</c:v>
                </c:pt>
                <c:pt idx="4">
                  <c:v>-11.283015227913708</c:v>
                </c:pt>
              </c:numCache>
            </c:numRef>
          </c:xVal>
          <c:yVal>
            <c:numRef>
              <c:f>'Cross Section Analysis'!$D$57:$D$61</c:f>
              <c:numCache>
                <c:formatCode>0.000</c:formatCode>
                <c:ptCount val="5"/>
                <c:pt idx="0">
                  <c:v>14.30484125030242</c:v>
                </c:pt>
                <c:pt idx="1">
                  <c:v>-4.6676776122332031</c:v>
                </c:pt>
                <c:pt idx="2">
                  <c:v>-14.159670976334471</c:v>
                </c:pt>
                <c:pt idx="3">
                  <c:v>4.8128478862011512</c:v>
                </c:pt>
                <c:pt idx="4">
                  <c:v>14.30484125030242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Analysis'!$F$64:$F$75</c:f>
              <c:numCache>
                <c:formatCode>0.000</c:formatCode>
                <c:ptCount val="12"/>
                <c:pt idx="0">
                  <c:v>-8.7541105706200852</c:v>
                </c:pt>
                <c:pt idx="1">
                  <c:v>-12.550907916260591</c:v>
                </c:pt>
                <c:pt idx="2">
                  <c:v>12.115660178169101</c:v>
                </c:pt>
                <c:pt idx="3">
                  <c:v>10.217261505348848</c:v>
                </c:pt>
                <c:pt idx="4">
                  <c:v>8.3188628325285947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Analysis'!$G$64:$G$75</c:f>
              <c:numCache>
                <c:formatCode>0.000</c:formatCode>
                <c:ptCount val="12"/>
                <c:pt idx="0">
                  <c:v>9.244738362581792</c:v>
                </c:pt>
                <c:pt idx="1">
                  <c:v>-2.138772954939582</c:v>
                </c:pt>
                <c:pt idx="2">
                  <c:v>2.2839432289075297</c:v>
                </c:pt>
                <c:pt idx="3">
                  <c:v>-3.4078124298531578</c:v>
                </c:pt>
                <c:pt idx="4">
                  <c:v>-9.0995680886138448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Analysis'!$D$78:$D$79</c:f>
              <c:numCache>
                <c:formatCode>0.000</c:formatCode>
                <c:ptCount val="2"/>
                <c:pt idx="0">
                  <c:v>-17.61101080398122</c:v>
                </c:pt>
                <c:pt idx="1">
                  <c:v>17.175763065889729</c:v>
                </c:pt>
              </c:numCache>
            </c:numRef>
          </c:xVal>
          <c:yVal>
            <c:numRef>
              <c:f>'Cross Section Analysis'!$E$78:$E$79</c:f>
              <c:numCache>
                <c:formatCode>0.000</c:formatCode>
                <c:ptCount val="2"/>
                <c:pt idx="0">
                  <c:v>3.3003090221493405</c:v>
                </c:pt>
                <c:pt idx="1">
                  <c:v>3.3003090221493405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Analysis'!$D$82:$D$83</c:f>
              <c:numCache>
                <c:formatCode>0.000</c:formatCode>
                <c:ptCount val="2"/>
                <c:pt idx="0">
                  <c:v>-17.61101080398122</c:v>
                </c:pt>
                <c:pt idx="1">
                  <c:v>17.175763065889729</c:v>
                </c:pt>
              </c:numCache>
            </c:numRef>
          </c:xVal>
          <c:yVal>
            <c:numRef>
              <c:f>'Cross Section Analysis'!$E$82:$E$83</c:f>
              <c:numCache>
                <c:formatCode>0.000</c:formatCode>
                <c:ptCount val="2"/>
                <c:pt idx="0">
                  <c:v>5.5012154677799572</c:v>
                </c:pt>
                <c:pt idx="1">
                  <c:v>5.5012154677799572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Analysis'!$H$88:$H$91</c:f>
              <c:numCache>
                <c:formatCode>0.000</c:formatCode>
                <c:ptCount val="4"/>
                <c:pt idx="0">
                  <c:v>-14.219330927942517</c:v>
                </c:pt>
                <c:pt idx="1">
                  <c:v>#N/A</c:v>
                </c:pt>
                <c:pt idx="2">
                  <c:v>#N/A</c:v>
                </c:pt>
                <c:pt idx="3">
                  <c:v>15.111907810482295</c:v>
                </c:pt>
              </c:numCache>
            </c:numRef>
          </c:xVal>
          <c:yVal>
            <c:numRef>
              <c:f>'Cross Section Analysis'!$I$88:$I$91</c:f>
              <c:numCache>
                <c:formatCode>0.000</c:formatCode>
                <c:ptCount val="4"/>
                <c:pt idx="0">
                  <c:v>5.5012154677799572</c:v>
                </c:pt>
                <c:pt idx="1">
                  <c:v>#N/A</c:v>
                </c:pt>
                <c:pt idx="2">
                  <c:v>#N/A</c:v>
                </c:pt>
                <c:pt idx="3">
                  <c:v>5.5012154677799572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'Cross Section Analysis'!$T$59:$T$60</c:f>
              <c:numCache>
                <c:formatCode>General</c:formatCode>
                <c:ptCount val="2"/>
                <c:pt idx="0">
                  <c:v>17.175763065889729</c:v>
                </c:pt>
                <c:pt idx="1">
                  <c:v>-17.175763065889729</c:v>
                </c:pt>
              </c:numCache>
            </c:numRef>
          </c:xVal>
          <c:yVal>
            <c:numRef>
              <c:f>'Cross Section Analysis'!$U$59:$U$60</c:f>
              <c:numCache>
                <c:formatCode>General</c:formatCode>
                <c:ptCount val="2"/>
                <c:pt idx="0">
                  <c:v>17.175763065889729</c:v>
                </c:pt>
                <c:pt idx="1">
                  <c:v>-17.175763065889729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</a:t>
            </a:r>
            <a:r>
              <a:rPr lang="en-US" baseline="0"/>
              <a:t> vs My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Analysis'!$B$129:$B$490</c:f>
              <c:numCache>
                <c:formatCode>General</c:formatCode>
                <c:ptCount val="362"/>
                <c:pt idx="0">
                  <c:v>576.12090015198407</c:v>
                </c:pt>
                <c:pt idx="1">
                  <c:v>576.04553744692089</c:v>
                </c:pt>
                <c:pt idx="2">
                  <c:v>575.90672906296425</c:v>
                </c:pt>
                <c:pt idx="3">
                  <c:v>575.70415535616371</c:v>
                </c:pt>
                <c:pt idx="4">
                  <c:v>575.43733809585888</c:v>
                </c:pt>
                <c:pt idx="5">
                  <c:v>575.10564931366048</c:v>
                </c:pt>
                <c:pt idx="6">
                  <c:v>574.70829584322257</c:v>
                </c:pt>
                <c:pt idx="7">
                  <c:v>574.43286684250847</c:v>
                </c:pt>
                <c:pt idx="8">
                  <c:v>573.9049280556851</c:v>
                </c:pt>
                <c:pt idx="9">
                  <c:v>573.30785080143187</c:v>
                </c:pt>
                <c:pt idx="10">
                  <c:v>572.64015920214695</c:v>
                </c:pt>
                <c:pt idx="11">
                  <c:v>571.90018828120162</c:v>
                </c:pt>
                <c:pt idx="12">
                  <c:v>571.08607468924242</c:v>
                </c:pt>
                <c:pt idx="13">
                  <c:v>570.19574575351157</c:v>
                </c:pt>
                <c:pt idx="14">
                  <c:v>569.22690577391131</c:v>
                </c:pt>
                <c:pt idx="15">
                  <c:v>568.17702648167426</c:v>
                </c:pt>
                <c:pt idx="16">
                  <c:v>567.04332826833968</c:v>
                </c:pt>
                <c:pt idx="17">
                  <c:v>565.82277189778131</c:v>
                </c:pt>
                <c:pt idx="18">
                  <c:v>564.51202686439808</c:v>
                </c:pt>
                <c:pt idx="19">
                  <c:v>563.10746313222933</c:v>
                </c:pt>
                <c:pt idx="20">
                  <c:v>561.60512778794828</c:v>
                </c:pt>
                <c:pt idx="21">
                  <c:v>560.00071215869639</c:v>
                </c:pt>
                <c:pt idx="22">
                  <c:v>558.28952955649186</c:v>
                </c:pt>
                <c:pt idx="23">
                  <c:v>556.46648398108414</c:v>
                </c:pt>
                <c:pt idx="24">
                  <c:v>554.52603551348466</c:v>
                </c:pt>
                <c:pt idx="25">
                  <c:v>552.46215850035549</c:v>
                </c:pt>
                <c:pt idx="26">
                  <c:v>550.28413226852911</c:v>
                </c:pt>
                <c:pt idx="27">
                  <c:v>548.08734623550743</c:v>
                </c:pt>
                <c:pt idx="28">
                  <c:v>545.8852818678057</c:v>
                </c:pt>
                <c:pt idx="29">
                  <c:v>543.67369459659108</c:v>
                </c:pt>
                <c:pt idx="30">
                  <c:v>541.44849852288485</c:v>
                </c:pt>
                <c:pt idx="31">
                  <c:v>537.40835225368903</c:v>
                </c:pt>
                <c:pt idx="32">
                  <c:v>532.4337063024293</c:v>
                </c:pt>
                <c:pt idx="33">
                  <c:v>527.57245906327103</c:v>
                </c:pt>
                <c:pt idx="34">
                  <c:v>522.81131918529047</c:v>
                </c:pt>
                <c:pt idx="35">
                  <c:v>518.13798493365141</c:v>
                </c:pt>
                <c:pt idx="36">
                  <c:v>513.54099296059326</c:v>
                </c:pt>
                <c:pt idx="37">
                  <c:v>509.00958114005533</c:v>
                </c:pt>
                <c:pt idx="38">
                  <c:v>504.53357290347418</c:v>
                </c:pt>
                <c:pt idx="39">
                  <c:v>500.10326981807344</c:v>
                </c:pt>
                <c:pt idx="40">
                  <c:v>495.70935628244462</c:v>
                </c:pt>
                <c:pt idx="41">
                  <c:v>491.34280736162145</c:v>
                </c:pt>
                <c:pt idx="42">
                  <c:v>486.9948114723876</c:v>
                </c:pt>
                <c:pt idx="43">
                  <c:v>482.65668493964398</c:v>
                </c:pt>
                <c:pt idx="44">
                  <c:v>478.31979918871389</c:v>
                </c:pt>
                <c:pt idx="45">
                  <c:v>471.3323006077577</c:v>
                </c:pt>
                <c:pt idx="46">
                  <c:v>464.25972081352813</c:v>
                </c:pt>
                <c:pt idx="47">
                  <c:v>457.25785418921686</c:v>
                </c:pt>
                <c:pt idx="48">
                  <c:v>450.31248024999837</c:v>
                </c:pt>
                <c:pt idx="49">
                  <c:v>443.40948654137821</c:v>
                </c:pt>
                <c:pt idx="50">
                  <c:v>436.53473969687906</c:v>
                </c:pt>
                <c:pt idx="51">
                  <c:v>432.70566069133093</c:v>
                </c:pt>
                <c:pt idx="52">
                  <c:v>425.84220083626599</c:v>
                </c:pt>
                <c:pt idx="53">
                  <c:v>418.96468208420077</c:v>
                </c:pt>
                <c:pt idx="54">
                  <c:v>412.05752118728736</c:v>
                </c:pt>
                <c:pt idx="55">
                  <c:v>405.10435120883847</c:v>
                </c:pt>
                <c:pt idx="56">
                  <c:v>398.08781162530511</c:v>
                </c:pt>
                <c:pt idx="57">
                  <c:v>390.98931427913141</c:v>
                </c:pt>
                <c:pt idx="58">
                  <c:v>383.7887668602695</c:v>
                </c:pt>
                <c:pt idx="59">
                  <c:v>376.46425212120516</c:v>
                </c:pt>
                <c:pt idx="60">
                  <c:v>368.99164319425751</c:v>
                </c:pt>
                <c:pt idx="61">
                  <c:v>361.34414638595609</c:v>
                </c:pt>
                <c:pt idx="62">
                  <c:v>353.49174548759657</c:v>
                </c:pt>
                <c:pt idx="63">
                  <c:v>345.40052317406861</c:v>
                </c:pt>
                <c:pt idx="64">
                  <c:v>337.03182225249486</c:v>
                </c:pt>
                <c:pt idx="65">
                  <c:v>328.34120504262614</c:v>
                </c:pt>
                <c:pt idx="66">
                  <c:v>319.27714135944115</c:v>
                </c:pt>
                <c:pt idx="67">
                  <c:v>309.77934219622739</c:v>
                </c:pt>
                <c:pt idx="68">
                  <c:v>299.7766225376983</c:v>
                </c:pt>
                <c:pt idx="69">
                  <c:v>289.18412386242198</c:v>
                </c:pt>
                <c:pt idx="70">
                  <c:v>277.89966691926577</c:v>
                </c:pt>
                <c:pt idx="71">
                  <c:v>265.79889033960552</c:v>
                </c:pt>
                <c:pt idx="72">
                  <c:v>252.72868937411911</c:v>
                </c:pt>
                <c:pt idx="73">
                  <c:v>238.49820946773335</c:v>
                </c:pt>
                <c:pt idx="74">
                  <c:v>223.53602684358944</c:v>
                </c:pt>
                <c:pt idx="75">
                  <c:v>210.23480476009897</c:v>
                </c:pt>
                <c:pt idx="76">
                  <c:v>195.67720616873527</c:v>
                </c:pt>
                <c:pt idx="77">
                  <c:v>180.57010761424795</c:v>
                </c:pt>
                <c:pt idx="78">
                  <c:v>164.95273514918298</c:v>
                </c:pt>
                <c:pt idx="79">
                  <c:v>148.74406548230209</c:v>
                </c:pt>
                <c:pt idx="80">
                  <c:v>131.85101947112429</c:v>
                </c:pt>
                <c:pt idx="81">
                  <c:v>114.16611446591155</c:v>
                </c:pt>
                <c:pt idx="82">
                  <c:v>95.564621565936747</c:v>
                </c:pt>
                <c:pt idx="83">
                  <c:v>75.901115842224499</c:v>
                </c:pt>
                <c:pt idx="84">
                  <c:v>54.709151952861006</c:v>
                </c:pt>
                <c:pt idx="85">
                  <c:v>32.862788994761978</c:v>
                </c:pt>
                <c:pt idx="86">
                  <c:v>10.32231218134282</c:v>
                </c:pt>
                <c:pt idx="87">
                  <c:v>-11.821859915006934</c:v>
                </c:pt>
                <c:pt idx="88">
                  <c:v>-29.655483975697926</c:v>
                </c:pt>
                <c:pt idx="89">
                  <c:v>-48.109429310197072</c:v>
                </c:pt>
                <c:pt idx="90">
                  <c:v>-62.864999999999867</c:v>
                </c:pt>
                <c:pt idx="91">
                  <c:v>-77.620570689802818</c:v>
                </c:pt>
                <c:pt idx="92">
                  <c:v>-96.074516024301886</c:v>
                </c:pt>
                <c:pt idx="93">
                  <c:v>-113.90814008499287</c:v>
                </c:pt>
                <c:pt idx="94">
                  <c:v>-131.22913773661617</c:v>
                </c:pt>
                <c:pt idx="95">
                  <c:v>-148.12531487762161</c:v>
                </c:pt>
                <c:pt idx="96">
                  <c:v>-163.73553605017739</c:v>
                </c:pt>
                <c:pt idx="97">
                  <c:v>-175.76575650267424</c:v>
                </c:pt>
                <c:pt idx="98">
                  <c:v>-187.3417932028494</c:v>
                </c:pt>
                <c:pt idx="99">
                  <c:v>-198.56005566775525</c:v>
                </c:pt>
                <c:pt idx="100">
                  <c:v>-209.49600053786543</c:v>
                </c:pt>
                <c:pt idx="101">
                  <c:v>-220.20979209231641</c:v>
                </c:pt>
                <c:pt idx="102">
                  <c:v>-230.02866933279535</c:v>
                </c:pt>
                <c:pt idx="103">
                  <c:v>-239.66618570634782</c:v>
                </c:pt>
                <c:pt idx="104">
                  <c:v>-249.28458613521946</c:v>
                </c:pt>
                <c:pt idx="105">
                  <c:v>-263.05298950168418</c:v>
                </c:pt>
                <c:pt idx="106">
                  <c:v>-277.67028707732254</c:v>
                </c:pt>
                <c:pt idx="107">
                  <c:v>-291.61903194000598</c:v>
                </c:pt>
                <c:pt idx="108">
                  <c:v>-304.46350158303278</c:v>
                </c:pt>
                <c:pt idx="109">
                  <c:v>-316.39443903586175</c:v>
                </c:pt>
                <c:pt idx="110">
                  <c:v>-327.56791803802042</c:v>
                </c:pt>
                <c:pt idx="111">
                  <c:v>-338.10879657676657</c:v>
                </c:pt>
                <c:pt idx="112">
                  <c:v>-348.11829451302265</c:v>
                </c:pt>
                <c:pt idx="113">
                  <c:v>-357.67948929589863</c:v>
                </c:pt>
                <c:pt idx="114">
                  <c:v>-366.8613662860372</c:v>
                </c:pt>
                <c:pt idx="115">
                  <c:v>-375.72184911306312</c:v>
                </c:pt>
                <c:pt idx="116">
                  <c:v>-384.31009530106917</c:v>
                </c:pt>
                <c:pt idx="117">
                  <c:v>-392.6682592643653</c:v>
                </c:pt>
                <c:pt idx="118">
                  <c:v>-400.83286144804708</c:v>
                </c:pt>
                <c:pt idx="119">
                  <c:v>-408.83586317348642</c:v>
                </c:pt>
                <c:pt idx="120">
                  <c:v>-416.70552055725284</c:v>
                </c:pt>
                <c:pt idx="121">
                  <c:v>-424.46706935551327</c:v>
                </c:pt>
                <c:pt idx="122">
                  <c:v>-432.14327968492853</c:v>
                </c:pt>
                <c:pt idx="123">
                  <c:v>-439.75491171216947</c:v>
                </c:pt>
                <c:pt idx="124">
                  <c:v>-446.70090426799197</c:v>
                </c:pt>
                <c:pt idx="125">
                  <c:v>-453.55131979933498</c:v>
                </c:pt>
                <c:pt idx="126">
                  <c:v>-460.35124602780775</c:v>
                </c:pt>
                <c:pt idx="127">
                  <c:v>-467.11656171513221</c:v>
                </c:pt>
                <c:pt idx="128">
                  <c:v>-473.86233352489103</c:v>
                </c:pt>
                <c:pt idx="129">
                  <c:v>-480.60299854900279</c:v>
                </c:pt>
                <c:pt idx="130">
                  <c:v>-487.35252598376667</c:v>
                </c:pt>
                <c:pt idx="131">
                  <c:v>-494.12456590314002</c:v>
                </c:pt>
                <c:pt idx="132">
                  <c:v>-500.93258469195877</c:v>
                </c:pt>
                <c:pt idx="133">
                  <c:v>-507.7899942043245</c:v>
                </c:pt>
                <c:pt idx="134">
                  <c:v>-514.71027446506776</c:v>
                </c:pt>
                <c:pt idx="135">
                  <c:v>-521.70709534576827</c:v>
                </c:pt>
                <c:pt idx="136">
                  <c:v>-528.79443624687201</c:v>
                </c:pt>
                <c:pt idx="137">
                  <c:v>-535.98671123678207</c:v>
                </c:pt>
                <c:pt idx="138">
                  <c:v>-543.29889605126766</c:v>
                </c:pt>
                <c:pt idx="139">
                  <c:v>-550.74666524180691</c:v>
                </c:pt>
                <c:pt idx="140">
                  <c:v>-558.34653704655852</c:v>
                </c:pt>
                <c:pt idx="141">
                  <c:v>-566.11603336394421</c:v>
                </c:pt>
                <c:pt idx="142">
                  <c:v>-574.07385562440606</c:v>
                </c:pt>
                <c:pt idx="143">
                  <c:v>-581.35641462255182</c:v>
                </c:pt>
                <c:pt idx="144">
                  <c:v>-586.94329281957482</c:v>
                </c:pt>
                <c:pt idx="145">
                  <c:v>-592.63211284624595</c:v>
                </c:pt>
                <c:pt idx="146">
                  <c:v>-598.43638361323394</c:v>
                </c:pt>
                <c:pt idx="147">
                  <c:v>-604.37064530533712</c:v>
                </c:pt>
                <c:pt idx="148">
                  <c:v>-610.45064201641344</c:v>
                </c:pt>
                <c:pt idx="149">
                  <c:v>-616.64982745517432</c:v>
                </c:pt>
                <c:pt idx="150">
                  <c:v>-622.8434985458872</c:v>
                </c:pt>
                <c:pt idx="151">
                  <c:v>-629.03645848813971</c:v>
                </c:pt>
                <c:pt idx="152">
                  <c:v>-635.24440724795556</c:v>
                </c:pt>
                <c:pt idx="153">
                  <c:v>-641.48328100407832</c:v>
                </c:pt>
                <c:pt idx="154">
                  <c:v>-647.76939774126788</c:v>
                </c:pt>
                <c:pt idx="155">
                  <c:v>-654.11960640965401</c:v>
                </c:pt>
                <c:pt idx="156">
                  <c:v>-660.55145554568821</c:v>
                </c:pt>
                <c:pt idx="157">
                  <c:v>-667.08336954318668</c:v>
                </c:pt>
                <c:pt idx="158">
                  <c:v>-673.73484713163452</c:v>
                </c:pt>
                <c:pt idx="159">
                  <c:v>-677.82933112318744</c:v>
                </c:pt>
                <c:pt idx="160">
                  <c:v>-679.48771756156839</c:v>
                </c:pt>
                <c:pt idx="161">
                  <c:v>-681.04520291233268</c:v>
                </c:pt>
                <c:pt idx="162">
                  <c:v>-682.5061696681762</c:v>
                </c:pt>
                <c:pt idx="163">
                  <c:v>-683.87466049508498</c:v>
                </c:pt>
                <c:pt idx="164">
                  <c:v>-684.56910741944807</c:v>
                </c:pt>
                <c:pt idx="165">
                  <c:v>-685.76800937446285</c:v>
                </c:pt>
                <c:pt idx="166">
                  <c:v>-686.8848250587215</c:v>
                </c:pt>
                <c:pt idx="167">
                  <c:v>-687.92245053597708</c:v>
                </c:pt>
                <c:pt idx="168">
                  <c:v>-688.8835434676256</c:v>
                </c:pt>
                <c:pt idx="169">
                  <c:v>-689.77053450205688</c:v>
                </c:pt>
                <c:pt idx="170">
                  <c:v>-690.58565211014673</c:v>
                </c:pt>
                <c:pt idx="171">
                  <c:v>-691.33092054328699</c:v>
                </c:pt>
                <c:pt idx="172">
                  <c:v>-692.00818541001365</c:v>
                </c:pt>
                <c:pt idx="173">
                  <c:v>-692.61911493124353</c:v>
                </c:pt>
                <c:pt idx="174">
                  <c:v>-693.16521699749887</c:v>
                </c:pt>
                <c:pt idx="175">
                  <c:v>-693.64784623889341</c:v>
                </c:pt>
                <c:pt idx="176">
                  <c:v>-694.06820945783124</c:v>
                </c:pt>
                <c:pt idx="177">
                  <c:v>-694.42738029236193</c:v>
                </c:pt>
                <c:pt idx="178">
                  <c:v>-694.7263017455889</c:v>
                </c:pt>
                <c:pt idx="179">
                  <c:v>-694.96579725742333</c:v>
                </c:pt>
                <c:pt idx="180">
                  <c:v>-695.14657916972806</c:v>
                </c:pt>
                <c:pt idx="181">
                  <c:v>-694.96579725742333</c:v>
                </c:pt>
                <c:pt idx="182">
                  <c:v>-694.72630174558901</c:v>
                </c:pt>
                <c:pt idx="183">
                  <c:v>-694.42738029236182</c:v>
                </c:pt>
                <c:pt idx="184">
                  <c:v>-694.06820945783124</c:v>
                </c:pt>
                <c:pt idx="185">
                  <c:v>-693.64784623889375</c:v>
                </c:pt>
                <c:pt idx="186">
                  <c:v>-693.16521699749921</c:v>
                </c:pt>
                <c:pt idx="187">
                  <c:v>-692.61911493124376</c:v>
                </c:pt>
                <c:pt idx="188">
                  <c:v>-692.00818541001343</c:v>
                </c:pt>
                <c:pt idx="189">
                  <c:v>-691.33092054328756</c:v>
                </c:pt>
                <c:pt idx="190">
                  <c:v>-690.58565211014638</c:v>
                </c:pt>
                <c:pt idx="191">
                  <c:v>-689.77053450205665</c:v>
                </c:pt>
                <c:pt idx="192">
                  <c:v>-688.88354346762549</c:v>
                </c:pt>
                <c:pt idx="193">
                  <c:v>-687.92245053597765</c:v>
                </c:pt>
                <c:pt idx="194">
                  <c:v>-686.88482505872162</c:v>
                </c:pt>
                <c:pt idx="195">
                  <c:v>-685.76800937446285</c:v>
                </c:pt>
                <c:pt idx="196">
                  <c:v>-684.5691074194483</c:v>
                </c:pt>
                <c:pt idx="197">
                  <c:v>-683.87466049508498</c:v>
                </c:pt>
                <c:pt idx="198">
                  <c:v>-682.50616966817608</c:v>
                </c:pt>
                <c:pt idx="199">
                  <c:v>-681.04520291233257</c:v>
                </c:pt>
                <c:pt idx="200">
                  <c:v>-679.48771756156873</c:v>
                </c:pt>
                <c:pt idx="201">
                  <c:v>-677.82933112318744</c:v>
                </c:pt>
                <c:pt idx="202">
                  <c:v>-673.73484713163487</c:v>
                </c:pt>
                <c:pt idx="203">
                  <c:v>-667.08336954318668</c:v>
                </c:pt>
                <c:pt idx="204">
                  <c:v>-660.55145554568844</c:v>
                </c:pt>
                <c:pt idx="205">
                  <c:v>-654.11960640965435</c:v>
                </c:pt>
                <c:pt idx="206">
                  <c:v>-647.76939774126788</c:v>
                </c:pt>
                <c:pt idx="207">
                  <c:v>-641.48328100407844</c:v>
                </c:pt>
                <c:pt idx="208">
                  <c:v>-635.24440724795534</c:v>
                </c:pt>
                <c:pt idx="209">
                  <c:v>-629.03645848813971</c:v>
                </c:pt>
                <c:pt idx="210">
                  <c:v>-622.8434985458872</c:v>
                </c:pt>
                <c:pt idx="211">
                  <c:v>-616.64982745517455</c:v>
                </c:pt>
                <c:pt idx="212">
                  <c:v>-610.45064201641389</c:v>
                </c:pt>
                <c:pt idx="213">
                  <c:v>-604.37064530533723</c:v>
                </c:pt>
                <c:pt idx="214">
                  <c:v>-598.4363836132344</c:v>
                </c:pt>
                <c:pt idx="215">
                  <c:v>-592.63211284624583</c:v>
                </c:pt>
                <c:pt idx="216">
                  <c:v>-586.94329281957528</c:v>
                </c:pt>
                <c:pt idx="217">
                  <c:v>-581.35641462255171</c:v>
                </c:pt>
                <c:pt idx="218">
                  <c:v>-574.07385562440618</c:v>
                </c:pt>
                <c:pt idx="219">
                  <c:v>-566.1160333639441</c:v>
                </c:pt>
                <c:pt idx="220">
                  <c:v>-558.34653704655852</c:v>
                </c:pt>
                <c:pt idx="221">
                  <c:v>-550.74666524180691</c:v>
                </c:pt>
                <c:pt idx="222">
                  <c:v>-543.29889605126789</c:v>
                </c:pt>
                <c:pt idx="223">
                  <c:v>-535.98671123678207</c:v>
                </c:pt>
                <c:pt idx="224">
                  <c:v>-528.79443624687201</c:v>
                </c:pt>
                <c:pt idx="225">
                  <c:v>-521.70709534576849</c:v>
                </c:pt>
                <c:pt idx="226">
                  <c:v>-514.71027446506787</c:v>
                </c:pt>
                <c:pt idx="227">
                  <c:v>-507.78999420432501</c:v>
                </c:pt>
                <c:pt idx="228">
                  <c:v>-500.93258469195899</c:v>
                </c:pt>
                <c:pt idx="229">
                  <c:v>-494.12456590314002</c:v>
                </c:pt>
                <c:pt idx="230">
                  <c:v>-487.35252598376655</c:v>
                </c:pt>
                <c:pt idx="231">
                  <c:v>-480.60299854900302</c:v>
                </c:pt>
                <c:pt idx="232">
                  <c:v>-473.86233352489091</c:v>
                </c:pt>
                <c:pt idx="233">
                  <c:v>-467.11656171513232</c:v>
                </c:pt>
                <c:pt idx="234">
                  <c:v>-460.35124602780775</c:v>
                </c:pt>
                <c:pt idx="235">
                  <c:v>-453.55131979933537</c:v>
                </c:pt>
                <c:pt idx="236">
                  <c:v>-446.70090426799192</c:v>
                </c:pt>
                <c:pt idx="237">
                  <c:v>-439.75491171216942</c:v>
                </c:pt>
                <c:pt idx="238">
                  <c:v>-432.14327968492876</c:v>
                </c:pt>
                <c:pt idx="239">
                  <c:v>-424.46706935551322</c:v>
                </c:pt>
                <c:pt idx="240">
                  <c:v>-416.70552055725335</c:v>
                </c:pt>
                <c:pt idx="241">
                  <c:v>-408.83586317348636</c:v>
                </c:pt>
                <c:pt idx="242">
                  <c:v>-400.83286144804703</c:v>
                </c:pt>
                <c:pt idx="243">
                  <c:v>-392.66825926436542</c:v>
                </c:pt>
                <c:pt idx="244">
                  <c:v>-384.31009530106934</c:v>
                </c:pt>
                <c:pt idx="245">
                  <c:v>-375.72184911306283</c:v>
                </c:pt>
                <c:pt idx="246">
                  <c:v>-366.86136628603731</c:v>
                </c:pt>
                <c:pt idx="247">
                  <c:v>-357.67948929589863</c:v>
                </c:pt>
                <c:pt idx="248">
                  <c:v>-348.11829451302282</c:v>
                </c:pt>
                <c:pt idx="249">
                  <c:v>-338.10879657676696</c:v>
                </c:pt>
                <c:pt idx="250">
                  <c:v>-327.56791803802025</c:v>
                </c:pt>
                <c:pt idx="251">
                  <c:v>-316.39443903586192</c:v>
                </c:pt>
                <c:pt idx="252">
                  <c:v>-304.46350158303301</c:v>
                </c:pt>
                <c:pt idx="253">
                  <c:v>-291.61903194000621</c:v>
                </c:pt>
                <c:pt idx="254">
                  <c:v>-277.67028707732226</c:v>
                </c:pt>
                <c:pt idx="255">
                  <c:v>-263.05298950168384</c:v>
                </c:pt>
                <c:pt idx="256">
                  <c:v>-249.28458613521946</c:v>
                </c:pt>
                <c:pt idx="257">
                  <c:v>-239.66618570634799</c:v>
                </c:pt>
                <c:pt idx="258">
                  <c:v>-230.02866933279583</c:v>
                </c:pt>
                <c:pt idx="259">
                  <c:v>-220.20979209231629</c:v>
                </c:pt>
                <c:pt idx="260">
                  <c:v>-209.49600053786543</c:v>
                </c:pt>
                <c:pt idx="261">
                  <c:v>-198.56005566775536</c:v>
                </c:pt>
                <c:pt idx="262">
                  <c:v>-187.34179320284991</c:v>
                </c:pt>
                <c:pt idx="263">
                  <c:v>-175.76575650267401</c:v>
                </c:pt>
                <c:pt idx="264">
                  <c:v>-163.73553605017716</c:v>
                </c:pt>
                <c:pt idx="265">
                  <c:v>-148.12531487762161</c:v>
                </c:pt>
                <c:pt idx="266">
                  <c:v>-131.22913773661639</c:v>
                </c:pt>
                <c:pt idx="267">
                  <c:v>-113.90814008499336</c:v>
                </c:pt>
                <c:pt idx="268">
                  <c:v>-96.074516024301786</c:v>
                </c:pt>
                <c:pt idx="269">
                  <c:v>-77.620570689802804</c:v>
                </c:pt>
                <c:pt idx="270">
                  <c:v>-62.865000000000251</c:v>
                </c:pt>
                <c:pt idx="271">
                  <c:v>-48.109429310197527</c:v>
                </c:pt>
                <c:pt idx="272">
                  <c:v>-29.65548397569771</c:v>
                </c:pt>
                <c:pt idx="273">
                  <c:v>-11.821859915007051</c:v>
                </c:pt>
                <c:pt idx="274">
                  <c:v>10.322312181342781</c:v>
                </c:pt>
                <c:pt idx="275">
                  <c:v>32.862788994761722</c:v>
                </c:pt>
                <c:pt idx="276">
                  <c:v>54.709151952860452</c:v>
                </c:pt>
                <c:pt idx="277">
                  <c:v>75.901115842224698</c:v>
                </c:pt>
                <c:pt idx="278">
                  <c:v>95.564621565936704</c:v>
                </c:pt>
                <c:pt idx="279">
                  <c:v>114.16611446591126</c:v>
                </c:pt>
                <c:pt idx="280">
                  <c:v>131.85101947112386</c:v>
                </c:pt>
                <c:pt idx="281">
                  <c:v>148.74406548230226</c:v>
                </c:pt>
                <c:pt idx="282">
                  <c:v>164.95273514918298</c:v>
                </c:pt>
                <c:pt idx="283">
                  <c:v>180.57010761424795</c:v>
                </c:pt>
                <c:pt idx="284">
                  <c:v>195.67720616873507</c:v>
                </c:pt>
                <c:pt idx="285">
                  <c:v>210.23480476009846</c:v>
                </c:pt>
                <c:pt idx="286">
                  <c:v>223.53602684358958</c:v>
                </c:pt>
                <c:pt idx="287">
                  <c:v>238.49820946773329</c:v>
                </c:pt>
                <c:pt idx="288">
                  <c:v>252.7286893741188</c:v>
                </c:pt>
                <c:pt idx="289">
                  <c:v>265.79889033960524</c:v>
                </c:pt>
                <c:pt idx="290">
                  <c:v>277.89966691926583</c:v>
                </c:pt>
                <c:pt idx="291">
                  <c:v>289.18412386242198</c:v>
                </c:pt>
                <c:pt idx="292">
                  <c:v>299.7766225376983</c:v>
                </c:pt>
                <c:pt idx="293">
                  <c:v>309.77934219622733</c:v>
                </c:pt>
                <c:pt idx="294">
                  <c:v>319.27714135944075</c:v>
                </c:pt>
                <c:pt idx="295">
                  <c:v>328.34120504262643</c:v>
                </c:pt>
                <c:pt idx="296">
                  <c:v>337.03182225249492</c:v>
                </c:pt>
                <c:pt idx="297">
                  <c:v>345.4005231740685</c:v>
                </c:pt>
                <c:pt idx="298">
                  <c:v>353.4917454875964</c:v>
                </c:pt>
                <c:pt idx="299">
                  <c:v>361.34414638595609</c:v>
                </c:pt>
                <c:pt idx="300">
                  <c:v>368.99164319425739</c:v>
                </c:pt>
                <c:pt idx="301">
                  <c:v>376.46425212120516</c:v>
                </c:pt>
                <c:pt idx="302">
                  <c:v>383.78876686026967</c:v>
                </c:pt>
                <c:pt idx="303">
                  <c:v>390.98931427913118</c:v>
                </c:pt>
                <c:pt idx="304">
                  <c:v>398.08781162530511</c:v>
                </c:pt>
                <c:pt idx="305">
                  <c:v>405.10435120883841</c:v>
                </c:pt>
                <c:pt idx="306">
                  <c:v>412.05752118728736</c:v>
                </c:pt>
                <c:pt idx="307">
                  <c:v>418.96468208420043</c:v>
                </c:pt>
                <c:pt idx="308">
                  <c:v>425.84220083626593</c:v>
                </c:pt>
                <c:pt idx="309">
                  <c:v>432.70566069133088</c:v>
                </c:pt>
                <c:pt idx="310">
                  <c:v>436.53473969687917</c:v>
                </c:pt>
                <c:pt idx="311">
                  <c:v>443.40948654137804</c:v>
                </c:pt>
                <c:pt idx="312">
                  <c:v>450.31248024999803</c:v>
                </c:pt>
                <c:pt idx="313">
                  <c:v>457.25785418921697</c:v>
                </c:pt>
                <c:pt idx="314">
                  <c:v>464.25972081352836</c:v>
                </c:pt>
                <c:pt idx="315">
                  <c:v>471.33230060775753</c:v>
                </c:pt>
                <c:pt idx="316">
                  <c:v>478.31979918871377</c:v>
                </c:pt>
                <c:pt idx="317">
                  <c:v>482.65668493964426</c:v>
                </c:pt>
                <c:pt idx="318">
                  <c:v>486.9948114723876</c:v>
                </c:pt>
                <c:pt idx="319">
                  <c:v>491.3428073616214</c:v>
                </c:pt>
                <c:pt idx="320">
                  <c:v>495.70935628244445</c:v>
                </c:pt>
                <c:pt idx="321">
                  <c:v>500.10326981807299</c:v>
                </c:pt>
                <c:pt idx="322">
                  <c:v>504.53357290347429</c:v>
                </c:pt>
                <c:pt idx="323">
                  <c:v>509.00958114005522</c:v>
                </c:pt>
                <c:pt idx="324">
                  <c:v>513.54099296059326</c:v>
                </c:pt>
                <c:pt idx="325">
                  <c:v>518.1379849336513</c:v>
                </c:pt>
                <c:pt idx="326">
                  <c:v>522.81131918529081</c:v>
                </c:pt>
                <c:pt idx="327">
                  <c:v>527.57245906327125</c:v>
                </c:pt>
                <c:pt idx="328">
                  <c:v>532.43370630242919</c:v>
                </c:pt>
                <c:pt idx="329">
                  <c:v>537.40835225368869</c:v>
                </c:pt>
                <c:pt idx="330">
                  <c:v>541.44849852288451</c:v>
                </c:pt>
                <c:pt idx="331">
                  <c:v>543.6736945965913</c:v>
                </c:pt>
                <c:pt idx="332">
                  <c:v>545.88528186780536</c:v>
                </c:pt>
                <c:pt idx="333">
                  <c:v>548.08734623550743</c:v>
                </c:pt>
                <c:pt idx="334">
                  <c:v>550.28413226852877</c:v>
                </c:pt>
                <c:pt idx="335">
                  <c:v>552.46215850035571</c:v>
                </c:pt>
                <c:pt idx="336">
                  <c:v>554.52603551348477</c:v>
                </c:pt>
                <c:pt idx="337">
                  <c:v>556.46648398108414</c:v>
                </c:pt>
                <c:pt idx="338">
                  <c:v>558.28952955649152</c:v>
                </c:pt>
                <c:pt idx="339">
                  <c:v>560.00071215869571</c:v>
                </c:pt>
                <c:pt idx="340">
                  <c:v>561.60512778794828</c:v>
                </c:pt>
                <c:pt idx="341">
                  <c:v>563.10746313222933</c:v>
                </c:pt>
                <c:pt idx="342">
                  <c:v>564.51202686439797</c:v>
                </c:pt>
                <c:pt idx="343">
                  <c:v>565.82277189778131</c:v>
                </c:pt>
                <c:pt idx="344">
                  <c:v>567.04332826834002</c:v>
                </c:pt>
                <c:pt idx="345">
                  <c:v>568.17702648167426</c:v>
                </c:pt>
                <c:pt idx="346">
                  <c:v>569.22690577391143</c:v>
                </c:pt>
                <c:pt idx="347">
                  <c:v>570.19574575351123</c:v>
                </c:pt>
                <c:pt idx="348">
                  <c:v>571.08607468924208</c:v>
                </c:pt>
                <c:pt idx="349">
                  <c:v>571.90018828120185</c:v>
                </c:pt>
                <c:pt idx="350">
                  <c:v>572.64015920214695</c:v>
                </c:pt>
                <c:pt idx="351">
                  <c:v>573.30785080143153</c:v>
                </c:pt>
                <c:pt idx="352">
                  <c:v>573.90492805568488</c:v>
                </c:pt>
                <c:pt idx="353">
                  <c:v>574.43286684250882</c:v>
                </c:pt>
                <c:pt idx="354">
                  <c:v>574.70829584322257</c:v>
                </c:pt>
                <c:pt idx="355">
                  <c:v>575.10564931366036</c:v>
                </c:pt>
                <c:pt idx="356">
                  <c:v>575.43733809585888</c:v>
                </c:pt>
                <c:pt idx="357">
                  <c:v>575.70415535616314</c:v>
                </c:pt>
                <c:pt idx="358">
                  <c:v>575.90672906296447</c:v>
                </c:pt>
                <c:pt idx="359">
                  <c:v>576.045537446921</c:v>
                </c:pt>
                <c:pt idx="360">
                  <c:v>576.12090015198396</c:v>
                </c:pt>
                <c:pt idx="361">
                  <c:v>576.12090015198407</c:v>
                </c:pt>
              </c:numCache>
            </c:numRef>
          </c:xVal>
          <c:yVal>
            <c:numRef>
              <c:f>'Cross Section Analysis'!$C$129:$C$490</c:f>
              <c:numCache>
                <c:formatCode>General</c:formatCode>
                <c:ptCount val="362"/>
                <c:pt idx="0">
                  <c:v>0</c:v>
                </c:pt>
                <c:pt idx="1">
                  <c:v>5.4925317870693666</c:v>
                </c:pt>
                <c:pt idx="2">
                  <c:v>10.857224036565587</c:v>
                </c:pt>
                <c:pt idx="3">
                  <c:v>16.111417174879268</c:v>
                </c:pt>
                <c:pt idx="4">
                  <c:v>21.270203555010919</c:v>
                </c:pt>
                <c:pt idx="5" formatCode="0.00000">
                  <c:v>26.346844957031262</c:v>
                </c:pt>
                <c:pt idx="6" formatCode="0.00000">
                  <c:v>31.353102937648273</c:v>
                </c:pt>
                <c:pt idx="7">
                  <c:v>33.944815455855206</c:v>
                </c:pt>
                <c:pt idx="8">
                  <c:v>38.847243995035988</c:v>
                </c:pt>
                <c:pt idx="9">
                  <c:v>43.707275664882488</c:v>
                </c:pt>
                <c:pt idx="10">
                  <c:v>48.53293355636351</c:v>
                </c:pt>
                <c:pt idx="11">
                  <c:v>53.331641478626636</c:v>
                </c:pt>
                <c:pt idx="12">
                  <c:v>58.110325054949087</c:v>
                </c:pt>
                <c:pt idx="13">
                  <c:v>62.875497227448662</c:v>
                </c:pt>
                <c:pt idx="14">
                  <c:v>67.633331313406217</c:v>
                </c:pt>
                <c:pt idx="15">
                  <c:v>72.389723896128046</c:v>
                </c:pt>
                <c:pt idx="16">
                  <c:v>77.150349834418606</c:v>
                </c:pt>
                <c:pt idx="17">
                  <c:v>81.92071046287586</c:v>
                </c:pt>
                <c:pt idx="18">
                  <c:v>86.706177144287153</c:v>
                </c:pt>
                <c:pt idx="19">
                  <c:v>91.512029983841529</c:v>
                </c:pt>
                <c:pt idx="20">
                  <c:v>96.343493580430334</c:v>
                </c:pt>
                <c:pt idx="21">
                  <c:v>101.20577042448977</c:v>
                </c:pt>
                <c:pt idx="22">
                  <c:v>106.10407198712822</c:v>
                </c:pt>
                <c:pt idx="23">
                  <c:v>111.04364857887046</c:v>
                </c:pt>
                <c:pt idx="24">
                  <c:v>116.02981829058594</c:v>
                </c:pt>
                <c:pt idx="25">
                  <c:v>121.06799555063098</c:v>
                </c:pt>
                <c:pt idx="26">
                  <c:v>126.13081753633436</c:v>
                </c:pt>
                <c:pt idx="27">
                  <c:v>131.02042497023402</c:v>
                </c:pt>
                <c:pt idx="28">
                  <c:v>135.72262444707462</c:v>
                </c:pt>
                <c:pt idx="29">
                  <c:v>140.25864400980896</c:v>
                </c:pt>
                <c:pt idx="30">
                  <c:v>144.64714148769556</c:v>
                </c:pt>
                <c:pt idx="31">
                  <c:v>148.0536226416146</c:v>
                </c:pt>
                <c:pt idx="32">
                  <c:v>150.8911435349664</c:v>
                </c:pt>
                <c:pt idx="33">
                  <c:v>153.66798730850601</c:v>
                </c:pt>
                <c:pt idx="34">
                  <c:v>156.39318804284926</c:v>
                </c:pt>
                <c:pt idx="35">
                  <c:v>159.07489643027873</c:v>
                </c:pt>
                <c:pt idx="36">
                  <c:v>161.72053131200622</c:v>
                </c:pt>
                <c:pt idx="37">
                  <c:v>164.33690727363668</c:v>
                </c:pt>
                <c:pt idx="38">
                  <c:v>166.93034191412985</c:v>
                </c:pt>
                <c:pt idx="39">
                  <c:v>169.50674813548068</c:v>
                </c:pt>
                <c:pt idx="40">
                  <c:v>172.07171386610881</c:v>
                </c:pt>
                <c:pt idx="41">
                  <c:v>174.63057234620717</c:v>
                </c:pt>
                <c:pt idx="42">
                  <c:v>177.18846419704508</c:v>
                </c:pt>
                <c:pt idx="43">
                  <c:v>179.75039434721339</c:v>
                </c:pt>
                <c:pt idx="44">
                  <c:v>182.32128399615635</c:v>
                </c:pt>
                <c:pt idx="45">
                  <c:v>185.86695153081163</c:v>
                </c:pt>
                <c:pt idx="46">
                  <c:v>189.44050512994198</c:v>
                </c:pt>
                <c:pt idx="47">
                  <c:v>192.9883292723016</c:v>
                </c:pt>
                <c:pt idx="48">
                  <c:v>196.51900321573459</c:v>
                </c:pt>
                <c:pt idx="49">
                  <c:v>200.04096513382751</c:v>
                </c:pt>
                <c:pt idx="50">
                  <c:v>203.56259481713781</c:v>
                </c:pt>
                <c:pt idx="51">
                  <c:v>206.616381377735</c:v>
                </c:pt>
                <c:pt idx="52">
                  <c:v>210.15012325415705</c:v>
                </c:pt>
                <c:pt idx="53">
                  <c:v>213.70943457351868</c:v>
                </c:pt>
                <c:pt idx="54">
                  <c:v>217.30327900483874</c:v>
                </c:pt>
                <c:pt idx="55">
                  <c:v>220.94100319811392</c:v>
                </c:pt>
                <c:pt idx="56">
                  <c:v>224.63244170966917</c:v>
                </c:pt>
                <c:pt idx="57">
                  <c:v>228.38803746485456</c:v>
                </c:pt>
                <c:pt idx="58">
                  <c:v>232.21897497545507</c:v>
                </c:pt>
                <c:pt idx="59">
                  <c:v>236.13733520801094</c:v>
                </c:pt>
                <c:pt idx="60">
                  <c:v>240.1562724651254</c:v>
                </c:pt>
                <c:pt idx="61">
                  <c:v>244.2902242035708</c:v>
                </c:pt>
                <c:pt idx="62">
                  <c:v>248.55515798373855</c:v>
                </c:pt>
                <c:pt idx="63">
                  <c:v>252.96886694087922</c:v>
                </c:pt>
                <c:pt idx="64">
                  <c:v>257.55132485851419</c:v>
                </c:pt>
                <c:pt idx="65">
                  <c:v>262.32512152580057</c:v>
                </c:pt>
                <c:pt idx="66">
                  <c:v>267.31599504280854</c:v>
                </c:pt>
                <c:pt idx="67">
                  <c:v>272.55349202036791</c:v>
                </c:pt>
                <c:pt idx="68">
                  <c:v>278.07179633246454</c:v>
                </c:pt>
                <c:pt idx="69">
                  <c:v>283.91077537954959</c:v>
                </c:pt>
                <c:pt idx="70">
                  <c:v>290.11732179573227</c:v>
                </c:pt>
                <c:pt idx="71">
                  <c:v>296.74708478917898</c:v>
                </c:pt>
                <c:pt idx="72">
                  <c:v>303.86674576495898</c:v>
                </c:pt>
                <c:pt idx="73">
                  <c:v>311.55703887273177</c:v>
                </c:pt>
                <c:pt idx="74">
                  <c:v>319.38920889410429</c:v>
                </c:pt>
                <c:pt idx="75">
                  <c:v>325.41683929939165</c:v>
                </c:pt>
                <c:pt idx="76">
                  <c:v>331.91056878244814</c:v>
                </c:pt>
                <c:pt idx="77">
                  <c:v>338.51575802236283</c:v>
                </c:pt>
                <c:pt idx="78">
                  <c:v>345.2120256545968</c:v>
                </c:pt>
                <c:pt idx="79">
                  <c:v>352.03477822441181</c:v>
                </c:pt>
                <c:pt idx="80">
                  <c:v>359.02305130043857</c:v>
                </c:pt>
                <c:pt idx="81">
                  <c:v>366.22019523192319</c:v>
                </c:pt>
                <c:pt idx="82">
                  <c:v>373.67467508297938</c:v>
                </c:pt>
                <c:pt idx="83">
                  <c:v>381.44099742334015</c:v>
                </c:pt>
                <c:pt idx="84">
                  <c:v>385.72710364818261</c:v>
                </c:pt>
                <c:pt idx="85">
                  <c:v>389.70533563619364</c:v>
                </c:pt>
                <c:pt idx="86">
                  <c:v>393.64382213125901</c:v>
                </c:pt>
                <c:pt idx="87">
                  <c:v>396.94146470528966</c:v>
                </c:pt>
                <c:pt idx="88">
                  <c:v>397.48968443610335</c:v>
                </c:pt>
                <c:pt idx="89">
                  <c:v>397.81837020795825</c:v>
                </c:pt>
                <c:pt idx="90">
                  <c:v>397.90331074479258</c:v>
                </c:pt>
                <c:pt idx="91">
                  <c:v>397.81837020795825</c:v>
                </c:pt>
                <c:pt idx="92">
                  <c:v>397.48968443610335</c:v>
                </c:pt>
                <c:pt idx="93">
                  <c:v>396.94146470528949</c:v>
                </c:pt>
                <c:pt idx="94">
                  <c:v>396.1723682455227</c:v>
                </c:pt>
                <c:pt idx="95">
                  <c:v>395.18050456802126</c:v>
                </c:pt>
                <c:pt idx="96">
                  <c:v>392.66129597335726</c:v>
                </c:pt>
                <c:pt idx="97">
                  <c:v>385.98714716194962</c:v>
                </c:pt>
                <c:pt idx="98">
                  <c:v>379.70769974448859</c:v>
                </c:pt>
                <c:pt idx="99">
                  <c:v>373.73474670821452</c:v>
                </c:pt>
                <c:pt idx="100">
                  <c:v>367.99623126293847</c:v>
                </c:pt>
                <c:pt idx="101">
                  <c:v>362.43245507501626</c:v>
                </c:pt>
                <c:pt idx="102">
                  <c:v>356.69196949760277</c:v>
                </c:pt>
                <c:pt idx="103">
                  <c:v>350.98712668034125</c:v>
                </c:pt>
                <c:pt idx="104">
                  <c:v>345.33921953928791</c:v>
                </c:pt>
                <c:pt idx="105">
                  <c:v>337.36200079918535</c:v>
                </c:pt>
                <c:pt idx="106">
                  <c:v>328.8280936264394</c:v>
                </c:pt>
                <c:pt idx="107">
                  <c:v>320.62213299014303</c:v>
                </c:pt>
                <c:pt idx="108">
                  <c:v>313.06279841754019</c:v>
                </c:pt>
                <c:pt idx="109">
                  <c:v>306.0566999296035</c:v>
                </c:pt>
                <c:pt idx="110">
                  <c:v>299.52375246108954</c:v>
                </c:pt>
                <c:pt idx="111">
                  <c:v>293.39781544624111</c:v>
                </c:pt>
                <c:pt idx="112">
                  <c:v>287.62368063926829</c:v>
                </c:pt>
                <c:pt idx="113">
                  <c:v>282.15480736871621</c:v>
                </c:pt>
                <c:pt idx="114">
                  <c:v>276.9515955251818</c:v>
                </c:pt>
                <c:pt idx="115">
                  <c:v>271.98005011725354</c:v>
                </c:pt>
                <c:pt idx="116">
                  <c:v>267.21073872991468</c:v>
                </c:pt>
                <c:pt idx="117">
                  <c:v>262.6179663869874</c:v>
                </c:pt>
                <c:pt idx="118">
                  <c:v>258.17911640190778</c:v>
                </c:pt>
                <c:pt idx="119">
                  <c:v>253.87411898138825</c:v>
                </c:pt>
                <c:pt idx="120">
                  <c:v>249.68501735590988</c:v>
                </c:pt>
                <c:pt idx="121">
                  <c:v>245.59561093268266</c:v>
                </c:pt>
                <c:pt idx="122">
                  <c:v>241.59115934490939</c:v>
                </c:pt>
                <c:pt idx="123">
                  <c:v>237.65813227094677</c:v>
                </c:pt>
                <c:pt idx="124">
                  <c:v>233.71377021500399</c:v>
                </c:pt>
                <c:pt idx="125">
                  <c:v>229.8166278915925</c:v>
                </c:pt>
                <c:pt idx="126">
                  <c:v>225.95973223354343</c:v>
                </c:pt>
                <c:pt idx="127">
                  <c:v>222.13327743699213</c:v>
                </c:pt>
                <c:pt idx="128">
                  <c:v>218.32786857982032</c:v>
                </c:pt>
                <c:pt idx="129">
                  <c:v>214.53441689590952</c:v>
                </c:pt>
                <c:pt idx="130">
                  <c:v>210.74404235337269</c:v>
                </c:pt>
                <c:pt idx="131">
                  <c:v>206.94798408489416</c:v>
                </c:pt>
                <c:pt idx="132">
                  <c:v>203.13751285367013</c:v>
                </c:pt>
                <c:pt idx="133">
                  <c:v>199.30384671972061</c:v>
                </c:pt>
                <c:pt idx="134">
                  <c:v>195.43806585994017</c:v>
                </c:pt>
                <c:pt idx="135">
                  <c:v>191.53102653057735</c:v>
                </c:pt>
                <c:pt idx="136">
                  <c:v>187.57327060661717</c:v>
                </c:pt>
                <c:pt idx="137">
                  <c:v>183.55493108927945</c:v>
                </c:pt>
                <c:pt idx="138">
                  <c:v>179.46562896825745</c:v>
                </c:pt>
                <c:pt idx="139">
                  <c:v>175.29436137565273</c:v>
                </c:pt>
                <c:pt idx="140">
                  <c:v>171.02937674981854</c:v>
                </c:pt>
                <c:pt idx="141">
                  <c:v>166.65803522710905</c:v>
                </c:pt>
                <c:pt idx="142">
                  <c:v>162.16664990907003</c:v>
                </c:pt>
                <c:pt idx="143">
                  <c:v>157.95754037603933</c:v>
                </c:pt>
                <c:pt idx="144">
                  <c:v>154.52769393039839</c:v>
                </c:pt>
                <c:pt idx="145">
                  <c:v>151.03582347479264</c:v>
                </c:pt>
                <c:pt idx="146">
                  <c:v>147.47283200027809</c:v>
                </c:pt>
                <c:pt idx="147">
                  <c:v>143.82877539220723</c:v>
                </c:pt>
                <c:pt idx="148">
                  <c:v>140.09270651810758</c:v>
                </c:pt>
                <c:pt idx="149">
                  <c:v>136.28736590196533</c:v>
                </c:pt>
                <c:pt idx="150">
                  <c:v>132.51623420966567</c:v>
                </c:pt>
                <c:pt idx="151">
                  <c:v>128.78222451834409</c:v>
                </c:pt>
                <c:pt idx="152">
                  <c:v>125.07977765297518</c:v>
                </c:pt>
                <c:pt idx="153">
                  <c:v>121.40334236416346</c:v>
                </c:pt>
                <c:pt idx="154">
                  <c:v>117.74733145458623</c:v>
                </c:pt>
                <c:pt idx="155">
                  <c:v>114.10607723208706</c:v>
                </c:pt>
                <c:pt idx="156">
                  <c:v>110.47377966206803</c:v>
                </c:pt>
                <c:pt idx="157">
                  <c:v>106.84445265843364</c:v>
                </c:pt>
                <c:pt idx="158">
                  <c:v>103.2118624632885</c:v>
                </c:pt>
                <c:pt idx="159">
                  <c:v>98.920252938720111</c:v>
                </c:pt>
                <c:pt idx="160">
                  <c:v>94.079645525340084</c:v>
                </c:pt>
                <c:pt idx="161">
                  <c:v>89.2736700091736</c:v>
                </c:pt>
                <c:pt idx="162">
                  <c:v>84.497488407651531</c:v>
                </c:pt>
                <c:pt idx="163">
                  <c:v>79.746286965296989</c:v>
                </c:pt>
                <c:pt idx="164">
                  <c:v>77.342841668144956</c:v>
                </c:pt>
                <c:pt idx="165">
                  <c:v>72.629603467720372</c:v>
                </c:pt>
                <c:pt idx="166">
                  <c:v>67.927067353446262</c:v>
                </c:pt>
                <c:pt idx="167">
                  <c:v>63.230269120673348</c:v>
                </c:pt>
                <c:pt idx="168">
                  <c:v>58.534124083549067</c:v>
                </c:pt>
                <c:pt idx="169">
                  <c:v>53.833389702758929</c:v>
                </c:pt>
                <c:pt idx="170">
                  <c:v>49.12262341265356</c:v>
                </c:pt>
                <c:pt idx="171">
                  <c:v>44.396135480201039</c:v>
                </c:pt>
                <c:pt idx="172">
                  <c:v>39.647934357161077</c:v>
                </c:pt>
                <c:pt idx="173">
                  <c:v>34.871664004095649</c:v>
                </c:pt>
                <c:pt idx="174">
                  <c:v>30.060530274592377</c:v>
                </c:pt>
                <c:pt idx="175">
                  <c:v>25.20721424946672</c:v>
                </c:pt>
                <c:pt idx="176">
                  <c:v>20.303768947836577</c:v>
                </c:pt>
                <c:pt idx="177">
                  <c:v>15.341494930719342</c:v>
                </c:pt>
                <c:pt idx="178">
                  <c:v>10.31078938635784</c:v>
                </c:pt>
                <c:pt idx="179">
                  <c:v>5.2009608980291473</c:v>
                </c:pt>
                <c:pt idx="180">
                  <c:v>5.1881156245520066E-14</c:v>
                </c:pt>
                <c:pt idx="181">
                  <c:v>-5.2009608980292388</c:v>
                </c:pt>
                <c:pt idx="182">
                  <c:v>-10.310789386357806</c:v>
                </c:pt>
                <c:pt idx="183">
                  <c:v>-15.341494930719243</c:v>
                </c:pt>
                <c:pt idx="184">
                  <c:v>-20.303768947836492</c:v>
                </c:pt>
                <c:pt idx="185">
                  <c:v>-25.207214249466599</c:v>
                </c:pt>
                <c:pt idx="186">
                  <c:v>-30.060530274592345</c:v>
                </c:pt>
                <c:pt idx="187">
                  <c:v>-34.87166400409555</c:v>
                </c:pt>
                <c:pt idx="188">
                  <c:v>-39.647934357161105</c:v>
                </c:pt>
                <c:pt idx="189">
                  <c:v>-44.396135480201053</c:v>
                </c:pt>
                <c:pt idx="190">
                  <c:v>-49.122623412653581</c:v>
                </c:pt>
                <c:pt idx="191">
                  <c:v>-53.833389702758858</c:v>
                </c:pt>
                <c:pt idx="192">
                  <c:v>-58.534124083549131</c:v>
                </c:pt>
                <c:pt idx="193">
                  <c:v>-63.230269120673256</c:v>
                </c:pt>
                <c:pt idx="194">
                  <c:v>-67.92706735344629</c:v>
                </c:pt>
                <c:pt idx="195">
                  <c:v>-72.629603467720358</c:v>
                </c:pt>
                <c:pt idx="196">
                  <c:v>-77.342841668144857</c:v>
                </c:pt>
                <c:pt idx="197">
                  <c:v>-79.746286965297074</c:v>
                </c:pt>
                <c:pt idx="198">
                  <c:v>-84.497488407651431</c:v>
                </c:pt>
                <c:pt idx="199">
                  <c:v>-89.273670009173642</c:v>
                </c:pt>
                <c:pt idx="200">
                  <c:v>-94.079645525340055</c:v>
                </c:pt>
                <c:pt idx="201">
                  <c:v>-98.920252938720267</c:v>
                </c:pt>
                <c:pt idx="202">
                  <c:v>-103.21186246328841</c:v>
                </c:pt>
                <c:pt idx="203">
                  <c:v>-106.8444526584335</c:v>
                </c:pt>
                <c:pt idx="204">
                  <c:v>-110.47377966206803</c:v>
                </c:pt>
                <c:pt idx="205">
                  <c:v>-114.10607723208715</c:v>
                </c:pt>
                <c:pt idx="206">
                  <c:v>-117.7473314545864</c:v>
                </c:pt>
                <c:pt idx="207">
                  <c:v>-121.40334236416338</c:v>
                </c:pt>
                <c:pt idx="208">
                  <c:v>-125.07977765297527</c:v>
                </c:pt>
                <c:pt idx="209">
                  <c:v>-128.78222451834398</c:v>
                </c:pt>
                <c:pt idx="210">
                  <c:v>-132.51623420966578</c:v>
                </c:pt>
                <c:pt idx="211">
                  <c:v>-136.28736590196536</c:v>
                </c:pt>
                <c:pt idx="212">
                  <c:v>-140.09270651810758</c:v>
                </c:pt>
                <c:pt idx="213">
                  <c:v>-143.82877539220712</c:v>
                </c:pt>
                <c:pt idx="214">
                  <c:v>-147.47283200027798</c:v>
                </c:pt>
                <c:pt idx="215">
                  <c:v>-151.03582347479272</c:v>
                </c:pt>
                <c:pt idx="216">
                  <c:v>-154.52769393039836</c:v>
                </c:pt>
                <c:pt idx="217">
                  <c:v>-157.9575403760395</c:v>
                </c:pt>
                <c:pt idx="218">
                  <c:v>-162.16664990906997</c:v>
                </c:pt>
                <c:pt idx="219">
                  <c:v>-166.65803522710914</c:v>
                </c:pt>
                <c:pt idx="220">
                  <c:v>-171.02937674981851</c:v>
                </c:pt>
                <c:pt idx="221">
                  <c:v>-175.29436137565264</c:v>
                </c:pt>
                <c:pt idx="222">
                  <c:v>-179.46562896825745</c:v>
                </c:pt>
                <c:pt idx="223">
                  <c:v>-183.55493108927939</c:v>
                </c:pt>
                <c:pt idx="224">
                  <c:v>-187.57327060661729</c:v>
                </c:pt>
                <c:pt idx="225">
                  <c:v>-191.53102653057744</c:v>
                </c:pt>
                <c:pt idx="226">
                  <c:v>-195.43806585994031</c:v>
                </c:pt>
                <c:pt idx="227">
                  <c:v>-199.30384671972058</c:v>
                </c:pt>
                <c:pt idx="228">
                  <c:v>-203.13751285367036</c:v>
                </c:pt>
                <c:pt idx="229">
                  <c:v>-206.94798408489413</c:v>
                </c:pt>
                <c:pt idx="230">
                  <c:v>-210.74404235337266</c:v>
                </c:pt>
                <c:pt idx="231">
                  <c:v>-214.53441689590935</c:v>
                </c:pt>
                <c:pt idx="232">
                  <c:v>-218.32786857982043</c:v>
                </c:pt>
                <c:pt idx="233">
                  <c:v>-222.13327743699224</c:v>
                </c:pt>
                <c:pt idx="234">
                  <c:v>-225.95973223354326</c:v>
                </c:pt>
                <c:pt idx="235">
                  <c:v>-229.81662789159245</c:v>
                </c:pt>
                <c:pt idx="236">
                  <c:v>-233.71377021500408</c:v>
                </c:pt>
                <c:pt idx="237">
                  <c:v>-237.65813227094688</c:v>
                </c:pt>
                <c:pt idx="238">
                  <c:v>-241.59115934490933</c:v>
                </c:pt>
                <c:pt idx="239">
                  <c:v>-245.59561093268243</c:v>
                </c:pt>
                <c:pt idx="240">
                  <c:v>-249.68501735590985</c:v>
                </c:pt>
                <c:pt idx="241">
                  <c:v>-253.87411898138825</c:v>
                </c:pt>
                <c:pt idx="242">
                  <c:v>-258.17911640190789</c:v>
                </c:pt>
                <c:pt idx="243">
                  <c:v>-262.6179663869874</c:v>
                </c:pt>
                <c:pt idx="244">
                  <c:v>-267.21073872991451</c:v>
                </c:pt>
                <c:pt idx="245">
                  <c:v>-271.98005011725348</c:v>
                </c:pt>
                <c:pt idx="246">
                  <c:v>-276.95159552518186</c:v>
                </c:pt>
                <c:pt idx="247">
                  <c:v>-282.15480736871621</c:v>
                </c:pt>
                <c:pt idx="248">
                  <c:v>-287.62368063926812</c:v>
                </c:pt>
                <c:pt idx="249">
                  <c:v>-293.39781544624111</c:v>
                </c:pt>
                <c:pt idx="250">
                  <c:v>-299.5237524610896</c:v>
                </c:pt>
                <c:pt idx="251">
                  <c:v>-306.0566999296035</c:v>
                </c:pt>
                <c:pt idx="252">
                  <c:v>-313.06279841753985</c:v>
                </c:pt>
                <c:pt idx="253">
                  <c:v>-320.62213299014263</c:v>
                </c:pt>
                <c:pt idx="254">
                  <c:v>-328.82809362643945</c:v>
                </c:pt>
                <c:pt idx="255">
                  <c:v>-337.36200079918547</c:v>
                </c:pt>
                <c:pt idx="256">
                  <c:v>-345.33921953928791</c:v>
                </c:pt>
                <c:pt idx="257">
                  <c:v>-350.98712668034102</c:v>
                </c:pt>
                <c:pt idx="258">
                  <c:v>-356.69196949760249</c:v>
                </c:pt>
                <c:pt idx="259">
                  <c:v>-362.43245507501626</c:v>
                </c:pt>
                <c:pt idx="260">
                  <c:v>-367.99623126293841</c:v>
                </c:pt>
                <c:pt idx="261">
                  <c:v>-373.73474670821429</c:v>
                </c:pt>
                <c:pt idx="262">
                  <c:v>-379.70769974448842</c:v>
                </c:pt>
                <c:pt idx="263">
                  <c:v>-385.98714716194985</c:v>
                </c:pt>
                <c:pt idx="264">
                  <c:v>-392.66129597335748</c:v>
                </c:pt>
                <c:pt idx="265">
                  <c:v>-395.18050456802126</c:v>
                </c:pt>
                <c:pt idx="266">
                  <c:v>-396.17236824552259</c:v>
                </c:pt>
                <c:pt idx="267">
                  <c:v>-396.94146470528943</c:v>
                </c:pt>
                <c:pt idx="268">
                  <c:v>-397.4896844361034</c:v>
                </c:pt>
                <c:pt idx="269">
                  <c:v>-397.81837020795825</c:v>
                </c:pt>
                <c:pt idx="270">
                  <c:v>-397.90331074479241</c:v>
                </c:pt>
                <c:pt idx="271">
                  <c:v>-397.81837020795854</c:v>
                </c:pt>
                <c:pt idx="272">
                  <c:v>-397.48968443610323</c:v>
                </c:pt>
                <c:pt idx="273">
                  <c:v>-396.94146470528955</c:v>
                </c:pt>
                <c:pt idx="274">
                  <c:v>-393.64382213125913</c:v>
                </c:pt>
                <c:pt idx="275">
                  <c:v>-389.70533563619381</c:v>
                </c:pt>
                <c:pt idx="276">
                  <c:v>-385.72710364818306</c:v>
                </c:pt>
                <c:pt idx="277">
                  <c:v>-381.44099742334009</c:v>
                </c:pt>
                <c:pt idx="278">
                  <c:v>-373.67467508297938</c:v>
                </c:pt>
                <c:pt idx="279">
                  <c:v>-366.22019523192341</c:v>
                </c:pt>
                <c:pt idx="280">
                  <c:v>-359.02305130043874</c:v>
                </c:pt>
                <c:pt idx="281">
                  <c:v>-352.03477822441158</c:v>
                </c:pt>
                <c:pt idx="282">
                  <c:v>-345.2120256545968</c:v>
                </c:pt>
                <c:pt idx="283">
                  <c:v>-338.51575802236283</c:v>
                </c:pt>
                <c:pt idx="284">
                  <c:v>-331.91056878244831</c:v>
                </c:pt>
                <c:pt idx="285">
                  <c:v>-325.41683929939177</c:v>
                </c:pt>
                <c:pt idx="286">
                  <c:v>-319.38920889410412</c:v>
                </c:pt>
                <c:pt idx="287">
                  <c:v>-311.55703887273188</c:v>
                </c:pt>
                <c:pt idx="288">
                  <c:v>-303.86674576495921</c:v>
                </c:pt>
                <c:pt idx="289">
                  <c:v>-296.74708478917915</c:v>
                </c:pt>
                <c:pt idx="290">
                  <c:v>-290.11732179573227</c:v>
                </c:pt>
                <c:pt idx="291">
                  <c:v>-283.91077537954959</c:v>
                </c:pt>
                <c:pt idx="292">
                  <c:v>-278.07179633246454</c:v>
                </c:pt>
                <c:pt idx="293">
                  <c:v>-272.55349202036814</c:v>
                </c:pt>
                <c:pt idx="294">
                  <c:v>-267.31599504280865</c:v>
                </c:pt>
                <c:pt idx="295">
                  <c:v>-262.32512152580068</c:v>
                </c:pt>
                <c:pt idx="296">
                  <c:v>-257.55132485851408</c:v>
                </c:pt>
                <c:pt idx="297">
                  <c:v>-252.96886694087931</c:v>
                </c:pt>
                <c:pt idx="298">
                  <c:v>-248.55515798373878</c:v>
                </c:pt>
                <c:pt idx="299">
                  <c:v>-244.29022420357072</c:v>
                </c:pt>
                <c:pt idx="300">
                  <c:v>-240.15627246512531</c:v>
                </c:pt>
                <c:pt idx="301">
                  <c:v>-236.13733520801088</c:v>
                </c:pt>
                <c:pt idx="302">
                  <c:v>-232.21897497545521</c:v>
                </c:pt>
                <c:pt idx="303">
                  <c:v>-228.38803746485462</c:v>
                </c:pt>
                <c:pt idx="304">
                  <c:v>-224.632441709669</c:v>
                </c:pt>
                <c:pt idx="305">
                  <c:v>-220.94100319811398</c:v>
                </c:pt>
                <c:pt idx="306">
                  <c:v>-217.30327900483883</c:v>
                </c:pt>
                <c:pt idx="307">
                  <c:v>-213.70943457351876</c:v>
                </c:pt>
                <c:pt idx="308">
                  <c:v>-210.15012325415697</c:v>
                </c:pt>
                <c:pt idx="309">
                  <c:v>-206.61638137773505</c:v>
                </c:pt>
                <c:pt idx="310">
                  <c:v>-203.56259481713792</c:v>
                </c:pt>
                <c:pt idx="311">
                  <c:v>-200.04096513382763</c:v>
                </c:pt>
                <c:pt idx="312">
                  <c:v>-196.51900321573461</c:v>
                </c:pt>
                <c:pt idx="313">
                  <c:v>-192.98832927230151</c:v>
                </c:pt>
                <c:pt idx="314">
                  <c:v>-189.44050512994212</c:v>
                </c:pt>
                <c:pt idx="315">
                  <c:v>-185.86695153081183</c:v>
                </c:pt>
                <c:pt idx="316">
                  <c:v>-182.3212839961565</c:v>
                </c:pt>
                <c:pt idx="317">
                  <c:v>-179.75039434721333</c:v>
                </c:pt>
                <c:pt idx="318">
                  <c:v>-177.18846419704514</c:v>
                </c:pt>
                <c:pt idx="319">
                  <c:v>-174.630572346207</c:v>
                </c:pt>
                <c:pt idx="320">
                  <c:v>-172.07171386610892</c:v>
                </c:pt>
                <c:pt idx="321">
                  <c:v>-169.50674813548082</c:v>
                </c:pt>
                <c:pt idx="322">
                  <c:v>-166.93034191412985</c:v>
                </c:pt>
                <c:pt idx="323">
                  <c:v>-164.3369072736366</c:v>
                </c:pt>
                <c:pt idx="324">
                  <c:v>-161.72053131200622</c:v>
                </c:pt>
                <c:pt idx="325">
                  <c:v>-159.0748964302789</c:v>
                </c:pt>
                <c:pt idx="326">
                  <c:v>-156.39318804284918</c:v>
                </c:pt>
                <c:pt idx="327">
                  <c:v>-153.66798730850596</c:v>
                </c:pt>
                <c:pt idx="328">
                  <c:v>-150.89114353496635</c:v>
                </c:pt>
                <c:pt idx="329">
                  <c:v>-148.0536226416146</c:v>
                </c:pt>
                <c:pt idx="330">
                  <c:v>-144.64714148769562</c:v>
                </c:pt>
                <c:pt idx="331">
                  <c:v>-140.25864400980888</c:v>
                </c:pt>
                <c:pt idx="332">
                  <c:v>-135.72262444707457</c:v>
                </c:pt>
                <c:pt idx="333">
                  <c:v>-131.02042497023413</c:v>
                </c:pt>
                <c:pt idx="334">
                  <c:v>-126.13081753633442</c:v>
                </c:pt>
                <c:pt idx="335">
                  <c:v>-121.06799555063095</c:v>
                </c:pt>
                <c:pt idx="336">
                  <c:v>-116.02981829058596</c:v>
                </c:pt>
                <c:pt idx="337">
                  <c:v>-111.0436485788705</c:v>
                </c:pt>
                <c:pt idx="338">
                  <c:v>-106.10407198712834</c:v>
                </c:pt>
                <c:pt idx="339">
                  <c:v>-101.20577042448996</c:v>
                </c:pt>
                <c:pt idx="340">
                  <c:v>-96.343493580430362</c:v>
                </c:pt>
                <c:pt idx="341">
                  <c:v>-91.512029983841501</c:v>
                </c:pt>
                <c:pt idx="342">
                  <c:v>-86.706177144287167</c:v>
                </c:pt>
                <c:pt idx="343">
                  <c:v>-81.920710462876045</c:v>
                </c:pt>
                <c:pt idx="344">
                  <c:v>-77.150349834418506</c:v>
                </c:pt>
                <c:pt idx="345">
                  <c:v>-72.38972389612799</c:v>
                </c:pt>
                <c:pt idx="346">
                  <c:v>-67.633331313406231</c:v>
                </c:pt>
                <c:pt idx="347">
                  <c:v>-62.875497227448712</c:v>
                </c:pt>
                <c:pt idx="348">
                  <c:v>-58.1103250549492</c:v>
                </c:pt>
                <c:pt idx="349">
                  <c:v>-53.331641478626558</c:v>
                </c:pt>
                <c:pt idx="350">
                  <c:v>-48.532933556363488</c:v>
                </c:pt>
                <c:pt idx="351">
                  <c:v>-43.707275664882538</c:v>
                </c:pt>
                <c:pt idx="352">
                  <c:v>-38.847243995036145</c:v>
                </c:pt>
                <c:pt idx="353">
                  <c:v>-33.944815455855114</c:v>
                </c:pt>
                <c:pt idx="354">
                  <c:v>-31.353102937648273</c:v>
                </c:pt>
                <c:pt idx="355">
                  <c:v>-26.346844957031262</c:v>
                </c:pt>
                <c:pt idx="356">
                  <c:v>-21.270203555011008</c:v>
                </c:pt>
                <c:pt idx="357">
                  <c:v>-16.111417174879442</c:v>
                </c:pt>
                <c:pt idx="358">
                  <c:v>-10.857224036565491</c:v>
                </c:pt>
                <c:pt idx="359">
                  <c:v>-5.4925317870693515</c:v>
                </c:pt>
                <c:pt idx="360">
                  <c:v>-1.2247083683409619E-13</c:v>
                </c:pt>
                <c:pt idx="36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7"/>
            <c:spPr>
              <a:noFill/>
              <a:ln w="15875">
                <a:solidFill>
                  <a:srgbClr val="FF0000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Analysis'!$B$119</c:f>
              <c:numCache>
                <c:formatCode>General</c:formatCode>
                <c:ptCount val="1"/>
                <c:pt idx="0">
                  <c:v>-10</c:v>
                </c:pt>
              </c:numCache>
            </c:numRef>
          </c:xVal>
          <c:yVal>
            <c:numRef>
              <c:f>'Cross Section Analysis'!$B$120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chemeClr val="bg2">
                  <a:lumMod val="90000"/>
                </a:schemeClr>
              </a:solidFill>
              <a:prstDash val="sysDash"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Analysis'!$H$124:$H$125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-309.87950993266691</c:v>
                </c:pt>
              </c:numCache>
            </c:numRef>
          </c:xVal>
          <c:yVal>
            <c:numRef>
              <c:f>'Cross Section Analysis'!$I$124:$I$125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309.87951923882594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35-104B-91C4-30CCC972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P-M</a:t>
            </a:r>
            <a:endParaRPr lang="en-US" baseline="0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Analysis'!$R$129:$R$231</c:f>
              <c:numCache>
                <c:formatCode>General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41.395277867307712</c:v>
                </c:pt>
                <c:pt idx="4">
                  <c:v>63.611831257834368</c:v>
                </c:pt>
                <c:pt idx="5">
                  <c:v>84.521126878757087</c:v>
                </c:pt>
                <c:pt idx="6">
                  <c:v>104.65900834311107</c:v>
                </c:pt>
                <c:pt idx="7">
                  <c:v>124.06989056169935</c:v>
                </c:pt>
                <c:pt idx="8">
                  <c:v>142.79340204201571</c:v>
                </c:pt>
                <c:pt idx="9">
                  <c:v>159.21915439660873</c:v>
                </c:pt>
                <c:pt idx="10">
                  <c:v>175.05611635942842</c:v>
                </c:pt>
                <c:pt idx="11">
                  <c:v>190.88515694858791</c:v>
                </c:pt>
                <c:pt idx="12">
                  <c:v>206.69288803574571</c:v>
                </c:pt>
                <c:pt idx="13">
                  <c:v>222.46253123268252</c:v>
                </c:pt>
                <c:pt idx="14">
                  <c:v>238.17399894657896</c:v>
                </c:pt>
                <c:pt idx="15">
                  <c:v>252.73060479090361</c:v>
                </c:pt>
                <c:pt idx="16">
                  <c:v>266.67797173442244</c:v>
                </c:pt>
                <c:pt idx="17">
                  <c:v>280.60237762300477</c:v>
                </c:pt>
                <c:pt idx="18">
                  <c:v>294.47573444025409</c:v>
                </c:pt>
                <c:pt idx="19">
                  <c:v>308.27065980142299</c:v>
                </c:pt>
                <c:pt idx="20">
                  <c:v>321.97112230493053</c:v>
                </c:pt>
                <c:pt idx="21">
                  <c:v>335.27939345278293</c:v>
                </c:pt>
                <c:pt idx="22">
                  <c:v>348.64312647825489</c:v>
                </c:pt>
                <c:pt idx="23">
                  <c:v>361.81604215664458</c:v>
                </c:pt>
                <c:pt idx="24">
                  <c:v>374.77528644034226</c:v>
                </c:pt>
                <c:pt idx="25">
                  <c:v>387.50191148077158</c:v>
                </c:pt>
                <c:pt idx="26">
                  <c:v>399.98068898094567</c:v>
                </c:pt>
                <c:pt idx="27">
                  <c:v>412.19978878330159</c:v>
                </c:pt>
                <c:pt idx="28">
                  <c:v>421.13037467483207</c:v>
                </c:pt>
                <c:pt idx="29">
                  <c:v>424.02181593040513</c:v>
                </c:pt>
                <c:pt idx="30">
                  <c:v>426.9900990695786</c:v>
                </c:pt>
                <c:pt idx="31">
                  <c:v>429.99706165547053</c:v>
                </c:pt>
                <c:pt idx="32">
                  <c:v>432.67462900737826</c:v>
                </c:pt>
                <c:pt idx="33">
                  <c:v>435.08680641532192</c:v>
                </c:pt>
                <c:pt idx="34">
                  <c:v>437.03536671200305</c:v>
                </c:pt>
                <c:pt idx="35">
                  <c:v>437.73858812656096</c:v>
                </c:pt>
                <c:pt idx="36">
                  <c:v>438.45482029711167</c:v>
                </c:pt>
                <c:pt idx="37">
                  <c:v>439.17348012568613</c:v>
                </c:pt>
                <c:pt idx="38">
                  <c:v>439.88243631006679</c:v>
                </c:pt>
                <c:pt idx="39">
                  <c:v>440.56802280532122</c:v>
                </c:pt>
                <c:pt idx="40">
                  <c:v>441.21514617930387</c:v>
                </c:pt>
                <c:pt idx="41">
                  <c:v>441.80737987306264</c:v>
                </c:pt>
                <c:pt idx="42">
                  <c:v>442.3271532005553</c:v>
                </c:pt>
                <c:pt idx="43">
                  <c:v>442.75595112182958</c:v>
                </c:pt>
                <c:pt idx="44">
                  <c:v>443.07456289685882</c:v>
                </c:pt>
                <c:pt idx="45">
                  <c:v>443.26331298850266</c:v>
                </c:pt>
                <c:pt idx="46">
                  <c:v>443.29609726246946</c:v>
                </c:pt>
                <c:pt idx="47">
                  <c:v>443.14400918951276</c:v>
                </c:pt>
                <c:pt idx="48">
                  <c:v>443.80697434687971</c:v>
                </c:pt>
                <c:pt idx="49">
                  <c:v>445.77091797099388</c:v>
                </c:pt>
                <c:pt idx="50">
                  <c:v>447.62218324458456</c:v>
                </c:pt>
                <c:pt idx="51">
                  <c:v>449.35302561565044</c:v>
                </c:pt>
                <c:pt idx="52">
                  <c:v>450.74672724913933</c:v>
                </c:pt>
                <c:pt idx="53">
                  <c:v>451.93491167518209</c:v>
                </c:pt>
                <c:pt idx="54">
                  <c:v>452.9854056933786</c:v>
                </c:pt>
                <c:pt idx="55">
                  <c:v>453.89146070210444</c:v>
                </c:pt>
                <c:pt idx="56">
                  <c:v>454.64671727813192</c:v>
                </c:pt>
                <c:pt idx="57">
                  <c:v>455.24520010118766</c:v>
                </c:pt>
                <c:pt idx="58">
                  <c:v>455.68127333646322</c:v>
                </c:pt>
                <c:pt idx="59">
                  <c:v>455.94964713834236</c:v>
                </c:pt>
                <c:pt idx="60">
                  <c:v>456.04532588589859</c:v>
                </c:pt>
                <c:pt idx="61">
                  <c:v>455.96359496290927</c:v>
                </c:pt>
                <c:pt idx="62">
                  <c:v>455.70002016093821</c:v>
                </c:pt>
                <c:pt idx="63">
                  <c:v>455.25037676393862</c:v>
                </c:pt>
                <c:pt idx="64">
                  <c:v>454.25804376607113</c:v>
                </c:pt>
                <c:pt idx="65">
                  <c:v>453.38816614904158</c:v>
                </c:pt>
                <c:pt idx="66">
                  <c:v>452.3199638974188</c:v>
                </c:pt>
                <c:pt idx="67">
                  <c:v>451.04996611372854</c:v>
                </c:pt>
                <c:pt idx="68">
                  <c:v>449.57485382629824</c:v>
                </c:pt>
                <c:pt idx="69">
                  <c:v>447.89144596915878</c:v>
                </c:pt>
                <c:pt idx="70">
                  <c:v>445.82290646743706</c:v>
                </c:pt>
                <c:pt idx="71">
                  <c:v>443.67386173294773</c:v>
                </c:pt>
                <c:pt idx="72">
                  <c:v>441.30741223762226</c:v>
                </c:pt>
                <c:pt idx="73">
                  <c:v>438.72076012666378</c:v>
                </c:pt>
                <c:pt idx="74">
                  <c:v>435.91116401171837</c:v>
                </c:pt>
                <c:pt idx="75">
                  <c:v>432.87592817686448</c:v>
                </c:pt>
                <c:pt idx="76">
                  <c:v>429.61238454301633</c:v>
                </c:pt>
                <c:pt idx="77">
                  <c:v>426.11788611465295</c:v>
                </c:pt>
                <c:pt idx="78">
                  <c:v>422.38980393560627</c:v>
                </c:pt>
                <c:pt idx="79">
                  <c:v>418.42550665154829</c:v>
                </c:pt>
                <c:pt idx="80">
                  <c:v>414.22235236370182</c:v>
                </c:pt>
                <c:pt idx="81">
                  <c:v>409.77770100861329</c:v>
                </c:pt>
                <c:pt idx="82">
                  <c:v>405.08846674508055</c:v>
                </c:pt>
                <c:pt idx="83">
                  <c:v>400.15029451459861</c:v>
                </c:pt>
                <c:pt idx="84">
                  <c:v>394.95924339108836</c:v>
                </c:pt>
                <c:pt idx="85">
                  <c:v>389.51131782163242</c:v>
                </c:pt>
                <c:pt idx="86">
                  <c:v>383.80240646073412</c:v>
                </c:pt>
                <c:pt idx="87">
                  <c:v>377.82829207479</c:v>
                </c:pt>
                <c:pt idx="88">
                  <c:v>371.5846286821909</c:v>
                </c:pt>
                <c:pt idx="89">
                  <c:v>365.06691288818672</c:v>
                </c:pt>
                <c:pt idx="90">
                  <c:v>358.27052178654532</c:v>
                </c:pt>
                <c:pt idx="91">
                  <c:v>351.19063252422887</c:v>
                </c:pt>
                <c:pt idx="92">
                  <c:v>343.80683153378175</c:v>
                </c:pt>
                <c:pt idx="93">
                  <c:v>336.08686699936874</c:v>
                </c:pt>
                <c:pt idx="94">
                  <c:v>328.06718739308383</c:v>
                </c:pt>
                <c:pt idx="95">
                  <c:v>319.74213230785205</c:v>
                </c:pt>
                <c:pt idx="96">
                  <c:v>311.10574539020052</c:v>
                </c:pt>
                <c:pt idx="97">
                  <c:v>302.15174469498032</c:v>
                </c:pt>
                <c:pt idx="98">
                  <c:v>292.87345627878943</c:v>
                </c:pt>
                <c:pt idx="99">
                  <c:v>283.26375429050103</c:v>
                </c:pt>
                <c:pt idx="100">
                  <c:v>273.31497386808115</c:v>
                </c:pt>
                <c:pt idx="101">
                  <c:v>263.0188048307644</c:v>
                </c:pt>
                <c:pt idx="102">
                  <c:v>0</c:v>
                </c:pt>
              </c:numCache>
            </c:numRef>
          </c:xVal>
          <c:yVal>
            <c:numRef>
              <c:f>'Cross Section Analysis'!$Q$129:$Q$231</c:f>
              <c:numCache>
                <c:formatCode>General</c:formatCode>
                <c:ptCount val="103"/>
                <c:pt idx="0">
                  <c:v>-342.9</c:v>
                </c:pt>
                <c:pt idx="1">
                  <c:v>-342.899</c:v>
                </c:pt>
                <c:pt idx="2">
                  <c:v>-324.369145</c:v>
                </c:pt>
                <c:pt idx="3">
                  <c:v>-305.83929000000001</c:v>
                </c:pt>
                <c:pt idx="4">
                  <c:v>-287.30943500000001</c:v>
                </c:pt>
                <c:pt idx="5">
                  <c:v>-268.77958000000001</c:v>
                </c:pt>
                <c:pt idx="6">
                  <c:v>-250.24972500000001</c:v>
                </c:pt>
                <c:pt idx="7">
                  <c:v>-231.71987000000001</c:v>
                </c:pt>
                <c:pt idx="8">
                  <c:v>-213.19001500000002</c:v>
                </c:pt>
                <c:pt idx="9">
                  <c:v>-194.66016000000002</c:v>
                </c:pt>
                <c:pt idx="10">
                  <c:v>-176.13030500000002</c:v>
                </c:pt>
                <c:pt idx="11">
                  <c:v>-157.60045000000002</c:v>
                </c:pt>
                <c:pt idx="12">
                  <c:v>-139.07059500000003</c:v>
                </c:pt>
                <c:pt idx="13">
                  <c:v>-120.54074000000003</c:v>
                </c:pt>
                <c:pt idx="14">
                  <c:v>-102.01088500000003</c:v>
                </c:pt>
                <c:pt idx="15">
                  <c:v>-83.481030000000032</c:v>
                </c:pt>
                <c:pt idx="16">
                  <c:v>-64.951175000000035</c:v>
                </c:pt>
                <c:pt idx="17">
                  <c:v>-46.421320000000037</c:v>
                </c:pt>
                <c:pt idx="18">
                  <c:v>-27.891465000000036</c:v>
                </c:pt>
                <c:pt idx="19">
                  <c:v>-9.3616100000000344</c:v>
                </c:pt>
                <c:pt idx="20">
                  <c:v>9.1682449999999669</c:v>
                </c:pt>
                <c:pt idx="21">
                  <c:v>27.698099999999968</c:v>
                </c:pt>
                <c:pt idx="22">
                  <c:v>46.227954999999966</c:v>
                </c:pt>
                <c:pt idx="23">
                  <c:v>64.757809999999964</c:v>
                </c:pt>
                <c:pt idx="24">
                  <c:v>83.287664999999961</c:v>
                </c:pt>
                <c:pt idx="25">
                  <c:v>101.81751999999996</c:v>
                </c:pt>
                <c:pt idx="26">
                  <c:v>120.34737499999996</c:v>
                </c:pt>
                <c:pt idx="27">
                  <c:v>138.87722999999997</c:v>
                </c:pt>
                <c:pt idx="28">
                  <c:v>157.40708499999997</c:v>
                </c:pt>
                <c:pt idx="29">
                  <c:v>175.93693999999996</c:v>
                </c:pt>
                <c:pt idx="30">
                  <c:v>194.46679499999996</c:v>
                </c:pt>
                <c:pt idx="31">
                  <c:v>212.99664999999996</c:v>
                </c:pt>
                <c:pt idx="32">
                  <c:v>231.52650499999996</c:v>
                </c:pt>
                <c:pt idx="33">
                  <c:v>250.05635999999996</c:v>
                </c:pt>
                <c:pt idx="34">
                  <c:v>268.58621499999998</c:v>
                </c:pt>
                <c:pt idx="35">
                  <c:v>287.11606999999998</c:v>
                </c:pt>
                <c:pt idx="36">
                  <c:v>305.64592499999998</c:v>
                </c:pt>
                <c:pt idx="37">
                  <c:v>324.17577999999997</c:v>
                </c:pt>
                <c:pt idx="38">
                  <c:v>342.70563499999997</c:v>
                </c:pt>
                <c:pt idx="39">
                  <c:v>361.23548999999997</c:v>
                </c:pt>
                <c:pt idx="40">
                  <c:v>379.76534499999997</c:v>
                </c:pt>
                <c:pt idx="41">
                  <c:v>398.29519999999997</c:v>
                </c:pt>
                <c:pt idx="42">
                  <c:v>416.82505499999996</c:v>
                </c:pt>
                <c:pt idx="43">
                  <c:v>435.35490999999996</c:v>
                </c:pt>
                <c:pt idx="44">
                  <c:v>453.88476499999996</c:v>
                </c:pt>
                <c:pt idx="45">
                  <c:v>472.41461999999996</c:v>
                </c:pt>
                <c:pt idx="46">
                  <c:v>490.94447499999995</c:v>
                </c:pt>
                <c:pt idx="47">
                  <c:v>509.47432999999995</c:v>
                </c:pt>
                <c:pt idx="48">
                  <c:v>528.00418500000001</c:v>
                </c:pt>
                <c:pt idx="49">
                  <c:v>546.53404</c:v>
                </c:pt>
                <c:pt idx="50">
                  <c:v>565.063895</c:v>
                </c:pt>
                <c:pt idx="51">
                  <c:v>583.59375</c:v>
                </c:pt>
                <c:pt idx="52">
                  <c:v>602.123605</c:v>
                </c:pt>
                <c:pt idx="53">
                  <c:v>620.65346</c:v>
                </c:pt>
                <c:pt idx="54">
                  <c:v>639.18331499999999</c:v>
                </c:pt>
                <c:pt idx="55">
                  <c:v>657.71316999999999</c:v>
                </c:pt>
                <c:pt idx="56">
                  <c:v>676.24302499999999</c:v>
                </c:pt>
                <c:pt idx="57">
                  <c:v>694.77287999999999</c:v>
                </c:pt>
                <c:pt idx="58">
                  <c:v>713.30273499999998</c:v>
                </c:pt>
                <c:pt idx="59">
                  <c:v>731.83258999999998</c:v>
                </c:pt>
                <c:pt idx="60">
                  <c:v>750.36244499999998</c:v>
                </c:pt>
                <c:pt idx="61">
                  <c:v>768.89229999999998</c:v>
                </c:pt>
                <c:pt idx="62">
                  <c:v>787.42215499999998</c:v>
                </c:pt>
                <c:pt idx="63">
                  <c:v>805.95200999999997</c:v>
                </c:pt>
                <c:pt idx="64">
                  <c:v>824.48186499999997</c:v>
                </c:pt>
                <c:pt idx="65">
                  <c:v>843.01171999999997</c:v>
                </c:pt>
                <c:pt idx="66">
                  <c:v>861.54157499999997</c:v>
                </c:pt>
                <c:pt idx="67">
                  <c:v>880.07142999999996</c:v>
                </c:pt>
                <c:pt idx="68">
                  <c:v>898.60128499999996</c:v>
                </c:pt>
                <c:pt idx="69">
                  <c:v>917.13113999999996</c:v>
                </c:pt>
                <c:pt idx="70">
                  <c:v>935.66099499999996</c:v>
                </c:pt>
                <c:pt idx="71">
                  <c:v>954.19084999999995</c:v>
                </c:pt>
                <c:pt idx="72">
                  <c:v>972.72070499999995</c:v>
                </c:pt>
                <c:pt idx="73">
                  <c:v>991.25055999999995</c:v>
                </c:pt>
                <c:pt idx="74">
                  <c:v>1009.7804149999999</c:v>
                </c:pt>
                <c:pt idx="75">
                  <c:v>1028.3102699999999</c:v>
                </c:pt>
                <c:pt idx="76">
                  <c:v>1046.8401249999999</c:v>
                </c:pt>
                <c:pt idx="77">
                  <c:v>1065.3699799999999</c:v>
                </c:pt>
                <c:pt idx="78">
                  <c:v>1083.8998349999999</c:v>
                </c:pt>
                <c:pt idx="79">
                  <c:v>1102.4296899999999</c:v>
                </c:pt>
                <c:pt idx="80">
                  <c:v>1120.9595449999999</c:v>
                </c:pt>
                <c:pt idx="81">
                  <c:v>1139.4893999999999</c:v>
                </c:pt>
                <c:pt idx="82">
                  <c:v>1158.0192549999999</c:v>
                </c:pt>
                <c:pt idx="83">
                  <c:v>1176.5491099999999</c:v>
                </c:pt>
                <c:pt idx="84">
                  <c:v>1195.0789649999999</c:v>
                </c:pt>
                <c:pt idx="85">
                  <c:v>1213.6088199999999</c:v>
                </c:pt>
                <c:pt idx="86">
                  <c:v>1232.1386749999999</c:v>
                </c:pt>
                <c:pt idx="87">
                  <c:v>1250.6685299999999</c:v>
                </c:pt>
                <c:pt idx="88">
                  <c:v>1269.1983849999999</c:v>
                </c:pt>
                <c:pt idx="89">
                  <c:v>1287.7282399999999</c:v>
                </c:pt>
                <c:pt idx="90">
                  <c:v>1306.2580949999999</c:v>
                </c:pt>
                <c:pt idx="91">
                  <c:v>1324.7879499999999</c:v>
                </c:pt>
                <c:pt idx="92">
                  <c:v>1343.3178049999999</c:v>
                </c:pt>
                <c:pt idx="93">
                  <c:v>1361.8476599999999</c:v>
                </c:pt>
                <c:pt idx="94">
                  <c:v>1380.3775149999999</c:v>
                </c:pt>
                <c:pt idx="95">
                  <c:v>1398.9073699999999</c:v>
                </c:pt>
                <c:pt idx="96">
                  <c:v>1417.4372249999999</c:v>
                </c:pt>
                <c:pt idx="97">
                  <c:v>1435.9670799999999</c:v>
                </c:pt>
                <c:pt idx="98">
                  <c:v>1454.4969349999999</c:v>
                </c:pt>
                <c:pt idx="99">
                  <c:v>1473.0267899999999</c:v>
                </c:pt>
                <c:pt idx="100">
                  <c:v>1491.5566449999999</c:v>
                </c:pt>
                <c:pt idx="101">
                  <c:v>1510.0864999999999</c:v>
                </c:pt>
                <c:pt idx="102">
                  <c:v>1510.0864999999999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5A8-82B1-F1E57D0B9DAF}"/>
            </c:ext>
          </c:extLst>
        </c:ser>
        <c:ser>
          <c:idx val="1"/>
          <c:order val="1"/>
          <c:tx>
            <c:v>goal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9"/>
            <c:spPr>
              <a:noFill/>
              <a:ln w="15875">
                <a:solidFill>
                  <a:srgbClr val="FF0000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Analysis'!$E$120</c:f>
              <c:numCache>
                <c:formatCode>General</c:formatCode>
                <c:ptCount val="1"/>
                <c:pt idx="0">
                  <c:v>14.142135623730951</c:v>
                </c:pt>
              </c:numCache>
            </c:numRef>
          </c:xVal>
          <c:yVal>
            <c:numRef>
              <c:f>'Cross Section Analysis'!$D$120</c:f>
              <c:numCache>
                <c:formatCode>General</c:formatCode>
                <c:ptCount val="1"/>
                <c:pt idx="0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8-45A8-82B1-F1E57D0B9DAF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chemeClr val="accent3"/>
              </a:solidFill>
              <a:prstDash val="sysDash"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Analysis'!$R$122:$R$124</c:f>
              <c:numCache>
                <c:formatCode>General</c:formatCode>
                <c:ptCount val="3"/>
                <c:pt idx="0">
                  <c:v>14.142135623730951</c:v>
                </c:pt>
                <c:pt idx="1">
                  <c:v>438.23581222875396</c:v>
                </c:pt>
              </c:numCache>
            </c:numRef>
          </c:xVal>
          <c:yVal>
            <c:numRef>
              <c:f>'Cross Section Analysis'!$Q$122:$Q$124</c:f>
              <c:numCache>
                <c:formatCode>General</c:formatCode>
                <c:ptCount val="3"/>
                <c:pt idx="0">
                  <c:v>300</c:v>
                </c:pt>
                <c:pt idx="1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88-45A8-82B1-F1E57D0B9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504826</xdr:colOff>
      <xdr:row>0</xdr:row>
      <xdr:rowOff>123825</xdr:rowOff>
    </xdr:from>
    <xdr:to>
      <xdr:col>18</xdr:col>
      <xdr:colOff>133351</xdr:colOff>
      <xdr:row>33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704851</xdr:colOff>
      <xdr:row>45</xdr:row>
      <xdr:rowOff>150187</xdr:rowOff>
    </xdr:from>
    <xdr:to>
      <xdr:col>18</xdr:col>
      <xdr:colOff>381000</xdr:colOff>
      <xdr:row>84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25400</xdr:colOff>
      <xdr:row>116</xdr:row>
      <xdr:rowOff>152400</xdr:rowOff>
    </xdr:from>
    <xdr:to>
      <xdr:col>5</xdr:col>
      <xdr:colOff>698500</xdr:colOff>
      <xdr:row>120</xdr:row>
      <xdr:rowOff>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774700</xdr:colOff>
          <xdr:row>121</xdr:row>
          <xdr:rowOff>63500</xdr:rowOff>
        </xdr:from>
        <xdr:to>
          <xdr:col>2</xdr:col>
          <xdr:colOff>889000</xdr:colOff>
          <xdr:row>126</xdr:row>
          <xdr:rowOff>50800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(Form Button)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473075</xdr:colOff>
      <xdr:row>127</xdr:row>
      <xdr:rowOff>41275</xdr:rowOff>
    </xdr:from>
    <xdr:to>
      <xdr:col>15</xdr:col>
      <xdr:colOff>241300</xdr:colOff>
      <xdr:row>170</xdr:row>
      <xdr:rowOff>111125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121</xdr:row>
          <xdr:rowOff>50800</xdr:rowOff>
        </xdr:from>
        <xdr:to>
          <xdr:col>5</xdr:col>
          <xdr:colOff>1155700</xdr:colOff>
          <xdr:row>126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try to build mx vs 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546100</xdr:colOff>
          <xdr:row>121</xdr:row>
          <xdr:rowOff>152400</xdr:rowOff>
        </xdr:from>
        <xdr:to>
          <xdr:col>13</xdr:col>
          <xdr:colOff>342900</xdr:colOff>
          <xdr:row>125</xdr:row>
          <xdr:rowOff>165100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Attemp a P-M curve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314325</xdr:colOff>
      <xdr:row>171</xdr:row>
      <xdr:rowOff>142875</xdr:rowOff>
    </xdr:from>
    <xdr:to>
      <xdr:col>15</xdr:col>
      <xdr:colOff>82550</xdr:colOff>
      <xdr:row>215</xdr:row>
      <xdr:rowOff>22225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AA490"/>
  <sheetViews>
    <sheetView tabSelected="1" workbookViewId="0">
      <selection activeCell="B30" sqref="B30"/>
    </sheetView>
  </sheetViews>
  <sheetFormatPr baseColWidth="10" defaultColWidth="8.83203125" defaultRowHeight="15" x14ac:dyDescent="0.2"/>
  <cols>
    <col min="1" max="1" width="16.5" customWidth="1"/>
    <col min="2" max="2" width="18.5" bestFit="1" customWidth="1"/>
    <col min="3" max="3" width="13.83203125" customWidth="1"/>
    <col min="4" max="4" width="10.6640625" customWidth="1"/>
    <col min="5" max="5" width="10.5" customWidth="1"/>
    <col min="6" max="6" width="19.83203125" customWidth="1"/>
    <col min="7" max="7" width="12.5" bestFit="1" customWidth="1"/>
    <col min="8" max="8" width="14.5" bestFit="1" customWidth="1"/>
    <col min="9" max="9" width="13.5" bestFit="1" customWidth="1"/>
    <col min="10" max="10" width="10.1640625" customWidth="1"/>
    <col min="11" max="11" width="11.6640625" customWidth="1"/>
    <col min="13" max="13" width="9.33203125" bestFit="1" customWidth="1"/>
    <col min="14" max="14" width="12.5" customWidth="1"/>
    <col min="22" max="22" width="11.83203125" customWidth="1"/>
    <col min="23" max="23" width="11" bestFit="1" customWidth="1"/>
    <col min="25" max="25" width="12" bestFit="1" customWidth="1"/>
  </cols>
  <sheetData>
    <row r="1" spans="1:8" x14ac:dyDescent="0.2">
      <c r="D1" t="s">
        <v>7</v>
      </c>
      <c r="G1" t="s">
        <v>14</v>
      </c>
    </row>
    <row r="2" spans="1:8" x14ac:dyDescent="0.2">
      <c r="A2" s="2" t="s">
        <v>4</v>
      </c>
      <c r="B2" s="36">
        <v>5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</row>
    <row r="3" spans="1:8" x14ac:dyDescent="0.2">
      <c r="A3" s="2" t="s">
        <v>13</v>
      </c>
      <c r="B3" s="3">
        <f>(POWER(145,1.5)*33*SQRT(1000*B2))/1000</f>
        <v>4074.2806880478911</v>
      </c>
      <c r="C3" t="s">
        <v>5</v>
      </c>
      <c r="D3" s="5">
        <v>0</v>
      </c>
      <c r="E3" s="5">
        <v>0</v>
      </c>
      <c r="G3" s="6">
        <f>MAX(MAX(D3:D7),MAX(E3:E7))+1</f>
        <v>31</v>
      </c>
      <c r="H3" s="6">
        <f>G3</f>
        <v>31</v>
      </c>
    </row>
    <row r="4" spans="1:8" x14ac:dyDescent="0.2">
      <c r="A4" s="2" t="s">
        <v>35</v>
      </c>
      <c r="B4" s="1">
        <f>IF(B2&lt;=4,0.85,IF(B2&lt;=8,0.85 - ((0.05*(B2-4))/1),0.65))</f>
        <v>0.79999999999999993</v>
      </c>
      <c r="D4" s="5">
        <f>B5</f>
        <v>20</v>
      </c>
      <c r="E4" s="5">
        <v>0</v>
      </c>
      <c r="G4">
        <v>-1</v>
      </c>
      <c r="H4">
        <v>-1</v>
      </c>
    </row>
    <row r="5" spans="1:8" x14ac:dyDescent="0.2">
      <c r="A5" s="2" t="s">
        <v>2</v>
      </c>
      <c r="B5" s="36">
        <v>20</v>
      </c>
      <c r="C5" t="s">
        <v>6</v>
      </c>
      <c r="D5" s="5">
        <f>B5</f>
        <v>20</v>
      </c>
      <c r="E5" s="5">
        <f>B6</f>
        <v>30</v>
      </c>
      <c r="G5" t="s">
        <v>33</v>
      </c>
    </row>
    <row r="6" spans="1:8" x14ac:dyDescent="0.2">
      <c r="A6" s="2" t="s">
        <v>3</v>
      </c>
      <c r="B6" s="36">
        <v>30</v>
      </c>
      <c r="C6" t="s">
        <v>6</v>
      </c>
      <c r="D6" s="5">
        <v>0</v>
      </c>
      <c r="E6" s="5">
        <f>B6</f>
        <v>30</v>
      </c>
      <c r="G6" t="s">
        <v>0</v>
      </c>
      <c r="H6" t="s">
        <v>1</v>
      </c>
    </row>
    <row r="7" spans="1:8" x14ac:dyDescent="0.2">
      <c r="D7" s="5">
        <v>0</v>
      </c>
      <c r="E7" s="5">
        <v>0</v>
      </c>
      <c r="G7">
        <f>B5/2</f>
        <v>10</v>
      </c>
      <c r="H7">
        <f>B6/2</f>
        <v>15</v>
      </c>
    </row>
    <row r="9" spans="1:8" x14ac:dyDescent="0.2">
      <c r="A9" t="s">
        <v>8</v>
      </c>
    </row>
    <row r="10" spans="1:8" x14ac:dyDescent="0.2">
      <c r="A10" t="s">
        <v>9</v>
      </c>
      <c r="B10" s="36">
        <v>60</v>
      </c>
      <c r="C10" t="s">
        <v>5</v>
      </c>
      <c r="F10" s="27" t="s">
        <v>88</v>
      </c>
    </row>
    <row r="11" spans="1:8" x14ac:dyDescent="0.2">
      <c r="A11" t="s">
        <v>12</v>
      </c>
      <c r="B11" s="3">
        <v>30000</v>
      </c>
      <c r="C11" t="s">
        <v>5</v>
      </c>
      <c r="F11" s="27" t="s">
        <v>89</v>
      </c>
    </row>
    <row r="12" spans="1:8" x14ac:dyDescent="0.2">
      <c r="B12" s="1" t="s">
        <v>10</v>
      </c>
      <c r="C12" t="s">
        <v>11</v>
      </c>
      <c r="D12" s="1" t="s">
        <v>0</v>
      </c>
      <c r="E12" s="1" t="s">
        <v>1</v>
      </c>
      <c r="F12" s="27" t="s">
        <v>90</v>
      </c>
    </row>
    <row r="13" spans="1:8" x14ac:dyDescent="0.2">
      <c r="A13">
        <v>1</v>
      </c>
      <c r="B13" s="35">
        <v>10</v>
      </c>
      <c r="C13" s="4">
        <f ca="1">OFFSET(Reference!A$1,MATCH('Cross Section Analysis'!B13,Reference!A$1:A$12,0)-1,2)</f>
        <v>1.27</v>
      </c>
      <c r="D13" s="36">
        <v>4</v>
      </c>
      <c r="E13" s="36">
        <v>4</v>
      </c>
      <c r="F13" s="27" t="s">
        <v>91</v>
      </c>
    </row>
    <row r="14" spans="1:8" x14ac:dyDescent="0.2">
      <c r="A14">
        <v>2</v>
      </c>
      <c r="B14" s="35">
        <v>10</v>
      </c>
      <c r="C14" s="4">
        <f ca="1">OFFSET(Reference!A$1,MATCH('Cross Section Analysis'!B14,Reference!A$1:A$12,0)-1,2)</f>
        <v>1.27</v>
      </c>
      <c r="D14" s="36">
        <v>16</v>
      </c>
      <c r="E14" s="36">
        <v>4</v>
      </c>
      <c r="F14" s="27" t="s">
        <v>92</v>
      </c>
    </row>
    <row r="15" spans="1:8" x14ac:dyDescent="0.2">
      <c r="A15">
        <v>3</v>
      </c>
      <c r="B15" s="35">
        <v>10</v>
      </c>
      <c r="C15" s="4">
        <f ca="1">OFFSET(Reference!A$1,MATCH('Cross Section Analysis'!B15,Reference!A$1:A$12,0)-1,2)</f>
        <v>1.27</v>
      </c>
      <c r="D15" s="36">
        <v>4</v>
      </c>
      <c r="E15" s="36">
        <v>26</v>
      </c>
    </row>
    <row r="16" spans="1:8" x14ac:dyDescent="0.2">
      <c r="A16">
        <v>4</v>
      </c>
      <c r="B16" s="35">
        <v>10</v>
      </c>
      <c r="C16" s="4">
        <f ca="1">OFFSET(Reference!A$1,MATCH('Cross Section Analysis'!B16,Reference!A$1:A$12,0)-1,2)</f>
        <v>1.27</v>
      </c>
      <c r="D16" s="36">
        <v>10</v>
      </c>
      <c r="E16" s="36">
        <v>26</v>
      </c>
    </row>
    <row r="17" spans="1:5" x14ac:dyDescent="0.2">
      <c r="A17">
        <v>5</v>
      </c>
      <c r="B17" s="35">
        <v>10</v>
      </c>
      <c r="C17" s="4">
        <f ca="1">OFFSET(Reference!A$1,MATCH('Cross Section Analysis'!B17,Reference!A$1:A$12,0)-1,2)</f>
        <v>1.27</v>
      </c>
      <c r="D17" s="36">
        <v>16</v>
      </c>
      <c r="E17" s="36">
        <v>26</v>
      </c>
    </row>
    <row r="18" spans="1:5" x14ac:dyDescent="0.2">
      <c r="A18">
        <v>6</v>
      </c>
      <c r="B18" s="35">
        <v>0</v>
      </c>
      <c r="C18" s="4">
        <f ca="1">OFFSET(Reference!A$1,MATCH('Cross Section Analysis'!B18,Reference!A$1:A$12,0)-1,2)</f>
        <v>0</v>
      </c>
      <c r="D18" s="36">
        <v>0</v>
      </c>
      <c r="E18" s="36">
        <v>0</v>
      </c>
    </row>
    <row r="19" spans="1:5" x14ac:dyDescent="0.2">
      <c r="A19">
        <v>7</v>
      </c>
      <c r="B19" s="35">
        <v>0</v>
      </c>
      <c r="C19" s="4">
        <f ca="1">OFFSET(Reference!A$1,MATCH('Cross Section Analysis'!B19,Reference!A$1:A$12,0)-1,2)</f>
        <v>0</v>
      </c>
      <c r="D19" s="36">
        <v>0</v>
      </c>
      <c r="E19" s="36">
        <v>0</v>
      </c>
    </row>
    <row r="20" spans="1:5" x14ac:dyDescent="0.2">
      <c r="A20">
        <v>8</v>
      </c>
      <c r="B20" s="35">
        <v>0</v>
      </c>
      <c r="C20" s="4">
        <f ca="1">OFFSET(Reference!A$1,MATCH('Cross Section Analysis'!B20,Reference!A$1:A$12,0)-1,2)</f>
        <v>0</v>
      </c>
      <c r="D20" s="36">
        <v>0</v>
      </c>
      <c r="E20" s="36">
        <v>0</v>
      </c>
    </row>
    <row r="21" spans="1:5" x14ac:dyDescent="0.2">
      <c r="A21">
        <v>9</v>
      </c>
      <c r="B21" s="35">
        <v>0</v>
      </c>
      <c r="C21" s="4">
        <f ca="1">OFFSET(Reference!A$1,MATCH('Cross Section Analysis'!B21,Reference!A$1:A$12,0)-1,2)</f>
        <v>0</v>
      </c>
      <c r="D21" s="36">
        <v>0</v>
      </c>
      <c r="E21" s="36">
        <v>0</v>
      </c>
    </row>
    <row r="22" spans="1:5" x14ac:dyDescent="0.2">
      <c r="A22">
        <v>10</v>
      </c>
      <c r="B22" s="35">
        <v>0</v>
      </c>
      <c r="C22" s="4">
        <f ca="1">OFFSET(Reference!A$1,MATCH('Cross Section Analysis'!B22,Reference!A$1:A$12,0)-1,2)</f>
        <v>0</v>
      </c>
      <c r="D22" s="36">
        <v>0</v>
      </c>
      <c r="E22" s="36">
        <v>0</v>
      </c>
    </row>
    <row r="23" spans="1:5" x14ac:dyDescent="0.2">
      <c r="A23">
        <v>11</v>
      </c>
      <c r="B23" s="35">
        <v>0</v>
      </c>
      <c r="C23" s="4">
        <f ca="1">OFFSET(Reference!A$1,MATCH('Cross Section Analysis'!B23,Reference!A$1:A$12,0)-1,2)</f>
        <v>0</v>
      </c>
      <c r="D23" s="36">
        <v>0</v>
      </c>
      <c r="E23" s="36">
        <v>0</v>
      </c>
    </row>
    <row r="24" spans="1:5" x14ac:dyDescent="0.2">
      <c r="A24">
        <v>12</v>
      </c>
      <c r="B24" s="35">
        <v>0</v>
      </c>
      <c r="C24" s="4">
        <f ca="1">OFFSET(Reference!A$1,MATCH('Cross Section Analysis'!B24,Reference!A$1:A$12,0)-1,2)</f>
        <v>0</v>
      </c>
      <c r="D24" s="36">
        <v>0</v>
      </c>
      <c r="E24" s="36">
        <v>0</v>
      </c>
    </row>
    <row r="26" spans="1:5" x14ac:dyDescent="0.2">
      <c r="A26" s="26" t="s">
        <v>15</v>
      </c>
    </row>
    <row r="27" spans="1:5" x14ac:dyDescent="0.2">
      <c r="A27" s="2" t="s">
        <v>16</v>
      </c>
    </row>
    <row r="28" spans="1:5" x14ac:dyDescent="0.2">
      <c r="A28" s="2" t="s">
        <v>17</v>
      </c>
      <c r="B28">
        <f>B5*B6</f>
        <v>600</v>
      </c>
      <c r="C28" t="s">
        <v>18</v>
      </c>
    </row>
    <row r="29" spans="1:5" x14ac:dyDescent="0.2">
      <c r="A29" s="2" t="s">
        <v>19</v>
      </c>
      <c r="B29">
        <f>B28*B2</f>
        <v>3000</v>
      </c>
      <c r="C29" t="s">
        <v>20</v>
      </c>
    </row>
    <row r="30" spans="1:5" x14ac:dyDescent="0.2">
      <c r="A30" s="2" t="s">
        <v>21</v>
      </c>
      <c r="B30">
        <f>B29*(B6/2)</f>
        <v>45000</v>
      </c>
      <c r="C30" t="s">
        <v>23</v>
      </c>
    </row>
    <row r="31" spans="1:5" x14ac:dyDescent="0.2">
      <c r="A31" s="2" t="s">
        <v>22</v>
      </c>
      <c r="B31">
        <f>B29*(B5/2)</f>
        <v>30000</v>
      </c>
      <c r="C31" t="s">
        <v>23</v>
      </c>
    </row>
    <row r="33" spans="1:6" x14ac:dyDescent="0.2">
      <c r="A33" s="2" t="s">
        <v>24</v>
      </c>
      <c r="C33" s="1" t="s">
        <v>71</v>
      </c>
      <c r="D33" s="1" t="s">
        <v>25</v>
      </c>
      <c r="E33" s="1" t="s">
        <v>26</v>
      </c>
      <c r="F33" s="1" t="s">
        <v>27</v>
      </c>
    </row>
    <row r="34" spans="1:6" x14ac:dyDescent="0.2">
      <c r="A34">
        <f>A13</f>
        <v>1</v>
      </c>
      <c r="B34" s="7">
        <f ca="1">C13</f>
        <v>1.27</v>
      </c>
      <c r="C34" s="6">
        <f>($B$10-($B$2))</f>
        <v>55</v>
      </c>
      <c r="D34" s="6">
        <f ca="1">B34*C34</f>
        <v>69.849999999999994</v>
      </c>
      <c r="E34" s="6">
        <f ca="1">D34*E13</f>
        <v>279.39999999999998</v>
      </c>
      <c r="F34" s="6">
        <f ca="1">D34*D13</f>
        <v>279.39999999999998</v>
      </c>
    </row>
    <row r="35" spans="1:6" x14ac:dyDescent="0.2">
      <c r="A35">
        <f t="shared" ref="A35:A45" si="0">A14</f>
        <v>2</v>
      </c>
      <c r="B35" s="7">
        <f t="shared" ref="B35:B45" ca="1" si="1">C14</f>
        <v>1.27</v>
      </c>
      <c r="C35" s="6">
        <f t="shared" ref="C35:C45" si="2">($B$10-($B$2))</f>
        <v>55</v>
      </c>
      <c r="D35" s="6">
        <f t="shared" ref="D35:D45" ca="1" si="3">B35*C35</f>
        <v>69.849999999999994</v>
      </c>
      <c r="E35" s="6">
        <f t="shared" ref="E35:E45" ca="1" si="4">D35*E14</f>
        <v>279.39999999999998</v>
      </c>
      <c r="F35" s="6">
        <f t="shared" ref="F35:F45" ca="1" si="5">D35*D14</f>
        <v>1117.5999999999999</v>
      </c>
    </row>
    <row r="36" spans="1:6" x14ac:dyDescent="0.2">
      <c r="A36">
        <f t="shared" si="0"/>
        <v>3</v>
      </c>
      <c r="B36" s="7">
        <f t="shared" ca="1" si="1"/>
        <v>1.27</v>
      </c>
      <c r="C36" s="6">
        <f t="shared" si="2"/>
        <v>55</v>
      </c>
      <c r="D36" s="6">
        <f t="shared" ca="1" si="3"/>
        <v>69.849999999999994</v>
      </c>
      <c r="E36" s="6">
        <f t="shared" ca="1" si="4"/>
        <v>1816.1</v>
      </c>
      <c r="F36" s="6">
        <f t="shared" ca="1" si="5"/>
        <v>279.39999999999998</v>
      </c>
    </row>
    <row r="37" spans="1:6" x14ac:dyDescent="0.2">
      <c r="A37">
        <f t="shared" si="0"/>
        <v>4</v>
      </c>
      <c r="B37" s="7">
        <f t="shared" ca="1" si="1"/>
        <v>1.27</v>
      </c>
      <c r="C37" s="6">
        <f t="shared" si="2"/>
        <v>55</v>
      </c>
      <c r="D37" s="6">
        <f t="shared" ca="1" si="3"/>
        <v>69.849999999999994</v>
      </c>
      <c r="E37" s="6">
        <f t="shared" ca="1" si="4"/>
        <v>1816.1</v>
      </c>
      <c r="F37" s="6">
        <f t="shared" ca="1" si="5"/>
        <v>698.5</v>
      </c>
    </row>
    <row r="38" spans="1:6" x14ac:dyDescent="0.2">
      <c r="A38">
        <f t="shared" si="0"/>
        <v>5</v>
      </c>
      <c r="B38" s="7">
        <f t="shared" ca="1" si="1"/>
        <v>1.27</v>
      </c>
      <c r="C38" s="6">
        <f t="shared" si="2"/>
        <v>55</v>
      </c>
      <c r="D38" s="6">
        <f t="shared" ca="1" si="3"/>
        <v>69.849999999999994</v>
      </c>
      <c r="E38" s="6">
        <f t="shared" ca="1" si="4"/>
        <v>1816.1</v>
      </c>
      <c r="F38" s="6">
        <f t="shared" ca="1" si="5"/>
        <v>1117.5999999999999</v>
      </c>
    </row>
    <row r="39" spans="1:6" x14ac:dyDescent="0.2">
      <c r="A39">
        <f t="shared" si="0"/>
        <v>6</v>
      </c>
      <c r="B39" s="7">
        <f t="shared" ca="1" si="1"/>
        <v>0</v>
      </c>
      <c r="C39" s="6">
        <f t="shared" si="2"/>
        <v>55</v>
      </c>
      <c r="D39" s="6">
        <f t="shared" ca="1" si="3"/>
        <v>0</v>
      </c>
      <c r="E39" s="6">
        <f t="shared" ca="1" si="4"/>
        <v>0</v>
      </c>
      <c r="F39" s="6">
        <f t="shared" ca="1" si="5"/>
        <v>0</v>
      </c>
    </row>
    <row r="40" spans="1:6" x14ac:dyDescent="0.2">
      <c r="A40">
        <f t="shared" si="0"/>
        <v>7</v>
      </c>
      <c r="B40" s="7">
        <f t="shared" ca="1" si="1"/>
        <v>0</v>
      </c>
      <c r="C40" s="6">
        <f t="shared" si="2"/>
        <v>55</v>
      </c>
      <c r="D40" s="6">
        <f t="shared" ca="1" si="3"/>
        <v>0</v>
      </c>
      <c r="E40" s="6">
        <f ca="1">D40*E19</f>
        <v>0</v>
      </c>
      <c r="F40" s="6">
        <f t="shared" ca="1" si="5"/>
        <v>0</v>
      </c>
    </row>
    <row r="41" spans="1:6" x14ac:dyDescent="0.2">
      <c r="A41">
        <f t="shared" si="0"/>
        <v>8</v>
      </c>
      <c r="B41" s="7">
        <f t="shared" ca="1" si="1"/>
        <v>0</v>
      </c>
      <c r="C41" s="6">
        <f t="shared" si="2"/>
        <v>55</v>
      </c>
      <c r="D41" s="6">
        <f t="shared" ca="1" si="3"/>
        <v>0</v>
      </c>
      <c r="E41" s="6">
        <f t="shared" ca="1" si="4"/>
        <v>0</v>
      </c>
      <c r="F41" s="6">
        <f t="shared" ca="1" si="5"/>
        <v>0</v>
      </c>
    </row>
    <row r="42" spans="1:6" x14ac:dyDescent="0.2">
      <c r="A42">
        <f t="shared" si="0"/>
        <v>9</v>
      </c>
      <c r="B42" s="7">
        <f t="shared" ca="1" si="1"/>
        <v>0</v>
      </c>
      <c r="C42" s="6">
        <f t="shared" si="2"/>
        <v>55</v>
      </c>
      <c r="D42" s="6">
        <f t="shared" ca="1" si="3"/>
        <v>0</v>
      </c>
      <c r="E42" s="6">
        <f t="shared" ca="1" si="4"/>
        <v>0</v>
      </c>
      <c r="F42" s="6">
        <f t="shared" ca="1" si="5"/>
        <v>0</v>
      </c>
    </row>
    <row r="43" spans="1:6" x14ac:dyDescent="0.2">
      <c r="A43">
        <f t="shared" si="0"/>
        <v>10</v>
      </c>
      <c r="B43" s="7">
        <f t="shared" ca="1" si="1"/>
        <v>0</v>
      </c>
      <c r="C43" s="6">
        <f t="shared" si="2"/>
        <v>55</v>
      </c>
      <c r="D43" s="6">
        <f t="shared" ca="1" si="3"/>
        <v>0</v>
      </c>
      <c r="E43" s="6">
        <f t="shared" ca="1" si="4"/>
        <v>0</v>
      </c>
      <c r="F43" s="6">
        <f t="shared" ca="1" si="5"/>
        <v>0</v>
      </c>
    </row>
    <row r="44" spans="1:6" x14ac:dyDescent="0.2">
      <c r="A44">
        <f t="shared" si="0"/>
        <v>11</v>
      </c>
      <c r="B44" s="7">
        <f t="shared" ca="1" si="1"/>
        <v>0</v>
      </c>
      <c r="C44" s="6">
        <f t="shared" si="2"/>
        <v>55</v>
      </c>
      <c r="D44" s="6">
        <f t="shared" ca="1" si="3"/>
        <v>0</v>
      </c>
      <c r="E44" s="6">
        <f t="shared" ca="1" si="4"/>
        <v>0</v>
      </c>
      <c r="F44" s="6">
        <f t="shared" ca="1" si="5"/>
        <v>0</v>
      </c>
    </row>
    <row r="45" spans="1:6" ht="16" thickBot="1" x14ac:dyDescent="0.25">
      <c r="A45">
        <f t="shared" si="0"/>
        <v>12</v>
      </c>
      <c r="B45" s="7">
        <f t="shared" ca="1" si="1"/>
        <v>0</v>
      </c>
      <c r="C45" s="6">
        <f t="shared" si="2"/>
        <v>55</v>
      </c>
      <c r="D45" s="25">
        <f t="shared" ca="1" si="3"/>
        <v>0</v>
      </c>
      <c r="E45" s="25">
        <f t="shared" ca="1" si="4"/>
        <v>0</v>
      </c>
      <c r="F45" s="25">
        <f t="shared" ca="1" si="5"/>
        <v>0</v>
      </c>
    </row>
    <row r="46" spans="1:6" ht="16" thickTop="1" x14ac:dyDescent="0.2">
      <c r="C46" s="6"/>
      <c r="D46" s="6">
        <f ca="1">SUM(D34:D45)</f>
        <v>349.25</v>
      </c>
      <c r="E46" s="6">
        <f t="shared" ref="E46:F46" ca="1" si="6">SUM(E34:E45)</f>
        <v>6007.1</v>
      </c>
      <c r="F46" s="6">
        <f t="shared" ca="1" si="6"/>
        <v>3492.5</v>
      </c>
    </row>
    <row r="48" spans="1:6" x14ac:dyDescent="0.2">
      <c r="A48" s="2" t="s">
        <v>28</v>
      </c>
      <c r="B48" s="6">
        <f ca="1">B29+D46</f>
        <v>3349.25</v>
      </c>
      <c r="D48" t="s">
        <v>31</v>
      </c>
      <c r="E48" t="s">
        <v>32</v>
      </c>
    </row>
    <row r="49" spans="1:21" x14ac:dyDescent="0.2">
      <c r="A49" s="2" t="s">
        <v>29</v>
      </c>
      <c r="B49" s="6">
        <f ca="1">E46+B30</f>
        <v>51007.1</v>
      </c>
      <c r="D49" s="1">
        <f ca="1">B50/B48</f>
        <v>10</v>
      </c>
      <c r="E49" s="4">
        <f ca="1">B49/B48</f>
        <v>15.229409569306561</v>
      </c>
    </row>
    <row r="50" spans="1:21" x14ac:dyDescent="0.2">
      <c r="A50" s="2" t="s">
        <v>30</v>
      </c>
      <c r="B50" s="6">
        <f ca="1">F46+B31</f>
        <v>33492.5</v>
      </c>
    </row>
    <row r="52" spans="1:21" x14ac:dyDescent="0.2">
      <c r="A52" s="27" t="s">
        <v>34</v>
      </c>
    </row>
    <row r="53" spans="1:21" x14ac:dyDescent="0.2">
      <c r="A53" s="2" t="s">
        <v>36</v>
      </c>
      <c r="B53" s="34">
        <v>251.5546621414374</v>
      </c>
      <c r="C53" t="s">
        <v>39</v>
      </c>
    </row>
    <row r="55" spans="1:21" x14ac:dyDescent="0.2">
      <c r="A55" s="2" t="s">
        <v>16</v>
      </c>
    </row>
    <row r="56" spans="1:21" x14ac:dyDescent="0.2">
      <c r="A56" s="1" t="s">
        <v>0</v>
      </c>
      <c r="B56" s="1" t="s">
        <v>1</v>
      </c>
      <c r="C56" s="1" t="s">
        <v>37</v>
      </c>
      <c r="D56" s="1" t="s">
        <v>38</v>
      </c>
    </row>
    <row r="57" spans="1:21" x14ac:dyDescent="0.2">
      <c r="A57" s="6">
        <f ca="1">D3-$D$49</f>
        <v>-10</v>
      </c>
      <c r="B57" s="7">
        <f ca="1">E3-$E$49</f>
        <v>-15.229409569306561</v>
      </c>
      <c r="C57" s="4">
        <f ca="1">A57*COS(RADIANS(-1*$B$53))+B57*SIN(RADIANS(-1*$B$53))</f>
        <v>-11.283015227913708</v>
      </c>
      <c r="D57" s="4">
        <f ca="1">-1*A57*SIN(RADIANS(-1*$B$53))+B57*COS(RADIANS(-1*$B$53))</f>
        <v>14.30484125030242</v>
      </c>
      <c r="F57" t="s">
        <v>40</v>
      </c>
      <c r="G57">
        <f ca="1">MAX(D57:D61)-MIN(D57:D61)</f>
        <v>28.464512226636892</v>
      </c>
      <c r="H57" t="s">
        <v>6</v>
      </c>
      <c r="T57" t="s">
        <v>82</v>
      </c>
    </row>
    <row r="58" spans="1:21" x14ac:dyDescent="0.2">
      <c r="A58" s="6">
        <f ca="1">D4-$D$49</f>
        <v>10</v>
      </c>
      <c r="B58" s="7">
        <f t="shared" ref="B58:B61" ca="1" si="7">E4-$E$49</f>
        <v>-15.229409569306561</v>
      </c>
      <c r="C58" s="4">
        <f t="shared" ref="C58:C61" ca="1" si="8">A58*COS(RADIANS(-1*$B$53))+B58*SIN(RADIANS(-1*$B$53))</f>
        <v>-17.61101080398122</v>
      </c>
      <c r="D58" s="4">
        <f t="shared" ref="D58:D61" ca="1" si="9">-1*A58*SIN(RADIANS(-1*$B$53))+B58*COS(RADIANS(-1*$B$53))</f>
        <v>-4.6676776122332031</v>
      </c>
      <c r="F58" t="s">
        <v>62</v>
      </c>
      <c r="G58" s="7">
        <f ca="1">MAX(D57:D61)</f>
        <v>14.30484125030242</v>
      </c>
      <c r="T58" t="s">
        <v>0</v>
      </c>
      <c r="U58" t="s">
        <v>1</v>
      </c>
    </row>
    <row r="59" spans="1:21" x14ac:dyDescent="0.2">
      <c r="A59" s="6">
        <f ca="1">D5-$D$49</f>
        <v>10</v>
      </c>
      <c r="B59" s="7">
        <f t="shared" ca="1" si="7"/>
        <v>14.770590430693439</v>
      </c>
      <c r="C59" s="4">
        <f t="shared" ca="1" si="8"/>
        <v>10.847767489822216</v>
      </c>
      <c r="D59" s="4">
        <f t="shared" ca="1" si="9"/>
        <v>-14.159670976334471</v>
      </c>
      <c r="T59">
        <f ca="1">MAX(MAX(C57:C61),MAX(D57:D61))</f>
        <v>17.175763065889729</v>
      </c>
      <c r="U59">
        <f ca="1">T59</f>
        <v>17.175763065889729</v>
      </c>
    </row>
    <row r="60" spans="1:21" x14ac:dyDescent="0.2">
      <c r="A60" s="6">
        <f ca="1">D6-$D$49</f>
        <v>-10</v>
      </c>
      <c r="B60" s="7">
        <f t="shared" ca="1" si="7"/>
        <v>14.770590430693439</v>
      </c>
      <c r="C60" s="4">
        <f t="shared" ca="1" si="8"/>
        <v>17.175763065889729</v>
      </c>
      <c r="D60" s="4">
        <f t="shared" ca="1" si="9"/>
        <v>4.8128478862011512</v>
      </c>
      <c r="T60">
        <f ca="1">-1*T59</f>
        <v>-17.175763065889729</v>
      </c>
      <c r="U60">
        <f ca="1">-1*U59</f>
        <v>-17.175763065889729</v>
      </c>
    </row>
    <row r="61" spans="1:21" x14ac:dyDescent="0.2">
      <c r="A61" s="6">
        <f ca="1">D7-$D$49</f>
        <v>-10</v>
      </c>
      <c r="B61" s="7">
        <f t="shared" ca="1" si="7"/>
        <v>-15.229409569306561</v>
      </c>
      <c r="C61" s="4">
        <f t="shared" ca="1" si="8"/>
        <v>-11.283015227913708</v>
      </c>
      <c r="D61" s="4">
        <f t="shared" ca="1" si="9"/>
        <v>14.30484125030242</v>
      </c>
    </row>
    <row r="62" spans="1:21" x14ac:dyDescent="0.2">
      <c r="A62" s="6"/>
    </row>
    <row r="63" spans="1:21" x14ac:dyDescent="0.2">
      <c r="A63" s="28" t="s">
        <v>24</v>
      </c>
      <c r="F63" s="1" t="s">
        <v>37</v>
      </c>
      <c r="G63" s="1" t="s">
        <v>38</v>
      </c>
    </row>
    <row r="64" spans="1:21" x14ac:dyDescent="0.2">
      <c r="A64" s="8">
        <f t="shared" ref="A64:C75" si="10">A13</f>
        <v>1</v>
      </c>
      <c r="B64" s="6">
        <f t="shared" si="10"/>
        <v>10</v>
      </c>
      <c r="C64" s="6">
        <f t="shared" ca="1" si="10"/>
        <v>1.27</v>
      </c>
      <c r="D64" s="6">
        <f ca="1">D13-$D$49</f>
        <v>-6</v>
      </c>
      <c r="E64" s="6">
        <f ca="1">E13-$E$49</f>
        <v>-11.229409569306561</v>
      </c>
      <c r="F64" s="4">
        <f ca="1">IF(C64&gt;0,D64*COS(RADIANS(-1*$B$53))+E64*SIN(RADIANS(-1*$B$53)),0)</f>
        <v>-8.7541105706200852</v>
      </c>
      <c r="G64" s="4">
        <f ca="1">IF(C64&gt;0,-1*D64*SIN(RADIANS(-1*$B$53))+E64*COS(RADIANS(-1*$B$53)),0)</f>
        <v>9.244738362581792</v>
      </c>
    </row>
    <row r="65" spans="1:7" x14ac:dyDescent="0.2">
      <c r="A65" s="8">
        <f t="shared" si="10"/>
        <v>2</v>
      </c>
      <c r="B65" s="6">
        <f t="shared" si="10"/>
        <v>10</v>
      </c>
      <c r="C65" s="6">
        <f t="shared" ca="1" si="10"/>
        <v>1.27</v>
      </c>
      <c r="D65" s="6">
        <f t="shared" ref="D65:D75" ca="1" si="11">D14-$D$49</f>
        <v>6</v>
      </c>
      <c r="E65" s="6">
        <f t="shared" ref="E65:E75" ca="1" si="12">E14-$E$49</f>
        <v>-11.229409569306561</v>
      </c>
      <c r="F65" s="4">
        <f t="shared" ref="F65:F75" ca="1" si="13">IF(C65&gt;0,D65*COS(RADIANS(-1*$B$53))+E65*SIN(RADIANS(-1*$B$53)),0)</f>
        <v>-12.550907916260591</v>
      </c>
      <c r="G65" s="4">
        <f t="shared" ref="G65:G75" ca="1" si="14">IF(C65&gt;0,-1*D65*SIN(RADIANS(-1*$B$53))+E65*COS(RADIANS(-1*$B$53)),0)</f>
        <v>-2.138772954939582</v>
      </c>
    </row>
    <row r="66" spans="1:7" x14ac:dyDescent="0.2">
      <c r="A66" s="8">
        <f t="shared" si="10"/>
        <v>3</v>
      </c>
      <c r="B66" s="6">
        <f t="shared" si="10"/>
        <v>10</v>
      </c>
      <c r="C66" s="6">
        <f t="shared" ca="1" si="10"/>
        <v>1.27</v>
      </c>
      <c r="D66" s="6">
        <f t="shared" ca="1" si="11"/>
        <v>-6</v>
      </c>
      <c r="E66" s="6">
        <f t="shared" ca="1" si="12"/>
        <v>10.770590430693439</v>
      </c>
      <c r="F66" s="4">
        <f t="shared" ca="1" si="13"/>
        <v>12.115660178169101</v>
      </c>
      <c r="G66" s="4">
        <f t="shared" ca="1" si="14"/>
        <v>2.2839432289075297</v>
      </c>
    </row>
    <row r="67" spans="1:7" x14ac:dyDescent="0.2">
      <c r="A67" s="8">
        <f t="shared" si="10"/>
        <v>4</v>
      </c>
      <c r="B67" s="6">
        <f t="shared" si="10"/>
        <v>10</v>
      </c>
      <c r="C67" s="6">
        <f t="shared" ca="1" si="10"/>
        <v>1.27</v>
      </c>
      <c r="D67" s="6">
        <f t="shared" ca="1" si="11"/>
        <v>0</v>
      </c>
      <c r="E67" s="6">
        <f t="shared" ca="1" si="12"/>
        <v>10.770590430693439</v>
      </c>
      <c r="F67" s="4">
        <f t="shared" ca="1" si="13"/>
        <v>10.217261505348848</v>
      </c>
      <c r="G67" s="4">
        <f t="shared" ca="1" si="14"/>
        <v>-3.4078124298531578</v>
      </c>
    </row>
    <row r="68" spans="1:7" x14ac:dyDescent="0.2">
      <c r="A68" s="8">
        <f t="shared" si="10"/>
        <v>5</v>
      </c>
      <c r="B68" s="6">
        <f t="shared" si="10"/>
        <v>10</v>
      </c>
      <c r="C68" s="6">
        <f t="shared" ca="1" si="10"/>
        <v>1.27</v>
      </c>
      <c r="D68" s="6">
        <f t="shared" ca="1" si="11"/>
        <v>6</v>
      </c>
      <c r="E68" s="6">
        <f t="shared" ca="1" si="12"/>
        <v>10.770590430693439</v>
      </c>
      <c r="F68" s="4">
        <f t="shared" ca="1" si="13"/>
        <v>8.3188628325285947</v>
      </c>
      <c r="G68" s="4">
        <f t="shared" ca="1" si="14"/>
        <v>-9.0995680886138448</v>
      </c>
    </row>
    <row r="69" spans="1:7" x14ac:dyDescent="0.2">
      <c r="A69" s="8">
        <f t="shared" si="10"/>
        <v>6</v>
      </c>
      <c r="B69" s="6">
        <f t="shared" si="10"/>
        <v>0</v>
      </c>
      <c r="C69" s="6">
        <f t="shared" ca="1" si="10"/>
        <v>0</v>
      </c>
      <c r="D69" s="6">
        <f t="shared" ca="1" si="11"/>
        <v>-10</v>
      </c>
      <c r="E69" s="6">
        <f t="shared" ca="1" si="12"/>
        <v>-15.229409569306561</v>
      </c>
      <c r="F69" s="4">
        <f t="shared" ca="1" si="13"/>
        <v>0</v>
      </c>
      <c r="G69" s="4">
        <f t="shared" ca="1" si="14"/>
        <v>0</v>
      </c>
    </row>
    <row r="70" spans="1:7" x14ac:dyDescent="0.2">
      <c r="A70" s="8">
        <f t="shared" si="10"/>
        <v>7</v>
      </c>
      <c r="B70" s="6">
        <f t="shared" si="10"/>
        <v>0</v>
      </c>
      <c r="C70" s="6">
        <f t="shared" ca="1" si="10"/>
        <v>0</v>
      </c>
      <c r="D70" s="6">
        <f t="shared" ca="1" si="11"/>
        <v>-10</v>
      </c>
      <c r="E70" s="6">
        <f t="shared" ca="1" si="12"/>
        <v>-15.229409569306561</v>
      </c>
      <c r="F70" s="4">
        <f t="shared" ca="1" si="13"/>
        <v>0</v>
      </c>
      <c r="G70" s="4">
        <f t="shared" ca="1" si="14"/>
        <v>0</v>
      </c>
    </row>
    <row r="71" spans="1:7" x14ac:dyDescent="0.2">
      <c r="A71" s="8">
        <f t="shared" si="10"/>
        <v>8</v>
      </c>
      <c r="B71" s="6">
        <f t="shared" si="10"/>
        <v>0</v>
      </c>
      <c r="C71" s="6">
        <f t="shared" ca="1" si="10"/>
        <v>0</v>
      </c>
      <c r="D71" s="6">
        <f t="shared" ca="1" si="11"/>
        <v>-10</v>
      </c>
      <c r="E71" s="6">
        <f t="shared" ca="1" si="12"/>
        <v>-15.229409569306561</v>
      </c>
      <c r="F71" s="4">
        <f t="shared" ca="1" si="13"/>
        <v>0</v>
      </c>
      <c r="G71" s="4">
        <f t="shared" ca="1" si="14"/>
        <v>0</v>
      </c>
    </row>
    <row r="72" spans="1:7" x14ac:dyDescent="0.2">
      <c r="A72" s="8">
        <f t="shared" si="10"/>
        <v>9</v>
      </c>
      <c r="B72" s="6">
        <f t="shared" si="10"/>
        <v>0</v>
      </c>
      <c r="C72" s="6">
        <f t="shared" ca="1" si="10"/>
        <v>0</v>
      </c>
      <c r="D72" s="6">
        <f t="shared" ca="1" si="11"/>
        <v>-10</v>
      </c>
      <c r="E72" s="6">
        <f t="shared" ca="1" si="12"/>
        <v>-15.229409569306561</v>
      </c>
      <c r="F72" s="4">
        <f t="shared" ca="1" si="13"/>
        <v>0</v>
      </c>
      <c r="G72" s="4">
        <f t="shared" ca="1" si="14"/>
        <v>0</v>
      </c>
    </row>
    <row r="73" spans="1:7" x14ac:dyDescent="0.2">
      <c r="A73" s="8">
        <f t="shared" si="10"/>
        <v>10</v>
      </c>
      <c r="B73" s="6">
        <f t="shared" si="10"/>
        <v>0</v>
      </c>
      <c r="C73" s="6">
        <f t="shared" ca="1" si="10"/>
        <v>0</v>
      </c>
      <c r="D73" s="6">
        <f t="shared" ca="1" si="11"/>
        <v>-10</v>
      </c>
      <c r="E73" s="6">
        <f t="shared" ca="1" si="12"/>
        <v>-15.229409569306561</v>
      </c>
      <c r="F73" s="4">
        <f t="shared" ca="1" si="13"/>
        <v>0</v>
      </c>
      <c r="G73" s="4">
        <f t="shared" ca="1" si="14"/>
        <v>0</v>
      </c>
    </row>
    <row r="74" spans="1:7" x14ac:dyDescent="0.2">
      <c r="A74" s="8">
        <f t="shared" si="10"/>
        <v>11</v>
      </c>
      <c r="B74" s="6">
        <f t="shared" si="10"/>
        <v>0</v>
      </c>
      <c r="C74" s="6">
        <f t="shared" ca="1" si="10"/>
        <v>0</v>
      </c>
      <c r="D74" s="6">
        <f t="shared" ca="1" si="11"/>
        <v>-10</v>
      </c>
      <c r="E74" s="6">
        <f t="shared" ca="1" si="12"/>
        <v>-15.229409569306561</v>
      </c>
      <c r="F74" s="4">
        <f t="shared" ca="1" si="13"/>
        <v>0</v>
      </c>
      <c r="G74" s="4">
        <f t="shared" ca="1" si="14"/>
        <v>0</v>
      </c>
    </row>
    <row r="75" spans="1:7" x14ac:dyDescent="0.2">
      <c r="A75" s="8">
        <f t="shared" si="10"/>
        <v>12</v>
      </c>
      <c r="B75" s="6">
        <f t="shared" si="10"/>
        <v>0</v>
      </c>
      <c r="C75" s="6">
        <f t="shared" ca="1" si="10"/>
        <v>0</v>
      </c>
      <c r="D75" s="6">
        <f t="shared" ca="1" si="11"/>
        <v>-10</v>
      </c>
      <c r="E75" s="6">
        <f t="shared" ca="1" si="12"/>
        <v>-15.229409569306561</v>
      </c>
      <c r="F75" s="4">
        <f t="shared" ca="1" si="13"/>
        <v>0</v>
      </c>
      <c r="G75" s="4">
        <f t="shared" ca="1" si="14"/>
        <v>0</v>
      </c>
    </row>
    <row r="76" spans="1:7" x14ac:dyDescent="0.2">
      <c r="G76" s="7">
        <f ca="1">MIN(G64:G75)</f>
        <v>-9.0995680886138448</v>
      </c>
    </row>
    <row r="77" spans="1:7" x14ac:dyDescent="0.2">
      <c r="D77" t="s">
        <v>0</v>
      </c>
      <c r="E77" t="s">
        <v>1</v>
      </c>
    </row>
    <row r="78" spans="1:7" x14ac:dyDescent="0.2">
      <c r="A78" s="2" t="s">
        <v>41</v>
      </c>
      <c r="B78" s="34">
        <v>11.00453222815308</v>
      </c>
      <c r="C78" t="s">
        <v>6</v>
      </c>
      <c r="D78" s="4">
        <f ca="1">MIN(C57:C61)</f>
        <v>-17.61101080398122</v>
      </c>
      <c r="E78" s="4">
        <f ca="1">MAX(D57:D61)-B78</f>
        <v>3.3003090221493405</v>
      </c>
    </row>
    <row r="79" spans="1:7" x14ac:dyDescent="0.2">
      <c r="A79" s="2"/>
      <c r="D79" s="4">
        <f ca="1">MAX(C57:C61)</f>
        <v>17.175763065889729</v>
      </c>
      <c r="E79" s="4">
        <f ca="1">E78</f>
        <v>3.3003090221493405</v>
      </c>
    </row>
    <row r="80" spans="1:7" x14ac:dyDescent="0.2">
      <c r="A80" s="2"/>
    </row>
    <row r="81" spans="1:12" x14ac:dyDescent="0.2">
      <c r="A81" s="2" t="s">
        <v>42</v>
      </c>
      <c r="B81" s="1">
        <f>B78*B4</f>
        <v>8.8036257825224631</v>
      </c>
      <c r="C81" t="s">
        <v>6</v>
      </c>
      <c r="D81" t="s">
        <v>0</v>
      </c>
      <c r="E81" t="s">
        <v>1</v>
      </c>
    </row>
    <row r="82" spans="1:12" x14ac:dyDescent="0.2">
      <c r="D82" s="4">
        <f ca="1">MIN(C57:C61)</f>
        <v>-17.61101080398122</v>
      </c>
      <c r="E82" s="4">
        <f ca="1">MAX(D57:D61)-B81</f>
        <v>5.5012154677799572</v>
      </c>
    </row>
    <row r="83" spans="1:12" x14ac:dyDescent="0.2">
      <c r="D83" s="4">
        <f ca="1">MAX(C57:C61)</f>
        <v>17.175763065889729</v>
      </c>
      <c r="E83" s="4">
        <f ca="1">E82</f>
        <v>5.5012154677799572</v>
      </c>
    </row>
    <row r="84" spans="1:12" x14ac:dyDescent="0.2">
      <c r="A84" t="s">
        <v>47</v>
      </c>
    </row>
    <row r="85" spans="1:12" x14ac:dyDescent="0.2">
      <c r="A85" s="2" t="s">
        <v>55</v>
      </c>
      <c r="B85" s="1">
        <f>0.85*B2</f>
        <v>4.25</v>
      </c>
      <c r="C85" t="s">
        <v>5</v>
      </c>
    </row>
    <row r="87" spans="1:12" x14ac:dyDescent="0.2">
      <c r="A87" t="s">
        <v>48</v>
      </c>
      <c r="B87" t="s">
        <v>43</v>
      </c>
      <c r="C87" t="s">
        <v>44</v>
      </c>
      <c r="D87" t="s">
        <v>45</v>
      </c>
      <c r="E87" t="s">
        <v>46</v>
      </c>
      <c r="G87" s="1" t="s">
        <v>49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54</v>
      </c>
    </row>
    <row r="88" spans="1:12" x14ac:dyDescent="0.2">
      <c r="A88">
        <v>1</v>
      </c>
      <c r="B88" s="4">
        <f t="shared" ref="B88:C91" ca="1" si="15">C57</f>
        <v>-11.283015227913708</v>
      </c>
      <c r="C88" s="4">
        <f t="shared" ca="1" si="15"/>
        <v>14.30484125030242</v>
      </c>
      <c r="D88" s="4">
        <f t="shared" ref="D88:E91" ca="1" si="16">C58</f>
        <v>-17.61101080398122</v>
      </c>
      <c r="E88" s="4">
        <f t="shared" ca="1" si="16"/>
        <v>-4.6676776122332031</v>
      </c>
      <c r="F88" s="1">
        <f ca="1">IF(AND(E88&gt;=E$82,C88&lt;=E$82),1,IF(AND(C88&gt;=E$82,E88&gt;=E$82),3,IF(AND(E88&lt;=E$82,C88&gt;=E$82),2,0)))</f>
        <v>2</v>
      </c>
      <c r="G88" s="1">
        <f ca="1">IF(E88=C88,"H",IF(B88=D88,"V",(E88-C88)/(D88-B88)))</f>
        <v>2.9981877570031363</v>
      </c>
      <c r="H88" s="4">
        <f ca="1">IF(OR(F88=1,F88=2),IF(G88="V",B88,(E$82-C88+(G88*B88))/G88),NA())</f>
        <v>-14.219330927942517</v>
      </c>
      <c r="I88" s="4">
        <f ca="1">IF(OR(F88=1,F88=2),E$82,NA())</f>
        <v>5.5012154677799572</v>
      </c>
      <c r="J88" s="5">
        <f ca="1">IF(F88=0,0,IF(F88=1,-0.5*B$85*(H88+D88)*(I88-E88),IF(F88=2,-0.5*B$85*(B88+H88)*(C88-I88),IF(F88=3,-0.5*B$85*(B88+D88)*(C88-E88),0))))</f>
        <v>477.09036328158049</v>
      </c>
      <c r="K88" s="5">
        <f ca="1">IF(F88=1,(1/6)*B$85*(E88-I88)*((H88*(2*I88+E88))+(D88*(I88+2*E88))),IF(F88=2,(1/6)*B$85*(I88-C88)*((B88*(2*C88+I88))+(H88*(C88+2*I88))),IF(F88=3,(1/6)*B$85*(E88-C88)*((B88*(2*C88+E88))+(D88*(C88+2*E88))),0)))</f>
        <v>4644.0396689758263</v>
      </c>
      <c r="L88" s="5">
        <f ca="1">IF(F88=1,(1/6)*B$85*(POWER(H88,2)+H88*D88+POWER(D88,2))*(E88-I88),IF(F88=2,(1/6)*B$85*(POWER(B88,2)+B88*H88+POWER(H88,2))*(I88-C88),IF(F88=3,(1/6)*B$85*(POWER(B88,2)+B88*D88+POWER(D88,2))*(E88-C88),0)))</f>
        <v>-3055.1723057777044</v>
      </c>
    </row>
    <row r="89" spans="1:12" x14ac:dyDescent="0.2">
      <c r="A89">
        <v>2</v>
      </c>
      <c r="B89" s="4">
        <f t="shared" ca="1" si="15"/>
        <v>-17.61101080398122</v>
      </c>
      <c r="C89" s="4">
        <f t="shared" ca="1" si="15"/>
        <v>-4.6676776122332031</v>
      </c>
      <c r="D89" s="4">
        <f t="shared" ca="1" si="16"/>
        <v>10.847767489822216</v>
      </c>
      <c r="E89" s="4">
        <f t="shared" ca="1" si="16"/>
        <v>-14.159670976334471</v>
      </c>
      <c r="F89" s="1">
        <f t="shared" ref="F89:F91" ca="1" si="17">IF(AND(E89&gt;=E$82,C89&lt;=E$82),1,IF(AND(C89&gt;=E$82,E89&gt;=E$82),3,IF(AND(E89&lt;=E$82,C89&gt;=E$82),2,0)))</f>
        <v>0</v>
      </c>
      <c r="G89" s="1">
        <f t="shared" ref="G89:G91" ca="1" si="18">IF(E89=C89,"H",IF(B89=D89,"V",(E89-C89)/(D89-B89)))</f>
        <v>-0.33353481537779295</v>
      </c>
      <c r="H89" s="4" t="e">
        <f t="shared" ref="H89:H91" ca="1" si="19">IF(OR(F89=1,F89=2),IF(G89="V",B89,(E$82-C89+(G89*B89))/G89),NA())</f>
        <v>#N/A</v>
      </c>
      <c r="I89" s="4" t="e">
        <f t="shared" ref="I89:I91" ca="1" si="20">IF(OR(F89=1,F89=2),E$82,NA())</f>
        <v>#N/A</v>
      </c>
      <c r="J89" s="5">
        <f ca="1">IF(F89=0,0,IF(F89=1,-0.5*B$85*(H89+D89)*(I89-E89),IF(F89=2,-0.5*B$85*(B89+H89)*(C89-I89),IF(F89=3,-0.5*B$85*(B89+D89)*(C89-E89),0))))</f>
        <v>0</v>
      </c>
      <c r="K89" s="5">
        <f t="shared" ref="K89:K91" ca="1" si="21">IF(F89=1,(1/6)*B$85*(E89-I89)*((H89*(2*I89+E89))+(D89*(I89+2*E89))),IF(F89=2,(1/6)*B$85*(I89-C89)*((B89*(2*C89+I89))+(H89*(C89+2*I89))),IF(F89=3,(1/6)*B$85*(E89-C89)*((B89*(2*C89+E89))+(D89*(C89+2*E89))),0)))</f>
        <v>0</v>
      </c>
      <c r="L89" s="5">
        <f t="shared" ref="L89:L91" ca="1" si="22">IF(F89=1,(1/6)*B$85*(POWER(H89,2)+H89*D89+POWER(D89,2))*(E89-I89),IF(F89=2,(1/6)*B$85*(POWER(B89,2)+B89*H89+POWER(H89,2))*(I89-C89),IF(F89=3,(1/6)*B$85*(POWER(B89,2)+B89*D89+POWER(D89,2))*(E89-C89),0)))</f>
        <v>0</v>
      </c>
    </row>
    <row r="90" spans="1:12" x14ac:dyDescent="0.2">
      <c r="A90">
        <v>3</v>
      </c>
      <c r="B90" s="4">
        <f t="shared" ca="1" si="15"/>
        <v>10.847767489822216</v>
      </c>
      <c r="C90" s="4">
        <f t="shared" ca="1" si="15"/>
        <v>-14.159670976334471</v>
      </c>
      <c r="D90" s="4">
        <f t="shared" ca="1" si="16"/>
        <v>17.175763065889729</v>
      </c>
      <c r="E90" s="4">
        <f t="shared" ca="1" si="16"/>
        <v>4.8128478862011512</v>
      </c>
      <c r="F90" s="1">
        <f t="shared" ca="1" si="17"/>
        <v>0</v>
      </c>
      <c r="G90" s="1">
        <f t="shared" ca="1" si="18"/>
        <v>2.9981877570031354</v>
      </c>
      <c r="H90" s="4" t="e">
        <f t="shared" ca="1" si="19"/>
        <v>#N/A</v>
      </c>
      <c r="I90" s="4" t="e">
        <f t="shared" ca="1" si="20"/>
        <v>#N/A</v>
      </c>
      <c r="J90" s="5">
        <f t="shared" ref="J90:J91" ca="1" si="23">IF(F90=0,0,IF(F90=1,-0.5*B$85*(H90+D90)*(I90-E90),IF(F90=2,-0.5*B$85*(B90+H90)*(C90-I90),IF(F90=3,-0.5*B$85*(B90+D90)*(C90-E90),0))))</f>
        <v>0</v>
      </c>
      <c r="K90" s="5">
        <f t="shared" ca="1" si="21"/>
        <v>0</v>
      </c>
      <c r="L90" s="5">
        <f t="shared" ca="1" si="22"/>
        <v>0</v>
      </c>
    </row>
    <row r="91" spans="1:12" ht="16" thickBot="1" x14ac:dyDescent="0.25">
      <c r="A91">
        <v>4</v>
      </c>
      <c r="B91" s="4">
        <f t="shared" ca="1" si="15"/>
        <v>17.175763065889729</v>
      </c>
      <c r="C91" s="4">
        <f t="shared" ca="1" si="15"/>
        <v>4.8128478862011512</v>
      </c>
      <c r="D91" s="4">
        <f t="shared" ca="1" si="16"/>
        <v>-11.283015227913708</v>
      </c>
      <c r="E91" s="4">
        <f t="shared" ca="1" si="16"/>
        <v>14.30484125030242</v>
      </c>
      <c r="F91" s="1">
        <f t="shared" ca="1" si="17"/>
        <v>1</v>
      </c>
      <c r="G91" s="1">
        <f t="shared" ca="1" si="18"/>
        <v>-0.33353481537779289</v>
      </c>
      <c r="H91" s="4">
        <f t="shared" ca="1" si="19"/>
        <v>15.111907810482295</v>
      </c>
      <c r="I91" s="4">
        <f t="shared" ca="1" si="20"/>
        <v>5.5012154677799572</v>
      </c>
      <c r="J91" s="24">
        <f t="shared" ca="1" si="23"/>
        <v>71.629792099120891</v>
      </c>
      <c r="K91" s="24">
        <f t="shared" ca="1" si="21"/>
        <v>-15.169560279799558</v>
      </c>
      <c r="L91" s="24">
        <f t="shared" ca="1" si="22"/>
        <v>1154.6913246619768</v>
      </c>
    </row>
    <row r="92" spans="1:12" ht="16" thickTop="1" x14ac:dyDescent="0.2">
      <c r="B92" s="1"/>
      <c r="C92" s="1"/>
      <c r="D92" s="1"/>
      <c r="E92" s="1"/>
      <c r="F92" s="1"/>
      <c r="G92" s="1"/>
      <c r="H92" s="1"/>
      <c r="I92" s="1"/>
      <c r="J92" s="5">
        <f ca="1">SUM(J88:J91)</f>
        <v>548.72015538070139</v>
      </c>
      <c r="K92" s="5">
        <f ca="1">SUM(K88:K91)</f>
        <v>4628.8701086960264</v>
      </c>
      <c r="L92" s="5">
        <f ca="1">SUM(L88:L91)*-1</f>
        <v>1900.4809811157277</v>
      </c>
    </row>
    <row r="95" spans="1:12" x14ac:dyDescent="0.2">
      <c r="A95" t="s">
        <v>56</v>
      </c>
    </row>
    <row r="96" spans="1:12" x14ac:dyDescent="0.2">
      <c r="A96" s="2" t="s">
        <v>58</v>
      </c>
      <c r="B96" s="1">
        <v>3.0000000000000001E-3</v>
      </c>
    </row>
    <row r="97" spans="1:21" x14ac:dyDescent="0.2">
      <c r="A97" t="s">
        <v>57</v>
      </c>
      <c r="B97" t="s">
        <v>60</v>
      </c>
      <c r="C97" t="str">
        <f t="shared" ref="C97:C109" si="24">F63</f>
        <v>x'</v>
      </c>
      <c r="D97" t="str">
        <f t="shared" ref="D97:D109" si="25">G63</f>
        <v>y'</v>
      </c>
      <c r="E97" t="s">
        <v>61</v>
      </c>
      <c r="F97" t="s">
        <v>59</v>
      </c>
      <c r="G97" t="s">
        <v>63</v>
      </c>
      <c r="H97" s="1" t="s">
        <v>64</v>
      </c>
      <c r="I97" s="1" t="s">
        <v>65</v>
      </c>
      <c r="J97" s="1" t="s">
        <v>66</v>
      </c>
    </row>
    <row r="98" spans="1:21" x14ac:dyDescent="0.2">
      <c r="A98" s="8">
        <f>A64</f>
        <v>1</v>
      </c>
      <c r="B98" s="7">
        <f ca="1">C13</f>
        <v>1.27</v>
      </c>
      <c r="C98">
        <f t="shared" ca="1" si="24"/>
        <v>-8.7541105706200852</v>
      </c>
      <c r="D98">
        <f t="shared" ca="1" si="25"/>
        <v>9.244738362581792</v>
      </c>
      <c r="E98" s="7">
        <f ca="1">G$58-D98</f>
        <v>5.0601028877206282</v>
      </c>
      <c r="F98" s="11">
        <f ca="1">IF(B98=0,0,((B$78-E98)/B$78)*B$96)</f>
        <v>1.6205403057182343E-3</v>
      </c>
      <c r="G98" s="4">
        <f ca="1">IF(AND(F98&gt;0,E98&lt;=B$81),MIN((F98*B$11),B$10)-B$85,MAX(F98*B$11,-1*B$10))</f>
        <v>44.366209171547027</v>
      </c>
      <c r="H98" s="4">
        <f ca="1">G98*B98</f>
        <v>56.345085647864728</v>
      </c>
      <c r="I98" s="4">
        <f ca="1">H98*D98</f>
        <v>520.8955748317718</v>
      </c>
      <c r="J98" s="4">
        <f ca="1">H98*C98</f>
        <v>-493.25110987246666</v>
      </c>
    </row>
    <row r="99" spans="1:21" x14ac:dyDescent="0.2">
      <c r="A99" s="8">
        <f t="shared" ref="A99:A108" si="26">A65</f>
        <v>2</v>
      </c>
      <c r="B99" s="7">
        <f t="shared" ref="B99:B109" ca="1" si="27">C14</f>
        <v>1.27</v>
      </c>
      <c r="C99">
        <f t="shared" ca="1" si="24"/>
        <v>-12.550907916260591</v>
      </c>
      <c r="D99">
        <f t="shared" ca="1" si="25"/>
        <v>-2.138772954939582</v>
      </c>
      <c r="E99" s="7">
        <f t="shared" ref="E99:E109" ca="1" si="28">G$58-D99</f>
        <v>16.443614205242003</v>
      </c>
      <c r="F99" s="11">
        <f t="shared" ref="F99:F109" ca="1" si="29">IF(B99=0,0,((B$78-E99)/B$78)*B$96)</f>
        <v>-1.4827750596724217E-3</v>
      </c>
      <c r="G99" s="4">
        <f t="shared" ref="G99:G109" ca="1" si="30">IF(AND(F99&gt;0,E99&lt;=B$81),MIN((F99*B$11),B$10)-B$85,MAX(F99*B$11,-1*B$10))</f>
        <v>-44.483251790172652</v>
      </c>
      <c r="H99" s="4">
        <f t="shared" ref="H99:H109" ca="1" si="31">G99*B99</f>
        <v>-56.49372977351927</v>
      </c>
      <c r="I99" s="4">
        <f t="shared" ref="I99:I109" ca="1" si="32">H99*D99</f>
        <v>120.82726136326805</v>
      </c>
      <c r="J99" s="4">
        <f t="shared" ref="J99:J109" ca="1" si="33">H99*C99</f>
        <v>709.0476002335497</v>
      </c>
    </row>
    <row r="100" spans="1:21" x14ac:dyDescent="0.2">
      <c r="A100" s="8">
        <f t="shared" si="26"/>
        <v>3</v>
      </c>
      <c r="B100" s="7">
        <f t="shared" ca="1" si="27"/>
        <v>1.27</v>
      </c>
      <c r="C100">
        <f t="shared" ca="1" si="24"/>
        <v>12.115660178169101</v>
      </c>
      <c r="D100">
        <f t="shared" ca="1" si="25"/>
        <v>2.2839432289075297</v>
      </c>
      <c r="E100" s="7">
        <f t="shared" ca="1" si="28"/>
        <v>12.02089802139489</v>
      </c>
      <c r="F100" s="11">
        <f t="shared" ca="1" si="29"/>
        <v>-2.7707650961527236E-4</v>
      </c>
      <c r="G100" s="4">
        <f t="shared" ca="1" si="30"/>
        <v>-8.31229528845817</v>
      </c>
      <c r="H100" s="4">
        <f t="shared" ca="1" si="31"/>
        <v>-10.556615016341876</v>
      </c>
      <c r="I100" s="4">
        <f t="shared" ca="1" si="32"/>
        <v>-24.110709386757577</v>
      </c>
      <c r="J100" s="4">
        <f t="shared" ca="1" si="33"/>
        <v>-127.90036016975522</v>
      </c>
    </row>
    <row r="101" spans="1:21" x14ac:dyDescent="0.2">
      <c r="A101" s="8">
        <f t="shared" si="26"/>
        <v>4</v>
      </c>
      <c r="B101" s="7">
        <f t="shared" ca="1" si="27"/>
        <v>1.27</v>
      </c>
      <c r="C101">
        <f t="shared" ca="1" si="24"/>
        <v>10.217261505348848</v>
      </c>
      <c r="D101">
        <f t="shared" ca="1" si="25"/>
        <v>-3.4078124298531578</v>
      </c>
      <c r="E101" s="7">
        <f t="shared" ca="1" si="28"/>
        <v>17.712653680155579</v>
      </c>
      <c r="F101" s="11">
        <f t="shared" ca="1" si="29"/>
        <v>-1.8287341923106011E-3</v>
      </c>
      <c r="G101" s="4">
        <f t="shared" ca="1" si="30"/>
        <v>-54.862025769318031</v>
      </c>
      <c r="H101" s="4">
        <f t="shared" ca="1" si="31"/>
        <v>-69.674772727033897</v>
      </c>
      <c r="I101" s="4">
        <f t="shared" ca="1" si="32"/>
        <v>237.43855654637991</v>
      </c>
      <c r="J101" s="4">
        <f t="shared" ca="1" si="33"/>
        <v>-711.8853732778532</v>
      </c>
    </row>
    <row r="102" spans="1:21" x14ac:dyDescent="0.2">
      <c r="A102" s="8">
        <f t="shared" si="26"/>
        <v>5</v>
      </c>
      <c r="B102" s="7">
        <f t="shared" ca="1" si="27"/>
        <v>1.27</v>
      </c>
      <c r="C102">
        <f t="shared" ca="1" si="24"/>
        <v>8.3188628325285947</v>
      </c>
      <c r="D102">
        <f t="shared" ca="1" si="25"/>
        <v>-9.0995680886138448</v>
      </c>
      <c r="E102" s="7">
        <f t="shared" ca="1" si="28"/>
        <v>23.404409338916267</v>
      </c>
      <c r="F102" s="11">
        <f t="shared" ca="1" si="29"/>
        <v>-3.3803918750059288E-3</v>
      </c>
      <c r="G102" s="4">
        <f t="shared" ca="1" si="30"/>
        <v>-60</v>
      </c>
      <c r="H102" s="4">
        <f t="shared" ca="1" si="31"/>
        <v>-76.2</v>
      </c>
      <c r="I102" s="4">
        <f t="shared" ca="1" si="32"/>
        <v>693.38708835237503</v>
      </c>
      <c r="J102" s="4">
        <f t="shared" ca="1" si="33"/>
        <v>-633.89734783867891</v>
      </c>
    </row>
    <row r="103" spans="1:21" x14ac:dyDescent="0.2">
      <c r="A103" s="8">
        <f t="shared" si="26"/>
        <v>6</v>
      </c>
      <c r="B103" s="7">
        <f t="shared" ca="1" si="27"/>
        <v>0</v>
      </c>
      <c r="C103">
        <f t="shared" ca="1" si="24"/>
        <v>0</v>
      </c>
      <c r="D103">
        <f t="shared" ca="1" si="25"/>
        <v>0</v>
      </c>
      <c r="E103" s="7">
        <f t="shared" ca="1" si="28"/>
        <v>14.30484125030242</v>
      </c>
      <c r="F103" s="11">
        <f t="shared" ca="1" si="29"/>
        <v>0</v>
      </c>
      <c r="G103" s="4">
        <f t="shared" ca="1" si="30"/>
        <v>0</v>
      </c>
      <c r="H103" s="4">
        <f t="shared" ca="1" si="31"/>
        <v>0</v>
      </c>
      <c r="I103" s="4">
        <f t="shared" ca="1" si="32"/>
        <v>0</v>
      </c>
      <c r="J103" s="4">
        <f t="shared" ca="1" si="33"/>
        <v>0</v>
      </c>
    </row>
    <row r="104" spans="1:21" x14ac:dyDescent="0.2">
      <c r="A104" s="8">
        <f t="shared" si="26"/>
        <v>7</v>
      </c>
      <c r="B104" s="7">
        <f t="shared" ca="1" si="27"/>
        <v>0</v>
      </c>
      <c r="C104">
        <f t="shared" ca="1" si="24"/>
        <v>0</v>
      </c>
      <c r="D104">
        <f t="shared" ca="1" si="25"/>
        <v>0</v>
      </c>
      <c r="E104" s="7">
        <f t="shared" ca="1" si="28"/>
        <v>14.30484125030242</v>
      </c>
      <c r="F104" s="11">
        <f t="shared" ca="1" si="29"/>
        <v>0</v>
      </c>
      <c r="G104" s="4">
        <f t="shared" ca="1" si="30"/>
        <v>0</v>
      </c>
      <c r="H104" s="4">
        <f t="shared" ca="1" si="31"/>
        <v>0</v>
      </c>
      <c r="I104" s="4">
        <f t="shared" ca="1" si="32"/>
        <v>0</v>
      </c>
      <c r="J104" s="4">
        <f t="shared" ca="1" si="33"/>
        <v>0</v>
      </c>
    </row>
    <row r="105" spans="1:21" x14ac:dyDescent="0.2">
      <c r="A105" s="8">
        <f t="shared" si="26"/>
        <v>8</v>
      </c>
      <c r="B105" s="7">
        <f t="shared" ca="1" si="27"/>
        <v>0</v>
      </c>
      <c r="C105">
        <f t="shared" ca="1" si="24"/>
        <v>0</v>
      </c>
      <c r="D105">
        <f t="shared" ca="1" si="25"/>
        <v>0</v>
      </c>
      <c r="E105" s="7">
        <f t="shared" ca="1" si="28"/>
        <v>14.30484125030242</v>
      </c>
      <c r="F105" s="11">
        <f t="shared" ca="1" si="29"/>
        <v>0</v>
      </c>
      <c r="G105" s="4">
        <f t="shared" ca="1" si="30"/>
        <v>0</v>
      </c>
      <c r="H105" s="4">
        <f t="shared" ca="1" si="31"/>
        <v>0</v>
      </c>
      <c r="I105" s="4">
        <f t="shared" ca="1" si="32"/>
        <v>0</v>
      </c>
      <c r="J105" s="4">
        <f t="shared" ca="1" si="33"/>
        <v>0</v>
      </c>
    </row>
    <row r="106" spans="1:21" x14ac:dyDescent="0.2">
      <c r="A106" s="8">
        <f t="shared" si="26"/>
        <v>9</v>
      </c>
      <c r="B106" s="7">
        <f t="shared" ca="1" si="27"/>
        <v>0</v>
      </c>
      <c r="C106">
        <f t="shared" ca="1" si="24"/>
        <v>0</v>
      </c>
      <c r="D106">
        <f t="shared" ca="1" si="25"/>
        <v>0</v>
      </c>
      <c r="E106" s="7">
        <f t="shared" ca="1" si="28"/>
        <v>14.30484125030242</v>
      </c>
      <c r="F106" s="11">
        <f t="shared" ca="1" si="29"/>
        <v>0</v>
      </c>
      <c r="G106" s="4">
        <f t="shared" ca="1" si="30"/>
        <v>0</v>
      </c>
      <c r="H106" s="4">
        <f t="shared" ca="1" si="31"/>
        <v>0</v>
      </c>
      <c r="I106" s="4">
        <f t="shared" ca="1" si="32"/>
        <v>0</v>
      </c>
      <c r="J106" s="4">
        <f t="shared" ca="1" si="33"/>
        <v>0</v>
      </c>
    </row>
    <row r="107" spans="1:21" x14ac:dyDescent="0.2">
      <c r="A107" s="8">
        <f t="shared" si="26"/>
        <v>10</v>
      </c>
      <c r="B107" s="7">
        <f t="shared" ca="1" si="27"/>
        <v>0</v>
      </c>
      <c r="C107">
        <f t="shared" ca="1" si="24"/>
        <v>0</v>
      </c>
      <c r="D107">
        <f t="shared" ca="1" si="25"/>
        <v>0</v>
      </c>
      <c r="E107" s="7">
        <f t="shared" ca="1" si="28"/>
        <v>14.30484125030242</v>
      </c>
      <c r="F107" s="11">
        <f t="shared" ca="1" si="29"/>
        <v>0</v>
      </c>
      <c r="G107" s="4">
        <f t="shared" ca="1" si="30"/>
        <v>0</v>
      </c>
      <c r="H107" s="4">
        <f t="shared" ca="1" si="31"/>
        <v>0</v>
      </c>
      <c r="I107" s="4">
        <f t="shared" ca="1" si="32"/>
        <v>0</v>
      </c>
      <c r="J107" s="4">
        <f t="shared" ca="1" si="33"/>
        <v>0</v>
      </c>
    </row>
    <row r="108" spans="1:21" x14ac:dyDescent="0.2">
      <c r="A108" s="8">
        <f t="shared" si="26"/>
        <v>11</v>
      </c>
      <c r="B108" s="7">
        <f t="shared" ca="1" si="27"/>
        <v>0</v>
      </c>
      <c r="C108">
        <f t="shared" ca="1" si="24"/>
        <v>0</v>
      </c>
      <c r="D108">
        <f t="shared" ca="1" si="25"/>
        <v>0</v>
      </c>
      <c r="E108" s="7">
        <f t="shared" ca="1" si="28"/>
        <v>14.30484125030242</v>
      </c>
      <c r="F108" s="11">
        <f t="shared" ca="1" si="29"/>
        <v>0</v>
      </c>
      <c r="G108" s="4">
        <f t="shared" ca="1" si="30"/>
        <v>0</v>
      </c>
      <c r="H108" s="4">
        <f t="shared" ca="1" si="31"/>
        <v>0</v>
      </c>
      <c r="I108" s="4">
        <f t="shared" ca="1" si="32"/>
        <v>0</v>
      </c>
      <c r="J108" s="4">
        <f t="shared" ca="1" si="33"/>
        <v>0</v>
      </c>
    </row>
    <row r="109" spans="1:21" ht="16" thickBot="1" x14ac:dyDescent="0.25">
      <c r="A109" s="8">
        <f>A75</f>
        <v>12</v>
      </c>
      <c r="B109" s="7">
        <f t="shared" ca="1" si="27"/>
        <v>0</v>
      </c>
      <c r="C109">
        <f t="shared" ca="1" si="24"/>
        <v>0</v>
      </c>
      <c r="D109">
        <f t="shared" ca="1" si="25"/>
        <v>0</v>
      </c>
      <c r="E109" s="7">
        <f t="shared" ca="1" si="28"/>
        <v>14.30484125030242</v>
      </c>
      <c r="F109" s="23">
        <f t="shared" ca="1" si="29"/>
        <v>0</v>
      </c>
      <c r="G109" s="4">
        <f t="shared" ca="1" si="30"/>
        <v>0</v>
      </c>
      <c r="H109" s="22">
        <f t="shared" ca="1" si="31"/>
        <v>0</v>
      </c>
      <c r="I109" s="22">
        <f t="shared" ca="1" si="32"/>
        <v>0</v>
      </c>
      <c r="J109" s="22">
        <f t="shared" ca="1" si="33"/>
        <v>0</v>
      </c>
    </row>
    <row r="110" spans="1:21" ht="16" thickTop="1" x14ac:dyDescent="0.2">
      <c r="F110" s="11">
        <f ca="1">MIN(F98:F109)</f>
        <v>-3.3803918750059288E-3</v>
      </c>
      <c r="H110" s="4">
        <f ca="1">SUM(H98:H109)</f>
        <v>-156.58003186903034</v>
      </c>
      <c r="I110" s="4">
        <f ca="1">SUM(I98:I109)</f>
        <v>1548.4377717070372</v>
      </c>
      <c r="J110" s="4">
        <f ca="1">SUM(J98:J109)*-1</f>
        <v>1257.8865909252042</v>
      </c>
    </row>
    <row r="112" spans="1:21" x14ac:dyDescent="0.2">
      <c r="U112" t="s">
        <v>105</v>
      </c>
    </row>
    <row r="113" spans="1:27" x14ac:dyDescent="0.2">
      <c r="A113" s="2" t="s">
        <v>67</v>
      </c>
      <c r="B113" s="31">
        <f ca="1">J92+H110</f>
        <v>392.14012351167105</v>
      </c>
      <c r="C113" t="s">
        <v>20</v>
      </c>
      <c r="D113" t="s">
        <v>68</v>
      </c>
      <c r="I113" s="2" t="s">
        <v>73</v>
      </c>
      <c r="J113" s="1">
        <f ca="1">IF(ABS(F110)&lt;0.002,0.65,IF(ABS(F110)&gt;0.005,0.9,0.65+((ABS(F110)-0.002)*(250/3))))</f>
        <v>0.7650326562504941</v>
      </c>
      <c r="U113" t="s">
        <v>106</v>
      </c>
      <c r="V113">
        <f ca="1">-1*J118</f>
        <v>342.9</v>
      </c>
      <c r="W113">
        <f ca="1">J116+V113</f>
        <v>642.90000031253044</v>
      </c>
      <c r="X113">
        <f ca="1">B118+V113</f>
        <v>642.9</v>
      </c>
    </row>
    <row r="114" spans="1:27" x14ac:dyDescent="0.2">
      <c r="A114" s="2" t="s">
        <v>69</v>
      </c>
      <c r="B114" s="4">
        <f ca="1">(((K92+I110)*COS(RADIANS(B53)))+((L92+J110)*SIN(RADIANS(B53))))</f>
        <v>-4950.6082637282489</v>
      </c>
      <c r="C114" t="s">
        <v>23</v>
      </c>
      <c r="D114" s="4">
        <f ca="1">(B113*(E49-H7))</f>
        <v>89.960696842634249</v>
      </c>
      <c r="E114" t="s">
        <v>23</v>
      </c>
      <c r="F114" s="4">
        <f ca="1">B114+D114</f>
        <v>-4860.6475668856147</v>
      </c>
      <c r="G114" s="10" t="str">
        <f>"= Mnx,gc"</f>
        <v>= Mnx,gc</v>
      </c>
      <c r="H114" s="4">
        <f ca="1">F114/12</f>
        <v>-405.05396390713457</v>
      </c>
      <c r="I114" t="s">
        <v>72</v>
      </c>
      <c r="J114" s="29">
        <f ca="1">H114*J113</f>
        <v>-309.87950993266691</v>
      </c>
      <c r="K114" t="s">
        <v>72</v>
      </c>
      <c r="P114" t="s">
        <v>87</v>
      </c>
      <c r="U114" t="s">
        <v>107</v>
      </c>
      <c r="V114">
        <v>62.864999999999981</v>
      </c>
      <c r="W114" s="6">
        <f ca="1">J114+V114</f>
        <v>-247.01450993266693</v>
      </c>
      <c r="X114">
        <f>B119+V114</f>
        <v>52.864999999999981</v>
      </c>
    </row>
    <row r="115" spans="1:27" x14ac:dyDescent="0.2">
      <c r="A115" s="2" t="s">
        <v>70</v>
      </c>
      <c r="B115" s="4">
        <f ca="1">(-1*(K92+I110)*SIN(RADIANS(B53)))+((L92+J110)*COS(RADIANS(B53)))</f>
        <v>4860.6477128583483</v>
      </c>
      <c r="C115" t="s">
        <v>23</v>
      </c>
      <c r="D115" s="1">
        <f ca="1">-1*B113*(D49-G7)</f>
        <v>0</v>
      </c>
      <c r="E115" t="s">
        <v>23</v>
      </c>
      <c r="F115" s="4">
        <f ca="1">B115+D115</f>
        <v>4860.6477128583483</v>
      </c>
      <c r="G115" s="10" t="str">
        <f>"= Mny,gc"</f>
        <v>= Mny,gc</v>
      </c>
      <c r="H115" s="4">
        <f ca="1">F115/12</f>
        <v>405.05397607152901</v>
      </c>
      <c r="I115" t="s">
        <v>72</v>
      </c>
      <c r="J115" s="29">
        <f ca="1">H115*J113</f>
        <v>309.87951923882594</v>
      </c>
      <c r="K115" t="s">
        <v>72</v>
      </c>
      <c r="M115" t="s">
        <v>79</v>
      </c>
      <c r="N115" s="9">
        <f ca="1">IF(DEGREES(ATAN2(J114,J115))&lt;0,DEGREES(ATAN2(J114,J115))+360,DEGREES(ATAN2(J114,J115)))</f>
        <v>134.99999913965976</v>
      </c>
      <c r="P115">
        <f ca="1">(-1*0.003*MAX(E98:E109))/(0.002-0.003)</f>
        <v>70.213228016748801</v>
      </c>
      <c r="U115" t="s">
        <v>108</v>
      </c>
      <c r="V115">
        <v>0</v>
      </c>
      <c r="W115" s="6">
        <f ca="1">J115+V115</f>
        <v>309.87951923882594</v>
      </c>
      <c r="X115" s="6">
        <f>B120+V115</f>
        <v>10</v>
      </c>
    </row>
    <row r="116" spans="1:27" x14ac:dyDescent="0.2">
      <c r="J116" s="30">
        <f ca="1">B113*J113</f>
        <v>300.00000031253052</v>
      </c>
      <c r="K116" t="s">
        <v>20</v>
      </c>
      <c r="W116">
        <f ca="1">IF(DEGREES(ATAN2(W114,W115))&lt;0,DEGREES(ATAN2(W114,W115))+360,DEGREES(ATAN2(W114,W115)))</f>
        <v>128.55942829578285</v>
      </c>
      <c r="X116">
        <f>IF(DEGREES(ATAN2(X114,X115))&lt;0,DEGREES(ATAN2(X114,X115))+360,DEGREES(ATAN2(X114,X115)))</f>
        <v>10.71156761306972</v>
      </c>
    </row>
    <row r="117" spans="1:27" x14ac:dyDescent="0.2">
      <c r="A117" s="21" t="s">
        <v>74</v>
      </c>
      <c r="B117" t="s">
        <v>93</v>
      </c>
      <c r="I117" t="s">
        <v>83</v>
      </c>
      <c r="J117" s="1">
        <f ca="1">0.65*((0.85*B2*B5*B6)+((B10-0.85*B2)*SUM(C13:C24)))*0.8</f>
        <v>1510.0865000000001</v>
      </c>
      <c r="K117" t="s">
        <v>20</v>
      </c>
      <c r="M117">
        <f ca="1">SQRT((J114*J114)+(J115*J115))</f>
        <v>438.23581222875396</v>
      </c>
    </row>
    <row r="118" spans="1:27" x14ac:dyDescent="0.2">
      <c r="A118" s="2" t="s">
        <v>75</v>
      </c>
      <c r="B118" s="34">
        <v>300</v>
      </c>
      <c r="C118" t="s">
        <v>20</v>
      </c>
      <c r="I118" t="s">
        <v>84</v>
      </c>
      <c r="J118" s="1">
        <f ca="1">-1*0.9*B10*SUM(C13:C24)</f>
        <v>-342.9</v>
      </c>
      <c r="K118" t="s">
        <v>20</v>
      </c>
    </row>
    <row r="119" spans="1:27" x14ac:dyDescent="0.2">
      <c r="A119" s="2" t="s">
        <v>76</v>
      </c>
      <c r="B119" s="34">
        <v>-10</v>
      </c>
      <c r="C119" t="s">
        <v>72</v>
      </c>
      <c r="G119" s="2" t="s">
        <v>80</v>
      </c>
      <c r="H119" s="33">
        <v>100</v>
      </c>
      <c r="L119">
        <f ca="1">B118-J116</f>
        <v>-3.1253051702151424E-7</v>
      </c>
      <c r="M119" s="50">
        <f ca="1">N115-B121</f>
        <v>-8.6034023638603685E-7</v>
      </c>
    </row>
    <row r="120" spans="1:27" x14ac:dyDescent="0.2">
      <c r="A120" s="2" t="s">
        <v>77</v>
      </c>
      <c r="B120" s="34">
        <v>10</v>
      </c>
      <c r="C120" t="s">
        <v>72</v>
      </c>
      <c r="D120">
        <f>B118</f>
        <v>300</v>
      </c>
      <c r="E120">
        <f>SQRT((B119*B119)+(B120*B120))</f>
        <v>14.142135623730951</v>
      </c>
      <c r="G120" s="2" t="s">
        <v>81</v>
      </c>
      <c r="H120" s="1">
        <v>29</v>
      </c>
    </row>
    <row r="121" spans="1:27" x14ac:dyDescent="0.2">
      <c r="A121" s="2" t="s">
        <v>78</v>
      </c>
      <c r="B121" s="12">
        <f>IF(DEGREES(ATAN2(B119,B120))&lt;0,DEGREES(ATAN2(B119,B120))+360,DEGREES(ATAN2(B119,B120)))</f>
        <v>135</v>
      </c>
    </row>
    <row r="122" spans="1:27" x14ac:dyDescent="0.2">
      <c r="Q122">
        <f>D120</f>
        <v>300</v>
      </c>
      <c r="R122">
        <f>E120</f>
        <v>14.142135623730951</v>
      </c>
      <c r="U122">
        <v>4</v>
      </c>
    </row>
    <row r="123" spans="1:27" x14ac:dyDescent="0.2">
      <c r="A123" s="14"/>
      <c r="B123" s="15"/>
      <c r="C123" s="15"/>
      <c r="D123" s="15"/>
      <c r="E123" s="15"/>
      <c r="F123" s="15"/>
      <c r="G123" s="15"/>
      <c r="H123" s="15"/>
      <c r="I123" s="15"/>
      <c r="Q123">
        <f>B118</f>
        <v>300</v>
      </c>
      <c r="R123">
        <f ca="1">SQRT((J114*J114)+(J115*J115))</f>
        <v>438.23581222875396</v>
      </c>
    </row>
    <row r="124" spans="1:27" x14ac:dyDescent="0.2">
      <c r="A124" s="16"/>
      <c r="B124" s="15"/>
      <c r="C124" s="15"/>
      <c r="D124" s="15"/>
      <c r="E124" s="15"/>
      <c r="F124" s="15"/>
      <c r="G124" s="15"/>
      <c r="H124" s="17">
        <v>0</v>
      </c>
      <c r="I124" s="32">
        <v>0</v>
      </c>
      <c r="J124" s="15"/>
      <c r="K124" s="15"/>
      <c r="L124" s="13"/>
      <c r="M124" s="15"/>
      <c r="N124" s="15"/>
    </row>
    <row r="125" spans="1:27" ht="16" thickBot="1" x14ac:dyDescent="0.25">
      <c r="A125" s="16"/>
      <c r="B125" s="20"/>
      <c r="C125" s="15"/>
      <c r="D125" s="16"/>
      <c r="E125" s="17"/>
      <c r="F125" s="17"/>
      <c r="G125" s="16"/>
      <c r="H125" s="20">
        <f ca="1">J114</f>
        <v>-309.87950993266691</v>
      </c>
      <c r="I125" s="3">
        <f ca="1">J115</f>
        <v>309.87951923882594</v>
      </c>
      <c r="J125" s="16"/>
      <c r="K125" s="17"/>
      <c r="L125" s="13"/>
      <c r="M125" s="16"/>
      <c r="N125" s="17"/>
    </row>
    <row r="126" spans="1:27" x14ac:dyDescent="0.2">
      <c r="A126" s="16"/>
      <c r="B126" s="18"/>
      <c r="C126" s="17"/>
      <c r="D126" s="16"/>
      <c r="E126" s="20"/>
      <c r="F126" s="15"/>
      <c r="G126" s="16"/>
      <c r="H126" s="17"/>
      <c r="I126" s="13"/>
      <c r="J126" s="16"/>
      <c r="K126" s="17"/>
      <c r="L126" s="13"/>
      <c r="M126" s="16"/>
      <c r="N126" s="17"/>
      <c r="V126" s="42" t="s">
        <v>94</v>
      </c>
      <c r="W126" s="51"/>
      <c r="X126" s="51"/>
      <c r="Y126" s="51"/>
      <c r="Z126" s="51"/>
      <c r="AA126" s="43"/>
    </row>
    <row r="127" spans="1:27" x14ac:dyDescent="0.2">
      <c r="A127" s="16"/>
      <c r="B127" s="17"/>
      <c r="C127" s="18"/>
      <c r="D127" s="16"/>
      <c r="E127" s="17"/>
      <c r="F127" s="15"/>
      <c r="G127" s="16"/>
      <c r="H127" s="17"/>
      <c r="I127" s="13"/>
      <c r="J127" s="16"/>
      <c r="K127" s="17"/>
      <c r="L127" s="13"/>
      <c r="M127" s="16"/>
      <c r="N127" s="17"/>
      <c r="Q127" s="2" t="s">
        <v>86</v>
      </c>
      <c r="R127">
        <v>100</v>
      </c>
      <c r="V127" s="52" t="s">
        <v>103</v>
      </c>
      <c r="W127" s="53">
        <v>1.0000000000000001E-5</v>
      </c>
      <c r="X127" s="53"/>
      <c r="Y127" s="53"/>
      <c r="Z127" s="53"/>
      <c r="AA127" s="54"/>
    </row>
    <row r="128" spans="1:27" x14ac:dyDescent="0.2">
      <c r="A128" s="16" t="s">
        <v>85</v>
      </c>
      <c r="B128" s="17" t="s">
        <v>76</v>
      </c>
      <c r="C128" s="18" t="s">
        <v>77</v>
      </c>
      <c r="D128" s="16"/>
      <c r="E128" s="17"/>
      <c r="F128" s="15"/>
      <c r="G128" s="16"/>
      <c r="H128" s="17"/>
      <c r="I128" s="13"/>
      <c r="J128" s="16"/>
      <c r="K128" s="17"/>
      <c r="L128" s="13"/>
      <c r="M128" s="16"/>
      <c r="N128" s="17"/>
      <c r="Q128" t="s">
        <v>75</v>
      </c>
      <c r="R128" t="s">
        <v>49</v>
      </c>
      <c r="V128" s="52"/>
      <c r="W128" s="53"/>
      <c r="X128" s="53"/>
      <c r="Y128" s="53" t="s">
        <v>104</v>
      </c>
      <c r="Z128" s="53"/>
      <c r="AA128" s="54"/>
    </row>
    <row r="129" spans="1:27" ht="16" thickBot="1" x14ac:dyDescent="0.25">
      <c r="A129" s="37">
        <v>0</v>
      </c>
      <c r="B129" s="38">
        <v>576.12090015198407</v>
      </c>
      <c r="C129" s="37">
        <v>0</v>
      </c>
      <c r="D129" s="16">
        <f>DEGREES(ATAN2(B129,C129))</f>
        <v>0</v>
      </c>
      <c r="E129" s="17"/>
      <c r="F129" s="15"/>
      <c r="G129" s="16"/>
      <c r="H129" s="17"/>
      <c r="I129" s="13"/>
      <c r="J129" s="16"/>
      <c r="K129" s="17"/>
      <c r="L129" s="13"/>
      <c r="M129" s="16"/>
      <c r="N129" s="17"/>
      <c r="P129" s="41"/>
      <c r="Q129" s="41">
        <f ca="1">J118</f>
        <v>-342.9</v>
      </c>
      <c r="R129" s="41" t="e">
        <v>#N/A</v>
      </c>
      <c r="S129" s="41">
        <v>180.00000000000003</v>
      </c>
      <c r="V129" s="55" t="s">
        <v>99</v>
      </c>
      <c r="W129" s="56"/>
      <c r="X129" s="56"/>
      <c r="Y129" s="56"/>
      <c r="Z129" s="56"/>
      <c r="AA129" s="54"/>
    </row>
    <row r="130" spans="1:27" x14ac:dyDescent="0.2">
      <c r="A130" s="39">
        <v>-1</v>
      </c>
      <c r="B130" s="38">
        <v>576.04553744692089</v>
      </c>
      <c r="C130" s="37">
        <v>5.4925317870693666</v>
      </c>
      <c r="D130" s="16">
        <f t="shared" ref="D130:D193" si="34">DEGREES(ATAN2(B130,C130))</f>
        <v>0.54629249502358124</v>
      </c>
      <c r="E130" s="17"/>
      <c r="F130" s="15"/>
      <c r="G130" s="16"/>
      <c r="H130" s="17"/>
      <c r="I130" s="13"/>
      <c r="J130" s="16"/>
      <c r="K130" s="17"/>
      <c r="L130" s="13"/>
      <c r="M130" s="16"/>
      <c r="N130" s="17"/>
      <c r="P130" s="41">
        <v>1</v>
      </c>
      <c r="Q130">
        <v>-342.899</v>
      </c>
      <c r="R130" t="e">
        <v>#N/A</v>
      </c>
      <c r="S130" s="41">
        <v>179.99999999999997</v>
      </c>
      <c r="V130" s="42" t="s">
        <v>95</v>
      </c>
      <c r="W130" s="43" t="s">
        <v>96</v>
      </c>
      <c r="X130" s="56" t="str">
        <f>"="</f>
        <v>=</v>
      </c>
      <c r="Y130" s="42">
        <v>-0.50308167374168988</v>
      </c>
      <c r="Z130" s="43">
        <v>-8.1862481238204044E-4</v>
      </c>
      <c r="AA130" s="54"/>
    </row>
    <row r="131" spans="1:27" ht="16" thickBot="1" x14ac:dyDescent="0.25">
      <c r="A131" s="39">
        <v>-2</v>
      </c>
      <c r="B131" s="38">
        <v>575.90672906296425</v>
      </c>
      <c r="C131" s="37">
        <v>10.857224036565587</v>
      </c>
      <c r="D131" s="16">
        <f t="shared" si="34"/>
        <v>1.0800350147425102</v>
      </c>
      <c r="E131" s="15"/>
      <c r="F131" s="15"/>
      <c r="G131" s="15"/>
      <c r="H131" s="15"/>
      <c r="I131" s="15"/>
      <c r="P131" s="41">
        <v>2</v>
      </c>
      <c r="Q131">
        <v>-324.369145</v>
      </c>
      <c r="R131" t="e">
        <v>#N/A</v>
      </c>
      <c r="S131" s="41">
        <v>179.99999999999994</v>
      </c>
      <c r="V131" s="44" t="s">
        <v>97</v>
      </c>
      <c r="W131" s="45" t="s">
        <v>98</v>
      </c>
      <c r="X131" s="56"/>
      <c r="Y131" s="44">
        <v>7289240.597334587</v>
      </c>
      <c r="Z131" s="45">
        <v>7289241.2363148499</v>
      </c>
      <c r="AA131" s="54"/>
    </row>
    <row r="132" spans="1:27" ht="16" thickBot="1" x14ac:dyDescent="0.25">
      <c r="A132" s="37">
        <v>-3</v>
      </c>
      <c r="B132" s="37">
        <v>575.70415535616371</v>
      </c>
      <c r="C132" s="37">
        <v>16.111417174879268</v>
      </c>
      <c r="D132" s="16">
        <f t="shared" si="34"/>
        <v>1.6030374594258598</v>
      </c>
      <c r="E132" s="15"/>
      <c r="F132" s="15"/>
      <c r="G132" s="15"/>
      <c r="H132" s="15"/>
      <c r="I132" s="15"/>
      <c r="P132" s="41">
        <v>3</v>
      </c>
      <c r="Q132">
        <v>-305.83929000000001</v>
      </c>
      <c r="R132">
        <v>41.395277867307712</v>
      </c>
      <c r="S132" s="41">
        <v>134.99999913809631</v>
      </c>
      <c r="V132" s="55"/>
      <c r="W132" s="56"/>
      <c r="X132" s="56"/>
      <c r="Y132" s="56"/>
      <c r="Z132" s="56"/>
      <c r="AA132" s="54"/>
    </row>
    <row r="133" spans="1:27" x14ac:dyDescent="0.2">
      <c r="A133" s="37">
        <v>-4</v>
      </c>
      <c r="B133" s="37">
        <v>575.43733809585888</v>
      </c>
      <c r="C133" s="37">
        <v>21.270203555010919</v>
      </c>
      <c r="D133" s="16">
        <f t="shared" si="34"/>
        <v>2.1168913314669302</v>
      </c>
      <c r="E133" s="15"/>
      <c r="F133" s="15"/>
      <c r="G133" s="15"/>
      <c r="H133" s="15"/>
      <c r="I133" s="15"/>
      <c r="P133" s="41">
        <v>4</v>
      </c>
      <c r="Q133">
        <v>-287.30943500000001</v>
      </c>
      <c r="R133">
        <v>63.611831257834368</v>
      </c>
      <c r="S133" s="41">
        <v>134.99999971022129</v>
      </c>
      <c r="V133" s="55" t="str">
        <f>"-1*R,vector = "</f>
        <v xml:space="preserve">-1*R,vector = </v>
      </c>
      <c r="W133" s="46" t="s">
        <v>75</v>
      </c>
      <c r="X133" s="56" t="str">
        <f>"="</f>
        <v>=</v>
      </c>
      <c r="Y133" s="48">
        <f ca="1">(B118-J116)*-1</f>
        <v>3.1253051702151424E-7</v>
      </c>
      <c r="Z133" s="56"/>
      <c r="AA133" s="54"/>
    </row>
    <row r="134" spans="1:27" ht="16" thickBot="1" x14ac:dyDescent="0.25">
      <c r="A134" s="39">
        <v>-5</v>
      </c>
      <c r="B134" s="38">
        <v>575.10564931366048</v>
      </c>
      <c r="C134" s="40">
        <v>26.346844957031262</v>
      </c>
      <c r="D134" s="16">
        <f t="shared" si="34"/>
        <v>2.6230107129193052</v>
      </c>
      <c r="E134" s="15"/>
      <c r="F134" s="15"/>
      <c r="G134" s="15"/>
      <c r="H134" s="15"/>
      <c r="I134" s="15"/>
      <c r="P134" s="41">
        <v>5</v>
      </c>
      <c r="Q134">
        <v>-268.77958000000001</v>
      </c>
      <c r="R134">
        <v>84.521126878757087</v>
      </c>
      <c r="S134" s="41">
        <v>135.00000027169321</v>
      </c>
      <c r="V134" s="55"/>
      <c r="W134" s="47" t="s">
        <v>49</v>
      </c>
      <c r="X134" s="56"/>
      <c r="Y134" s="49">
        <f ca="1">(SQRT(POWER(B119-J114,2)+POWER(B120-J115,2)))*-1</f>
        <v>-424.09367660502301</v>
      </c>
      <c r="Z134" s="56"/>
      <c r="AA134" s="54"/>
    </row>
    <row r="135" spans="1:27" ht="16" thickBot="1" x14ac:dyDescent="0.25">
      <c r="A135" s="39">
        <v>-6</v>
      </c>
      <c r="B135" s="38">
        <v>574.70829584322257</v>
      </c>
      <c r="C135" s="40">
        <v>31.353102937648273</v>
      </c>
      <c r="D135" s="16">
        <f t="shared" si="34"/>
        <v>3.1226650044589985</v>
      </c>
      <c r="E135" s="15"/>
      <c r="F135" s="15"/>
      <c r="G135" s="15"/>
      <c r="H135" s="15"/>
      <c r="I135" s="15"/>
      <c r="P135" s="41">
        <v>6</v>
      </c>
      <c r="Q135">
        <v>-250.24972500000001</v>
      </c>
      <c r="R135">
        <v>104.65900834311107</v>
      </c>
      <c r="S135" s="41">
        <v>134.99999942500946</v>
      </c>
      <c r="V135" s="55"/>
      <c r="W135" s="56"/>
      <c r="X135" s="56"/>
      <c r="Y135" s="56"/>
      <c r="Z135" s="56"/>
      <c r="AA135" s="54"/>
    </row>
    <row r="136" spans="1:27" x14ac:dyDescent="0.2">
      <c r="A136" s="37">
        <v>-7</v>
      </c>
      <c r="B136" s="37">
        <v>574.43286684250847</v>
      </c>
      <c r="C136" s="37">
        <v>33.944815455855206</v>
      </c>
      <c r="D136" s="16">
        <f t="shared" si="34"/>
        <v>3.3818322013579953</v>
      </c>
      <c r="E136" s="15"/>
      <c r="F136" s="15"/>
      <c r="G136" s="15"/>
      <c r="H136" s="15"/>
      <c r="I136" s="15"/>
      <c r="P136" s="41">
        <v>7</v>
      </c>
      <c r="Q136">
        <v>-231.71987000000001</v>
      </c>
      <c r="R136">
        <v>124.06989056169935</v>
      </c>
      <c r="S136" s="41">
        <v>135.00000015156886</v>
      </c>
      <c r="V136" s="55"/>
      <c r="W136" s="56" t="str">
        <f>"J^-1*R"</f>
        <v>J^-1*R</v>
      </c>
      <c r="X136" s="56" t="s">
        <v>100</v>
      </c>
      <c r="Y136" s="48" cm="1">
        <f t="array" aca="1" ref="Y136:Y137" ca="1">MMULT(MINVERSE(Y130:Z131),Y133:Y134)</f>
        <v>-5.2741744517942401E-7</v>
      </c>
      <c r="Z136" s="56"/>
      <c r="AA136" s="54"/>
    </row>
    <row r="137" spans="1:27" ht="16" thickBot="1" x14ac:dyDescent="0.25">
      <c r="A137" s="37">
        <v>-8</v>
      </c>
      <c r="B137" s="38">
        <v>573.9049280556851</v>
      </c>
      <c r="C137" s="37">
        <v>38.847243995035988</v>
      </c>
      <c r="D137" s="16">
        <f t="shared" si="34"/>
        <v>3.8724062716310859</v>
      </c>
      <c r="E137" s="15"/>
      <c r="F137" s="15"/>
      <c r="G137" s="15"/>
      <c r="H137" s="15"/>
      <c r="I137" s="15"/>
      <c r="P137" s="41">
        <v>8</v>
      </c>
      <c r="Q137">
        <v>-213.19001500000002</v>
      </c>
      <c r="R137">
        <v>142.79340204201571</v>
      </c>
      <c r="S137" s="41">
        <v>134.99999986217415</v>
      </c>
      <c r="V137" s="55"/>
      <c r="W137" s="56"/>
      <c r="X137" s="56"/>
      <c r="Y137" s="49">
        <f ca="1"/>
        <v>-5.7653353802890453E-5</v>
      </c>
      <c r="Z137" s="56"/>
      <c r="AA137" s="54"/>
    </row>
    <row r="138" spans="1:27" x14ac:dyDescent="0.2">
      <c r="A138" s="39">
        <v>-9</v>
      </c>
      <c r="B138" s="38">
        <v>573.30785080143187</v>
      </c>
      <c r="C138" s="37">
        <v>43.707275664882488</v>
      </c>
      <c r="D138" s="16">
        <f t="shared" si="34"/>
        <v>4.3596257309753659</v>
      </c>
      <c r="E138" s="15"/>
      <c r="F138" s="15"/>
      <c r="G138" s="15"/>
      <c r="H138" s="15"/>
      <c r="I138" s="15"/>
      <c r="P138" s="41">
        <v>9</v>
      </c>
      <c r="Q138">
        <v>-194.66016000000002</v>
      </c>
      <c r="R138">
        <v>159.21915439660873</v>
      </c>
      <c r="S138" s="41">
        <v>134.99999935269912</v>
      </c>
      <c r="V138" s="55"/>
      <c r="W138" s="56" t="s">
        <v>102</v>
      </c>
      <c r="X138" s="56" t="str">
        <f>"= "</f>
        <v xml:space="preserve">= </v>
      </c>
      <c r="Y138" s="48">
        <f ca="1">Y136+B78</f>
        <v>11.004531700735635</v>
      </c>
      <c r="Z138" s="56"/>
      <c r="AA138" s="54"/>
    </row>
    <row r="139" spans="1:27" ht="16" thickBot="1" x14ac:dyDescent="0.25">
      <c r="A139" s="39">
        <v>-10</v>
      </c>
      <c r="B139" s="37">
        <v>572.64015920214695</v>
      </c>
      <c r="C139" s="37">
        <v>48.53293355636351</v>
      </c>
      <c r="D139" s="16">
        <f t="shared" si="34"/>
        <v>4.8444083233277935</v>
      </c>
      <c r="E139" s="15"/>
      <c r="F139" s="15"/>
      <c r="G139" s="15"/>
      <c r="H139" s="15"/>
      <c r="I139" s="15"/>
      <c r="P139" s="41">
        <v>10</v>
      </c>
      <c r="Q139">
        <v>-176.13030500000002</v>
      </c>
      <c r="R139">
        <v>175.05611635942842</v>
      </c>
      <c r="S139" s="41">
        <v>134.99999962576462</v>
      </c>
      <c r="V139" s="55"/>
      <c r="W139" s="56" t="s">
        <v>101</v>
      </c>
      <c r="X139" s="56"/>
      <c r="Y139" s="49">
        <f ca="1">Y137+B53</f>
        <v>251.55460448808361</v>
      </c>
      <c r="Z139" s="56"/>
      <c r="AA139" s="54"/>
    </row>
    <row r="140" spans="1:27" ht="16" thickBot="1" x14ac:dyDescent="0.25">
      <c r="A140" s="37">
        <v>-11</v>
      </c>
      <c r="B140" s="37">
        <v>571.90018828120162</v>
      </c>
      <c r="C140" s="37">
        <v>53.331641478626636</v>
      </c>
      <c r="D140" s="16">
        <f t="shared" si="34"/>
        <v>5.3276189994799585</v>
      </c>
      <c r="E140" s="15"/>
      <c r="F140" s="15"/>
      <c r="G140" s="15"/>
      <c r="H140" s="15"/>
      <c r="I140" s="15"/>
      <c r="P140" s="41">
        <v>11</v>
      </c>
      <c r="Q140">
        <v>-157.60045000000002</v>
      </c>
      <c r="R140">
        <v>190.88515694858791</v>
      </c>
      <c r="S140" s="41">
        <v>134.99999948195276</v>
      </c>
      <c r="V140" s="44"/>
      <c r="W140" s="57"/>
      <c r="X140" s="57"/>
      <c r="Y140" s="57"/>
      <c r="Z140" s="57"/>
      <c r="AA140" s="45"/>
    </row>
    <row r="141" spans="1:27" x14ac:dyDescent="0.2">
      <c r="A141" s="37">
        <v>-12</v>
      </c>
      <c r="B141" s="37">
        <v>571.08607468924242</v>
      </c>
      <c r="C141" s="37">
        <v>58.110325054949087</v>
      </c>
      <c r="D141" s="16">
        <f t="shared" si="34"/>
        <v>5.810080778442094</v>
      </c>
      <c r="E141" s="15"/>
      <c r="F141" s="15"/>
      <c r="G141" s="15"/>
      <c r="H141" s="15"/>
      <c r="I141" s="15"/>
      <c r="P141" s="41">
        <v>12</v>
      </c>
      <c r="Q141">
        <v>-139.07059500000003</v>
      </c>
      <c r="R141">
        <v>206.69288803574571</v>
      </c>
      <c r="S141" s="41">
        <v>135.00000045296488</v>
      </c>
    </row>
    <row r="142" spans="1:27" x14ac:dyDescent="0.2">
      <c r="A142" s="39">
        <v>-13</v>
      </c>
      <c r="B142" s="37">
        <v>570.19574575351157</v>
      </c>
      <c r="C142" s="37">
        <v>62.875497227448662</v>
      </c>
      <c r="D142" s="16">
        <f t="shared" si="34"/>
        <v>6.2925841791342556</v>
      </c>
      <c r="E142" s="15"/>
      <c r="F142" s="15"/>
      <c r="G142" s="15"/>
      <c r="H142" s="15"/>
      <c r="I142" s="15"/>
      <c r="P142" s="41">
        <v>13</v>
      </c>
      <c r="Q142">
        <v>-120.54074000000003</v>
      </c>
      <c r="R142">
        <v>222.46253123268252</v>
      </c>
      <c r="S142" s="41">
        <v>135.00000013315238</v>
      </c>
    </row>
    <row r="143" spans="1:27" x14ac:dyDescent="0.2">
      <c r="A143" s="39">
        <v>-14</v>
      </c>
      <c r="B143" s="37">
        <v>569.22690577391131</v>
      </c>
      <c r="C143" s="37">
        <v>67.633331313406217</v>
      </c>
      <c r="D143" s="16">
        <f t="shared" si="34"/>
        <v>6.7758955524149949</v>
      </c>
      <c r="E143" s="15"/>
      <c r="F143" s="15"/>
      <c r="G143" s="15"/>
      <c r="H143" s="15"/>
      <c r="I143" s="15"/>
      <c r="P143" s="41">
        <v>14</v>
      </c>
      <c r="Q143">
        <v>-102.01088500000003</v>
      </c>
      <c r="R143">
        <v>238.17399894657896</v>
      </c>
      <c r="S143" s="41">
        <v>134.99999970482349</v>
      </c>
    </row>
    <row r="144" spans="1:27" x14ac:dyDescent="0.2">
      <c r="A144" s="37">
        <v>-15</v>
      </c>
      <c r="B144" s="37">
        <v>568.17702648167426</v>
      </c>
      <c r="C144" s="37">
        <v>72.389723896128046</v>
      </c>
      <c r="D144" s="16">
        <f t="shared" si="34"/>
        <v>7.2607644676023595</v>
      </c>
      <c r="E144" s="15"/>
      <c r="F144" s="15"/>
      <c r="G144" s="15"/>
      <c r="H144" s="16"/>
      <c r="I144" s="19"/>
      <c r="P144" s="41">
        <v>15</v>
      </c>
      <c r="Q144">
        <v>-83.481030000000032</v>
      </c>
      <c r="R144">
        <v>252.73060479090361</v>
      </c>
      <c r="S144" s="41">
        <v>134.99999914207356</v>
      </c>
    </row>
    <row r="145" spans="1:19" x14ac:dyDescent="0.2">
      <c r="A145" s="37">
        <v>-16</v>
      </c>
      <c r="B145" s="37">
        <v>567.04332826833968</v>
      </c>
      <c r="C145" s="37">
        <v>77.150349834418606</v>
      </c>
      <c r="D145" s="16">
        <f t="shared" si="34"/>
        <v>7.7479305374145397</v>
      </c>
      <c r="E145" s="15"/>
      <c r="F145" s="15"/>
      <c r="G145" s="15"/>
      <c r="H145" s="16"/>
      <c r="I145" s="19"/>
      <c r="P145" s="41">
        <v>16</v>
      </c>
      <c r="Q145">
        <v>-64.951175000000035</v>
      </c>
      <c r="R145">
        <v>266.67797173442244</v>
      </c>
      <c r="S145" s="41">
        <v>135.00000023088842</v>
      </c>
    </row>
    <row r="146" spans="1:19" x14ac:dyDescent="0.2">
      <c r="A146" s="39">
        <v>-17</v>
      </c>
      <c r="B146" s="37">
        <v>565.82277189778131</v>
      </c>
      <c r="C146" s="37">
        <v>81.92071046287586</v>
      </c>
      <c r="D146" s="16">
        <f t="shared" si="34"/>
        <v>8.2381295632688953</v>
      </c>
      <c r="E146" s="15"/>
      <c r="F146" s="15"/>
      <c r="G146" s="15"/>
      <c r="H146" s="15"/>
      <c r="I146" s="15"/>
      <c r="P146" s="41">
        <v>17</v>
      </c>
      <c r="Q146">
        <v>-46.421320000000037</v>
      </c>
      <c r="R146">
        <v>280.60237762300477</v>
      </c>
      <c r="S146" s="41">
        <v>135.00000002041671</v>
      </c>
    </row>
    <row r="147" spans="1:19" x14ac:dyDescent="0.2">
      <c r="A147" s="39">
        <v>-18</v>
      </c>
      <c r="B147" s="41">
        <v>564.51202686439808</v>
      </c>
      <c r="C147" s="41">
        <v>86.706177144287153</v>
      </c>
      <c r="D147" s="16">
        <f t="shared" si="34"/>
        <v>8.7320996728209934</v>
      </c>
      <c r="P147" s="41">
        <v>18</v>
      </c>
      <c r="Q147">
        <v>-27.891465000000036</v>
      </c>
      <c r="R147">
        <v>294.47573444025409</v>
      </c>
      <c r="S147" s="41">
        <v>134.99999908019956</v>
      </c>
    </row>
    <row r="148" spans="1:19" x14ac:dyDescent="0.2">
      <c r="A148" s="37">
        <v>-19</v>
      </c>
      <c r="B148" s="41">
        <v>563.10746313222933</v>
      </c>
      <c r="C148" s="41">
        <v>91.512029983841529</v>
      </c>
      <c r="D148" s="16">
        <f t="shared" si="34"/>
        <v>9.2305868275549532</v>
      </c>
      <c r="P148" s="41">
        <v>19</v>
      </c>
      <c r="Q148">
        <v>-9.3616100000000344</v>
      </c>
      <c r="R148">
        <v>308.27065980142299</v>
      </c>
      <c r="S148" s="41">
        <v>134.99999903924558</v>
      </c>
    </row>
    <row r="149" spans="1:19" x14ac:dyDescent="0.2">
      <c r="A149" s="37">
        <v>-20</v>
      </c>
      <c r="B149" s="41">
        <v>561.60512778794828</v>
      </c>
      <c r="C149" s="41">
        <v>96.343493580430334</v>
      </c>
      <c r="D149" s="16">
        <f t="shared" si="34"/>
        <v>9.7343504066898827</v>
      </c>
      <c r="P149" s="41">
        <v>20</v>
      </c>
      <c r="Q149">
        <v>9.1682449999999669</v>
      </c>
      <c r="R149">
        <v>321.97112230493053</v>
      </c>
      <c r="S149" s="41">
        <v>134.99999927713321</v>
      </c>
    </row>
    <row r="150" spans="1:19" x14ac:dyDescent="0.2">
      <c r="A150" s="39">
        <v>-21</v>
      </c>
      <c r="B150" s="41">
        <v>560.00071215869639</v>
      </c>
      <c r="C150" s="41">
        <v>101.20577042448977</v>
      </c>
      <c r="D150" s="16">
        <f t="shared" si="34"/>
        <v>10.244168932384277</v>
      </c>
      <c r="P150" s="41">
        <v>21</v>
      </c>
      <c r="Q150">
        <v>27.698099999999968</v>
      </c>
      <c r="R150">
        <v>335.27939345278293</v>
      </c>
      <c r="S150" s="41">
        <v>134.99999972810437</v>
      </c>
    </row>
    <row r="151" spans="1:19" x14ac:dyDescent="0.2">
      <c r="A151" s="39">
        <v>-22</v>
      </c>
      <c r="B151" s="41">
        <v>558.28952955649186</v>
      </c>
      <c r="C151" s="41">
        <v>106.10407198712822</v>
      </c>
      <c r="D151" s="16">
        <f t="shared" si="34"/>
        <v>10.760845636115921</v>
      </c>
      <c r="P151" s="41">
        <v>22</v>
      </c>
      <c r="Q151">
        <v>46.227954999999966</v>
      </c>
      <c r="R151">
        <v>348.64312647825489</v>
      </c>
      <c r="S151" s="41">
        <v>135.00000016382793</v>
      </c>
    </row>
    <row r="152" spans="1:19" x14ac:dyDescent="0.2">
      <c r="A152" s="37">
        <v>-23</v>
      </c>
      <c r="B152" s="41">
        <v>556.46648398108414</v>
      </c>
      <c r="C152" s="41">
        <v>111.04364857887046</v>
      </c>
      <c r="D152" s="16">
        <f t="shared" si="34"/>
        <v>11.285214310893549</v>
      </c>
      <c r="P152" s="41">
        <v>23</v>
      </c>
      <c r="Q152">
        <v>64.757809999999964</v>
      </c>
      <c r="R152">
        <v>361.81604215664458</v>
      </c>
      <c r="S152" s="41">
        <v>135.00000058743663</v>
      </c>
    </row>
    <row r="153" spans="1:19" x14ac:dyDescent="0.2">
      <c r="A153" s="37">
        <v>-24</v>
      </c>
      <c r="B153" s="41">
        <v>554.52603551348466</v>
      </c>
      <c r="C153" s="41">
        <v>116.02981829058594</v>
      </c>
      <c r="D153" s="16">
        <f t="shared" si="34"/>
        <v>11.818145439161109</v>
      </c>
      <c r="P153" s="41">
        <v>24</v>
      </c>
      <c r="Q153">
        <v>83.287664999999961</v>
      </c>
      <c r="R153">
        <v>374.77528644034226</v>
      </c>
      <c r="S153" s="41">
        <v>134.99999998854173</v>
      </c>
    </row>
    <row r="154" spans="1:19" x14ac:dyDescent="0.2">
      <c r="A154" s="39">
        <v>-25</v>
      </c>
      <c r="B154" s="41">
        <v>552.46215850035549</v>
      </c>
      <c r="C154" s="41">
        <v>121.06799555063098</v>
      </c>
      <c r="D154" s="16">
        <f t="shared" si="34"/>
        <v>12.360552779026143</v>
      </c>
      <c r="P154" s="41">
        <v>25</v>
      </c>
      <c r="Q154">
        <v>101.81751999999996</v>
      </c>
      <c r="R154">
        <v>387.50191148077158</v>
      </c>
      <c r="S154" s="41">
        <v>135.00000006023501</v>
      </c>
    </row>
    <row r="155" spans="1:19" x14ac:dyDescent="0.2">
      <c r="A155" s="39">
        <v>-26</v>
      </c>
      <c r="B155" s="41">
        <v>550.28413226852911</v>
      </c>
      <c r="C155" s="41">
        <v>126.13081753633436</v>
      </c>
      <c r="D155" s="16">
        <f t="shared" si="34"/>
        <v>12.909786532838877</v>
      </c>
      <c r="P155" s="41">
        <v>26</v>
      </c>
      <c r="Q155">
        <v>120.34737499999996</v>
      </c>
      <c r="R155">
        <v>399.98068898094567</v>
      </c>
      <c r="S155" s="41">
        <v>134.99999981892353</v>
      </c>
    </row>
    <row r="156" spans="1:19" x14ac:dyDescent="0.2">
      <c r="A156" s="37">
        <v>-27</v>
      </c>
      <c r="B156" s="41">
        <v>548.08734623550743</v>
      </c>
      <c r="C156" s="41">
        <v>131.02042497023402</v>
      </c>
      <c r="D156" s="16">
        <f t="shared" si="34"/>
        <v>13.444270001948826</v>
      </c>
      <c r="P156" s="41">
        <v>27</v>
      </c>
      <c r="Q156">
        <v>138.87722999999997</v>
      </c>
      <c r="R156">
        <v>412.19978878330159</v>
      </c>
      <c r="S156" s="41">
        <v>134.99999969792617</v>
      </c>
    </row>
    <row r="157" spans="1:19" x14ac:dyDescent="0.2">
      <c r="A157" s="37">
        <v>-28</v>
      </c>
      <c r="B157" s="41">
        <v>545.8852818678057</v>
      </c>
      <c r="C157" s="41">
        <v>135.72262444707462</v>
      </c>
      <c r="D157" s="16">
        <f t="shared" si="34"/>
        <v>13.962259475032177</v>
      </c>
      <c r="P157" s="41">
        <v>28</v>
      </c>
      <c r="Q157">
        <v>157.40708499999997</v>
      </c>
      <c r="R157">
        <v>421.13037467483207</v>
      </c>
      <c r="S157" s="41">
        <v>134.99999904570589</v>
      </c>
    </row>
    <row r="158" spans="1:19" x14ac:dyDescent="0.2">
      <c r="A158" s="39">
        <v>-29</v>
      </c>
      <c r="B158" s="41">
        <v>543.67369459659108</v>
      </c>
      <c r="C158" s="41">
        <v>140.25864400980896</v>
      </c>
      <c r="D158" s="16">
        <f t="shared" si="34"/>
        <v>14.465922345393393</v>
      </c>
      <c r="P158" s="41">
        <v>29</v>
      </c>
      <c r="Q158">
        <v>175.93693999999996</v>
      </c>
      <c r="R158">
        <v>424.02181593040513</v>
      </c>
      <c r="S158" s="41">
        <v>135.00000024949711</v>
      </c>
    </row>
    <row r="159" spans="1:19" x14ac:dyDescent="0.2">
      <c r="A159" s="39">
        <v>-30</v>
      </c>
      <c r="B159" s="41">
        <v>541.44849852288485</v>
      </c>
      <c r="C159" s="41">
        <v>144.64714148769556</v>
      </c>
      <c r="D159" s="16">
        <f t="shared" si="34"/>
        <v>14.957187014046475</v>
      </c>
      <c r="P159" s="41">
        <v>30</v>
      </c>
      <c r="Q159">
        <v>194.46679499999996</v>
      </c>
      <c r="R159">
        <v>426.9900990695786</v>
      </c>
      <c r="S159" s="41">
        <v>134.99999989548849</v>
      </c>
    </row>
    <row r="160" spans="1:19" x14ac:dyDescent="0.2">
      <c r="A160" s="37">
        <v>-31</v>
      </c>
      <c r="B160" s="41">
        <v>537.40835225368903</v>
      </c>
      <c r="C160" s="41">
        <v>148.0536226416146</v>
      </c>
      <c r="D160" s="16">
        <f t="shared" si="34"/>
        <v>15.402645872502781</v>
      </c>
      <c r="P160" s="41">
        <v>31</v>
      </c>
      <c r="Q160">
        <v>212.99664999999996</v>
      </c>
      <c r="R160">
        <v>429.99706165547053</v>
      </c>
      <c r="S160" s="41">
        <v>134.99999961713067</v>
      </c>
    </row>
    <row r="161" spans="1:19" x14ac:dyDescent="0.2">
      <c r="A161" s="37">
        <v>-32</v>
      </c>
      <c r="B161" s="41">
        <v>532.4337063024293</v>
      </c>
      <c r="C161" s="41">
        <v>150.8911435349664</v>
      </c>
      <c r="D161" s="16">
        <f t="shared" si="34"/>
        <v>15.822673091008499</v>
      </c>
      <c r="P161" s="41">
        <v>32</v>
      </c>
      <c r="Q161">
        <v>231.52650499999996</v>
      </c>
      <c r="R161">
        <v>432.67462900737826</v>
      </c>
      <c r="S161" s="41">
        <v>134.99999957032296</v>
      </c>
    </row>
    <row r="162" spans="1:19" x14ac:dyDescent="0.2">
      <c r="A162" s="39">
        <v>-33</v>
      </c>
      <c r="B162" s="41">
        <v>527.57245906327103</v>
      </c>
      <c r="C162" s="41">
        <v>153.66798730850601</v>
      </c>
      <c r="D162" s="16">
        <f t="shared" si="34"/>
        <v>16.239452902129614</v>
      </c>
      <c r="P162" s="41">
        <v>33</v>
      </c>
      <c r="Q162">
        <v>250.05635999999996</v>
      </c>
      <c r="R162">
        <v>435.08680641532192</v>
      </c>
      <c r="S162" s="41">
        <v>135.00000088063032</v>
      </c>
    </row>
    <row r="163" spans="1:19" x14ac:dyDescent="0.2">
      <c r="A163" s="39">
        <v>-34</v>
      </c>
      <c r="B163" s="41">
        <v>522.81131918529047</v>
      </c>
      <c r="C163" s="41">
        <v>156.39318804284926</v>
      </c>
      <c r="D163" s="16">
        <f t="shared" si="34"/>
        <v>16.653968350201414</v>
      </c>
      <c r="P163" s="41">
        <v>34</v>
      </c>
      <c r="Q163">
        <v>268.58621499999998</v>
      </c>
      <c r="R163">
        <v>437.03536671200305</v>
      </c>
      <c r="S163" s="41">
        <v>135.00000043850244</v>
      </c>
    </row>
    <row r="164" spans="1:19" x14ac:dyDescent="0.2">
      <c r="A164" s="37">
        <v>-35</v>
      </c>
      <c r="B164" s="41">
        <v>518.13798493365141</v>
      </c>
      <c r="C164" s="41">
        <v>159.07489643027873</v>
      </c>
      <c r="D164" s="16">
        <f t="shared" si="34"/>
        <v>17.067146614667227</v>
      </c>
      <c r="P164" s="41">
        <v>35</v>
      </c>
      <c r="Q164">
        <v>287.11606999999998</v>
      </c>
      <c r="R164">
        <v>437.73858812656096</v>
      </c>
      <c r="S164" s="41">
        <v>134.99999995124799</v>
      </c>
    </row>
    <row r="165" spans="1:19" x14ac:dyDescent="0.2">
      <c r="A165" s="37">
        <v>-36</v>
      </c>
      <c r="B165" s="41">
        <v>513.54099296059326</v>
      </c>
      <c r="C165" s="41">
        <v>161.72053131200622</v>
      </c>
      <c r="D165" s="16">
        <f t="shared" si="34"/>
        <v>17.479871793615846</v>
      </c>
      <c r="P165" s="41">
        <v>36</v>
      </c>
      <c r="Q165">
        <v>305.64592499999998</v>
      </c>
      <c r="R165">
        <v>438.45482029711167</v>
      </c>
      <c r="S165" s="41">
        <v>135.00000008901554</v>
      </c>
    </row>
    <row r="166" spans="1:19" x14ac:dyDescent="0.2">
      <c r="A166" s="39">
        <v>-37</v>
      </c>
      <c r="B166" s="41">
        <v>509.00958114005533</v>
      </c>
      <c r="C166" s="41">
        <v>164.33690727363668</v>
      </c>
      <c r="D166" s="16">
        <f t="shared" si="34"/>
        <v>17.892996361357941</v>
      </c>
      <c r="P166" s="41">
        <v>37</v>
      </c>
      <c r="Q166">
        <v>324.17577999999997</v>
      </c>
      <c r="R166">
        <v>439.17348012568613</v>
      </c>
      <c r="S166" s="41">
        <v>134.99999988675725</v>
      </c>
    </row>
    <row r="167" spans="1:19" x14ac:dyDescent="0.2">
      <c r="A167" s="39">
        <v>-38</v>
      </c>
      <c r="B167" s="41">
        <v>504.53357290347418</v>
      </c>
      <c r="C167" s="41">
        <v>166.93034191412985</v>
      </c>
      <c r="D167" s="16">
        <f t="shared" si="34"/>
        <v>18.307351179838189</v>
      </c>
      <c r="P167" s="41">
        <v>38</v>
      </c>
      <c r="Q167">
        <v>342.70563499999997</v>
      </c>
      <c r="R167">
        <v>439.88243631006679</v>
      </c>
      <c r="S167" s="41">
        <v>135.00000096821117</v>
      </c>
    </row>
    <row r="168" spans="1:19" x14ac:dyDescent="0.2">
      <c r="A168" s="37">
        <v>-39</v>
      </c>
      <c r="B168" s="41">
        <v>500.10326981807344</v>
      </c>
      <c r="C168" s="41">
        <v>169.50674813548068</v>
      </c>
      <c r="D168" s="16">
        <f t="shared" si="34"/>
        <v>18.723754819975124</v>
      </c>
      <c r="P168" s="41">
        <v>39</v>
      </c>
      <c r="Q168">
        <v>361.23548999999997</v>
      </c>
      <c r="R168">
        <v>440.56802280532122</v>
      </c>
      <c r="S168" s="41">
        <v>134.99999946169274</v>
      </c>
    </row>
    <row r="169" spans="1:19" x14ac:dyDescent="0.2">
      <c r="A169" s="37">
        <v>-40</v>
      </c>
      <c r="B169" s="41">
        <v>495.70935628244462</v>
      </c>
      <c r="C169" s="41">
        <v>172.07171386610881</v>
      </c>
      <c r="D169" s="16">
        <f t="shared" si="34"/>
        <v>19.143022168722716</v>
      </c>
      <c r="P169" s="41">
        <v>40</v>
      </c>
      <c r="Q169">
        <v>379.76534499999997</v>
      </c>
      <c r="R169">
        <v>441.21514617930387</v>
      </c>
      <c r="S169" s="41">
        <v>134.99999985600383</v>
      </c>
    </row>
    <row r="170" spans="1:19" x14ac:dyDescent="0.2">
      <c r="A170" s="39">
        <v>-41</v>
      </c>
      <c r="B170" s="41">
        <v>491.34280736162145</v>
      </c>
      <c r="C170" s="41">
        <v>174.63057234620717</v>
      </c>
      <c r="D170" s="16">
        <f t="shared" si="34"/>
        <v>19.565972835548063</v>
      </c>
      <c r="P170" s="41">
        <v>41</v>
      </c>
      <c r="Q170">
        <v>398.29519999999997</v>
      </c>
      <c r="R170">
        <v>441.80737987306264</v>
      </c>
      <c r="S170" s="41">
        <v>135.0000001406631</v>
      </c>
    </row>
    <row r="171" spans="1:19" x14ac:dyDescent="0.2">
      <c r="A171" s="39">
        <v>-42</v>
      </c>
      <c r="B171" s="41">
        <v>486.9948114723876</v>
      </c>
      <c r="C171" s="41">
        <v>177.18846419704508</v>
      </c>
      <c r="D171" s="16">
        <f t="shared" si="34"/>
        <v>19.993438983093835</v>
      </c>
      <c r="P171" s="41">
        <v>42</v>
      </c>
      <c r="Q171">
        <v>416.82505499999996</v>
      </c>
      <c r="R171">
        <v>442.3271532005553</v>
      </c>
      <c r="S171" s="41">
        <v>135.00000054566749</v>
      </c>
    </row>
    <row r="172" spans="1:19" x14ac:dyDescent="0.2">
      <c r="A172" s="37">
        <v>-43</v>
      </c>
      <c r="B172" s="41">
        <v>482.65668493964398</v>
      </c>
      <c r="C172" s="41">
        <v>179.75039434721339</v>
      </c>
      <c r="D172" s="16">
        <f t="shared" si="34"/>
        <v>20.426273665074564</v>
      </c>
      <c r="P172" s="41">
        <v>43</v>
      </c>
      <c r="Q172">
        <v>435.35490999999996</v>
      </c>
      <c r="R172">
        <v>442.75595112182958</v>
      </c>
      <c r="S172" s="41">
        <v>134.99999990726761</v>
      </c>
    </row>
    <row r="173" spans="1:19" x14ac:dyDescent="0.2">
      <c r="A173" s="37">
        <v>-44</v>
      </c>
      <c r="B173" s="41">
        <v>478.31979918871389</v>
      </c>
      <c r="C173" s="41">
        <v>182.32128399615635</v>
      </c>
      <c r="D173" s="16">
        <f t="shared" si="34"/>
        <v>20.865358911340024</v>
      </c>
      <c r="P173" s="41">
        <v>44</v>
      </c>
      <c r="Q173">
        <v>453.88476499999996</v>
      </c>
      <c r="R173">
        <v>443.07456289685882</v>
      </c>
      <c r="S173" s="41">
        <v>135.00000089681052</v>
      </c>
    </row>
    <row r="174" spans="1:19" x14ac:dyDescent="0.2">
      <c r="A174" s="39">
        <v>-45</v>
      </c>
      <c r="B174" s="41">
        <v>471.3323006077577</v>
      </c>
      <c r="C174" s="41">
        <v>185.86695153081163</v>
      </c>
      <c r="D174" s="16">
        <f t="shared" si="34"/>
        <v>21.521487558832511</v>
      </c>
      <c r="P174" s="41">
        <v>45</v>
      </c>
      <c r="Q174">
        <v>472.41461999999996</v>
      </c>
      <c r="R174">
        <v>443.26331298850266</v>
      </c>
      <c r="S174" s="41">
        <v>135.00000032985136</v>
      </c>
    </row>
    <row r="175" spans="1:19" x14ac:dyDescent="0.2">
      <c r="A175" s="39">
        <v>-46</v>
      </c>
      <c r="B175" s="41">
        <v>464.25972081352813</v>
      </c>
      <c r="C175" s="41">
        <v>189.44050512994198</v>
      </c>
      <c r="D175" s="16">
        <f t="shared" si="34"/>
        <v>22.197844143768812</v>
      </c>
      <c r="P175" s="41">
        <v>46</v>
      </c>
      <c r="Q175">
        <v>490.94447499999995</v>
      </c>
      <c r="R175">
        <v>443.29609726246946</v>
      </c>
      <c r="S175" s="41">
        <v>134.99999998493334</v>
      </c>
    </row>
    <row r="176" spans="1:19" x14ac:dyDescent="0.2">
      <c r="A176" s="37">
        <v>-47</v>
      </c>
      <c r="B176" s="41">
        <v>457.25785418921686</v>
      </c>
      <c r="C176" s="41">
        <v>192.9883292723016</v>
      </c>
      <c r="D176" s="16">
        <f t="shared" si="34"/>
        <v>22.882458545491367</v>
      </c>
      <c r="P176" s="41">
        <v>47</v>
      </c>
      <c r="Q176">
        <v>509.47432999999995</v>
      </c>
      <c r="R176">
        <v>443.14400918951276</v>
      </c>
      <c r="S176" s="41">
        <v>135.00000058212152</v>
      </c>
    </row>
    <row r="177" spans="1:19" x14ac:dyDescent="0.2">
      <c r="A177" s="37">
        <v>-48</v>
      </c>
      <c r="B177" s="41">
        <v>450.31248024999837</v>
      </c>
      <c r="C177" s="41">
        <v>196.51900321573459</v>
      </c>
      <c r="D177" s="16">
        <f t="shared" si="34"/>
        <v>23.576738222936722</v>
      </c>
      <c r="P177" s="41">
        <v>48</v>
      </c>
      <c r="Q177">
        <v>528.00418500000001</v>
      </c>
      <c r="R177">
        <v>443.80697434687971</v>
      </c>
      <c r="S177" s="41">
        <v>135.00000086258316</v>
      </c>
    </row>
    <row r="178" spans="1:19" x14ac:dyDescent="0.2">
      <c r="A178" s="39">
        <v>-49</v>
      </c>
      <c r="B178" s="41">
        <v>443.40948654137821</v>
      </c>
      <c r="C178" s="41">
        <v>200.04096513382751</v>
      </c>
      <c r="D178" s="16">
        <f t="shared" si="34"/>
        <v>24.282169811550823</v>
      </c>
      <c r="P178" s="41">
        <v>49</v>
      </c>
      <c r="Q178">
        <v>546.53404</v>
      </c>
      <c r="R178">
        <v>445.77091797099388</v>
      </c>
      <c r="S178" s="41">
        <v>135.00000078615719</v>
      </c>
    </row>
    <row r="179" spans="1:19" x14ac:dyDescent="0.2">
      <c r="A179" s="39">
        <v>-50</v>
      </c>
      <c r="B179" s="41">
        <v>436.53473969687906</v>
      </c>
      <c r="C179" s="41">
        <v>203.56259481713781</v>
      </c>
      <c r="D179" s="16">
        <f t="shared" si="34"/>
        <v>25.000334492403486</v>
      </c>
      <c r="P179" s="41">
        <v>50</v>
      </c>
      <c r="Q179">
        <v>565.063895</v>
      </c>
      <c r="R179">
        <v>447.62218324458456</v>
      </c>
      <c r="S179" s="41">
        <v>135.00000006292842</v>
      </c>
    </row>
    <row r="180" spans="1:19" x14ac:dyDescent="0.2">
      <c r="A180" s="37">
        <v>-51</v>
      </c>
      <c r="B180" s="41">
        <v>432.70566069133093</v>
      </c>
      <c r="C180" s="41">
        <v>206.616381377735</v>
      </c>
      <c r="D180" s="16">
        <f t="shared" si="34"/>
        <v>25.524413721815744</v>
      </c>
      <c r="P180" s="41">
        <v>51</v>
      </c>
      <c r="Q180">
        <v>583.59375</v>
      </c>
      <c r="R180">
        <v>449.35302561565044</v>
      </c>
      <c r="S180" s="41">
        <v>135.00000036657138</v>
      </c>
    </row>
    <row r="181" spans="1:19" x14ac:dyDescent="0.2">
      <c r="A181" s="37">
        <v>-52</v>
      </c>
      <c r="B181" s="41">
        <v>425.84220083626599</v>
      </c>
      <c r="C181" s="41">
        <v>210.15012325415705</v>
      </c>
      <c r="D181" s="16">
        <f t="shared" si="34"/>
        <v>26.266014271960103</v>
      </c>
      <c r="P181" s="41">
        <v>52</v>
      </c>
      <c r="Q181">
        <v>602.123605</v>
      </c>
      <c r="R181">
        <v>450.74672724913933</v>
      </c>
      <c r="S181" s="41">
        <v>134.9999990644111</v>
      </c>
    </row>
    <row r="182" spans="1:19" x14ac:dyDescent="0.2">
      <c r="A182" s="39">
        <v>-53</v>
      </c>
      <c r="B182" s="41">
        <v>418.96468208420077</v>
      </c>
      <c r="C182" s="41">
        <v>213.70943457351868</v>
      </c>
      <c r="D182" s="16">
        <f t="shared" si="34"/>
        <v>27.025645445859396</v>
      </c>
      <c r="P182" s="41">
        <v>53</v>
      </c>
      <c r="Q182">
        <v>620.65346</v>
      </c>
      <c r="R182">
        <v>451.93491167518209</v>
      </c>
      <c r="S182" s="41">
        <v>134.99999976590988</v>
      </c>
    </row>
    <row r="183" spans="1:19" x14ac:dyDescent="0.2">
      <c r="A183" s="39">
        <v>-54</v>
      </c>
      <c r="B183" s="41">
        <v>412.05752118728736</v>
      </c>
      <c r="C183" s="41">
        <v>217.30327900483874</v>
      </c>
      <c r="D183" s="16">
        <f t="shared" si="34"/>
        <v>27.80543918726093</v>
      </c>
      <c r="P183" s="41">
        <v>54</v>
      </c>
      <c r="Q183">
        <v>639.18331499999999</v>
      </c>
      <c r="R183">
        <v>452.9854056933786</v>
      </c>
      <c r="S183" s="41">
        <v>134.99999923736351</v>
      </c>
    </row>
    <row r="184" spans="1:19" x14ac:dyDescent="0.2">
      <c r="A184" s="37">
        <v>-55</v>
      </c>
      <c r="B184" s="41">
        <v>405.10435120883847</v>
      </c>
      <c r="C184" s="41">
        <v>220.94100319811392</v>
      </c>
      <c r="D184" s="16">
        <f t="shared" si="34"/>
        <v>28.607733787250442</v>
      </c>
      <c r="P184" s="41">
        <v>55</v>
      </c>
      <c r="Q184">
        <v>657.71316999999999</v>
      </c>
      <c r="R184">
        <v>453.89146070210444</v>
      </c>
      <c r="S184" s="41">
        <v>134.99999959495207</v>
      </c>
    </row>
    <row r="185" spans="1:19" x14ac:dyDescent="0.2">
      <c r="A185" s="37">
        <v>-56</v>
      </c>
      <c r="B185" s="41">
        <v>398.08781162530511</v>
      </c>
      <c r="C185" s="41">
        <v>224.63244170966917</v>
      </c>
      <c r="D185" s="16">
        <f t="shared" si="34"/>
        <v>29.435108136591122</v>
      </c>
      <c r="P185" s="41">
        <v>56</v>
      </c>
      <c r="Q185">
        <v>676.24302499999999</v>
      </c>
      <c r="R185">
        <v>454.64671727813192</v>
      </c>
      <c r="S185" s="41">
        <v>134.99999950963132</v>
      </c>
    </row>
    <row r="186" spans="1:19" x14ac:dyDescent="0.2">
      <c r="A186" s="39">
        <v>-57</v>
      </c>
      <c r="B186" s="41">
        <v>390.98931427913141</v>
      </c>
      <c r="C186" s="41">
        <v>228.38803746485456</v>
      </c>
      <c r="D186" s="16">
        <f t="shared" si="34"/>
        <v>30.290422035781361</v>
      </c>
      <c r="P186" s="41">
        <v>57</v>
      </c>
      <c r="Q186">
        <v>694.77287999999999</v>
      </c>
      <c r="R186">
        <v>455.24520010118766</v>
      </c>
      <c r="S186" s="41">
        <v>135.00000065227786</v>
      </c>
    </row>
    <row r="187" spans="1:19" x14ac:dyDescent="0.2">
      <c r="A187" s="39">
        <v>-58</v>
      </c>
      <c r="B187" s="41">
        <v>383.7887668602695</v>
      </c>
      <c r="C187" s="41">
        <v>232.21897497545507</v>
      </c>
      <c r="D187" s="16">
        <f t="shared" si="34"/>
        <v>31.176863855693206</v>
      </c>
      <c r="P187" s="41">
        <v>58</v>
      </c>
      <c r="Q187">
        <v>713.30273499999998</v>
      </c>
      <c r="R187">
        <v>455.68127333646322</v>
      </c>
      <c r="S187" s="41">
        <v>134.99999996091856</v>
      </c>
    </row>
    <row r="188" spans="1:19" x14ac:dyDescent="0.2">
      <c r="A188" s="37">
        <v>-59</v>
      </c>
      <c r="B188" s="41">
        <v>376.46425212120516</v>
      </c>
      <c r="C188" s="41">
        <v>236.13733520801094</v>
      </c>
      <c r="D188" s="16">
        <f t="shared" si="34"/>
        <v>32.098007294560624</v>
      </c>
      <c r="P188" s="41">
        <v>59</v>
      </c>
      <c r="Q188">
        <v>731.83258999999998</v>
      </c>
      <c r="R188">
        <v>455.94964713834236</v>
      </c>
      <c r="S188" s="41">
        <v>135.00000038427393</v>
      </c>
    </row>
    <row r="189" spans="1:19" x14ac:dyDescent="0.2">
      <c r="A189" s="37">
        <v>-60</v>
      </c>
      <c r="B189" s="41">
        <v>368.99164319425751</v>
      </c>
      <c r="C189" s="41">
        <v>240.1562724651254</v>
      </c>
      <c r="D189" s="16">
        <f t="shared" si="34"/>
        <v>33.057879314374318</v>
      </c>
      <c r="P189" s="41">
        <v>60</v>
      </c>
      <c r="Q189">
        <v>750.36244499999998</v>
      </c>
      <c r="R189">
        <v>456.04532588589859</v>
      </c>
      <c r="S189" s="41">
        <v>135.00000075633446</v>
      </c>
    </row>
    <row r="190" spans="1:19" x14ac:dyDescent="0.2">
      <c r="A190" s="39">
        <v>-61</v>
      </c>
      <c r="B190" s="41">
        <v>361.34414638595609</v>
      </c>
      <c r="C190" s="41">
        <v>244.2902242035708</v>
      </c>
      <c r="D190" s="16">
        <f t="shared" si="34"/>
        <v>34.061041999229268</v>
      </c>
      <c r="P190" s="41">
        <v>61</v>
      </c>
      <c r="Q190">
        <v>768.89229999999998</v>
      </c>
      <c r="R190">
        <v>455.96359496290927</v>
      </c>
      <c r="S190" s="41">
        <v>134.99999918417825</v>
      </c>
    </row>
    <row r="191" spans="1:19" x14ac:dyDescent="0.2">
      <c r="A191" s="39">
        <v>-62</v>
      </c>
      <c r="B191" s="41">
        <v>353.49174548759657</v>
      </c>
      <c r="C191" s="41">
        <v>248.55515798373855</v>
      </c>
      <c r="D191" s="16">
        <f t="shared" si="34"/>
        <v>35.112691722003831</v>
      </c>
      <c r="P191" s="41">
        <v>62</v>
      </c>
      <c r="Q191">
        <v>787.42215499999998</v>
      </c>
      <c r="R191">
        <v>455.70002016093821</v>
      </c>
      <c r="S191" s="41">
        <v>135.00000080702668</v>
      </c>
    </row>
    <row r="192" spans="1:19" x14ac:dyDescent="0.2">
      <c r="A192" s="37">
        <v>-63</v>
      </c>
      <c r="B192" s="41">
        <v>345.40052317406861</v>
      </c>
      <c r="C192" s="41">
        <v>252.96886694087922</v>
      </c>
      <c r="D192" s="16">
        <f t="shared" si="34"/>
        <v>36.218780008717331</v>
      </c>
      <c r="P192" s="41">
        <v>63</v>
      </c>
      <c r="Q192">
        <v>805.95200999999997</v>
      </c>
      <c r="R192">
        <v>455.25037676393862</v>
      </c>
      <c r="S192" s="41">
        <v>135.00000021124575</v>
      </c>
    </row>
    <row r="193" spans="1:19" x14ac:dyDescent="0.2">
      <c r="A193" s="37">
        <v>-64</v>
      </c>
      <c r="B193" s="41">
        <v>337.03182225249486</v>
      </c>
      <c r="C193" s="41">
        <v>257.55132485851419</v>
      </c>
      <c r="D193" s="16">
        <f t="shared" si="34"/>
        <v>37.38616169744342</v>
      </c>
      <c r="P193" s="41">
        <v>64</v>
      </c>
      <c r="Q193">
        <v>824.48186499999997</v>
      </c>
      <c r="R193">
        <v>454.25804376607113</v>
      </c>
      <c r="S193" s="41">
        <v>134.99999999205642</v>
      </c>
    </row>
    <row r="194" spans="1:19" x14ac:dyDescent="0.2">
      <c r="A194" s="39">
        <v>-65</v>
      </c>
      <c r="B194" s="41">
        <v>328.34120504262614</v>
      </c>
      <c r="C194" s="41">
        <v>262.32512152580057</v>
      </c>
      <c r="D194" s="16">
        <f t="shared" ref="D194:D257" si="35">DEGREES(ATAN2(B194,C194))</f>
        <v>38.622777676865425</v>
      </c>
      <c r="P194" s="41">
        <v>65</v>
      </c>
      <c r="Q194">
        <v>843.01171999999997</v>
      </c>
      <c r="R194">
        <v>453.38816614904158</v>
      </c>
      <c r="S194" s="41">
        <v>134.9999990758939</v>
      </c>
    </row>
    <row r="195" spans="1:19" x14ac:dyDescent="0.2">
      <c r="A195" s="39">
        <v>-66</v>
      </c>
      <c r="B195" s="41">
        <v>319.27714135944115</v>
      </c>
      <c r="C195" s="41">
        <v>267.31599504280854</v>
      </c>
      <c r="D195" s="16">
        <f t="shared" si="35"/>
        <v>39.937881518561099</v>
      </c>
      <c r="P195" s="41">
        <v>66</v>
      </c>
      <c r="Q195">
        <v>861.54157499999997</v>
      </c>
      <c r="R195">
        <v>452.3199638974188</v>
      </c>
      <c r="S195" s="41">
        <v>135.00000038546943</v>
      </c>
    </row>
    <row r="196" spans="1:19" x14ac:dyDescent="0.2">
      <c r="A196" s="37">
        <v>-67</v>
      </c>
      <c r="B196" s="41">
        <v>309.77934219622739</v>
      </c>
      <c r="C196" s="41">
        <v>272.55349202036791</v>
      </c>
      <c r="D196" s="16">
        <f t="shared" si="35"/>
        <v>41.342322173885606</v>
      </c>
      <c r="P196" s="41">
        <v>67</v>
      </c>
      <c r="Q196">
        <v>880.07142999999996</v>
      </c>
      <c r="R196">
        <v>451.04996611372854</v>
      </c>
      <c r="S196" s="41">
        <v>135.00000059359542</v>
      </c>
    </row>
    <row r="197" spans="1:19" x14ac:dyDescent="0.2">
      <c r="A197" s="37">
        <v>-68</v>
      </c>
      <c r="B197" s="41">
        <v>299.7766225376983</v>
      </c>
      <c r="C197" s="41">
        <v>278.07179633246454</v>
      </c>
      <c r="D197" s="16">
        <f t="shared" si="35"/>
        <v>42.848898528815688</v>
      </c>
      <c r="P197" s="41">
        <v>68</v>
      </c>
      <c r="Q197">
        <v>898.60128499999996</v>
      </c>
      <c r="R197">
        <v>449.57485382629824</v>
      </c>
      <c r="S197" s="41">
        <v>134.99999942206603</v>
      </c>
    </row>
    <row r="198" spans="1:19" x14ac:dyDescent="0.2">
      <c r="A198" s="39">
        <v>-69</v>
      </c>
      <c r="B198" s="41">
        <v>289.18412386242198</v>
      </c>
      <c r="C198" s="41">
        <v>283.91077537954959</v>
      </c>
      <c r="D198" s="16">
        <f t="shared" si="35"/>
        <v>44.472806186936261</v>
      </c>
      <c r="P198" s="41">
        <v>69</v>
      </c>
      <c r="Q198">
        <v>917.13113999999996</v>
      </c>
      <c r="R198">
        <v>447.89144596915878</v>
      </c>
      <c r="S198" s="41">
        <v>135.00000057072637</v>
      </c>
    </row>
    <row r="199" spans="1:19" x14ac:dyDescent="0.2">
      <c r="A199" s="39">
        <v>-70</v>
      </c>
      <c r="B199" s="41">
        <v>277.89966691926577</v>
      </c>
      <c r="C199" s="41">
        <v>290.11732179573227</v>
      </c>
      <c r="D199" s="16">
        <f t="shared" si="35"/>
        <v>46.232202819545584</v>
      </c>
      <c r="P199" s="41">
        <v>70</v>
      </c>
      <c r="Q199">
        <v>935.66099499999996</v>
      </c>
      <c r="R199">
        <v>445.82290646743706</v>
      </c>
      <c r="S199" s="41">
        <v>135.00000025339784</v>
      </c>
    </row>
    <row r="200" spans="1:19" x14ac:dyDescent="0.2">
      <c r="A200" s="37">
        <v>-71</v>
      </c>
      <c r="B200" s="41">
        <v>265.79889033960552</v>
      </c>
      <c r="C200" s="41">
        <v>296.74708478917898</v>
      </c>
      <c r="D200" s="16">
        <f t="shared" si="35"/>
        <v>48.148925285973888</v>
      </c>
      <c r="P200" s="41">
        <v>71</v>
      </c>
      <c r="Q200">
        <v>954.19084999999995</v>
      </c>
      <c r="R200">
        <v>443.67386173294773</v>
      </c>
      <c r="S200" s="41">
        <v>134.99999937806257</v>
      </c>
    </row>
    <row r="201" spans="1:19" x14ac:dyDescent="0.2">
      <c r="A201" s="37">
        <v>-72</v>
      </c>
      <c r="B201" s="41">
        <v>252.72868937411911</v>
      </c>
      <c r="C201" s="41">
        <v>303.86674576495898</v>
      </c>
      <c r="D201" s="16">
        <f t="shared" si="35"/>
        <v>50.249399844953544</v>
      </c>
      <c r="P201" s="41">
        <v>72</v>
      </c>
      <c r="Q201">
        <v>972.72070499999995</v>
      </c>
      <c r="R201">
        <v>441.30741223762226</v>
      </c>
      <c r="S201" s="41">
        <v>134.99999964823951</v>
      </c>
    </row>
    <row r="202" spans="1:19" x14ac:dyDescent="0.2">
      <c r="A202" s="39">
        <v>-73</v>
      </c>
      <c r="B202" s="41">
        <v>238.49820946773335</v>
      </c>
      <c r="C202" s="41">
        <v>311.55703887273177</v>
      </c>
      <c r="D202" s="16">
        <f t="shared" si="35"/>
        <v>52.56579362843366</v>
      </c>
      <c r="P202" s="41">
        <v>73</v>
      </c>
      <c r="Q202">
        <v>991.25055999999995</v>
      </c>
      <c r="R202">
        <v>438.72076012666378</v>
      </c>
      <c r="S202" s="41">
        <v>134.99999983476656</v>
      </c>
    </row>
    <row r="203" spans="1:19" x14ac:dyDescent="0.2">
      <c r="A203" s="39">
        <v>-74</v>
      </c>
      <c r="B203" s="41">
        <v>223.53602684358944</v>
      </c>
      <c r="C203" s="41">
        <v>319.38920889410429</v>
      </c>
      <c r="D203" s="16">
        <f t="shared" si="35"/>
        <v>55.012364825351192</v>
      </c>
      <c r="P203" s="41">
        <v>74</v>
      </c>
      <c r="Q203">
        <v>1009.7804149999999</v>
      </c>
      <c r="R203">
        <v>435.91116401171837</v>
      </c>
      <c r="S203" s="41">
        <v>134.99999966333991</v>
      </c>
    </row>
    <row r="204" spans="1:19" x14ac:dyDescent="0.2">
      <c r="A204" s="37">
        <v>-75</v>
      </c>
      <c r="B204" s="41">
        <v>210.23480476009897</v>
      </c>
      <c r="C204" s="41">
        <v>325.41683929939165</v>
      </c>
      <c r="D204" s="16">
        <f t="shared" si="35"/>
        <v>57.135611168733305</v>
      </c>
      <c r="P204" s="41">
        <v>75</v>
      </c>
      <c r="Q204">
        <v>1028.3102699999999</v>
      </c>
      <c r="R204">
        <v>432.87592817686448</v>
      </c>
      <c r="S204" s="41">
        <v>134.99999994154234</v>
      </c>
    </row>
    <row r="205" spans="1:19" x14ac:dyDescent="0.2">
      <c r="A205" s="37">
        <v>-76</v>
      </c>
      <c r="B205" s="41">
        <v>195.67720616873527</v>
      </c>
      <c r="C205" s="41">
        <v>331.91056878244814</v>
      </c>
      <c r="D205" s="16">
        <f t="shared" si="35"/>
        <v>59.478610210954983</v>
      </c>
      <c r="P205" s="41">
        <v>76</v>
      </c>
      <c r="Q205">
        <v>1046.8401249999999</v>
      </c>
      <c r="R205">
        <v>429.61238454301633</v>
      </c>
      <c r="S205" s="41">
        <v>135.00000016056305</v>
      </c>
    </row>
    <row r="206" spans="1:19" x14ac:dyDescent="0.2">
      <c r="A206" s="39">
        <v>-77</v>
      </c>
      <c r="B206" s="41">
        <v>180.57010761424795</v>
      </c>
      <c r="C206" s="41">
        <v>338.51575802236283</v>
      </c>
      <c r="D206" s="16">
        <f t="shared" si="35"/>
        <v>61.923774776843118</v>
      </c>
      <c r="P206" s="41">
        <v>77</v>
      </c>
      <c r="Q206">
        <v>1065.3699799999999</v>
      </c>
      <c r="R206">
        <v>426.11788611465295</v>
      </c>
      <c r="S206" s="41">
        <v>134.99999963300456</v>
      </c>
    </row>
    <row r="207" spans="1:19" x14ac:dyDescent="0.2">
      <c r="A207" s="39">
        <v>-78</v>
      </c>
      <c r="B207" s="41">
        <v>164.95273514918298</v>
      </c>
      <c r="C207" s="41">
        <v>345.2120256545968</v>
      </c>
      <c r="D207" s="16">
        <f t="shared" si="35"/>
        <v>64.46011976909341</v>
      </c>
      <c r="P207">
        <v>78</v>
      </c>
      <c r="Q207">
        <v>1083.8998349999999</v>
      </c>
      <c r="R207">
        <v>422.38980393560627</v>
      </c>
      <c r="S207">
        <v>134.99999983831071</v>
      </c>
    </row>
    <row r="208" spans="1:19" x14ac:dyDescent="0.2">
      <c r="A208" s="37">
        <v>-79</v>
      </c>
      <c r="B208" s="41">
        <v>148.74406548230209</v>
      </c>
      <c r="C208" s="41">
        <v>352.03477822441181</v>
      </c>
      <c r="D208" s="16">
        <f t="shared" si="35"/>
        <v>67.094647945112499</v>
      </c>
      <c r="P208">
        <v>79</v>
      </c>
      <c r="Q208">
        <v>1102.4296899999999</v>
      </c>
      <c r="R208">
        <v>418.42550665154829</v>
      </c>
      <c r="S208">
        <v>135.00000053197019</v>
      </c>
    </row>
    <row r="209" spans="1:19" x14ac:dyDescent="0.2">
      <c r="A209" s="37">
        <v>-80</v>
      </c>
      <c r="B209" s="41">
        <v>131.85101947112429</v>
      </c>
      <c r="C209" s="41">
        <v>359.02305130043857</v>
      </c>
      <c r="D209" s="16">
        <f t="shared" si="35"/>
        <v>69.834268115811682</v>
      </c>
      <c r="P209">
        <v>80</v>
      </c>
      <c r="Q209">
        <v>1120.9595449999999</v>
      </c>
      <c r="R209">
        <v>414.22235236370182</v>
      </c>
      <c r="S209">
        <v>134.99999932375846</v>
      </c>
    </row>
    <row r="210" spans="1:19" x14ac:dyDescent="0.2">
      <c r="A210" s="39">
        <v>-81</v>
      </c>
      <c r="B210" s="41">
        <v>114.16611446591155</v>
      </c>
      <c r="C210" s="41">
        <v>366.22019523192319</v>
      </c>
      <c r="D210" s="16">
        <f t="shared" si="35"/>
        <v>72.685564694416883</v>
      </c>
      <c r="P210">
        <v>81</v>
      </c>
      <c r="Q210">
        <v>1139.4893999999999</v>
      </c>
      <c r="R210">
        <v>409.77770100861329</v>
      </c>
      <c r="S210">
        <v>135.00000033285806</v>
      </c>
    </row>
    <row r="211" spans="1:19" x14ac:dyDescent="0.2">
      <c r="A211" s="39">
        <v>-82</v>
      </c>
      <c r="B211" s="41">
        <v>95.564621565936747</v>
      </c>
      <c r="C211" s="41">
        <v>373.67467508297938</v>
      </c>
      <c r="D211" s="16">
        <f t="shared" si="35"/>
        <v>75.654492418594515</v>
      </c>
      <c r="P211">
        <v>82</v>
      </c>
      <c r="Q211">
        <v>1158.0192549999999</v>
      </c>
      <c r="R211">
        <v>405.08846674508055</v>
      </c>
      <c r="S211">
        <v>135.00000069916291</v>
      </c>
    </row>
    <row r="212" spans="1:19" x14ac:dyDescent="0.2">
      <c r="A212" s="37">
        <v>-83</v>
      </c>
      <c r="B212" s="41">
        <v>75.901115842224499</v>
      </c>
      <c r="C212" s="41">
        <v>381.44099742334015</v>
      </c>
      <c r="D212" s="16">
        <f t="shared" si="35"/>
        <v>78.745985492133997</v>
      </c>
      <c r="P212">
        <v>83</v>
      </c>
      <c r="Q212">
        <v>1176.5491099999999</v>
      </c>
      <c r="R212">
        <v>400.15029451459861</v>
      </c>
      <c r="S212">
        <v>135.00000019774276</v>
      </c>
    </row>
    <row r="213" spans="1:19" x14ac:dyDescent="0.2">
      <c r="A213" s="37">
        <v>-84</v>
      </c>
      <c r="B213" s="41">
        <v>54.709151952861006</v>
      </c>
      <c r="C213" s="41">
        <v>385.72710364818261</v>
      </c>
      <c r="D213" s="16">
        <f t="shared" si="35"/>
        <v>81.927364808903178</v>
      </c>
      <c r="P213">
        <v>84</v>
      </c>
      <c r="Q213">
        <v>1195.0789649999999</v>
      </c>
      <c r="R213">
        <v>394.95924339108836</v>
      </c>
      <c r="S213">
        <v>135.00000001005287</v>
      </c>
    </row>
    <row r="214" spans="1:19" x14ac:dyDescent="0.2">
      <c r="A214" s="39">
        <v>-85</v>
      </c>
      <c r="B214" s="41">
        <v>32.862788994761978</v>
      </c>
      <c r="C214" s="41">
        <v>389.70533563619364</v>
      </c>
      <c r="D214" s="16">
        <f t="shared" si="35"/>
        <v>85.179807068013218</v>
      </c>
      <c r="P214">
        <v>85</v>
      </c>
      <c r="Q214">
        <v>1213.6088199999999</v>
      </c>
      <c r="R214">
        <v>389.51131782163242</v>
      </c>
      <c r="S214">
        <v>135.00000045835287</v>
      </c>
    </row>
    <row r="215" spans="1:19" x14ac:dyDescent="0.2">
      <c r="A215" s="39">
        <v>-86</v>
      </c>
      <c r="B215" s="41">
        <v>10.32231218134282</v>
      </c>
      <c r="C215" s="41">
        <v>393.64382213125901</v>
      </c>
      <c r="D215" s="16">
        <f t="shared" si="35"/>
        <v>88.497907531209052</v>
      </c>
      <c r="P215">
        <v>86</v>
      </c>
      <c r="Q215">
        <v>1232.1386749999999</v>
      </c>
      <c r="R215">
        <v>383.80240646073412</v>
      </c>
      <c r="S215">
        <v>134.99999933993996</v>
      </c>
    </row>
    <row r="216" spans="1:19" x14ac:dyDescent="0.2">
      <c r="A216" s="37">
        <v>-87</v>
      </c>
      <c r="B216" s="41">
        <v>-11.821859915006934</v>
      </c>
      <c r="C216" s="41">
        <v>396.94146470528966</v>
      </c>
      <c r="D216" s="16">
        <f t="shared" si="35"/>
        <v>91.705900190510491</v>
      </c>
      <c r="P216">
        <v>87</v>
      </c>
      <c r="Q216">
        <v>1250.6685299999999</v>
      </c>
      <c r="R216">
        <v>377.82829207479</v>
      </c>
      <c r="S216">
        <v>134.99999901741231</v>
      </c>
    </row>
    <row r="217" spans="1:19" x14ac:dyDescent="0.2">
      <c r="A217" s="37">
        <v>-88</v>
      </c>
      <c r="B217" s="41">
        <v>-29.655483975697926</v>
      </c>
      <c r="C217" s="41">
        <v>397.48968443610335</v>
      </c>
      <c r="D217" s="16">
        <f t="shared" si="35"/>
        <v>94.266757239022667</v>
      </c>
      <c r="P217">
        <v>88</v>
      </c>
      <c r="Q217">
        <v>1269.1983849999999</v>
      </c>
      <c r="R217">
        <v>371.5846286821909</v>
      </c>
      <c r="S217">
        <v>135.00000096073006</v>
      </c>
    </row>
    <row r="218" spans="1:19" x14ac:dyDescent="0.2">
      <c r="A218" s="39">
        <v>-89</v>
      </c>
      <c r="B218" s="41">
        <v>-48.109429310197072</v>
      </c>
      <c r="C218" s="41">
        <v>397.81837020795825</v>
      </c>
      <c r="D218" s="16">
        <f t="shared" si="35"/>
        <v>96.89547425763233</v>
      </c>
      <c r="P218">
        <v>89</v>
      </c>
      <c r="Q218">
        <v>1287.7282399999999</v>
      </c>
      <c r="R218">
        <v>365.06691288818672</v>
      </c>
      <c r="S218">
        <v>134.99999906009953</v>
      </c>
    </row>
    <row r="219" spans="1:19" x14ac:dyDescent="0.2">
      <c r="A219" s="39">
        <v>-90</v>
      </c>
      <c r="B219" s="41">
        <v>-62.864999999999867</v>
      </c>
      <c r="C219" s="41">
        <v>397.90331074479258</v>
      </c>
      <c r="D219" s="16">
        <f t="shared" si="35"/>
        <v>98.977987902889069</v>
      </c>
      <c r="P219">
        <v>90</v>
      </c>
      <c r="Q219">
        <v>1306.2580949999999</v>
      </c>
      <c r="R219">
        <v>358.27052178654532</v>
      </c>
      <c r="S219">
        <v>135.00000060169938</v>
      </c>
    </row>
    <row r="220" spans="1:19" x14ac:dyDescent="0.2">
      <c r="A220" s="37">
        <v>-91</v>
      </c>
      <c r="B220" s="41">
        <v>-77.620570689802818</v>
      </c>
      <c r="C220" s="41">
        <v>397.81837020795825</v>
      </c>
      <c r="D220" s="16">
        <f t="shared" si="35"/>
        <v>101.04058972475465</v>
      </c>
      <c r="P220">
        <v>91</v>
      </c>
      <c r="Q220">
        <v>1324.7879499999999</v>
      </c>
      <c r="R220">
        <v>351.19063252422887</v>
      </c>
      <c r="S220">
        <v>134.99999923898713</v>
      </c>
    </row>
    <row r="221" spans="1:19" x14ac:dyDescent="0.2">
      <c r="A221" s="37">
        <v>-92</v>
      </c>
      <c r="B221" s="41">
        <v>-96.074516024301886</v>
      </c>
      <c r="C221" s="41">
        <v>397.48968443610335</v>
      </c>
      <c r="D221" s="16">
        <f t="shared" si="35"/>
        <v>103.58796716826056</v>
      </c>
      <c r="P221">
        <v>92</v>
      </c>
      <c r="Q221">
        <v>1343.3178049999999</v>
      </c>
      <c r="R221">
        <v>343.80683153378175</v>
      </c>
      <c r="S221">
        <v>134.99999928464317</v>
      </c>
    </row>
    <row r="222" spans="1:19" x14ac:dyDescent="0.2">
      <c r="A222" s="39">
        <v>-93</v>
      </c>
      <c r="B222" s="41">
        <v>-113.90814008499287</v>
      </c>
      <c r="C222" s="41">
        <v>396.94146470528949</v>
      </c>
      <c r="D222" s="16">
        <f t="shared" si="35"/>
        <v>106.01160397354673</v>
      </c>
      <c r="P222">
        <v>93</v>
      </c>
      <c r="Q222">
        <v>1361.8476599999999</v>
      </c>
      <c r="R222">
        <v>336.08686699936874</v>
      </c>
      <c r="S222">
        <v>134.99999932277711</v>
      </c>
    </row>
    <row r="223" spans="1:19" x14ac:dyDescent="0.2">
      <c r="A223" s="39">
        <v>-94</v>
      </c>
      <c r="B223" s="41">
        <v>-131.22913773661617</v>
      </c>
      <c r="C223" s="41">
        <v>396.1723682455227</v>
      </c>
      <c r="D223" s="16">
        <f t="shared" si="35"/>
        <v>108.32706651723019</v>
      </c>
      <c r="P223">
        <v>94</v>
      </c>
      <c r="Q223">
        <v>1380.3775149999999</v>
      </c>
      <c r="R223">
        <v>328.06718739308383</v>
      </c>
      <c r="S223">
        <v>134.99999935554959</v>
      </c>
    </row>
    <row r="224" spans="1:19" x14ac:dyDescent="0.2">
      <c r="A224" s="37">
        <v>-95</v>
      </c>
      <c r="B224" s="41">
        <v>-148.12531487762161</v>
      </c>
      <c r="C224" s="41">
        <v>395.18050456802126</v>
      </c>
      <c r="D224" s="16">
        <f t="shared" si="35"/>
        <v>110.54748069876648</v>
      </c>
      <c r="P224">
        <v>95</v>
      </c>
      <c r="Q224">
        <v>1398.9073699999999</v>
      </c>
      <c r="R224">
        <v>319.74213230785205</v>
      </c>
      <c r="S224">
        <v>134.99999991685408</v>
      </c>
    </row>
    <row r="225" spans="1:19" x14ac:dyDescent="0.2">
      <c r="A225" s="37">
        <v>-96</v>
      </c>
      <c r="B225" s="41">
        <v>-163.73553605017739</v>
      </c>
      <c r="C225" s="41">
        <v>392.66129597335726</v>
      </c>
      <c r="D225" s="16">
        <f t="shared" si="35"/>
        <v>112.63561128049035</v>
      </c>
      <c r="P225">
        <v>96</v>
      </c>
      <c r="Q225">
        <v>1417.4372249999999</v>
      </c>
      <c r="R225">
        <v>311.10574539020052</v>
      </c>
      <c r="S225">
        <v>134.99999926788709</v>
      </c>
    </row>
    <row r="226" spans="1:19" x14ac:dyDescent="0.2">
      <c r="A226" s="39">
        <v>-97</v>
      </c>
      <c r="B226" s="41">
        <v>-175.76575650267424</v>
      </c>
      <c r="C226" s="41">
        <v>385.98714716194962</v>
      </c>
      <c r="D226" s="16">
        <f t="shared" si="35"/>
        <v>114.48294719028091</v>
      </c>
      <c r="P226">
        <v>97</v>
      </c>
      <c r="Q226">
        <v>1435.9670799999999</v>
      </c>
      <c r="R226">
        <v>302.15174469498032</v>
      </c>
      <c r="S226">
        <v>134.99999949197726</v>
      </c>
    </row>
    <row r="227" spans="1:19" x14ac:dyDescent="0.2">
      <c r="A227" s="39">
        <v>-98</v>
      </c>
      <c r="B227" s="41">
        <v>-187.3417932028494</v>
      </c>
      <c r="C227" s="41">
        <v>379.70769974448859</v>
      </c>
      <c r="D227" s="16">
        <f t="shared" si="35"/>
        <v>116.26100512359206</v>
      </c>
      <c r="P227">
        <v>98</v>
      </c>
      <c r="Q227">
        <v>1454.4969349999999</v>
      </c>
      <c r="R227">
        <v>292.87345627878943</v>
      </c>
      <c r="S227">
        <v>134.99999967777521</v>
      </c>
    </row>
    <row r="228" spans="1:19" x14ac:dyDescent="0.2">
      <c r="A228" s="37">
        <v>-99</v>
      </c>
      <c r="B228" s="41">
        <v>-198.56005566775525</v>
      </c>
      <c r="C228" s="41">
        <v>373.73474670821452</v>
      </c>
      <c r="D228" s="16">
        <f t="shared" si="35"/>
        <v>117.98108504590587</v>
      </c>
      <c r="P228">
        <v>99</v>
      </c>
      <c r="Q228">
        <v>1473.0267899999999</v>
      </c>
      <c r="R228">
        <v>283.26375429050103</v>
      </c>
      <c r="S228">
        <v>135.00000001348138</v>
      </c>
    </row>
    <row r="229" spans="1:19" x14ac:dyDescent="0.2">
      <c r="A229" s="37">
        <v>-100</v>
      </c>
      <c r="B229" s="41">
        <v>-209.49600053786543</v>
      </c>
      <c r="C229" s="41">
        <v>367.99623126293847</v>
      </c>
      <c r="D229" s="16">
        <f t="shared" si="35"/>
        <v>119.65235910333971</v>
      </c>
      <c r="P229">
        <v>100</v>
      </c>
      <c r="Q229">
        <v>1491.5566449999999</v>
      </c>
      <c r="R229">
        <v>273.31497386808115</v>
      </c>
      <c r="S229">
        <v>135.00000035331109</v>
      </c>
    </row>
    <row r="230" spans="1:19" x14ac:dyDescent="0.2">
      <c r="A230" s="39">
        <v>-101</v>
      </c>
      <c r="B230" s="41">
        <v>-220.20979209231641</v>
      </c>
      <c r="C230" s="41">
        <v>362.43245507501626</v>
      </c>
      <c r="D230" s="16">
        <f t="shared" si="35"/>
        <v>121.28238436544864</v>
      </c>
      <c r="P230">
        <v>101</v>
      </c>
      <c r="Q230">
        <v>1510.0864999999999</v>
      </c>
      <c r="R230">
        <v>263.0188048307644</v>
      </c>
      <c r="S230">
        <v>134.99999913785678</v>
      </c>
    </row>
    <row r="231" spans="1:19" x14ac:dyDescent="0.2">
      <c r="A231" s="39">
        <v>-102</v>
      </c>
      <c r="B231" s="41">
        <v>-230.02866933279535</v>
      </c>
      <c r="C231" s="41">
        <v>356.69196949760277</v>
      </c>
      <c r="D231" s="16">
        <f t="shared" si="35"/>
        <v>122.81774481929749</v>
      </c>
      <c r="Q231">
        <v>1510.0864999999999</v>
      </c>
      <c r="R231">
        <v>0</v>
      </c>
    </row>
    <row r="232" spans="1:19" x14ac:dyDescent="0.2">
      <c r="A232" s="37">
        <v>-103</v>
      </c>
      <c r="B232" s="41">
        <v>-239.66618570634782</v>
      </c>
      <c r="C232" s="41">
        <v>350.98712668034125</v>
      </c>
      <c r="D232" s="16">
        <f t="shared" si="35"/>
        <v>124.32661689606829</v>
      </c>
    </row>
    <row r="233" spans="1:19" x14ac:dyDescent="0.2">
      <c r="A233" s="37">
        <v>-104</v>
      </c>
      <c r="B233" s="41">
        <v>-249.28458613521946</v>
      </c>
      <c r="C233" s="41">
        <v>345.33921953928791</v>
      </c>
      <c r="D233" s="16">
        <f t="shared" si="35"/>
        <v>125.82379490909913</v>
      </c>
    </row>
    <row r="234" spans="1:19" x14ac:dyDescent="0.2">
      <c r="A234" s="39">
        <v>-105</v>
      </c>
      <c r="B234" s="41">
        <v>-263.05298950168418</v>
      </c>
      <c r="C234" s="41">
        <v>337.36200079918535</v>
      </c>
      <c r="D234" s="16">
        <f t="shared" si="35"/>
        <v>127.94479275705321</v>
      </c>
    </row>
    <row r="235" spans="1:19" x14ac:dyDescent="0.2">
      <c r="A235" s="39">
        <v>-106</v>
      </c>
      <c r="B235" s="41">
        <v>-277.67028707732254</v>
      </c>
      <c r="C235" s="41">
        <v>328.8280936264394</v>
      </c>
      <c r="D235" s="16">
        <f t="shared" si="35"/>
        <v>130.17854534523786</v>
      </c>
    </row>
    <row r="236" spans="1:19" x14ac:dyDescent="0.2">
      <c r="A236" s="37">
        <v>-107</v>
      </c>
      <c r="B236" s="41">
        <v>-291.61903194000598</v>
      </c>
      <c r="C236" s="41">
        <v>320.62213299014303</v>
      </c>
      <c r="D236" s="16">
        <f t="shared" si="35"/>
        <v>132.28781075796439</v>
      </c>
    </row>
    <row r="237" spans="1:19" x14ac:dyDescent="0.2">
      <c r="A237" s="37">
        <v>-108</v>
      </c>
      <c r="B237" s="41">
        <v>-304.46350158303278</v>
      </c>
      <c r="C237" s="41">
        <v>313.06279841754019</v>
      </c>
      <c r="D237" s="16">
        <f t="shared" si="35"/>
        <v>134.2021852813177</v>
      </c>
    </row>
    <row r="238" spans="1:19" x14ac:dyDescent="0.2">
      <c r="A238" s="39">
        <v>-109</v>
      </c>
      <c r="B238" s="41">
        <v>-316.39443903586175</v>
      </c>
      <c r="C238" s="41">
        <v>306.0566999296035</v>
      </c>
      <c r="D238" s="16">
        <f t="shared" si="35"/>
        <v>135.95148732759384</v>
      </c>
    </row>
    <row r="239" spans="1:19" x14ac:dyDescent="0.2">
      <c r="A239" s="39">
        <v>-110</v>
      </c>
      <c r="B239" s="41">
        <v>-327.56791803802042</v>
      </c>
      <c r="C239" s="41">
        <v>299.52375246108954</v>
      </c>
      <c r="D239" s="16">
        <f t="shared" si="35"/>
        <v>137.56061832061192</v>
      </c>
    </row>
    <row r="240" spans="1:19" x14ac:dyDescent="0.2">
      <c r="A240" s="37">
        <v>-111</v>
      </c>
      <c r="B240" s="41">
        <v>-338.10879657676657</v>
      </c>
      <c r="C240" s="41">
        <v>293.39781544624111</v>
      </c>
      <c r="D240" s="16">
        <f t="shared" si="35"/>
        <v>139.04981176504475</v>
      </c>
    </row>
    <row r="241" spans="1:4" x14ac:dyDescent="0.2">
      <c r="A241" s="37">
        <v>-112</v>
      </c>
      <c r="B241" s="41">
        <v>-348.11829451302265</v>
      </c>
      <c r="C241" s="41">
        <v>287.62368063926829</v>
      </c>
      <c r="D241" s="16">
        <f t="shared" si="35"/>
        <v>140.43566614242621</v>
      </c>
    </row>
    <row r="242" spans="1:4" x14ac:dyDescent="0.2">
      <c r="A242" s="39">
        <v>-113</v>
      </c>
      <c r="B242" s="41">
        <v>-357.67948929589863</v>
      </c>
      <c r="C242" s="41">
        <v>282.15480736871621</v>
      </c>
      <c r="D242" s="16">
        <f t="shared" si="35"/>
        <v>141.7319223338105</v>
      </c>
    </row>
    <row r="243" spans="1:4" x14ac:dyDescent="0.2">
      <c r="A243" s="39">
        <v>-114</v>
      </c>
      <c r="B243" s="41">
        <v>-366.8613662860372</v>
      </c>
      <c r="C243" s="41">
        <v>276.9515955251818</v>
      </c>
      <c r="D243" s="16">
        <f t="shared" si="35"/>
        <v>142.95005408333461</v>
      </c>
    </row>
    <row r="244" spans="1:4" x14ac:dyDescent="0.2">
      <c r="A244" s="37">
        <v>-115</v>
      </c>
      <c r="B244" s="41">
        <v>-375.72184911306312</v>
      </c>
      <c r="C244" s="41">
        <v>271.98005011725354</v>
      </c>
      <c r="D244" s="16">
        <f t="shared" si="35"/>
        <v>144.0997208506621</v>
      </c>
    </row>
    <row r="245" spans="1:4" x14ac:dyDescent="0.2">
      <c r="A245" s="37">
        <v>-116</v>
      </c>
      <c r="B245" s="41">
        <v>-384.31009530106917</v>
      </c>
      <c r="C245" s="41">
        <v>267.21073872991468</v>
      </c>
      <c r="D245" s="16">
        <f t="shared" si="35"/>
        <v>145.18911788845665</v>
      </c>
    </row>
    <row r="246" spans="1:4" x14ac:dyDescent="0.2">
      <c r="A246" s="39">
        <v>-117</v>
      </c>
      <c r="B246" s="41">
        <v>-392.6682592643653</v>
      </c>
      <c r="C246" s="41">
        <v>262.6179663869874</v>
      </c>
      <c r="D246" s="16">
        <f t="shared" si="35"/>
        <v>146.22524968095735</v>
      </c>
    </row>
    <row r="247" spans="1:4" x14ac:dyDescent="0.2">
      <c r="A247" s="39">
        <v>-118</v>
      </c>
      <c r="B247" s="41">
        <v>-400.83286144804708</v>
      </c>
      <c r="C247" s="41">
        <v>258.17911640190778</v>
      </c>
      <c r="D247" s="16">
        <f t="shared" si="35"/>
        <v>147.21414523963224</v>
      </c>
    </row>
    <row r="248" spans="1:4" x14ac:dyDescent="0.2">
      <c r="A248" s="37">
        <v>-119</v>
      </c>
      <c r="B248" s="41">
        <v>-408.83586317348642</v>
      </c>
      <c r="C248" s="41">
        <v>253.87411898138825</v>
      </c>
      <c r="D248" s="16">
        <f t="shared" si="35"/>
        <v>148.16102897518388</v>
      </c>
    </row>
    <row r="249" spans="1:4" x14ac:dyDescent="0.2">
      <c r="A249" s="37">
        <v>-120</v>
      </c>
      <c r="B249" s="41">
        <v>-416.70552055725284</v>
      </c>
      <c r="C249" s="41">
        <v>249.68501735590988</v>
      </c>
      <c r="D249" s="16">
        <f t="shared" si="35"/>
        <v>149.07045760137473</v>
      </c>
    </row>
    <row r="250" spans="1:4" x14ac:dyDescent="0.2">
      <c r="A250" s="39">
        <v>-121</v>
      </c>
      <c r="B250" s="41">
        <v>-424.46706935551327</v>
      </c>
      <c r="C250" s="41">
        <v>245.59561093268266</v>
      </c>
      <c r="D250" s="16">
        <f t="shared" si="35"/>
        <v>149.94643054296722</v>
      </c>
    </row>
    <row r="251" spans="1:4" x14ac:dyDescent="0.2">
      <c r="A251" s="39">
        <v>-122</v>
      </c>
      <c r="B251" s="41">
        <v>-432.14327968492853</v>
      </c>
      <c r="C251" s="41">
        <v>241.59115934490939</v>
      </c>
      <c r="D251" s="16">
        <f t="shared" si="35"/>
        <v>150.79247958434348</v>
      </c>
    </row>
    <row r="252" spans="1:4" x14ac:dyDescent="0.2">
      <c r="A252" s="37">
        <v>-123</v>
      </c>
      <c r="B252" s="41">
        <v>-439.75491171216947</v>
      </c>
      <c r="C252" s="41">
        <v>237.65813227094677</v>
      </c>
      <c r="D252" s="16">
        <f t="shared" si="35"/>
        <v>151.61174250642478</v>
      </c>
    </row>
    <row r="253" spans="1:4" x14ac:dyDescent="0.2">
      <c r="A253" s="37">
        <v>-124</v>
      </c>
      <c r="B253" s="41">
        <v>-446.70090426799197</v>
      </c>
      <c r="C253" s="41">
        <v>233.71377021500399</v>
      </c>
      <c r="D253" s="16">
        <f t="shared" si="35"/>
        <v>152.38144999362044</v>
      </c>
    </row>
    <row r="254" spans="1:4" x14ac:dyDescent="0.2">
      <c r="A254" s="39">
        <v>-125</v>
      </c>
      <c r="B254" s="41">
        <v>-453.55131979933498</v>
      </c>
      <c r="C254" s="41">
        <v>229.8166278915925</v>
      </c>
      <c r="D254" s="16">
        <f t="shared" si="35"/>
        <v>153.12844866137684</v>
      </c>
    </row>
    <row r="255" spans="1:4" x14ac:dyDescent="0.2">
      <c r="A255" s="39">
        <v>-126</v>
      </c>
      <c r="B255" s="41">
        <v>-460.35124602780775</v>
      </c>
      <c r="C255" s="41">
        <v>225.95973223354343</v>
      </c>
      <c r="D255" s="16">
        <f t="shared" si="35"/>
        <v>153.8562557953299</v>
      </c>
    </row>
    <row r="256" spans="1:4" x14ac:dyDescent="0.2">
      <c r="A256" s="37">
        <v>-127</v>
      </c>
      <c r="B256" s="41">
        <v>-467.11656171513221</v>
      </c>
      <c r="C256" s="41">
        <v>222.13327743699213</v>
      </c>
      <c r="D256" s="16">
        <f t="shared" si="35"/>
        <v>154.56697634709195</v>
      </c>
    </row>
    <row r="257" spans="1:4" x14ac:dyDescent="0.2">
      <c r="A257" s="37">
        <v>-128</v>
      </c>
      <c r="B257" s="41">
        <v>-473.86233352489103</v>
      </c>
      <c r="C257" s="41">
        <v>218.32786857982032</v>
      </c>
      <c r="D257" s="16">
        <f t="shared" si="35"/>
        <v>155.26253192136085</v>
      </c>
    </row>
    <row r="258" spans="1:4" x14ac:dyDescent="0.2">
      <c r="A258" s="39">
        <v>-129</v>
      </c>
      <c r="B258" s="41">
        <v>-480.60299854900279</v>
      </c>
      <c r="C258" s="41">
        <v>214.53441689590952</v>
      </c>
      <c r="D258" s="16">
        <f t="shared" ref="D258:D321" si="36">DEGREES(ATAN2(B258,C258))</f>
        <v>155.94468770898285</v>
      </c>
    </row>
    <row r="259" spans="1:4" x14ac:dyDescent="0.2">
      <c r="A259" s="39">
        <v>-130</v>
      </c>
      <c r="B259" s="41">
        <v>-487.35252598376667</v>
      </c>
      <c r="C259" s="41">
        <v>210.74404235337269</v>
      </c>
      <c r="D259" s="16">
        <f t="shared" si="36"/>
        <v>156.61507567125219</v>
      </c>
    </row>
    <row r="260" spans="1:4" x14ac:dyDescent="0.2">
      <c r="A260" s="37">
        <v>-131</v>
      </c>
      <c r="B260" s="41">
        <v>-494.12456590314002</v>
      </c>
      <c r="C260" s="41">
        <v>206.94798408489416</v>
      </c>
      <c r="D260" s="16">
        <f t="shared" si="36"/>
        <v>157.27521453803581</v>
      </c>
    </row>
    <row r="261" spans="1:4" x14ac:dyDescent="0.2">
      <c r="A261" s="37">
        <v>-132</v>
      </c>
      <c r="B261" s="41">
        <v>-500.93258469195877</v>
      </c>
      <c r="C261" s="41">
        <v>203.13751285367013</v>
      </c>
      <c r="D261" s="16">
        <f t="shared" si="36"/>
        <v>157.92652736725211</v>
      </c>
    </row>
    <row r="262" spans="1:4" x14ac:dyDescent="0.2">
      <c r="A262" s="39">
        <v>-133</v>
      </c>
      <c r="B262" s="41">
        <v>-507.7899942043245</v>
      </c>
      <c r="C262" s="41">
        <v>199.30384671972061</v>
      </c>
      <c r="D262" s="16">
        <f t="shared" si="36"/>
        <v>158.57035699566194</v>
      </c>
    </row>
    <row r="263" spans="1:4" x14ac:dyDescent="0.2">
      <c r="A263" s="39">
        <v>-134</v>
      </c>
      <c r="B263" s="41">
        <v>-514.71027446506776</v>
      </c>
      <c r="C263" s="41">
        <v>195.43806585994017</v>
      </c>
      <c r="D263" s="16">
        <f t="shared" si="36"/>
        <v>159.2079798616198</v>
      </c>
    </row>
    <row r="264" spans="1:4" x14ac:dyDescent="0.2">
      <c r="A264" s="37">
        <v>-135</v>
      </c>
      <c r="B264" s="41">
        <v>-521.70709534576827</v>
      </c>
      <c r="C264" s="41">
        <v>191.53102653057735</v>
      </c>
      <c r="D264" s="16">
        <f t="shared" si="36"/>
        <v>159.84061846894434</v>
      </c>
    </row>
    <row r="265" spans="1:4" x14ac:dyDescent="0.2">
      <c r="A265" s="37">
        <v>-136</v>
      </c>
      <c r="B265" s="41">
        <v>-528.79443624687201</v>
      </c>
      <c r="C265" s="41">
        <v>187.57327060661717</v>
      </c>
      <c r="D265" s="16">
        <f t="shared" si="36"/>
        <v>160.46945281491551</v>
      </c>
    </row>
    <row r="266" spans="1:4" x14ac:dyDescent="0.2">
      <c r="A266" s="39">
        <v>-137</v>
      </c>
      <c r="B266" s="41">
        <v>-535.98671123678207</v>
      </c>
      <c r="C266" s="41">
        <v>183.55493108927945</v>
      </c>
      <c r="D266" s="16">
        <f t="shared" si="36"/>
        <v>161.09563099120948</v>
      </c>
    </row>
    <row r="267" spans="1:4" x14ac:dyDescent="0.2">
      <c r="A267" s="39">
        <v>-138</v>
      </c>
      <c r="B267" s="41">
        <v>-543.29889605126766</v>
      </c>
      <c r="C267" s="41">
        <v>179.46562896825745</v>
      </c>
      <c r="D267" s="16">
        <f t="shared" si="36"/>
        <v>161.72027920708089</v>
      </c>
    </row>
    <row r="268" spans="1:4" x14ac:dyDescent="0.2">
      <c r="A268" s="37">
        <v>-139</v>
      </c>
      <c r="B268" s="41">
        <v>-550.74666524180691</v>
      </c>
      <c r="C268" s="41">
        <v>175.29436137565273</v>
      </c>
      <c r="D268" s="16">
        <f t="shared" si="36"/>
        <v>162.34451142156763</v>
      </c>
    </row>
    <row r="269" spans="1:4" x14ac:dyDescent="0.2">
      <c r="A269" s="37">
        <v>-140</v>
      </c>
      <c r="B269" s="41">
        <v>-558.34653704655852</v>
      </c>
      <c r="C269" s="41">
        <v>171.02937674981854</v>
      </c>
      <c r="D269" s="16">
        <f t="shared" si="36"/>
        <v>162.9694387595558</v>
      </c>
    </row>
    <row r="270" spans="1:4" x14ac:dyDescent="0.2">
      <c r="A270" s="39">
        <v>-141</v>
      </c>
      <c r="B270" s="41">
        <v>-566.11603336394421</v>
      </c>
      <c r="C270" s="41">
        <v>166.65803522710905</v>
      </c>
      <c r="D270" s="16">
        <f t="shared" si="36"/>
        <v>163.59617891620138</v>
      </c>
    </row>
    <row r="271" spans="1:4" x14ac:dyDescent="0.2">
      <c r="A271" s="39">
        <v>-142</v>
      </c>
      <c r="B271" s="41">
        <v>-574.07385562440606</v>
      </c>
      <c r="C271" s="41">
        <v>162.16664990907003</v>
      </c>
      <c r="D271" s="16">
        <f t="shared" si="36"/>
        <v>164.22586571865759</v>
      </c>
    </row>
    <row r="272" spans="1:4" x14ac:dyDescent="0.2">
      <c r="A272" s="37">
        <v>-143</v>
      </c>
      <c r="B272" s="41">
        <v>-581.35641462255182</v>
      </c>
      <c r="C272" s="41">
        <v>157.95754037603933</v>
      </c>
      <c r="D272" s="16">
        <f t="shared" si="36"/>
        <v>164.79940357840692</v>
      </c>
    </row>
    <row r="273" spans="1:4" x14ac:dyDescent="0.2">
      <c r="A273" s="37">
        <v>-144</v>
      </c>
      <c r="B273" s="41">
        <v>-586.94329281957482</v>
      </c>
      <c r="C273" s="41">
        <v>154.52769393039839</v>
      </c>
      <c r="D273" s="16">
        <f t="shared" si="36"/>
        <v>165.25014414686837</v>
      </c>
    </row>
    <row r="274" spans="1:4" x14ac:dyDescent="0.2">
      <c r="A274" s="39">
        <v>-145</v>
      </c>
      <c r="B274" s="41">
        <v>-592.63211284624595</v>
      </c>
      <c r="C274" s="41">
        <v>151.03582347479264</v>
      </c>
      <c r="D274" s="16">
        <f t="shared" si="36"/>
        <v>165.702197659061</v>
      </c>
    </row>
    <row r="275" spans="1:4" x14ac:dyDescent="0.2">
      <c r="A275" s="39">
        <v>-146</v>
      </c>
      <c r="B275" s="41">
        <v>-598.43638361323394</v>
      </c>
      <c r="C275" s="41">
        <v>147.47283200027809</v>
      </c>
      <c r="D275" s="16">
        <f t="shared" si="36"/>
        <v>166.15641757351554</v>
      </c>
    </row>
    <row r="276" spans="1:4" x14ac:dyDescent="0.2">
      <c r="A276" s="37">
        <v>-147</v>
      </c>
      <c r="B276" s="41">
        <v>-604.37064530533712</v>
      </c>
      <c r="C276" s="41">
        <v>143.82877539220723</v>
      </c>
      <c r="D276" s="16">
        <f t="shared" si="36"/>
        <v>166.6136925962758</v>
      </c>
    </row>
    <row r="277" spans="1:4" x14ac:dyDescent="0.2">
      <c r="A277" s="37">
        <v>-148</v>
      </c>
      <c r="B277" s="41">
        <v>-610.45064201641344</v>
      </c>
      <c r="C277" s="41">
        <v>140.09270651810758</v>
      </c>
      <c r="D277" s="16">
        <f t="shared" si="36"/>
        <v>167.07495664907941</v>
      </c>
    </row>
    <row r="278" spans="1:4" x14ac:dyDescent="0.2">
      <c r="A278" s="39">
        <v>-149</v>
      </c>
      <c r="B278" s="41">
        <v>-616.64982745517432</v>
      </c>
      <c r="C278" s="41">
        <v>136.28736590196533</v>
      </c>
      <c r="D278" s="16">
        <f t="shared" si="36"/>
        <v>167.5372553568244</v>
      </c>
    </row>
    <row r="279" spans="1:4" x14ac:dyDescent="0.2">
      <c r="A279" s="39">
        <v>-150</v>
      </c>
      <c r="B279" s="41">
        <v>-622.8434985458872</v>
      </c>
      <c r="C279" s="41">
        <v>132.51623420966567</v>
      </c>
      <c r="D279" s="16">
        <f t="shared" si="36"/>
        <v>167.98884363896664</v>
      </c>
    </row>
    <row r="280" spans="1:4" x14ac:dyDescent="0.2">
      <c r="A280" s="37">
        <v>-151</v>
      </c>
      <c r="B280" s="41">
        <v>-629.03645848813971</v>
      </c>
      <c r="C280" s="41">
        <v>128.78222451834409</v>
      </c>
      <c r="D280" s="16">
        <f t="shared" si="36"/>
        <v>168.42975633248497</v>
      </c>
    </row>
    <row r="281" spans="1:4" x14ac:dyDescent="0.2">
      <c r="A281" s="37">
        <v>-152</v>
      </c>
      <c r="B281" s="41">
        <v>-635.24440724795556</v>
      </c>
      <c r="C281" s="41">
        <v>125.07977765297518</v>
      </c>
      <c r="D281" s="16">
        <f t="shared" si="36"/>
        <v>168.86094103110921</v>
      </c>
    </row>
    <row r="282" spans="1:4" x14ac:dyDescent="0.2">
      <c r="A282" s="39">
        <v>-153</v>
      </c>
      <c r="B282" s="41">
        <v>-641.48328100407832</v>
      </c>
      <c r="C282" s="41">
        <v>121.40334236416346</v>
      </c>
      <c r="D282" s="16">
        <f t="shared" si="36"/>
        <v>169.28328630432327</v>
      </c>
    </row>
    <row r="283" spans="1:4" x14ac:dyDescent="0.2">
      <c r="A283" s="39">
        <v>-154</v>
      </c>
      <c r="B283" s="41">
        <v>-647.76939774126788</v>
      </c>
      <c r="C283" s="41">
        <v>117.74733145458623</v>
      </c>
      <c r="D283" s="16">
        <f t="shared" si="36"/>
        <v>169.69762992390898</v>
      </c>
    </row>
    <row r="284" spans="1:4" x14ac:dyDescent="0.2">
      <c r="A284" s="37">
        <v>-155</v>
      </c>
      <c r="B284" s="41">
        <v>-654.11960640965401</v>
      </c>
      <c r="C284" s="41">
        <v>114.10607723208706</v>
      </c>
      <c r="D284" s="16">
        <f t="shared" si="36"/>
        <v>170.10476614272065</v>
      </c>
    </row>
    <row r="285" spans="1:4" x14ac:dyDescent="0.2">
      <c r="A285" s="37">
        <v>-156</v>
      </c>
      <c r="B285" s="41">
        <v>-660.55145554568821</v>
      </c>
      <c r="C285" s="41">
        <v>110.47377966206803</v>
      </c>
      <c r="D285" s="16">
        <f t="shared" si="36"/>
        <v>170.50545286079122</v>
      </c>
    </row>
    <row r="286" spans="1:4" x14ac:dyDescent="0.2">
      <c r="A286" s="39">
        <v>-157</v>
      </c>
      <c r="B286" s="41">
        <v>-667.08336954318668</v>
      </c>
      <c r="C286" s="41">
        <v>106.84445265843364</v>
      </c>
      <c r="D286" s="16">
        <f t="shared" si="36"/>
        <v>170.90041799795264</v>
      </c>
    </row>
    <row r="287" spans="1:4" x14ac:dyDescent="0.2">
      <c r="A287" s="39">
        <v>-158</v>
      </c>
      <c r="B287" s="41">
        <v>-673.73484713163452</v>
      </c>
      <c r="C287" s="41">
        <v>103.2118624632885</v>
      </c>
      <c r="D287" s="16">
        <f t="shared" si="36"/>
        <v>171.29036577042024</v>
      </c>
    </row>
    <row r="288" spans="1:4" x14ac:dyDescent="0.2">
      <c r="A288" s="37">
        <v>-159</v>
      </c>
      <c r="B288" s="41">
        <v>-677.82933112318744</v>
      </c>
      <c r="C288" s="41">
        <v>98.920252938720111</v>
      </c>
      <c r="D288" s="16">
        <f t="shared" si="36"/>
        <v>171.69704958567539</v>
      </c>
    </row>
    <row r="289" spans="1:4" x14ac:dyDescent="0.2">
      <c r="A289" s="37">
        <v>-160</v>
      </c>
      <c r="B289" s="41">
        <v>-679.48771756156839</v>
      </c>
      <c r="C289" s="41">
        <v>94.079645525340084</v>
      </c>
      <c r="D289" s="16">
        <f t="shared" si="36"/>
        <v>172.11713116462766</v>
      </c>
    </row>
    <row r="290" spans="1:4" x14ac:dyDescent="0.2">
      <c r="A290" s="39">
        <v>-161</v>
      </c>
      <c r="B290" s="41">
        <v>-681.04520291233268</v>
      </c>
      <c r="C290" s="41">
        <v>89.2736700091736</v>
      </c>
      <c r="D290" s="16">
        <f t="shared" si="36"/>
        <v>172.53205791757168</v>
      </c>
    </row>
    <row r="291" spans="1:4" x14ac:dyDescent="0.2">
      <c r="A291" s="39">
        <v>-162</v>
      </c>
      <c r="B291" s="41">
        <v>-682.5061696681762</v>
      </c>
      <c r="C291" s="41">
        <v>84.497488407651531</v>
      </c>
      <c r="D291" s="16">
        <f t="shared" si="36"/>
        <v>172.94242417051814</v>
      </c>
    </row>
    <row r="292" spans="1:4" x14ac:dyDescent="0.2">
      <c r="A292" s="37">
        <v>-163</v>
      </c>
      <c r="B292" s="41">
        <v>-683.87466049508498</v>
      </c>
      <c r="C292" s="41">
        <v>79.746286965296989</v>
      </c>
      <c r="D292" s="16">
        <f t="shared" si="36"/>
        <v>173.34880600870602</v>
      </c>
    </row>
    <row r="293" spans="1:4" x14ac:dyDescent="0.2">
      <c r="A293" s="37">
        <v>-164</v>
      </c>
      <c r="B293" s="41">
        <v>-684.56910741944807</v>
      </c>
      <c r="C293" s="41">
        <v>77.342841668144956</v>
      </c>
      <c r="D293" s="16">
        <f t="shared" si="36"/>
        <v>173.55403796304347</v>
      </c>
    </row>
    <row r="294" spans="1:4" x14ac:dyDescent="0.2">
      <c r="A294" s="39">
        <v>-165</v>
      </c>
      <c r="B294" s="41">
        <v>-685.76800937446285</v>
      </c>
      <c r="C294" s="41">
        <v>72.629603467720372</v>
      </c>
      <c r="D294" s="16">
        <f t="shared" si="36"/>
        <v>173.95434848367975</v>
      </c>
    </row>
    <row r="295" spans="1:4" x14ac:dyDescent="0.2">
      <c r="A295" s="39">
        <v>-166</v>
      </c>
      <c r="B295" s="41">
        <v>-686.8848250587215</v>
      </c>
      <c r="C295" s="41">
        <v>67.927067353446262</v>
      </c>
      <c r="D295" s="16">
        <f t="shared" si="36"/>
        <v>174.35229755042249</v>
      </c>
    </row>
    <row r="296" spans="1:4" x14ac:dyDescent="0.2">
      <c r="A296" s="37">
        <v>-167</v>
      </c>
      <c r="B296" s="41">
        <v>-687.92245053597708</v>
      </c>
      <c r="C296" s="41">
        <v>63.230269120673348</v>
      </c>
      <c r="D296" s="16">
        <f t="shared" si="36"/>
        <v>174.74842451437803</v>
      </c>
    </row>
    <row r="297" spans="1:4" x14ac:dyDescent="0.2">
      <c r="A297" s="37">
        <v>-168</v>
      </c>
      <c r="B297" s="41">
        <v>-688.8835434676256</v>
      </c>
      <c r="C297" s="41">
        <v>58.534124083549067</v>
      </c>
      <c r="D297" s="16">
        <f t="shared" si="36"/>
        <v>175.14326927732651</v>
      </c>
    </row>
    <row r="298" spans="1:4" x14ac:dyDescent="0.2">
      <c r="A298" s="39">
        <v>-169</v>
      </c>
      <c r="B298" s="41">
        <v>-689.77053450205688</v>
      </c>
      <c r="C298" s="41">
        <v>53.833389702758929</v>
      </c>
      <c r="D298" s="16">
        <f t="shared" si="36"/>
        <v>175.53737631925947</v>
      </c>
    </row>
    <row r="299" spans="1:4" x14ac:dyDescent="0.2">
      <c r="A299" s="39">
        <v>-170</v>
      </c>
      <c r="B299" s="41">
        <v>-690.58565211014673</v>
      </c>
      <c r="C299" s="41">
        <v>49.12262341265356</v>
      </c>
      <c r="D299" s="16">
        <f t="shared" si="36"/>
        <v>175.93129912086962</v>
      </c>
    </row>
    <row r="300" spans="1:4" x14ac:dyDescent="0.2">
      <c r="A300" s="37">
        <v>-171</v>
      </c>
      <c r="B300" s="41">
        <v>-691.33092054328699</v>
      </c>
      <c r="C300" s="41">
        <v>44.396135480201039</v>
      </c>
      <c r="D300" s="16">
        <f t="shared" si="36"/>
        <v>176.32560473070336</v>
      </c>
    </row>
    <row r="301" spans="1:4" x14ac:dyDescent="0.2">
      <c r="A301" s="37">
        <v>-172</v>
      </c>
      <c r="B301" s="41">
        <v>-692.00818541001365</v>
      </c>
      <c r="C301" s="41">
        <v>39.647934357161077</v>
      </c>
      <c r="D301" s="16">
        <f t="shared" si="36"/>
        <v>176.72087905391021</v>
      </c>
    </row>
    <row r="302" spans="1:4" x14ac:dyDescent="0.2">
      <c r="A302" s="39">
        <v>-173</v>
      </c>
      <c r="B302" s="41">
        <v>-692.61911493124353</v>
      </c>
      <c r="C302" s="41">
        <v>34.871664004095649</v>
      </c>
      <c r="D302" s="16">
        <f t="shared" si="36"/>
        <v>177.11773257977086</v>
      </c>
    </row>
    <row r="303" spans="1:4" x14ac:dyDescent="0.2">
      <c r="A303" s="39">
        <v>-174</v>
      </c>
      <c r="B303" s="41">
        <v>-693.16521699749887</v>
      </c>
      <c r="C303" s="41">
        <v>30.060530274592377</v>
      </c>
      <c r="D303" s="16">
        <f t="shared" si="36"/>
        <v>177.51680702846235</v>
      </c>
    </row>
    <row r="304" spans="1:4" x14ac:dyDescent="0.2">
      <c r="A304" s="37">
        <v>-175</v>
      </c>
      <c r="B304" s="41">
        <v>-693.64784623889341</v>
      </c>
      <c r="C304" s="41">
        <v>25.20721424946672</v>
      </c>
      <c r="D304" s="16">
        <f t="shared" si="36"/>
        <v>177.91878294717313</v>
      </c>
    </row>
    <row r="305" spans="1:4" x14ac:dyDescent="0.2">
      <c r="A305" s="37">
        <v>-176</v>
      </c>
      <c r="B305" s="41">
        <v>-694.06820945783124</v>
      </c>
      <c r="C305" s="41">
        <v>20.303768947836577</v>
      </c>
      <c r="D305" s="16">
        <f t="shared" si="36"/>
        <v>178.32438860528237</v>
      </c>
    </row>
    <row r="306" spans="1:4" x14ac:dyDescent="0.2">
      <c r="A306" s="39">
        <v>-177</v>
      </c>
      <c r="B306" s="41">
        <v>-694.42738029236193</v>
      </c>
      <c r="C306" s="41">
        <v>15.341494930719342</v>
      </c>
      <c r="D306" s="16">
        <f t="shared" si="36"/>
        <v>178.73441057637893</v>
      </c>
    </row>
    <row r="307" spans="1:4" x14ac:dyDescent="0.2">
      <c r="A307" s="39">
        <v>-178</v>
      </c>
      <c r="B307" s="41">
        <v>-694.7263017455889</v>
      </c>
      <c r="C307" s="41">
        <v>10.31078938635784</v>
      </c>
      <c r="D307" s="16">
        <f t="shared" si="36"/>
        <v>179.14970637570528</v>
      </c>
    </row>
    <row r="308" spans="1:4" x14ac:dyDescent="0.2">
      <c r="A308" s="37">
        <v>-179</v>
      </c>
      <c r="B308" s="41">
        <v>-694.96579725742333</v>
      </c>
      <c r="C308" s="41">
        <v>5.2009608980291473</v>
      </c>
      <c r="D308" s="16">
        <f t="shared" si="36"/>
        <v>179.57121983984715</v>
      </c>
    </row>
    <row r="309" spans="1:4" x14ac:dyDescent="0.2">
      <c r="A309" s="37">
        <v>-180</v>
      </c>
      <c r="B309" s="41">
        <v>-695.14657916972806</v>
      </c>
      <c r="C309" s="41">
        <v>5.1881156245520066E-14</v>
      </c>
      <c r="D309" s="16">
        <f t="shared" si="36"/>
        <v>180</v>
      </c>
    </row>
    <row r="310" spans="1:4" x14ac:dyDescent="0.2">
      <c r="A310" s="39">
        <v>-181</v>
      </c>
      <c r="B310" s="41">
        <v>-694.96579725742333</v>
      </c>
      <c r="C310" s="41">
        <v>-5.2009608980292388</v>
      </c>
      <c r="D310" s="16">
        <f t="shared" si="36"/>
        <v>-179.57121983984712</v>
      </c>
    </row>
    <row r="311" spans="1:4" x14ac:dyDescent="0.2">
      <c r="A311" s="39">
        <v>-182</v>
      </c>
      <c r="B311" s="41">
        <v>-694.72630174558901</v>
      </c>
      <c r="C311" s="41">
        <v>-10.310789386357806</v>
      </c>
      <c r="D311" s="16">
        <f t="shared" si="36"/>
        <v>-179.14970637570528</v>
      </c>
    </row>
    <row r="312" spans="1:4" x14ac:dyDescent="0.2">
      <c r="A312" s="37">
        <v>-183</v>
      </c>
      <c r="B312" s="41">
        <v>-694.42738029236182</v>
      </c>
      <c r="C312" s="41">
        <v>-15.341494930719243</v>
      </c>
      <c r="D312" s="16">
        <f t="shared" si="36"/>
        <v>-178.73441057637893</v>
      </c>
    </row>
    <row r="313" spans="1:4" x14ac:dyDescent="0.2">
      <c r="A313" s="37">
        <v>-184</v>
      </c>
      <c r="B313" s="41">
        <v>-694.06820945783124</v>
      </c>
      <c r="C313" s="41">
        <v>-20.303768947836492</v>
      </c>
      <c r="D313" s="16">
        <f t="shared" si="36"/>
        <v>-178.32438860528237</v>
      </c>
    </row>
    <row r="314" spans="1:4" x14ac:dyDescent="0.2">
      <c r="A314" s="39">
        <v>-185</v>
      </c>
      <c r="B314" s="41">
        <v>-693.64784623889375</v>
      </c>
      <c r="C314" s="41">
        <v>-25.207214249466599</v>
      </c>
      <c r="D314" s="16">
        <f t="shared" si="36"/>
        <v>-177.91878294717316</v>
      </c>
    </row>
    <row r="315" spans="1:4" x14ac:dyDescent="0.2">
      <c r="A315" s="39">
        <v>-186</v>
      </c>
      <c r="B315" s="41">
        <v>-693.16521699749921</v>
      </c>
      <c r="C315" s="41">
        <v>-30.060530274592345</v>
      </c>
      <c r="D315" s="16">
        <f t="shared" si="36"/>
        <v>-177.51680702846235</v>
      </c>
    </row>
    <row r="316" spans="1:4" x14ac:dyDescent="0.2">
      <c r="A316" s="37">
        <v>-187</v>
      </c>
      <c r="B316" s="41">
        <v>-692.61911493124376</v>
      </c>
      <c r="C316" s="41">
        <v>-34.87166400409555</v>
      </c>
      <c r="D316" s="16">
        <f t="shared" si="36"/>
        <v>-177.11773257977089</v>
      </c>
    </row>
    <row r="317" spans="1:4" x14ac:dyDescent="0.2">
      <c r="A317" s="37">
        <v>-188</v>
      </c>
      <c r="B317" s="41">
        <v>-692.00818541001343</v>
      </c>
      <c r="C317" s="41">
        <v>-39.647934357161105</v>
      </c>
      <c r="D317" s="16">
        <f t="shared" si="36"/>
        <v>-176.72087905391021</v>
      </c>
    </row>
    <row r="318" spans="1:4" x14ac:dyDescent="0.2">
      <c r="A318" s="39">
        <v>-189</v>
      </c>
      <c r="B318" s="41">
        <v>-691.33092054328756</v>
      </c>
      <c r="C318" s="41">
        <v>-44.396135480201053</v>
      </c>
      <c r="D318" s="16">
        <f t="shared" si="36"/>
        <v>-176.32560473070336</v>
      </c>
    </row>
    <row r="319" spans="1:4" x14ac:dyDescent="0.2">
      <c r="A319" s="39">
        <v>-190</v>
      </c>
      <c r="B319" s="41">
        <v>-690.58565211014638</v>
      </c>
      <c r="C319" s="41">
        <v>-49.122623412653581</v>
      </c>
      <c r="D319" s="16">
        <f t="shared" si="36"/>
        <v>-175.93129912086962</v>
      </c>
    </row>
    <row r="320" spans="1:4" x14ac:dyDescent="0.2">
      <c r="A320" s="37">
        <v>-191</v>
      </c>
      <c r="B320" s="41">
        <v>-689.77053450205665</v>
      </c>
      <c r="C320" s="41">
        <v>-53.833389702758858</v>
      </c>
      <c r="D320" s="16">
        <f t="shared" si="36"/>
        <v>-175.53737631925947</v>
      </c>
    </row>
    <row r="321" spans="1:4" x14ac:dyDescent="0.2">
      <c r="A321" s="37">
        <v>-192</v>
      </c>
      <c r="B321" s="41">
        <v>-688.88354346762549</v>
      </c>
      <c r="C321" s="41">
        <v>-58.534124083549131</v>
      </c>
      <c r="D321" s="16">
        <f t="shared" si="36"/>
        <v>-175.14326927732648</v>
      </c>
    </row>
    <row r="322" spans="1:4" x14ac:dyDescent="0.2">
      <c r="A322" s="39">
        <v>-193</v>
      </c>
      <c r="B322" s="41">
        <v>-687.92245053597765</v>
      </c>
      <c r="C322" s="41">
        <v>-63.230269120673256</v>
      </c>
      <c r="D322" s="16">
        <f t="shared" ref="D322:D385" si="37">DEGREES(ATAN2(B322,C322))</f>
        <v>-174.74842451437803</v>
      </c>
    </row>
    <row r="323" spans="1:4" x14ac:dyDescent="0.2">
      <c r="A323" s="39">
        <v>-194</v>
      </c>
      <c r="B323" s="41">
        <v>-686.88482505872162</v>
      </c>
      <c r="C323" s="41">
        <v>-67.92706735344629</v>
      </c>
      <c r="D323" s="16">
        <f t="shared" si="37"/>
        <v>-174.35229755042249</v>
      </c>
    </row>
    <row r="324" spans="1:4" x14ac:dyDescent="0.2">
      <c r="A324" s="37">
        <v>-195</v>
      </c>
      <c r="B324" s="41">
        <v>-685.76800937446285</v>
      </c>
      <c r="C324" s="41">
        <v>-72.629603467720358</v>
      </c>
      <c r="D324" s="16">
        <f t="shared" si="37"/>
        <v>-173.95434848367975</v>
      </c>
    </row>
    <row r="325" spans="1:4" x14ac:dyDescent="0.2">
      <c r="A325" s="37">
        <v>-196</v>
      </c>
      <c r="B325" s="41">
        <v>-684.5691074194483</v>
      </c>
      <c r="C325" s="41">
        <v>-77.342841668144857</v>
      </c>
      <c r="D325" s="16">
        <f t="shared" si="37"/>
        <v>-173.55403796304347</v>
      </c>
    </row>
    <row r="326" spans="1:4" x14ac:dyDescent="0.2">
      <c r="A326" s="39">
        <v>-197</v>
      </c>
      <c r="B326" s="41">
        <v>-683.87466049508498</v>
      </c>
      <c r="C326" s="41">
        <v>-79.746286965297074</v>
      </c>
      <c r="D326" s="16">
        <f t="shared" si="37"/>
        <v>-173.34880600870602</v>
      </c>
    </row>
    <row r="327" spans="1:4" x14ac:dyDescent="0.2">
      <c r="A327" s="39">
        <v>-198</v>
      </c>
      <c r="B327" s="41">
        <v>-682.50616966817608</v>
      </c>
      <c r="C327" s="41">
        <v>-84.497488407651431</v>
      </c>
      <c r="D327" s="16">
        <f t="shared" si="37"/>
        <v>-172.94242417051817</v>
      </c>
    </row>
    <row r="328" spans="1:4" x14ac:dyDescent="0.2">
      <c r="A328" s="37">
        <v>-199</v>
      </c>
      <c r="B328" s="41">
        <v>-681.04520291233257</v>
      </c>
      <c r="C328" s="41">
        <v>-89.273670009173642</v>
      </c>
      <c r="D328" s="16">
        <f t="shared" si="37"/>
        <v>-172.53205791757168</v>
      </c>
    </row>
    <row r="329" spans="1:4" x14ac:dyDescent="0.2">
      <c r="A329" s="37">
        <v>-200</v>
      </c>
      <c r="B329" s="41">
        <v>-679.48771756156873</v>
      </c>
      <c r="C329" s="41">
        <v>-94.079645525340055</v>
      </c>
      <c r="D329" s="16">
        <f t="shared" si="37"/>
        <v>-172.11713116462766</v>
      </c>
    </row>
    <row r="330" spans="1:4" x14ac:dyDescent="0.2">
      <c r="A330" s="39">
        <v>-201</v>
      </c>
      <c r="B330" s="41">
        <v>-677.82933112318744</v>
      </c>
      <c r="C330" s="41">
        <v>-98.920252938720267</v>
      </c>
      <c r="D330" s="16">
        <f t="shared" si="37"/>
        <v>-171.69704958567536</v>
      </c>
    </row>
    <row r="331" spans="1:4" x14ac:dyDescent="0.2">
      <c r="A331" s="39">
        <v>-202</v>
      </c>
      <c r="B331" s="41">
        <v>-673.73484713163487</v>
      </c>
      <c r="C331" s="41">
        <v>-103.21186246328841</v>
      </c>
      <c r="D331" s="16">
        <f t="shared" si="37"/>
        <v>-171.29036577042024</v>
      </c>
    </row>
    <row r="332" spans="1:4" x14ac:dyDescent="0.2">
      <c r="A332" s="37">
        <v>-203</v>
      </c>
      <c r="B332" s="41">
        <v>-667.08336954318668</v>
      </c>
      <c r="C332" s="41">
        <v>-106.8444526584335</v>
      </c>
      <c r="D332" s="16">
        <f t="shared" si="37"/>
        <v>-170.90041799795267</v>
      </c>
    </row>
    <row r="333" spans="1:4" x14ac:dyDescent="0.2">
      <c r="A333" s="37">
        <v>-204</v>
      </c>
      <c r="B333" s="41">
        <v>-660.55145554568844</v>
      </c>
      <c r="C333" s="41">
        <v>-110.47377966206803</v>
      </c>
      <c r="D333" s="16">
        <f t="shared" si="37"/>
        <v>-170.50545286079122</v>
      </c>
    </row>
    <row r="334" spans="1:4" x14ac:dyDescent="0.2">
      <c r="A334" s="39">
        <v>-205</v>
      </c>
      <c r="B334" s="41">
        <v>-654.11960640965435</v>
      </c>
      <c r="C334" s="41">
        <v>-114.10607723208715</v>
      </c>
      <c r="D334" s="16">
        <f t="shared" si="37"/>
        <v>-170.10476614272065</v>
      </c>
    </row>
    <row r="335" spans="1:4" x14ac:dyDescent="0.2">
      <c r="A335" s="39">
        <v>-206</v>
      </c>
      <c r="B335" s="41">
        <v>-647.76939774126788</v>
      </c>
      <c r="C335" s="41">
        <v>-117.7473314545864</v>
      </c>
      <c r="D335" s="16">
        <f t="shared" si="37"/>
        <v>-169.69762992390898</v>
      </c>
    </row>
    <row r="336" spans="1:4" x14ac:dyDescent="0.2">
      <c r="A336" s="37">
        <v>-207</v>
      </c>
      <c r="B336" s="41">
        <v>-641.48328100407844</v>
      </c>
      <c r="C336" s="41">
        <v>-121.40334236416338</v>
      </c>
      <c r="D336" s="16">
        <f t="shared" si="37"/>
        <v>-169.28328630432327</v>
      </c>
    </row>
    <row r="337" spans="1:4" x14ac:dyDescent="0.2">
      <c r="A337" s="37">
        <v>-208</v>
      </c>
      <c r="B337" s="41">
        <v>-635.24440724795534</v>
      </c>
      <c r="C337" s="41">
        <v>-125.07977765297527</v>
      </c>
      <c r="D337" s="16">
        <f t="shared" si="37"/>
        <v>-168.86094103110918</v>
      </c>
    </row>
    <row r="338" spans="1:4" x14ac:dyDescent="0.2">
      <c r="A338" s="39">
        <v>-209</v>
      </c>
      <c r="B338" s="41">
        <v>-629.03645848813971</v>
      </c>
      <c r="C338" s="41">
        <v>-128.78222451834398</v>
      </c>
      <c r="D338" s="16">
        <f t="shared" si="37"/>
        <v>-168.42975633248497</v>
      </c>
    </row>
    <row r="339" spans="1:4" x14ac:dyDescent="0.2">
      <c r="A339" s="39">
        <v>-210</v>
      </c>
      <c r="B339" s="41">
        <v>-622.8434985458872</v>
      </c>
      <c r="C339" s="41">
        <v>-132.51623420966578</v>
      </c>
      <c r="D339" s="16">
        <f t="shared" si="37"/>
        <v>-167.98884363896664</v>
      </c>
    </row>
    <row r="340" spans="1:4" x14ac:dyDescent="0.2">
      <c r="A340" s="37">
        <v>-211</v>
      </c>
      <c r="B340" s="41">
        <v>-616.64982745517455</v>
      </c>
      <c r="C340" s="41">
        <v>-136.28736590196536</v>
      </c>
      <c r="D340" s="16">
        <f t="shared" si="37"/>
        <v>-167.5372553568244</v>
      </c>
    </row>
    <row r="341" spans="1:4" x14ac:dyDescent="0.2">
      <c r="A341" s="37">
        <v>-212</v>
      </c>
      <c r="B341" s="41">
        <v>-610.45064201641389</v>
      </c>
      <c r="C341" s="41">
        <v>-140.09270651810758</v>
      </c>
      <c r="D341" s="16">
        <f t="shared" si="37"/>
        <v>-167.07495664907941</v>
      </c>
    </row>
    <row r="342" spans="1:4" x14ac:dyDescent="0.2">
      <c r="A342" s="39">
        <v>-213</v>
      </c>
      <c r="B342" s="41">
        <v>-604.37064530533723</v>
      </c>
      <c r="C342" s="41">
        <v>-143.82877539220712</v>
      </c>
      <c r="D342" s="16">
        <f t="shared" si="37"/>
        <v>-166.6136925962758</v>
      </c>
    </row>
    <row r="343" spans="1:4" x14ac:dyDescent="0.2">
      <c r="A343" s="39">
        <v>-214</v>
      </c>
      <c r="B343" s="41">
        <v>-598.4363836132344</v>
      </c>
      <c r="C343" s="41">
        <v>-147.47283200027798</v>
      </c>
      <c r="D343" s="16">
        <f t="shared" si="37"/>
        <v>-166.15641757351557</v>
      </c>
    </row>
    <row r="344" spans="1:4" x14ac:dyDescent="0.2">
      <c r="A344" s="37">
        <v>-215</v>
      </c>
      <c r="B344" s="41">
        <v>-592.63211284624583</v>
      </c>
      <c r="C344" s="41">
        <v>-151.03582347479272</v>
      </c>
      <c r="D344" s="16">
        <f t="shared" si="37"/>
        <v>-165.702197659061</v>
      </c>
    </row>
    <row r="345" spans="1:4" x14ac:dyDescent="0.2">
      <c r="A345" s="37">
        <v>-216</v>
      </c>
      <c r="B345" s="41">
        <v>-586.94329281957528</v>
      </c>
      <c r="C345" s="41">
        <v>-154.52769393039836</v>
      </c>
      <c r="D345" s="16">
        <f t="shared" si="37"/>
        <v>-165.25014414686837</v>
      </c>
    </row>
    <row r="346" spans="1:4" x14ac:dyDescent="0.2">
      <c r="A346" s="39">
        <v>-217</v>
      </c>
      <c r="B346" s="41">
        <v>-581.35641462255171</v>
      </c>
      <c r="C346" s="41">
        <v>-157.9575403760395</v>
      </c>
      <c r="D346" s="16">
        <f t="shared" si="37"/>
        <v>-164.7994035784069</v>
      </c>
    </row>
    <row r="347" spans="1:4" x14ac:dyDescent="0.2">
      <c r="A347" s="39">
        <v>-218</v>
      </c>
      <c r="B347" s="41">
        <v>-574.07385562440618</v>
      </c>
      <c r="C347" s="41">
        <v>-162.16664990906997</v>
      </c>
      <c r="D347" s="16">
        <f t="shared" si="37"/>
        <v>-164.22586571865759</v>
      </c>
    </row>
    <row r="348" spans="1:4" x14ac:dyDescent="0.2">
      <c r="A348" s="37">
        <v>-219</v>
      </c>
      <c r="B348" s="41">
        <v>-566.1160333639441</v>
      </c>
      <c r="C348" s="41">
        <v>-166.65803522710914</v>
      </c>
      <c r="D348" s="16">
        <f t="shared" si="37"/>
        <v>-163.59617891620138</v>
      </c>
    </row>
    <row r="349" spans="1:4" x14ac:dyDescent="0.2">
      <c r="A349" s="37">
        <v>-220</v>
      </c>
      <c r="B349" s="41">
        <v>-558.34653704655852</v>
      </c>
      <c r="C349" s="41">
        <v>-171.02937674981851</v>
      </c>
      <c r="D349" s="16">
        <f t="shared" si="37"/>
        <v>-162.9694387595558</v>
      </c>
    </row>
    <row r="350" spans="1:4" x14ac:dyDescent="0.2">
      <c r="A350" s="39">
        <v>-221</v>
      </c>
      <c r="B350" s="41">
        <v>-550.74666524180691</v>
      </c>
      <c r="C350" s="41">
        <v>-175.29436137565264</v>
      </c>
      <c r="D350" s="16">
        <f t="shared" si="37"/>
        <v>-162.34451142156763</v>
      </c>
    </row>
    <row r="351" spans="1:4" x14ac:dyDescent="0.2">
      <c r="A351" s="39">
        <v>-222</v>
      </c>
      <c r="B351" s="41">
        <v>-543.29889605126789</v>
      </c>
      <c r="C351" s="41">
        <v>-179.46562896825745</v>
      </c>
      <c r="D351" s="16">
        <f t="shared" si="37"/>
        <v>-161.72027920708089</v>
      </c>
    </row>
    <row r="352" spans="1:4" x14ac:dyDescent="0.2">
      <c r="A352" s="37">
        <v>-223</v>
      </c>
      <c r="B352" s="41">
        <v>-535.98671123678207</v>
      </c>
      <c r="C352" s="41">
        <v>-183.55493108927939</v>
      </c>
      <c r="D352" s="16">
        <f t="shared" si="37"/>
        <v>-161.09563099120948</v>
      </c>
    </row>
    <row r="353" spans="1:4" x14ac:dyDescent="0.2">
      <c r="A353" s="37">
        <v>-224</v>
      </c>
      <c r="B353" s="41">
        <v>-528.79443624687201</v>
      </c>
      <c r="C353" s="41">
        <v>-187.57327060661729</v>
      </c>
      <c r="D353" s="16">
        <f t="shared" si="37"/>
        <v>-160.46945281491551</v>
      </c>
    </row>
    <row r="354" spans="1:4" x14ac:dyDescent="0.2">
      <c r="A354" s="39">
        <v>-225</v>
      </c>
      <c r="B354" s="41">
        <v>-521.70709534576849</v>
      </c>
      <c r="C354" s="41">
        <v>-191.53102653057744</v>
      </c>
      <c r="D354" s="16">
        <f t="shared" si="37"/>
        <v>-159.84061846894434</v>
      </c>
    </row>
    <row r="355" spans="1:4" x14ac:dyDescent="0.2">
      <c r="A355" s="39">
        <v>-226</v>
      </c>
      <c r="B355" s="41">
        <v>-514.71027446506787</v>
      </c>
      <c r="C355" s="41">
        <v>-195.43806585994031</v>
      </c>
      <c r="D355" s="16">
        <f t="shared" si="37"/>
        <v>-159.2079798616198</v>
      </c>
    </row>
    <row r="356" spans="1:4" x14ac:dyDescent="0.2">
      <c r="A356" s="37">
        <v>-227</v>
      </c>
      <c r="B356" s="41">
        <v>-507.78999420432501</v>
      </c>
      <c r="C356" s="41">
        <v>-199.30384671972058</v>
      </c>
      <c r="D356" s="16">
        <f t="shared" si="37"/>
        <v>-158.57035699566197</v>
      </c>
    </row>
    <row r="357" spans="1:4" x14ac:dyDescent="0.2">
      <c r="A357" s="37">
        <v>-228</v>
      </c>
      <c r="B357" s="41">
        <v>-500.93258469195899</v>
      </c>
      <c r="C357" s="41">
        <v>-203.13751285367036</v>
      </c>
      <c r="D357" s="16">
        <f t="shared" si="37"/>
        <v>-157.92652736725211</v>
      </c>
    </row>
    <row r="358" spans="1:4" x14ac:dyDescent="0.2">
      <c r="A358" s="39">
        <v>-229</v>
      </c>
      <c r="B358" s="41">
        <v>-494.12456590314002</v>
      </c>
      <c r="C358" s="41">
        <v>-206.94798408489413</v>
      </c>
      <c r="D358" s="16">
        <f t="shared" si="37"/>
        <v>-157.27521453803581</v>
      </c>
    </row>
    <row r="359" spans="1:4" x14ac:dyDescent="0.2">
      <c r="A359" s="39">
        <v>-230</v>
      </c>
      <c r="B359" s="41">
        <v>-487.35252598376655</v>
      </c>
      <c r="C359" s="41">
        <v>-210.74404235337266</v>
      </c>
      <c r="D359" s="16">
        <f t="shared" si="37"/>
        <v>-156.61507567125219</v>
      </c>
    </row>
    <row r="360" spans="1:4" x14ac:dyDescent="0.2">
      <c r="A360" s="37">
        <v>-231</v>
      </c>
      <c r="B360" s="41">
        <v>-480.60299854900302</v>
      </c>
      <c r="C360" s="41">
        <v>-214.53441689590935</v>
      </c>
      <c r="D360" s="16">
        <f t="shared" si="37"/>
        <v>-155.94468770898285</v>
      </c>
    </row>
    <row r="361" spans="1:4" x14ac:dyDescent="0.2">
      <c r="A361" s="37">
        <v>-232</v>
      </c>
      <c r="B361" s="41">
        <v>-473.86233352489091</v>
      </c>
      <c r="C361" s="41">
        <v>-218.32786857982043</v>
      </c>
      <c r="D361" s="16">
        <f t="shared" si="37"/>
        <v>-155.26253192136082</v>
      </c>
    </row>
    <row r="362" spans="1:4" x14ac:dyDescent="0.2">
      <c r="A362" s="39">
        <v>-233</v>
      </c>
      <c r="B362" s="41">
        <v>-467.11656171513232</v>
      </c>
      <c r="C362" s="41">
        <v>-222.13327743699224</v>
      </c>
      <c r="D362" s="16">
        <f t="shared" si="37"/>
        <v>-154.56697634709192</v>
      </c>
    </row>
    <row r="363" spans="1:4" x14ac:dyDescent="0.2">
      <c r="A363" s="39">
        <v>-234</v>
      </c>
      <c r="B363" s="41">
        <v>-460.35124602780775</v>
      </c>
      <c r="C363" s="41">
        <v>-225.95973223354326</v>
      </c>
      <c r="D363" s="16">
        <f t="shared" si="37"/>
        <v>-153.85625579532993</v>
      </c>
    </row>
    <row r="364" spans="1:4" x14ac:dyDescent="0.2">
      <c r="A364" s="37">
        <v>-235</v>
      </c>
      <c r="B364" s="41">
        <v>-453.55131979933537</v>
      </c>
      <c r="C364" s="41">
        <v>-229.81662789159245</v>
      </c>
      <c r="D364" s="16">
        <f t="shared" si="37"/>
        <v>-153.12844866137686</v>
      </c>
    </row>
    <row r="365" spans="1:4" x14ac:dyDescent="0.2">
      <c r="A365" s="37">
        <v>-236</v>
      </c>
      <c r="B365" s="41">
        <v>-446.70090426799192</v>
      </c>
      <c r="C365" s="41">
        <v>-233.71377021500408</v>
      </c>
      <c r="D365" s="16">
        <f t="shared" si="37"/>
        <v>-152.38144999362041</v>
      </c>
    </row>
    <row r="366" spans="1:4" x14ac:dyDescent="0.2">
      <c r="A366" s="39">
        <v>-237</v>
      </c>
      <c r="B366" s="41">
        <v>-439.75491171216942</v>
      </c>
      <c r="C366" s="41">
        <v>-237.65813227094688</v>
      </c>
      <c r="D366" s="16">
        <f t="shared" si="37"/>
        <v>-151.61174250642475</v>
      </c>
    </row>
    <row r="367" spans="1:4" x14ac:dyDescent="0.2">
      <c r="A367" s="39">
        <v>-238</v>
      </c>
      <c r="B367" s="41">
        <v>-432.14327968492876</v>
      </c>
      <c r="C367" s="41">
        <v>-241.59115934490933</v>
      </c>
      <c r="D367" s="16">
        <f t="shared" si="37"/>
        <v>-150.79247958434351</v>
      </c>
    </row>
    <row r="368" spans="1:4" x14ac:dyDescent="0.2">
      <c r="A368" s="37">
        <v>-239</v>
      </c>
      <c r="B368" s="41">
        <v>-424.46706935551322</v>
      </c>
      <c r="C368" s="41">
        <v>-245.59561093268243</v>
      </c>
      <c r="D368" s="16">
        <f t="shared" si="37"/>
        <v>-149.94643054296725</v>
      </c>
    </row>
    <row r="369" spans="1:4" x14ac:dyDescent="0.2">
      <c r="A369" s="37">
        <v>-240</v>
      </c>
      <c r="B369" s="41">
        <v>-416.70552055725335</v>
      </c>
      <c r="C369" s="41">
        <v>-249.68501735590985</v>
      </c>
      <c r="D369" s="16">
        <f t="shared" si="37"/>
        <v>-149.07045760137478</v>
      </c>
    </row>
    <row r="370" spans="1:4" x14ac:dyDescent="0.2">
      <c r="A370" s="39">
        <v>-241</v>
      </c>
      <c r="B370" s="41">
        <v>-408.83586317348636</v>
      </c>
      <c r="C370" s="41">
        <v>-253.87411898138825</v>
      </c>
      <c r="D370" s="16">
        <f t="shared" si="37"/>
        <v>-148.16102897518388</v>
      </c>
    </row>
    <row r="371" spans="1:4" x14ac:dyDescent="0.2">
      <c r="A371" s="39">
        <v>-242</v>
      </c>
      <c r="B371" s="41">
        <v>-400.83286144804703</v>
      </c>
      <c r="C371" s="41">
        <v>-258.17911640190789</v>
      </c>
      <c r="D371" s="16">
        <f t="shared" si="37"/>
        <v>-147.21414523963222</v>
      </c>
    </row>
    <row r="372" spans="1:4" x14ac:dyDescent="0.2">
      <c r="A372" s="37">
        <v>-243</v>
      </c>
      <c r="B372" s="41">
        <v>-392.66825926436542</v>
      </c>
      <c r="C372" s="41">
        <v>-262.6179663869874</v>
      </c>
      <c r="D372" s="16">
        <f t="shared" si="37"/>
        <v>-146.22524968095735</v>
      </c>
    </row>
    <row r="373" spans="1:4" x14ac:dyDescent="0.2">
      <c r="A373" s="37">
        <v>-244</v>
      </c>
      <c r="B373" s="41">
        <v>-384.31009530106934</v>
      </c>
      <c r="C373" s="41">
        <v>-267.21073872991451</v>
      </c>
      <c r="D373" s="16">
        <f t="shared" si="37"/>
        <v>-145.18911788845668</v>
      </c>
    </row>
    <row r="374" spans="1:4" x14ac:dyDescent="0.2">
      <c r="A374" s="39">
        <v>-245</v>
      </c>
      <c r="B374" s="41">
        <v>-375.72184911306283</v>
      </c>
      <c r="C374" s="41">
        <v>-271.98005011725348</v>
      </c>
      <c r="D374" s="16">
        <f t="shared" si="37"/>
        <v>-144.0997208506621</v>
      </c>
    </row>
    <row r="375" spans="1:4" x14ac:dyDescent="0.2">
      <c r="A375" s="39">
        <v>-246</v>
      </c>
      <c r="B375" s="41">
        <v>-366.86136628603731</v>
      </c>
      <c r="C375" s="41">
        <v>-276.95159552518186</v>
      </c>
      <c r="D375" s="16">
        <f t="shared" si="37"/>
        <v>-142.95005408333461</v>
      </c>
    </row>
    <row r="376" spans="1:4" x14ac:dyDescent="0.2">
      <c r="A376" s="37">
        <v>-247</v>
      </c>
      <c r="B376" s="41">
        <v>-357.67948929589863</v>
      </c>
      <c r="C376" s="41">
        <v>-282.15480736871621</v>
      </c>
      <c r="D376" s="16">
        <f t="shared" si="37"/>
        <v>-141.7319223338105</v>
      </c>
    </row>
    <row r="377" spans="1:4" x14ac:dyDescent="0.2">
      <c r="A377" s="37">
        <v>-248</v>
      </c>
      <c r="B377" s="41">
        <v>-348.11829451302282</v>
      </c>
      <c r="C377" s="41">
        <v>-287.62368063926812</v>
      </c>
      <c r="D377" s="16">
        <f t="shared" si="37"/>
        <v>-140.43566614242624</v>
      </c>
    </row>
    <row r="378" spans="1:4" x14ac:dyDescent="0.2">
      <c r="A378" s="39">
        <v>-249</v>
      </c>
      <c r="B378" s="41">
        <v>-338.10879657676696</v>
      </c>
      <c r="C378" s="41">
        <v>-293.39781544624111</v>
      </c>
      <c r="D378" s="16">
        <f t="shared" si="37"/>
        <v>-139.04981176504481</v>
      </c>
    </row>
    <row r="379" spans="1:4" x14ac:dyDescent="0.2">
      <c r="A379" s="39">
        <v>-250</v>
      </c>
      <c r="B379" s="41">
        <v>-327.56791803802025</v>
      </c>
      <c r="C379" s="41">
        <v>-299.5237524610896</v>
      </c>
      <c r="D379" s="16">
        <f t="shared" si="37"/>
        <v>-137.56061832061189</v>
      </c>
    </row>
    <row r="380" spans="1:4" x14ac:dyDescent="0.2">
      <c r="A380" s="37">
        <v>-251</v>
      </c>
      <c r="B380" s="41">
        <v>-316.39443903586192</v>
      </c>
      <c r="C380" s="41">
        <v>-306.0566999296035</v>
      </c>
      <c r="D380" s="16">
        <f t="shared" si="37"/>
        <v>-135.95148732759387</v>
      </c>
    </row>
    <row r="381" spans="1:4" x14ac:dyDescent="0.2">
      <c r="A381" s="37">
        <v>-252</v>
      </c>
      <c r="B381" s="41">
        <v>-304.46350158303301</v>
      </c>
      <c r="C381" s="41">
        <v>-313.06279841753985</v>
      </c>
      <c r="D381" s="16">
        <f t="shared" si="37"/>
        <v>-134.20218528131775</v>
      </c>
    </row>
    <row r="382" spans="1:4" x14ac:dyDescent="0.2">
      <c r="A382" s="39">
        <v>-253</v>
      </c>
      <c r="B382" s="41">
        <v>-291.61903194000621</v>
      </c>
      <c r="C382" s="41">
        <v>-320.62213299014263</v>
      </c>
      <c r="D382" s="16">
        <f t="shared" si="37"/>
        <v>-132.28781075796442</v>
      </c>
    </row>
    <row r="383" spans="1:4" x14ac:dyDescent="0.2">
      <c r="A383" s="39">
        <v>-254</v>
      </c>
      <c r="B383" s="41">
        <v>-277.67028707732226</v>
      </c>
      <c r="C383" s="41">
        <v>-328.82809362643945</v>
      </c>
      <c r="D383" s="16">
        <f t="shared" si="37"/>
        <v>-130.17854534523784</v>
      </c>
    </row>
    <row r="384" spans="1:4" x14ac:dyDescent="0.2">
      <c r="A384" s="37">
        <v>-255</v>
      </c>
      <c r="B384" s="41">
        <v>-263.05298950168384</v>
      </c>
      <c r="C384" s="41">
        <v>-337.36200079918547</v>
      </c>
      <c r="D384" s="16">
        <f t="shared" si="37"/>
        <v>-127.94479275705315</v>
      </c>
    </row>
    <row r="385" spans="1:4" x14ac:dyDescent="0.2">
      <c r="A385" s="37">
        <v>-256</v>
      </c>
      <c r="B385" s="41">
        <v>-249.28458613521946</v>
      </c>
      <c r="C385" s="41">
        <v>-345.33921953928791</v>
      </c>
      <c r="D385" s="16">
        <f t="shared" si="37"/>
        <v>-125.82379490909913</v>
      </c>
    </row>
    <row r="386" spans="1:4" x14ac:dyDescent="0.2">
      <c r="A386" s="39">
        <v>-257</v>
      </c>
      <c r="B386" s="41">
        <v>-239.66618570634799</v>
      </c>
      <c r="C386" s="41">
        <v>-350.98712668034102</v>
      </c>
      <c r="D386" s="16">
        <f t="shared" ref="D386:D449" si="38">DEGREES(ATAN2(B386,C386))</f>
        <v>-124.32661689606832</v>
      </c>
    </row>
    <row r="387" spans="1:4" x14ac:dyDescent="0.2">
      <c r="A387" s="39">
        <v>-258</v>
      </c>
      <c r="B387" s="41">
        <v>-230.02866933279583</v>
      </c>
      <c r="C387" s="41">
        <v>-356.69196949760249</v>
      </c>
      <c r="D387" s="16">
        <f t="shared" si="38"/>
        <v>-122.81774481929756</v>
      </c>
    </row>
    <row r="388" spans="1:4" x14ac:dyDescent="0.2">
      <c r="A388" s="37">
        <v>-259</v>
      </c>
      <c r="B388" s="41">
        <v>-220.20979209231629</v>
      </c>
      <c r="C388" s="41">
        <v>-362.43245507501626</v>
      </c>
      <c r="D388" s="16">
        <f t="shared" si="38"/>
        <v>-121.28238436544861</v>
      </c>
    </row>
    <row r="389" spans="1:4" x14ac:dyDescent="0.2">
      <c r="A389" s="37">
        <v>-260</v>
      </c>
      <c r="B389" s="41">
        <v>-209.49600053786543</v>
      </c>
      <c r="C389" s="41">
        <v>-367.99623126293841</v>
      </c>
      <c r="D389" s="16">
        <f t="shared" si="38"/>
        <v>-119.65235910333971</v>
      </c>
    </row>
    <row r="390" spans="1:4" x14ac:dyDescent="0.2">
      <c r="A390" s="39">
        <v>-261</v>
      </c>
      <c r="B390" s="41">
        <v>-198.56005566775536</v>
      </c>
      <c r="C390" s="41">
        <v>-373.73474670821429</v>
      </c>
      <c r="D390" s="16">
        <f t="shared" si="38"/>
        <v>-117.98108504590591</v>
      </c>
    </row>
    <row r="391" spans="1:4" x14ac:dyDescent="0.2">
      <c r="A391" s="39">
        <v>-262</v>
      </c>
      <c r="B391" s="41">
        <v>-187.34179320284991</v>
      </c>
      <c r="C391" s="41">
        <v>-379.70769974448842</v>
      </c>
      <c r="D391" s="16">
        <f t="shared" si="38"/>
        <v>-116.26100512359216</v>
      </c>
    </row>
    <row r="392" spans="1:4" x14ac:dyDescent="0.2">
      <c r="A392" s="37">
        <v>-263</v>
      </c>
      <c r="B392" s="41">
        <v>-175.76575650267401</v>
      </c>
      <c r="C392" s="41">
        <v>-385.98714716194985</v>
      </c>
      <c r="D392" s="16">
        <f t="shared" si="38"/>
        <v>-114.48294719028087</v>
      </c>
    </row>
    <row r="393" spans="1:4" x14ac:dyDescent="0.2">
      <c r="A393" s="37">
        <v>-264</v>
      </c>
      <c r="B393" s="41">
        <v>-163.73553605017716</v>
      </c>
      <c r="C393" s="41">
        <v>-392.66129597335748</v>
      </c>
      <c r="D393" s="16">
        <f t="shared" si="38"/>
        <v>-112.63561128049031</v>
      </c>
    </row>
    <row r="394" spans="1:4" x14ac:dyDescent="0.2">
      <c r="A394" s="39">
        <v>-265</v>
      </c>
      <c r="B394" s="41">
        <v>-148.12531487762161</v>
      </c>
      <c r="C394" s="41">
        <v>-395.18050456802126</v>
      </c>
      <c r="D394" s="16">
        <f t="shared" si="38"/>
        <v>-110.54748069876648</v>
      </c>
    </row>
    <row r="395" spans="1:4" x14ac:dyDescent="0.2">
      <c r="A395" s="39">
        <v>-266</v>
      </c>
      <c r="B395" s="41">
        <v>-131.22913773661639</v>
      </c>
      <c r="C395" s="41">
        <v>-396.17236824552259</v>
      </c>
      <c r="D395" s="16">
        <f t="shared" si="38"/>
        <v>-108.32706651723024</v>
      </c>
    </row>
    <row r="396" spans="1:4" x14ac:dyDescent="0.2">
      <c r="A396" s="37">
        <v>-267</v>
      </c>
      <c r="B396" s="41">
        <v>-113.90814008499336</v>
      </c>
      <c r="C396" s="41">
        <v>-396.94146470528943</v>
      </c>
      <c r="D396" s="16">
        <f t="shared" si="38"/>
        <v>-106.0116039735468</v>
      </c>
    </row>
    <row r="397" spans="1:4" x14ac:dyDescent="0.2">
      <c r="A397" s="37">
        <v>-268</v>
      </c>
      <c r="B397" s="41">
        <v>-96.074516024301786</v>
      </c>
      <c r="C397" s="41">
        <v>-397.4896844361034</v>
      </c>
      <c r="D397" s="16">
        <f t="shared" si="38"/>
        <v>-103.58796716826055</v>
      </c>
    </row>
    <row r="398" spans="1:4" x14ac:dyDescent="0.2">
      <c r="A398" s="39">
        <v>-269</v>
      </c>
      <c r="B398" s="41">
        <v>-77.620570689802804</v>
      </c>
      <c r="C398" s="41">
        <v>-397.81837020795825</v>
      </c>
      <c r="D398" s="16">
        <f t="shared" si="38"/>
        <v>-101.04058972475465</v>
      </c>
    </row>
    <row r="399" spans="1:4" x14ac:dyDescent="0.2">
      <c r="A399" s="39">
        <v>-270</v>
      </c>
      <c r="B399" s="41">
        <v>-62.865000000000251</v>
      </c>
      <c r="C399" s="41">
        <v>-397.90331074479241</v>
      </c>
      <c r="D399" s="16">
        <f t="shared" si="38"/>
        <v>-98.977987902889126</v>
      </c>
    </row>
    <row r="400" spans="1:4" x14ac:dyDescent="0.2">
      <c r="A400" s="37">
        <v>-271</v>
      </c>
      <c r="B400" s="41">
        <v>-48.109429310197527</v>
      </c>
      <c r="C400" s="41">
        <v>-397.81837020795854</v>
      </c>
      <c r="D400" s="16">
        <f t="shared" si="38"/>
        <v>-96.895474257632387</v>
      </c>
    </row>
    <row r="401" spans="1:4" x14ac:dyDescent="0.2">
      <c r="A401" s="37">
        <v>-272</v>
      </c>
      <c r="B401" s="41">
        <v>-29.65548397569771</v>
      </c>
      <c r="C401" s="41">
        <v>-397.48968443610323</v>
      </c>
      <c r="D401" s="16">
        <f t="shared" si="38"/>
        <v>-94.266757239022638</v>
      </c>
    </row>
    <row r="402" spans="1:4" x14ac:dyDescent="0.2">
      <c r="A402" s="39">
        <v>-273</v>
      </c>
      <c r="B402" s="41">
        <v>-11.821859915007051</v>
      </c>
      <c r="C402" s="41">
        <v>-396.94146470528955</v>
      </c>
      <c r="D402" s="16">
        <f t="shared" si="38"/>
        <v>-91.705900190510505</v>
      </c>
    </row>
    <row r="403" spans="1:4" x14ac:dyDescent="0.2">
      <c r="A403" s="39">
        <v>-274</v>
      </c>
      <c r="B403" s="41">
        <v>10.322312181342781</v>
      </c>
      <c r="C403" s="41">
        <v>-393.64382213125913</v>
      </c>
      <c r="D403" s="16">
        <f t="shared" si="38"/>
        <v>-88.497907531209052</v>
      </c>
    </row>
    <row r="404" spans="1:4" x14ac:dyDescent="0.2">
      <c r="A404" s="37">
        <v>-275</v>
      </c>
      <c r="B404" s="41">
        <v>32.862788994761722</v>
      </c>
      <c r="C404" s="41">
        <v>-389.70533563619381</v>
      </c>
      <c r="D404" s="16">
        <f t="shared" si="38"/>
        <v>-85.179807068013261</v>
      </c>
    </row>
    <row r="405" spans="1:4" x14ac:dyDescent="0.2">
      <c r="A405" s="37">
        <v>-276</v>
      </c>
      <c r="B405" s="41">
        <v>54.709151952860452</v>
      </c>
      <c r="C405" s="41">
        <v>-385.72710364818306</v>
      </c>
      <c r="D405" s="16">
        <f t="shared" si="38"/>
        <v>-81.927364808903263</v>
      </c>
    </row>
    <row r="406" spans="1:4" x14ac:dyDescent="0.2">
      <c r="A406" s="39">
        <v>-277</v>
      </c>
      <c r="B406" s="41">
        <v>75.901115842224698</v>
      </c>
      <c r="C406" s="41">
        <v>-381.44099742334009</v>
      </c>
      <c r="D406" s="16">
        <f t="shared" si="38"/>
        <v>-78.745985492133954</v>
      </c>
    </row>
    <row r="407" spans="1:4" x14ac:dyDescent="0.2">
      <c r="A407" s="39">
        <v>-278</v>
      </c>
      <c r="B407" s="41">
        <v>95.564621565936704</v>
      </c>
      <c r="C407" s="41">
        <v>-373.67467508297938</v>
      </c>
      <c r="D407" s="16">
        <f t="shared" si="38"/>
        <v>-75.654492418594515</v>
      </c>
    </row>
    <row r="408" spans="1:4" x14ac:dyDescent="0.2">
      <c r="A408" s="37">
        <v>-279</v>
      </c>
      <c r="B408" s="41">
        <v>114.16611446591126</v>
      </c>
      <c r="C408" s="41">
        <v>-366.22019523192341</v>
      </c>
      <c r="D408" s="16">
        <f t="shared" si="38"/>
        <v>-72.685564694416939</v>
      </c>
    </row>
    <row r="409" spans="1:4" x14ac:dyDescent="0.2">
      <c r="A409" s="37">
        <v>-280</v>
      </c>
      <c r="B409" s="41">
        <v>131.85101947112386</v>
      </c>
      <c r="C409" s="41">
        <v>-359.02305130043874</v>
      </c>
      <c r="D409" s="16">
        <f t="shared" si="38"/>
        <v>-69.834268115811739</v>
      </c>
    </row>
    <row r="410" spans="1:4" x14ac:dyDescent="0.2">
      <c r="A410" s="39">
        <v>-281</v>
      </c>
      <c r="B410" s="41">
        <v>148.74406548230226</v>
      </c>
      <c r="C410" s="41">
        <v>-352.03477822441158</v>
      </c>
      <c r="D410" s="16">
        <f t="shared" si="38"/>
        <v>-67.094647945112456</v>
      </c>
    </row>
    <row r="411" spans="1:4" x14ac:dyDescent="0.2">
      <c r="A411" s="39">
        <v>-282</v>
      </c>
      <c r="B411" s="41">
        <v>164.95273514918298</v>
      </c>
      <c r="C411" s="41">
        <v>-345.2120256545968</v>
      </c>
      <c r="D411" s="16">
        <f t="shared" si="38"/>
        <v>-64.46011976909341</v>
      </c>
    </row>
    <row r="412" spans="1:4" x14ac:dyDescent="0.2">
      <c r="A412" s="37">
        <v>-283</v>
      </c>
      <c r="B412" s="41">
        <v>180.57010761424795</v>
      </c>
      <c r="C412" s="41">
        <v>-338.51575802236283</v>
      </c>
      <c r="D412" s="16">
        <f t="shared" si="38"/>
        <v>-61.923774776843118</v>
      </c>
    </row>
    <row r="413" spans="1:4" x14ac:dyDescent="0.2">
      <c r="A413" s="37">
        <v>-284</v>
      </c>
      <c r="B413" s="41">
        <v>195.67720616873507</v>
      </c>
      <c r="C413" s="41">
        <v>-331.91056878244831</v>
      </c>
      <c r="D413" s="16">
        <f t="shared" si="38"/>
        <v>-59.478610210955026</v>
      </c>
    </row>
    <row r="414" spans="1:4" x14ac:dyDescent="0.2">
      <c r="A414" s="39">
        <v>-285</v>
      </c>
      <c r="B414" s="41">
        <v>210.23480476009846</v>
      </c>
      <c r="C414" s="41">
        <v>-325.41683929939177</v>
      </c>
      <c r="D414" s="16">
        <f t="shared" si="38"/>
        <v>-57.135611168733377</v>
      </c>
    </row>
    <row r="415" spans="1:4" x14ac:dyDescent="0.2">
      <c r="A415" s="39">
        <v>-286</v>
      </c>
      <c r="B415" s="41">
        <v>223.53602684358958</v>
      </c>
      <c r="C415" s="41">
        <v>-319.38920889410412</v>
      </c>
      <c r="D415" s="16">
        <f t="shared" si="38"/>
        <v>-55.01236482535117</v>
      </c>
    </row>
    <row r="416" spans="1:4" x14ac:dyDescent="0.2">
      <c r="A416" s="37">
        <v>-287</v>
      </c>
      <c r="B416" s="41">
        <v>238.49820946773329</v>
      </c>
      <c r="C416" s="41">
        <v>-311.55703887273188</v>
      </c>
      <c r="D416" s="16">
        <f t="shared" si="38"/>
        <v>-52.565793628433681</v>
      </c>
    </row>
    <row r="417" spans="1:4" x14ac:dyDescent="0.2">
      <c r="A417" s="37">
        <v>-288</v>
      </c>
      <c r="B417" s="41">
        <v>252.7286893741188</v>
      </c>
      <c r="C417" s="41">
        <v>-303.86674576495921</v>
      </c>
      <c r="D417" s="16">
        <f t="shared" si="38"/>
        <v>-50.249399844953601</v>
      </c>
    </row>
    <row r="418" spans="1:4" x14ac:dyDescent="0.2">
      <c r="A418" s="39">
        <v>-289</v>
      </c>
      <c r="B418" s="41">
        <v>265.79889033960524</v>
      </c>
      <c r="C418" s="41">
        <v>-296.74708478917915</v>
      </c>
      <c r="D418" s="16">
        <f t="shared" si="38"/>
        <v>-48.148925285973938</v>
      </c>
    </row>
    <row r="419" spans="1:4" x14ac:dyDescent="0.2">
      <c r="A419" s="39">
        <v>-290</v>
      </c>
      <c r="B419" s="41">
        <v>277.89966691926583</v>
      </c>
      <c r="C419" s="41">
        <v>-290.11732179573227</v>
      </c>
      <c r="D419" s="16">
        <f t="shared" si="38"/>
        <v>-46.232202819545577</v>
      </c>
    </row>
    <row r="420" spans="1:4" x14ac:dyDescent="0.2">
      <c r="A420" s="37">
        <v>-291</v>
      </c>
      <c r="B420" s="41">
        <v>289.18412386242198</v>
      </c>
      <c r="C420" s="41">
        <v>-283.91077537954959</v>
      </c>
      <c r="D420" s="16">
        <f t="shared" si="38"/>
        <v>-44.472806186936261</v>
      </c>
    </row>
    <row r="421" spans="1:4" x14ac:dyDescent="0.2">
      <c r="A421" s="37">
        <v>-292</v>
      </c>
      <c r="B421" s="41">
        <v>299.7766225376983</v>
      </c>
      <c r="C421" s="41">
        <v>-278.07179633246454</v>
      </c>
      <c r="D421" s="16">
        <f t="shared" si="38"/>
        <v>-42.848898528815688</v>
      </c>
    </row>
    <row r="422" spans="1:4" x14ac:dyDescent="0.2">
      <c r="A422" s="39">
        <v>-293</v>
      </c>
      <c r="B422" s="41">
        <v>309.77934219622733</v>
      </c>
      <c r="C422" s="41">
        <v>-272.55349202036814</v>
      </c>
      <c r="D422" s="16">
        <f t="shared" si="38"/>
        <v>-41.342322173885641</v>
      </c>
    </row>
    <row r="423" spans="1:4" x14ac:dyDescent="0.2">
      <c r="A423" s="39">
        <v>-294</v>
      </c>
      <c r="B423" s="41">
        <v>319.27714135944075</v>
      </c>
      <c r="C423" s="41">
        <v>-267.31599504280865</v>
      </c>
      <c r="D423" s="16">
        <f t="shared" si="38"/>
        <v>-39.937881518561142</v>
      </c>
    </row>
    <row r="424" spans="1:4" x14ac:dyDescent="0.2">
      <c r="A424" s="37">
        <v>-295</v>
      </c>
      <c r="B424" s="41">
        <v>328.34120504262643</v>
      </c>
      <c r="C424" s="41">
        <v>-262.32512152580068</v>
      </c>
      <c r="D424" s="16">
        <f t="shared" si="38"/>
        <v>-38.622777676865418</v>
      </c>
    </row>
    <row r="425" spans="1:4" x14ac:dyDescent="0.2">
      <c r="A425" s="37">
        <v>-296</v>
      </c>
      <c r="B425" s="41">
        <v>337.03182225249492</v>
      </c>
      <c r="C425" s="41">
        <v>-257.55132485851408</v>
      </c>
      <c r="D425" s="16">
        <f t="shared" si="38"/>
        <v>-37.386161697443399</v>
      </c>
    </row>
    <row r="426" spans="1:4" x14ac:dyDescent="0.2">
      <c r="A426" s="39">
        <v>-297</v>
      </c>
      <c r="B426" s="41">
        <v>345.4005231740685</v>
      </c>
      <c r="C426" s="41">
        <v>-252.96886694087931</v>
      </c>
      <c r="D426" s="16">
        <f t="shared" si="38"/>
        <v>-36.218780008717353</v>
      </c>
    </row>
    <row r="427" spans="1:4" x14ac:dyDescent="0.2">
      <c r="A427" s="39">
        <v>-298</v>
      </c>
      <c r="B427" s="41">
        <v>353.4917454875964</v>
      </c>
      <c r="C427" s="41">
        <v>-248.55515798373878</v>
      </c>
      <c r="D427" s="16">
        <f t="shared" si="38"/>
        <v>-35.112691722003866</v>
      </c>
    </row>
    <row r="428" spans="1:4" x14ac:dyDescent="0.2">
      <c r="A428" s="37">
        <v>-299</v>
      </c>
      <c r="B428" s="41">
        <v>361.34414638595609</v>
      </c>
      <c r="C428" s="41">
        <v>-244.29022420357072</v>
      </c>
      <c r="D428" s="16">
        <f t="shared" si="38"/>
        <v>-34.061041999229261</v>
      </c>
    </row>
    <row r="429" spans="1:4" x14ac:dyDescent="0.2">
      <c r="A429" s="37">
        <v>-300</v>
      </c>
      <c r="B429" s="41">
        <v>368.99164319425739</v>
      </c>
      <c r="C429" s="41">
        <v>-240.15627246512531</v>
      </c>
      <c r="D429" s="16">
        <f t="shared" si="38"/>
        <v>-33.057879314374318</v>
      </c>
    </row>
    <row r="430" spans="1:4" x14ac:dyDescent="0.2">
      <c r="A430" s="39">
        <v>-301</v>
      </c>
      <c r="B430" s="41">
        <v>376.46425212120516</v>
      </c>
      <c r="C430" s="41">
        <v>-236.13733520801088</v>
      </c>
      <c r="D430" s="16">
        <f t="shared" si="38"/>
        <v>-32.098007294560617</v>
      </c>
    </row>
    <row r="431" spans="1:4" x14ac:dyDescent="0.2">
      <c r="A431" s="39">
        <v>-302</v>
      </c>
      <c r="B431" s="41">
        <v>383.78876686026967</v>
      </c>
      <c r="C431" s="41">
        <v>-232.21897497545521</v>
      </c>
      <c r="D431" s="16">
        <f t="shared" si="38"/>
        <v>-31.176863855693213</v>
      </c>
    </row>
    <row r="432" spans="1:4" x14ac:dyDescent="0.2">
      <c r="A432" s="37">
        <v>-303</v>
      </c>
      <c r="B432" s="41">
        <v>390.98931427913118</v>
      </c>
      <c r="C432" s="41">
        <v>-228.38803746485462</v>
      </c>
      <c r="D432" s="16">
        <f t="shared" si="38"/>
        <v>-30.290422035781386</v>
      </c>
    </row>
    <row r="433" spans="1:4" x14ac:dyDescent="0.2">
      <c r="A433" s="37">
        <v>-304</v>
      </c>
      <c r="B433" s="41">
        <v>398.08781162530511</v>
      </c>
      <c r="C433" s="41">
        <v>-224.632441709669</v>
      </c>
      <c r="D433" s="16">
        <f t="shared" si="38"/>
        <v>-29.435108136591104</v>
      </c>
    </row>
    <row r="434" spans="1:4" x14ac:dyDescent="0.2">
      <c r="A434" s="39">
        <v>-305</v>
      </c>
      <c r="B434" s="41">
        <v>405.10435120883841</v>
      </c>
      <c r="C434" s="41">
        <v>-220.94100319811398</v>
      </c>
      <c r="D434" s="16">
        <f t="shared" si="38"/>
        <v>-28.607733787250449</v>
      </c>
    </row>
    <row r="435" spans="1:4" x14ac:dyDescent="0.2">
      <c r="A435" s="39">
        <v>-306</v>
      </c>
      <c r="B435" s="41">
        <v>412.05752118728736</v>
      </c>
      <c r="C435" s="41">
        <v>-217.30327900483883</v>
      </c>
      <c r="D435" s="16">
        <f t="shared" si="38"/>
        <v>-27.805439187260941</v>
      </c>
    </row>
    <row r="436" spans="1:4" x14ac:dyDescent="0.2">
      <c r="A436" s="37">
        <v>-307</v>
      </c>
      <c r="B436" s="41">
        <v>418.96468208420043</v>
      </c>
      <c r="C436" s="41">
        <v>-213.70943457351876</v>
      </c>
      <c r="D436" s="16">
        <f t="shared" si="38"/>
        <v>-27.025645445859421</v>
      </c>
    </row>
    <row r="437" spans="1:4" x14ac:dyDescent="0.2">
      <c r="A437" s="37">
        <v>-308</v>
      </c>
      <c r="B437" s="41">
        <v>425.84220083626593</v>
      </c>
      <c r="C437" s="41">
        <v>-210.15012325415697</v>
      </c>
      <c r="D437" s="16">
        <f t="shared" si="38"/>
        <v>-26.266014271960099</v>
      </c>
    </row>
    <row r="438" spans="1:4" x14ac:dyDescent="0.2">
      <c r="A438" s="39">
        <v>-309</v>
      </c>
      <c r="B438" s="41">
        <v>432.70566069133088</v>
      </c>
      <c r="C438" s="41">
        <v>-206.61638137773505</v>
      </c>
      <c r="D438" s="16">
        <f t="shared" si="38"/>
        <v>-25.524413721815755</v>
      </c>
    </row>
    <row r="439" spans="1:4" x14ac:dyDescent="0.2">
      <c r="A439" s="39">
        <v>-310</v>
      </c>
      <c r="B439" s="41">
        <v>436.53473969687917</v>
      </c>
      <c r="C439" s="41">
        <v>-203.56259481713792</v>
      </c>
      <c r="D439" s="16">
        <f t="shared" si="38"/>
        <v>-25.000334492403489</v>
      </c>
    </row>
    <row r="440" spans="1:4" x14ac:dyDescent="0.2">
      <c r="A440" s="37">
        <v>-311</v>
      </c>
      <c r="B440" s="41">
        <v>443.40948654137804</v>
      </c>
      <c r="C440" s="41">
        <v>-200.04096513382763</v>
      </c>
      <c r="D440" s="16">
        <f t="shared" si="38"/>
        <v>-24.282169811550844</v>
      </c>
    </row>
    <row r="441" spans="1:4" x14ac:dyDescent="0.2">
      <c r="A441" s="37">
        <v>-312</v>
      </c>
      <c r="B441" s="41">
        <v>450.31248024999803</v>
      </c>
      <c r="C441" s="41">
        <v>-196.51900321573461</v>
      </c>
      <c r="D441" s="16">
        <f t="shared" si="38"/>
        <v>-23.576738222936743</v>
      </c>
    </row>
    <row r="442" spans="1:4" x14ac:dyDescent="0.2">
      <c r="A442" s="39">
        <v>-313</v>
      </c>
      <c r="B442" s="41">
        <v>457.25785418921697</v>
      </c>
      <c r="C442" s="41">
        <v>-192.98832927230151</v>
      </c>
      <c r="D442" s="16">
        <f t="shared" si="38"/>
        <v>-22.882458545491357</v>
      </c>
    </row>
    <row r="443" spans="1:4" x14ac:dyDescent="0.2">
      <c r="A443" s="39">
        <v>-314</v>
      </c>
      <c r="B443" s="41">
        <v>464.25972081352836</v>
      </c>
      <c r="C443" s="41">
        <v>-189.44050512994212</v>
      </c>
      <c r="D443" s="16">
        <f t="shared" si="38"/>
        <v>-22.197844143768815</v>
      </c>
    </row>
    <row r="444" spans="1:4" x14ac:dyDescent="0.2">
      <c r="A444" s="37">
        <v>-315</v>
      </c>
      <c r="B444" s="41">
        <v>471.33230060775753</v>
      </c>
      <c r="C444" s="41">
        <v>-185.86695153081183</v>
      </c>
      <c r="D444" s="16">
        <f t="shared" si="38"/>
        <v>-21.52148755883254</v>
      </c>
    </row>
    <row r="445" spans="1:4" x14ac:dyDescent="0.2">
      <c r="A445" s="37">
        <v>-316</v>
      </c>
      <c r="B445" s="41">
        <v>478.31979918871377</v>
      </c>
      <c r="C445" s="41">
        <v>-182.3212839961565</v>
      </c>
      <c r="D445" s="16">
        <f t="shared" si="38"/>
        <v>-20.865358911340046</v>
      </c>
    </row>
    <row r="446" spans="1:4" x14ac:dyDescent="0.2">
      <c r="A446" s="39">
        <v>-317</v>
      </c>
      <c r="B446" s="41">
        <v>482.65668493964426</v>
      </c>
      <c r="C446" s="41">
        <v>-179.75039434721333</v>
      </c>
      <c r="D446" s="16">
        <f t="shared" si="38"/>
        <v>-20.42627366507455</v>
      </c>
    </row>
    <row r="447" spans="1:4" x14ac:dyDescent="0.2">
      <c r="A447" s="39">
        <v>-318</v>
      </c>
      <c r="B447" s="41">
        <v>486.9948114723876</v>
      </c>
      <c r="C447" s="41">
        <v>-177.18846419704514</v>
      </c>
      <c r="D447" s="16">
        <f t="shared" si="38"/>
        <v>-19.993438983093839</v>
      </c>
    </row>
    <row r="448" spans="1:4" x14ac:dyDescent="0.2">
      <c r="A448" s="37">
        <v>-319</v>
      </c>
      <c r="B448" s="41">
        <v>491.3428073616214</v>
      </c>
      <c r="C448" s="41">
        <v>-174.630572346207</v>
      </c>
      <c r="D448" s="16">
        <f t="shared" si="38"/>
        <v>-19.565972835548042</v>
      </c>
    </row>
    <row r="449" spans="1:4" x14ac:dyDescent="0.2">
      <c r="A449" s="37">
        <v>-320</v>
      </c>
      <c r="B449" s="41">
        <v>495.70935628244445</v>
      </c>
      <c r="C449" s="41">
        <v>-172.07171386610892</v>
      </c>
      <c r="D449" s="16">
        <f t="shared" si="38"/>
        <v>-19.14302216872273</v>
      </c>
    </row>
    <row r="450" spans="1:4" x14ac:dyDescent="0.2">
      <c r="A450" s="39">
        <v>-321</v>
      </c>
      <c r="B450" s="41">
        <v>500.10326981807299</v>
      </c>
      <c r="C450" s="41">
        <v>-169.50674813548082</v>
      </c>
      <c r="D450" s="16">
        <f t="shared" ref="D450:D490" si="39">DEGREES(ATAN2(B450,C450))</f>
        <v>-18.723754819975156</v>
      </c>
    </row>
    <row r="451" spans="1:4" x14ac:dyDescent="0.2">
      <c r="A451" s="39">
        <v>-322</v>
      </c>
      <c r="B451" s="41">
        <v>504.53357290347429</v>
      </c>
      <c r="C451" s="41">
        <v>-166.93034191412985</v>
      </c>
      <c r="D451" s="16">
        <f t="shared" si="39"/>
        <v>-18.307351179838182</v>
      </c>
    </row>
    <row r="452" spans="1:4" x14ac:dyDescent="0.2">
      <c r="A452" s="37">
        <v>-323</v>
      </c>
      <c r="B452" s="41">
        <v>509.00958114005522</v>
      </c>
      <c r="C452" s="41">
        <v>-164.3369072736366</v>
      </c>
      <c r="D452" s="16">
        <f t="shared" si="39"/>
        <v>-17.892996361357934</v>
      </c>
    </row>
    <row r="453" spans="1:4" x14ac:dyDescent="0.2">
      <c r="A453" s="37">
        <v>-324</v>
      </c>
      <c r="B453" s="41">
        <v>513.54099296059326</v>
      </c>
      <c r="C453" s="41">
        <v>-161.72053131200622</v>
      </c>
      <c r="D453" s="16">
        <f t="shared" si="39"/>
        <v>-17.479871793615846</v>
      </c>
    </row>
    <row r="454" spans="1:4" x14ac:dyDescent="0.2">
      <c r="A454" s="39">
        <v>-325</v>
      </c>
      <c r="B454" s="41">
        <v>518.1379849336513</v>
      </c>
      <c r="C454" s="41">
        <v>-159.0748964302789</v>
      </c>
      <c r="D454" s="16">
        <f t="shared" si="39"/>
        <v>-17.067146614667244</v>
      </c>
    </row>
    <row r="455" spans="1:4" x14ac:dyDescent="0.2">
      <c r="A455" s="39">
        <v>-326</v>
      </c>
      <c r="B455" s="41">
        <v>522.81131918529081</v>
      </c>
      <c r="C455" s="41">
        <v>-156.39318804284918</v>
      </c>
      <c r="D455" s="16">
        <f t="shared" si="39"/>
        <v>-16.653968350201396</v>
      </c>
    </row>
    <row r="456" spans="1:4" x14ac:dyDescent="0.2">
      <c r="A456" s="37">
        <v>-327</v>
      </c>
      <c r="B456" s="41">
        <v>527.57245906327125</v>
      </c>
      <c r="C456" s="41">
        <v>-153.66798730850596</v>
      </c>
      <c r="D456" s="16">
        <f t="shared" si="39"/>
        <v>-16.239452902129603</v>
      </c>
    </row>
    <row r="457" spans="1:4" x14ac:dyDescent="0.2">
      <c r="A457" s="37">
        <v>-328</v>
      </c>
      <c r="B457" s="41">
        <v>532.43370630242919</v>
      </c>
      <c r="C457" s="41">
        <v>-150.89114353496635</v>
      </c>
      <c r="D457" s="16">
        <f t="shared" si="39"/>
        <v>-15.822673091008495</v>
      </c>
    </row>
    <row r="458" spans="1:4" x14ac:dyDescent="0.2">
      <c r="A458" s="39">
        <v>-329</v>
      </c>
      <c r="B458" s="41">
        <v>537.40835225368869</v>
      </c>
      <c r="C458" s="41">
        <v>-148.0536226416146</v>
      </c>
      <c r="D458" s="16">
        <f t="shared" si="39"/>
        <v>-15.402645872502795</v>
      </c>
    </row>
    <row r="459" spans="1:4" x14ac:dyDescent="0.2">
      <c r="A459" s="39">
        <v>-330</v>
      </c>
      <c r="B459" s="41">
        <v>541.44849852288451</v>
      </c>
      <c r="C459" s="41">
        <v>-144.64714148769562</v>
      </c>
      <c r="D459" s="16">
        <f t="shared" si="39"/>
        <v>-14.957187014046491</v>
      </c>
    </row>
    <row r="460" spans="1:4" x14ac:dyDescent="0.2">
      <c r="A460" s="37">
        <v>-331</v>
      </c>
      <c r="B460" s="41">
        <v>543.6736945965913</v>
      </c>
      <c r="C460" s="41">
        <v>-140.25864400980888</v>
      </c>
      <c r="D460" s="16">
        <f t="shared" si="39"/>
        <v>-14.465922345393377</v>
      </c>
    </row>
    <row r="461" spans="1:4" x14ac:dyDescent="0.2">
      <c r="A461" s="37">
        <v>-332</v>
      </c>
      <c r="B461" s="41">
        <v>545.88528186780536</v>
      </c>
      <c r="C461" s="41">
        <v>-135.72262444707457</v>
      </c>
      <c r="D461" s="16">
        <f t="shared" si="39"/>
        <v>-13.96225947503218</v>
      </c>
    </row>
    <row r="462" spans="1:4" x14ac:dyDescent="0.2">
      <c r="A462" s="39">
        <v>-333</v>
      </c>
      <c r="B462" s="41">
        <v>548.08734623550743</v>
      </c>
      <c r="C462" s="41">
        <v>-131.02042497023413</v>
      </c>
      <c r="D462" s="16">
        <f t="shared" si="39"/>
        <v>-13.444270001948837</v>
      </c>
    </row>
    <row r="463" spans="1:4" x14ac:dyDescent="0.2">
      <c r="A463" s="39">
        <v>-334</v>
      </c>
      <c r="B463" s="41">
        <v>550.28413226852877</v>
      </c>
      <c r="C463" s="41">
        <v>-126.13081753633442</v>
      </c>
      <c r="D463" s="16">
        <f t="shared" si="39"/>
        <v>-12.909786532838892</v>
      </c>
    </row>
    <row r="464" spans="1:4" x14ac:dyDescent="0.2">
      <c r="A464" s="37">
        <v>-335</v>
      </c>
      <c r="B464" s="41">
        <v>552.46215850035571</v>
      </c>
      <c r="C464" s="41">
        <v>-121.06799555063095</v>
      </c>
      <c r="D464" s="16">
        <f t="shared" si="39"/>
        <v>-12.360552779026134</v>
      </c>
    </row>
    <row r="465" spans="1:4" x14ac:dyDescent="0.2">
      <c r="A465" s="37">
        <v>-336</v>
      </c>
      <c r="B465" s="41">
        <v>554.52603551348477</v>
      </c>
      <c r="C465" s="41">
        <v>-116.02981829058596</v>
      </c>
      <c r="D465" s="16">
        <f t="shared" si="39"/>
        <v>-11.81814543916111</v>
      </c>
    </row>
    <row r="466" spans="1:4" x14ac:dyDescent="0.2">
      <c r="A466" s="39">
        <v>-337</v>
      </c>
      <c r="B466" s="41">
        <v>556.46648398108414</v>
      </c>
      <c r="C466" s="41">
        <v>-111.0436485788705</v>
      </c>
      <c r="D466" s="16">
        <f t="shared" si="39"/>
        <v>-11.285214310893553</v>
      </c>
    </row>
    <row r="467" spans="1:4" x14ac:dyDescent="0.2">
      <c r="A467" s="39">
        <v>-338</v>
      </c>
      <c r="B467" s="41">
        <v>558.28952955649152</v>
      </c>
      <c r="C467" s="41">
        <v>-106.10407198712834</v>
      </c>
      <c r="D467" s="16">
        <f t="shared" si="39"/>
        <v>-10.760845636115937</v>
      </c>
    </row>
    <row r="468" spans="1:4" x14ac:dyDescent="0.2">
      <c r="A468" s="37">
        <v>-339</v>
      </c>
      <c r="B468" s="41">
        <v>560.00071215869571</v>
      </c>
      <c r="C468" s="41">
        <v>-101.20577042448996</v>
      </c>
      <c r="D468" s="16">
        <f t="shared" si="39"/>
        <v>-10.244168932384307</v>
      </c>
    </row>
    <row r="469" spans="1:4" x14ac:dyDescent="0.2">
      <c r="A469" s="37">
        <v>-340</v>
      </c>
      <c r="B469" s="41">
        <v>561.60512778794828</v>
      </c>
      <c r="C469" s="41">
        <v>-96.343493580430362</v>
      </c>
      <c r="D469" s="16">
        <f t="shared" si="39"/>
        <v>-9.7343504066898845</v>
      </c>
    </row>
    <row r="470" spans="1:4" x14ac:dyDescent="0.2">
      <c r="A470" s="39">
        <v>-341</v>
      </c>
      <c r="B470" s="41">
        <v>563.10746313222933</v>
      </c>
      <c r="C470" s="41">
        <v>-91.512029983841501</v>
      </c>
      <c r="D470" s="16">
        <f t="shared" si="39"/>
        <v>-9.2305868275549496</v>
      </c>
    </row>
    <row r="471" spans="1:4" x14ac:dyDescent="0.2">
      <c r="A471" s="39">
        <v>-342</v>
      </c>
      <c r="B471" s="41">
        <v>564.51202686439797</v>
      </c>
      <c r="C471" s="41">
        <v>-86.706177144287167</v>
      </c>
      <c r="D471" s="16">
        <f t="shared" si="39"/>
        <v>-8.7320996728209952</v>
      </c>
    </row>
    <row r="472" spans="1:4" x14ac:dyDescent="0.2">
      <c r="A472" s="37">
        <v>-343</v>
      </c>
      <c r="B472" s="41">
        <v>565.82277189778131</v>
      </c>
      <c r="C472" s="41">
        <v>-81.920710462876045</v>
      </c>
      <c r="D472" s="16">
        <f t="shared" si="39"/>
        <v>-8.2381295632689149</v>
      </c>
    </row>
    <row r="473" spans="1:4" x14ac:dyDescent="0.2">
      <c r="A473" s="37">
        <v>-344</v>
      </c>
      <c r="B473" s="41">
        <v>567.04332826834002</v>
      </c>
      <c r="C473" s="41">
        <v>-77.150349834418506</v>
      </c>
      <c r="D473" s="16">
        <f t="shared" si="39"/>
        <v>-7.7479305374145255</v>
      </c>
    </row>
    <row r="474" spans="1:4" x14ac:dyDescent="0.2">
      <c r="A474" s="39">
        <v>-345</v>
      </c>
      <c r="B474" s="41">
        <v>568.17702648167426</v>
      </c>
      <c r="C474" s="41">
        <v>-72.38972389612799</v>
      </c>
      <c r="D474" s="16">
        <f t="shared" si="39"/>
        <v>-7.2607644676023542</v>
      </c>
    </row>
    <row r="475" spans="1:4" x14ac:dyDescent="0.2">
      <c r="A475" s="39">
        <v>-346</v>
      </c>
      <c r="B475" s="41">
        <v>569.22690577391143</v>
      </c>
      <c r="C475" s="41">
        <v>-67.633331313406231</v>
      </c>
      <c r="D475" s="16">
        <f t="shared" si="39"/>
        <v>-6.7758955524149949</v>
      </c>
    </row>
    <row r="476" spans="1:4" x14ac:dyDescent="0.2">
      <c r="A476" s="37">
        <v>-347</v>
      </c>
      <c r="B476" s="41">
        <v>570.19574575351123</v>
      </c>
      <c r="C476" s="41">
        <v>-62.875497227448712</v>
      </c>
      <c r="D476" s="16">
        <f t="shared" si="39"/>
        <v>-6.2925841791342645</v>
      </c>
    </row>
    <row r="477" spans="1:4" x14ac:dyDescent="0.2">
      <c r="A477" s="37">
        <v>-348</v>
      </c>
      <c r="B477" s="41">
        <v>571.08607468924208</v>
      </c>
      <c r="C477" s="41">
        <v>-58.1103250549492</v>
      </c>
      <c r="D477" s="16">
        <f t="shared" si="39"/>
        <v>-5.8100807784421082</v>
      </c>
    </row>
    <row r="478" spans="1:4" x14ac:dyDescent="0.2">
      <c r="A478" s="39">
        <v>-349</v>
      </c>
      <c r="B478" s="41">
        <v>571.90018828120185</v>
      </c>
      <c r="C478" s="41">
        <v>-53.331641478626558</v>
      </c>
      <c r="D478" s="16">
        <f t="shared" si="39"/>
        <v>-5.3276189994799479</v>
      </c>
    </row>
    <row r="479" spans="1:4" x14ac:dyDescent="0.2">
      <c r="A479" s="39">
        <v>-350</v>
      </c>
      <c r="B479" s="41">
        <v>572.64015920214695</v>
      </c>
      <c r="C479" s="41">
        <v>-48.532933556363488</v>
      </c>
      <c r="D479" s="16">
        <f t="shared" si="39"/>
        <v>-4.8444083233277908</v>
      </c>
    </row>
    <row r="480" spans="1:4" x14ac:dyDescent="0.2">
      <c r="A480" s="37">
        <v>-351</v>
      </c>
      <c r="B480" s="41">
        <v>573.30785080143153</v>
      </c>
      <c r="C480" s="41">
        <v>-43.707275664882538</v>
      </c>
      <c r="D480" s="16">
        <f t="shared" si="39"/>
        <v>-4.3596257309753739</v>
      </c>
    </row>
    <row r="481" spans="1:4" x14ac:dyDescent="0.2">
      <c r="A481" s="37">
        <v>-352</v>
      </c>
      <c r="B481" s="41">
        <v>573.90492805568488</v>
      </c>
      <c r="C481" s="41">
        <v>-38.847243995036145</v>
      </c>
      <c r="D481" s="16">
        <f t="shared" si="39"/>
        <v>-3.8724062716311027</v>
      </c>
    </row>
    <row r="482" spans="1:4" x14ac:dyDescent="0.2">
      <c r="A482" s="39">
        <v>-353</v>
      </c>
      <c r="B482" s="41">
        <v>574.43286684250882</v>
      </c>
      <c r="C482" s="41">
        <v>-33.944815455855114</v>
      </c>
      <c r="D482" s="16">
        <f t="shared" si="39"/>
        <v>-3.3818322013579842</v>
      </c>
    </row>
    <row r="483" spans="1:4" x14ac:dyDescent="0.2">
      <c r="A483" s="39">
        <v>-354</v>
      </c>
      <c r="B483" s="41">
        <v>574.70829584322257</v>
      </c>
      <c r="C483" s="41">
        <v>-31.353102937648273</v>
      </c>
      <c r="D483" s="16">
        <f t="shared" si="39"/>
        <v>-3.1226650044589985</v>
      </c>
    </row>
    <row r="484" spans="1:4" x14ac:dyDescent="0.2">
      <c r="A484" s="37">
        <v>-355</v>
      </c>
      <c r="B484" s="41">
        <v>575.10564931366036</v>
      </c>
      <c r="C484" s="41">
        <v>-26.346844957031262</v>
      </c>
      <c r="D484" s="16">
        <f t="shared" si="39"/>
        <v>-2.6230107129193057</v>
      </c>
    </row>
    <row r="485" spans="1:4" x14ac:dyDescent="0.2">
      <c r="A485" s="37">
        <v>-356</v>
      </c>
      <c r="B485" s="41">
        <v>575.43733809585888</v>
      </c>
      <c r="C485" s="41">
        <v>-21.270203555011008</v>
      </c>
      <c r="D485" s="16">
        <f t="shared" si="39"/>
        <v>-2.1168913314669391</v>
      </c>
    </row>
    <row r="486" spans="1:4" x14ac:dyDescent="0.2">
      <c r="A486" s="39">
        <v>-357</v>
      </c>
      <c r="B486" s="41">
        <v>575.70415535616314</v>
      </c>
      <c r="C486" s="41">
        <v>-16.111417174879442</v>
      </c>
      <c r="D486" s="16">
        <f t="shared" si="39"/>
        <v>-1.6030374594258785</v>
      </c>
    </row>
    <row r="487" spans="1:4" x14ac:dyDescent="0.2">
      <c r="A487" s="39">
        <v>-358</v>
      </c>
      <c r="B487" s="41">
        <v>575.90672906296447</v>
      </c>
      <c r="C487" s="41">
        <v>-10.857224036565491</v>
      </c>
      <c r="D487" s="16">
        <f t="shared" si="39"/>
        <v>-1.0800350147425002</v>
      </c>
    </row>
    <row r="488" spans="1:4" x14ac:dyDescent="0.2">
      <c r="A488" s="37">
        <v>-359</v>
      </c>
      <c r="B488" s="41">
        <v>576.045537446921</v>
      </c>
      <c r="C488" s="41">
        <v>-5.4925317870693515</v>
      </c>
      <c r="D488" s="16">
        <f t="shared" si="39"/>
        <v>-0.54629249502357957</v>
      </c>
    </row>
    <row r="489" spans="1:4" x14ac:dyDescent="0.2">
      <c r="A489" s="37">
        <v>-360</v>
      </c>
      <c r="B489" s="41">
        <v>576.12090015198396</v>
      </c>
      <c r="C489" s="41">
        <v>-1.2247083683409619E-13</v>
      </c>
      <c r="D489" s="16">
        <f t="shared" si="39"/>
        <v>-1.2179842915224764E-14</v>
      </c>
    </row>
    <row r="490" spans="1:4" x14ac:dyDescent="0.2">
      <c r="A490" s="41"/>
      <c r="B490" s="41">
        <f>B129</f>
        <v>576.12090015198407</v>
      </c>
      <c r="C490" s="41">
        <f>C129</f>
        <v>0</v>
      </c>
      <c r="D490" s="16">
        <f t="shared" si="39"/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button" altText="Attempt to Find_x000a_Interaction point for Goal_x000a_(Form Button)">
                <anchor moveWithCells="1" sizeWithCells="1">
                  <from>
                    <xdr:col>0</xdr:col>
                    <xdr:colOff>774700</xdr:colOff>
                    <xdr:row>121</xdr:row>
                    <xdr:rowOff>63500</xdr:rowOff>
                  </from>
                  <to>
                    <xdr:col>2</xdr:col>
                    <xdr:colOff>889000</xdr:colOff>
                    <xdr:row>126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3</xdr:col>
                    <xdr:colOff>76200</xdr:colOff>
                    <xdr:row>121</xdr:row>
                    <xdr:rowOff>50800</xdr:rowOff>
                  </from>
                  <to>
                    <xdr:col>5</xdr:col>
                    <xdr:colOff>1155700</xdr:colOff>
                    <xdr:row>126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_m_curve">
                <anchor moveWithCells="1" sizeWithCells="1">
                  <from>
                    <xdr:col>9</xdr:col>
                    <xdr:colOff>546100</xdr:colOff>
                    <xdr:row>121</xdr:row>
                    <xdr:rowOff>152400</xdr:rowOff>
                  </from>
                  <to>
                    <xdr:col>13</xdr:col>
                    <xdr:colOff>342900</xdr:colOff>
                    <xdr:row>125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C12"/>
  <sheetViews>
    <sheetView workbookViewId="0">
      <selection activeCell="B9" sqref="B9"/>
    </sheetView>
  </sheetViews>
  <sheetFormatPr baseColWidth="10" defaultColWidth="8.83203125" defaultRowHeight="15" x14ac:dyDescent="0.2"/>
  <sheetData>
    <row r="1" spans="1:3" x14ac:dyDescent="0.2">
      <c r="A1">
        <v>0</v>
      </c>
      <c r="B1">
        <v>0</v>
      </c>
      <c r="C1">
        <v>0</v>
      </c>
    </row>
    <row r="2" spans="1:3" x14ac:dyDescent="0.2">
      <c r="A2">
        <v>3</v>
      </c>
      <c r="B2">
        <v>0.375</v>
      </c>
      <c r="C2">
        <v>0.11</v>
      </c>
    </row>
    <row r="3" spans="1:3" x14ac:dyDescent="0.2">
      <c r="A3">
        <v>4</v>
      </c>
      <c r="B3">
        <v>0.5</v>
      </c>
      <c r="C3">
        <v>0.2</v>
      </c>
    </row>
    <row r="4" spans="1:3" x14ac:dyDescent="0.2">
      <c r="A4">
        <v>5</v>
      </c>
      <c r="B4">
        <v>0.625</v>
      </c>
      <c r="C4">
        <v>0.31</v>
      </c>
    </row>
    <row r="5" spans="1:3" x14ac:dyDescent="0.2">
      <c r="A5">
        <v>6</v>
      </c>
      <c r="B5">
        <v>0.75</v>
      </c>
      <c r="C5">
        <v>0.44</v>
      </c>
    </row>
    <row r="6" spans="1:3" x14ac:dyDescent="0.2">
      <c r="A6">
        <v>7</v>
      </c>
      <c r="B6">
        <v>0.875</v>
      </c>
      <c r="C6">
        <v>0.6</v>
      </c>
    </row>
    <row r="7" spans="1:3" x14ac:dyDescent="0.2">
      <c r="A7">
        <v>8</v>
      </c>
      <c r="B7">
        <v>1</v>
      </c>
      <c r="C7">
        <v>0.79</v>
      </c>
    </row>
    <row r="8" spans="1:3" x14ac:dyDescent="0.2">
      <c r="A8">
        <v>9</v>
      </c>
      <c r="B8">
        <v>1.1279999999999999</v>
      </c>
      <c r="C8">
        <v>1</v>
      </c>
    </row>
    <row r="9" spans="1:3" x14ac:dyDescent="0.2">
      <c r="A9">
        <v>10</v>
      </c>
      <c r="B9">
        <v>1.27</v>
      </c>
      <c r="C9">
        <v>1.27</v>
      </c>
    </row>
    <row r="10" spans="1:3" x14ac:dyDescent="0.2">
      <c r="A10">
        <v>11</v>
      </c>
      <c r="B10">
        <v>1.41</v>
      </c>
      <c r="C10">
        <v>1.56</v>
      </c>
    </row>
    <row r="11" spans="1:3" x14ac:dyDescent="0.2">
      <c r="A11">
        <v>14</v>
      </c>
      <c r="B11">
        <v>1.6930000000000001</v>
      </c>
      <c r="C11">
        <v>2.25</v>
      </c>
    </row>
    <row r="12" spans="1:3" x14ac:dyDescent="0.2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Cross Section Analysis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Donald Bockoven</cp:lastModifiedBy>
  <dcterms:created xsi:type="dcterms:W3CDTF">2020-01-14T22:46:38Z</dcterms:created>
  <dcterms:modified xsi:type="dcterms:W3CDTF">2020-01-18T21:58:24Z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