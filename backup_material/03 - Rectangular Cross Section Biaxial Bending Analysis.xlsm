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3" codeName="{83B8AF0C-AF01-CA8F-8D1D-96F9A44741E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onaldbockoven/Downloads/"/>
    </mc:Choice>
  </mc:AlternateContent>
  <xr:revisionPtr revIDLastSave="0" documentId="13_ncr:1_{49F86FE0-5E58-DC48-BBBC-C64CDB31BEC7}" xr6:coauthVersionLast="45" xr6:coauthVersionMax="45" xr10:uidLastSave="{00000000-0000-0000-0000-000000000000}"/>
  <bookViews>
    <workbookView xWindow="0" yWindow="440" windowWidth="25600" windowHeight="14520" xr2:uid="{A97B9A5E-BB54-4E55-BD22-158AAF84A460}"/>
  </bookViews>
  <sheets>
    <sheet name="Cross Section Analysis" sheetId="1" r:id="rId1"/>
    <sheet name="Reference" sheetId="2" r:id="rId2"/>
  </sheets>
  <definedNames>
    <definedName name="solver_adj" localSheetId="0" hidden="1">'Cross Section Analysis'!$B$53,'Cross Section Analysis'!$B$78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'Cross Section Analysis'!$B$53</definedName>
    <definedName name="solver_lhs2" localSheetId="0" hidden="1">'Cross Section Analysis'!$B$53</definedName>
    <definedName name="solver_lhs3" localSheetId="0" hidden="1">'Cross Section Analysis'!$B$78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'Cross Section Analysis'!$M$119</definedName>
    <definedName name="solver_pre" localSheetId="0" hidden="1">0.000001</definedName>
    <definedName name="solver_rbv" localSheetId="0" hidden="1">1</definedName>
    <definedName name="solver_rel1" localSheetId="0" hidden="1">1</definedName>
    <definedName name="solver_rel2" localSheetId="0" hidden="1">3</definedName>
    <definedName name="solver_rel3" localSheetId="0" hidden="1">3</definedName>
    <definedName name="solver_rhs1" localSheetId="0" hidden="1">360</definedName>
    <definedName name="solver_rhs2" localSheetId="0" hidden="1">0</definedName>
    <definedName name="solver_rhs3" localSheetId="0" hidden="1">0.0001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131" i="1" l="1"/>
  <c r="F53" i="1" l="1"/>
  <c r="D130" i="1" l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129" i="1"/>
  <c r="C35" i="1" l="1"/>
  <c r="C36" i="1"/>
  <c r="C37" i="1"/>
  <c r="C38" i="1"/>
  <c r="C39" i="1"/>
  <c r="C40" i="1"/>
  <c r="C41" i="1"/>
  <c r="C42" i="1"/>
  <c r="C43" i="1"/>
  <c r="C44" i="1"/>
  <c r="C45" i="1"/>
  <c r="C34" i="1"/>
  <c r="B121" i="1" l="1"/>
  <c r="D120" i="1" l="1"/>
  <c r="V130" i="1" l="1"/>
  <c r="E120" i="1"/>
  <c r="W130" i="1" l="1"/>
  <c r="O119" i="1"/>
  <c r="O120" i="1" s="1"/>
  <c r="P119" i="1"/>
  <c r="P120" i="1" s="1"/>
  <c r="C490" i="1"/>
  <c r="B490" i="1"/>
  <c r="D490" i="1" l="1"/>
  <c r="Q120" i="1"/>
  <c r="C14" i="1"/>
  <c r="C15" i="1"/>
  <c r="C16" i="1"/>
  <c r="C17" i="1"/>
  <c r="C18" i="1"/>
  <c r="C19" i="1"/>
  <c r="C20" i="1"/>
  <c r="C21" i="1"/>
  <c r="C22" i="1"/>
  <c r="C23" i="1"/>
  <c r="C24" i="1"/>
  <c r="C13" i="1"/>
  <c r="G115" i="1"/>
  <c r="G114" i="1"/>
  <c r="D97" i="1"/>
  <c r="C97" i="1"/>
  <c r="B85" i="1"/>
  <c r="B3" i="1"/>
  <c r="J117" i="1" l="1"/>
  <c r="J118" i="1"/>
  <c r="B98" i="1"/>
  <c r="B4" i="1"/>
  <c r="B81" i="1" s="1"/>
  <c r="A75" i="1"/>
  <c r="A109" i="1" s="1"/>
  <c r="B75" i="1"/>
  <c r="A65" i="1"/>
  <c r="A99" i="1" s="1"/>
  <c r="B65" i="1"/>
  <c r="A66" i="1"/>
  <c r="A100" i="1" s="1"/>
  <c r="B66" i="1"/>
  <c r="A67" i="1"/>
  <c r="A101" i="1" s="1"/>
  <c r="B67" i="1"/>
  <c r="A68" i="1"/>
  <c r="A102" i="1" s="1"/>
  <c r="B68" i="1"/>
  <c r="A69" i="1"/>
  <c r="A103" i="1" s="1"/>
  <c r="B69" i="1"/>
  <c r="A70" i="1"/>
  <c r="A104" i="1" s="1"/>
  <c r="B70" i="1"/>
  <c r="A71" i="1"/>
  <c r="A105" i="1" s="1"/>
  <c r="B71" i="1"/>
  <c r="A72" i="1"/>
  <c r="A106" i="1" s="1"/>
  <c r="B72" i="1"/>
  <c r="A73" i="1"/>
  <c r="A107" i="1" s="1"/>
  <c r="B73" i="1"/>
  <c r="A74" i="1"/>
  <c r="A108" i="1" s="1"/>
  <c r="B74" i="1"/>
  <c r="B64" i="1"/>
  <c r="A64" i="1"/>
  <c r="A98" i="1" s="1"/>
  <c r="H7" i="1"/>
  <c r="G7" i="1"/>
  <c r="A35" i="1"/>
  <c r="A36" i="1"/>
  <c r="A37" i="1"/>
  <c r="A38" i="1"/>
  <c r="A39" i="1"/>
  <c r="A40" i="1"/>
  <c r="A41" i="1"/>
  <c r="A42" i="1"/>
  <c r="A43" i="1"/>
  <c r="A44" i="1"/>
  <c r="A45" i="1"/>
  <c r="A34" i="1"/>
  <c r="B28" i="1"/>
  <c r="B29" i="1" s="1"/>
  <c r="B103" i="1"/>
  <c r="B104" i="1"/>
  <c r="B105" i="1"/>
  <c r="C72" i="1"/>
  <c r="B107" i="1"/>
  <c r="C74" i="1"/>
  <c r="C75" i="1"/>
  <c r="B34" i="1"/>
  <c r="B30" i="1" l="1"/>
  <c r="F75" i="1"/>
  <c r="G75" i="1"/>
  <c r="F74" i="1"/>
  <c r="G74" i="1"/>
  <c r="B43" i="1"/>
  <c r="C70" i="1"/>
  <c r="B38" i="1"/>
  <c r="D38" i="1" s="1"/>
  <c r="E38" i="1" s="1"/>
  <c r="B102" i="1"/>
  <c r="C69" i="1"/>
  <c r="B37" i="1"/>
  <c r="D37" i="1" s="1"/>
  <c r="E37" i="1" s="1"/>
  <c r="B101" i="1"/>
  <c r="B44" i="1"/>
  <c r="D44" i="1" s="1"/>
  <c r="B108" i="1"/>
  <c r="B35" i="1"/>
  <c r="D35" i="1" s="1"/>
  <c r="F35" i="1" s="1"/>
  <c r="B99" i="1"/>
  <c r="B40" i="1"/>
  <c r="D40" i="1" s="1"/>
  <c r="E40" i="1" s="1"/>
  <c r="B45" i="1"/>
  <c r="D45" i="1" s="1"/>
  <c r="E45" i="1" s="1"/>
  <c r="B109" i="1"/>
  <c r="B36" i="1"/>
  <c r="D36" i="1" s="1"/>
  <c r="B100" i="1"/>
  <c r="B41" i="1"/>
  <c r="D41" i="1" s="1"/>
  <c r="F41" i="1" s="1"/>
  <c r="C71" i="1"/>
  <c r="B42" i="1"/>
  <c r="D42" i="1" s="1"/>
  <c r="E42" i="1" s="1"/>
  <c r="B106" i="1"/>
  <c r="B39" i="1"/>
  <c r="D39" i="1" s="1"/>
  <c r="E39" i="1" s="1"/>
  <c r="C73" i="1"/>
  <c r="C68" i="1"/>
  <c r="C67" i="1"/>
  <c r="C66" i="1"/>
  <c r="C65" i="1"/>
  <c r="C64" i="1"/>
  <c r="D34" i="1"/>
  <c r="E6" i="1"/>
  <c r="E5" i="1"/>
  <c r="D5" i="1"/>
  <c r="D4" i="1"/>
  <c r="B31" i="1" l="1"/>
  <c r="G3" i="1"/>
  <c r="H3" i="1" s="1"/>
  <c r="F34" i="1"/>
  <c r="E34" i="1"/>
  <c r="D43" i="1"/>
  <c r="E43" i="1" s="1"/>
  <c r="F39" i="1"/>
  <c r="E44" i="1"/>
  <c r="F44" i="1"/>
  <c r="F36" i="1"/>
  <c r="E36" i="1"/>
  <c r="E41" i="1"/>
  <c r="F42" i="1"/>
  <c r="F45" i="1"/>
  <c r="F37" i="1"/>
  <c r="F38" i="1"/>
  <c r="F40" i="1"/>
  <c r="E35" i="1"/>
  <c r="D46" i="1" l="1"/>
  <c r="B48" i="1" s="1"/>
  <c r="F43" i="1"/>
  <c r="F46" i="1" s="1"/>
  <c r="B50" i="1" s="1"/>
  <c r="E46" i="1"/>
  <c r="B49" i="1" s="1"/>
  <c r="D49" i="1" l="1"/>
  <c r="A60" i="1" s="1"/>
  <c r="E49" i="1"/>
  <c r="B60" i="1" s="1"/>
  <c r="C60" i="1" l="1"/>
  <c r="B91" i="1" s="1"/>
  <c r="D60" i="1"/>
  <c r="C91" i="1" s="1"/>
  <c r="B57" i="1"/>
  <c r="B58" i="1"/>
  <c r="B61" i="1"/>
  <c r="E67" i="1"/>
  <c r="A59" i="1"/>
  <c r="E74" i="1"/>
  <c r="D65" i="1"/>
  <c r="E75" i="1"/>
  <c r="D73" i="1"/>
  <c r="B59" i="1"/>
  <c r="E69" i="1"/>
  <c r="E68" i="1"/>
  <c r="E65" i="1"/>
  <c r="E72" i="1"/>
  <c r="A61" i="1"/>
  <c r="D72" i="1"/>
  <c r="D70" i="1"/>
  <c r="D71" i="1"/>
  <c r="D69" i="1"/>
  <c r="D66" i="1"/>
  <c r="A57" i="1"/>
  <c r="A58" i="1"/>
  <c r="D64" i="1"/>
  <c r="D68" i="1"/>
  <c r="D67" i="1"/>
  <c r="D74" i="1"/>
  <c r="D75" i="1"/>
  <c r="E64" i="1"/>
  <c r="E73" i="1"/>
  <c r="E70" i="1"/>
  <c r="E66" i="1"/>
  <c r="E71" i="1"/>
  <c r="G67" i="1" l="1"/>
  <c r="D101" i="1" s="1"/>
  <c r="F66" i="1"/>
  <c r="C100" i="1" s="1"/>
  <c r="G66" i="1"/>
  <c r="D100" i="1" s="1"/>
  <c r="F69" i="1"/>
  <c r="C103" i="1" s="1"/>
  <c r="G69" i="1"/>
  <c r="D103" i="1" s="1"/>
  <c r="F71" i="1"/>
  <c r="C105" i="1" s="1"/>
  <c r="G71" i="1"/>
  <c r="D105" i="1" s="1"/>
  <c r="F70" i="1"/>
  <c r="C104" i="1" s="1"/>
  <c r="G70" i="1"/>
  <c r="D104" i="1" s="1"/>
  <c r="G68" i="1"/>
  <c r="D102" i="1" s="1"/>
  <c r="F72" i="1"/>
  <c r="C106" i="1" s="1"/>
  <c r="G72" i="1"/>
  <c r="D106" i="1" s="1"/>
  <c r="G73" i="1"/>
  <c r="D107" i="1" s="1"/>
  <c r="G65" i="1"/>
  <c r="D99" i="1" s="1"/>
  <c r="F73" i="1"/>
  <c r="C107" i="1" s="1"/>
  <c r="G64" i="1"/>
  <c r="F65" i="1"/>
  <c r="C99" i="1" s="1"/>
  <c r="F64" i="1"/>
  <c r="C98" i="1" s="1"/>
  <c r="F67" i="1"/>
  <c r="C101" i="1" s="1"/>
  <c r="F68" i="1"/>
  <c r="C102" i="1" s="1"/>
  <c r="C109" i="1"/>
  <c r="D109" i="1"/>
  <c r="C108" i="1"/>
  <c r="D108" i="1"/>
  <c r="C61" i="1"/>
  <c r="D91" i="1" s="1"/>
  <c r="D61" i="1"/>
  <c r="E91" i="1" s="1"/>
  <c r="C58" i="1"/>
  <c r="D58" i="1"/>
  <c r="C59" i="1"/>
  <c r="D89" i="1" s="1"/>
  <c r="D59" i="1"/>
  <c r="C57" i="1"/>
  <c r="D57" i="1"/>
  <c r="C88" i="1" s="1"/>
  <c r="D90" i="1"/>
  <c r="E90" i="1"/>
  <c r="G76" i="1" l="1"/>
  <c r="D98" i="1"/>
  <c r="T59" i="1"/>
  <c r="D83" i="1"/>
  <c r="B90" i="1"/>
  <c r="B88" i="1"/>
  <c r="G91" i="1"/>
  <c r="G58" i="1"/>
  <c r="E88" i="1"/>
  <c r="E82" i="1"/>
  <c r="F91" i="1" s="1"/>
  <c r="C89" i="1"/>
  <c r="D79" i="1"/>
  <c r="G57" i="1"/>
  <c r="E78" i="1"/>
  <c r="E79" i="1" s="1"/>
  <c r="E89" i="1"/>
  <c r="C90" i="1"/>
  <c r="D88" i="1"/>
  <c r="B89" i="1"/>
  <c r="D78" i="1"/>
  <c r="D82" i="1"/>
  <c r="E103" i="1" l="1"/>
  <c r="E98" i="1"/>
  <c r="U59" i="1"/>
  <c r="U60" i="1" s="1"/>
  <c r="T60" i="1"/>
  <c r="F90" i="1"/>
  <c r="F89" i="1"/>
  <c r="F88" i="1"/>
  <c r="I88" i="1" s="1"/>
  <c r="H91" i="1"/>
  <c r="G88" i="1"/>
  <c r="G90" i="1"/>
  <c r="E108" i="1"/>
  <c r="E106" i="1"/>
  <c r="F106" i="1" s="1"/>
  <c r="E100" i="1"/>
  <c r="F100" i="1" s="1"/>
  <c r="G100" i="1" s="1"/>
  <c r="H100" i="1" s="1"/>
  <c r="J100" i="1" s="1"/>
  <c r="E105" i="1"/>
  <c r="F105" i="1" s="1"/>
  <c r="E102" i="1"/>
  <c r="F102" i="1" s="1"/>
  <c r="G102" i="1" s="1"/>
  <c r="H102" i="1" s="1"/>
  <c r="J102" i="1" s="1"/>
  <c r="E104" i="1"/>
  <c r="F104" i="1" s="1"/>
  <c r="E107" i="1"/>
  <c r="F107" i="1" s="1"/>
  <c r="E109" i="1"/>
  <c r="E99" i="1"/>
  <c r="F99" i="1" s="1"/>
  <c r="G99" i="1" s="1"/>
  <c r="H99" i="1" s="1"/>
  <c r="J99" i="1" s="1"/>
  <c r="E101" i="1"/>
  <c r="F101" i="1" s="1"/>
  <c r="G101" i="1" s="1"/>
  <c r="H101" i="1" s="1"/>
  <c r="J101" i="1" s="1"/>
  <c r="I91" i="1"/>
  <c r="E83" i="1"/>
  <c r="G89" i="1"/>
  <c r="F103" i="1"/>
  <c r="F108" i="1"/>
  <c r="F109" i="1"/>
  <c r="G103" i="1" l="1"/>
  <c r="H103" i="1" s="1"/>
  <c r="J103" i="1" s="1"/>
  <c r="P115" i="1"/>
  <c r="F98" i="1"/>
  <c r="G98" i="1" s="1"/>
  <c r="H98" i="1" s="1"/>
  <c r="J98" i="1" s="1"/>
  <c r="I100" i="1"/>
  <c r="I101" i="1"/>
  <c r="I99" i="1"/>
  <c r="H90" i="1"/>
  <c r="L91" i="1"/>
  <c r="H89" i="1"/>
  <c r="G106" i="1"/>
  <c r="H106" i="1" s="1"/>
  <c r="J106" i="1" s="1"/>
  <c r="G108" i="1"/>
  <c r="H108" i="1" s="1"/>
  <c r="J108" i="1" s="1"/>
  <c r="J91" i="1"/>
  <c r="K91" i="1"/>
  <c r="G109" i="1"/>
  <c r="H109" i="1" s="1"/>
  <c r="J109" i="1" s="1"/>
  <c r="H88" i="1"/>
  <c r="K88" i="1" s="1"/>
  <c r="I102" i="1"/>
  <c r="G105" i="1"/>
  <c r="H105" i="1" s="1"/>
  <c r="J105" i="1" s="1"/>
  <c r="I89" i="1"/>
  <c r="G107" i="1"/>
  <c r="H107" i="1" s="1"/>
  <c r="J107" i="1" s="1"/>
  <c r="G104" i="1"/>
  <c r="H104" i="1" s="1"/>
  <c r="J104" i="1" s="1"/>
  <c r="I90" i="1"/>
  <c r="I103" i="1" l="1"/>
  <c r="J89" i="1"/>
  <c r="F110" i="1"/>
  <c r="J113" i="1" s="1"/>
  <c r="I98" i="1"/>
  <c r="J110" i="1"/>
  <c r="I104" i="1"/>
  <c r="I108" i="1"/>
  <c r="J90" i="1"/>
  <c r="K90" i="1"/>
  <c r="L90" i="1"/>
  <c r="L89" i="1"/>
  <c r="K89" i="1"/>
  <c r="I106" i="1"/>
  <c r="L88" i="1"/>
  <c r="J88" i="1"/>
  <c r="I105" i="1"/>
  <c r="I109" i="1"/>
  <c r="H110" i="1"/>
  <c r="I107" i="1"/>
  <c r="L92" i="1" l="1"/>
  <c r="K92" i="1"/>
  <c r="J92" i="1"/>
  <c r="B113" i="1" s="1"/>
  <c r="D114" i="1" s="1"/>
  <c r="I110" i="1"/>
  <c r="J116" i="1" l="1"/>
  <c r="U117" i="1" s="1"/>
  <c r="B114" i="1"/>
  <c r="D115" i="1"/>
  <c r="B115" i="1"/>
  <c r="L119" i="1" l="1"/>
  <c r="F114" i="1"/>
  <c r="H114" i="1" s="1"/>
  <c r="J114" i="1" s="1"/>
  <c r="F115" i="1"/>
  <c r="H115" i="1" s="1"/>
  <c r="J115" i="1" s="1"/>
  <c r="W131" i="1" l="1"/>
  <c r="M113" i="1"/>
  <c r="N115" i="1"/>
  <c r="M117" i="1"/>
  <c r="I125" i="1"/>
  <c r="H125" i="1"/>
  <c r="M119" i="1" l="1"/>
  <c r="U118" i="1"/>
  <c r="O117" i="1"/>
  <c r="O121" i="1" s="1"/>
  <c r="O113" i="1"/>
  <c r="P113" i="1"/>
  <c r="N113" i="1"/>
  <c r="P117" i="1"/>
  <c r="P118" i="1" l="1"/>
  <c r="P121" i="1"/>
  <c r="O118" i="1"/>
  <c r="Q118" i="1" l="1"/>
</calcChain>
</file>

<file path=xl/sharedStrings.xml><?xml version="1.0" encoding="utf-8"?>
<sst xmlns="http://schemas.openxmlformats.org/spreadsheetml/2006/main" count="148" uniqueCount="101">
  <si>
    <t>x</t>
  </si>
  <si>
    <t>y</t>
  </si>
  <si>
    <t xml:space="preserve">B = </t>
  </si>
  <si>
    <t xml:space="preserve">H = </t>
  </si>
  <si>
    <t xml:space="preserve">F'c = </t>
  </si>
  <si>
    <t>ksi</t>
  </si>
  <si>
    <t>in</t>
  </si>
  <si>
    <t>Section Coordinates</t>
  </si>
  <si>
    <t>Reinf Steel:</t>
  </si>
  <si>
    <t xml:space="preserve">Fy = </t>
  </si>
  <si>
    <t>Bar #</t>
  </si>
  <si>
    <t>As (in^2)</t>
  </si>
  <si>
    <t xml:space="preserve">Es = </t>
  </si>
  <si>
    <t xml:space="preserve">Ec = </t>
  </si>
  <si>
    <t>plot_scale</t>
  </si>
  <si>
    <t>Plastic Center</t>
  </si>
  <si>
    <t>Concrete:</t>
  </si>
  <si>
    <t xml:space="preserve">Area = </t>
  </si>
  <si>
    <t>in^2</t>
  </si>
  <si>
    <t xml:space="preserve">CC = </t>
  </si>
  <si>
    <t>kips</t>
  </si>
  <si>
    <t xml:space="preserve">CC_Mx = </t>
  </si>
  <si>
    <t xml:space="preserve">CC_My = </t>
  </si>
  <si>
    <t>in-kips</t>
  </si>
  <si>
    <t>Steel:</t>
  </si>
  <si>
    <t>CS (kips)</t>
  </si>
  <si>
    <t>CS_Mx</t>
  </si>
  <si>
    <t>CS_My</t>
  </si>
  <si>
    <t>C =</t>
  </si>
  <si>
    <t>Mx =</t>
  </si>
  <si>
    <t xml:space="preserve">My = </t>
  </si>
  <si>
    <t>Xp:</t>
  </si>
  <si>
    <t>Yp:</t>
  </si>
  <si>
    <t>Geometric Center</t>
  </si>
  <si>
    <t>Coordinate Transformation to make plastic center = 0,0</t>
  </si>
  <si>
    <t xml:space="preserve">Beta1 = </t>
  </si>
  <si>
    <t>NA Angle:</t>
  </si>
  <si>
    <t>x'</t>
  </si>
  <si>
    <t>y'</t>
  </si>
  <si>
    <t>degrees</t>
  </si>
  <si>
    <t>Transformed H:</t>
  </si>
  <si>
    <t>NA Depth:</t>
  </si>
  <si>
    <t>Beta1*NA=</t>
  </si>
  <si>
    <t>X1</t>
  </si>
  <si>
    <t>Y1</t>
  </si>
  <si>
    <t>X2</t>
  </si>
  <si>
    <t>Y2</t>
  </si>
  <si>
    <t>Forces From Compression Block</t>
  </si>
  <si>
    <t>Edge Segment</t>
  </si>
  <si>
    <t>M</t>
  </si>
  <si>
    <t>Xna</t>
  </si>
  <si>
    <t>Yna</t>
  </si>
  <si>
    <t>Cc</t>
  </si>
  <si>
    <t>Cc_Mx</t>
  </si>
  <si>
    <t>Cc_My</t>
  </si>
  <si>
    <t xml:space="preserve">0.85*F'c = </t>
  </si>
  <si>
    <t>Forces from Steel</t>
  </si>
  <si>
    <t>Bar</t>
  </si>
  <si>
    <t xml:space="preserve">eu = </t>
  </si>
  <si>
    <t>Strain</t>
  </si>
  <si>
    <t>As</t>
  </si>
  <si>
    <t>depth:</t>
  </si>
  <si>
    <t>peak:</t>
  </si>
  <si>
    <t>Stress</t>
  </si>
  <si>
    <t>Ps</t>
  </si>
  <si>
    <t>Ps_Mx</t>
  </si>
  <si>
    <t>Ps_My</t>
  </si>
  <si>
    <t xml:space="preserve">Pn = </t>
  </si>
  <si>
    <t>Pn * ecc. From PC to GC</t>
  </si>
  <si>
    <t xml:space="preserve">Mnx,pc = </t>
  </si>
  <si>
    <t xml:space="preserve">Mny,pc = </t>
  </si>
  <si>
    <t xml:space="preserve">Fy -F'c </t>
  </si>
  <si>
    <t>ft-kips</t>
  </si>
  <si>
    <t xml:space="preserve">phi = </t>
  </si>
  <si>
    <t>Goal:</t>
  </si>
  <si>
    <t>P</t>
  </si>
  <si>
    <t>Mx</t>
  </si>
  <si>
    <t>My</t>
  </si>
  <si>
    <t xml:space="preserve">Theta = </t>
  </si>
  <si>
    <t xml:space="preserve">theta = </t>
  </si>
  <si>
    <t>Iterations to try:</t>
  </si>
  <si>
    <t>Iterations Used:</t>
  </si>
  <si>
    <t>scale</t>
  </si>
  <si>
    <t>max phiPn</t>
  </si>
  <si>
    <t>min phiPn</t>
  </si>
  <si>
    <t>Alpha</t>
  </si>
  <si>
    <t>points:</t>
  </si>
  <si>
    <t>Depth for all bars yield in compression:</t>
  </si>
  <si>
    <t>Sign Convention Note:</t>
  </si>
  <si>
    <t>Right hand rule with compression positive</t>
  </si>
  <si>
    <t>this means that +Mx puts compression on the top</t>
  </si>
  <si>
    <t>of the cross-section and +My puts compression on</t>
  </si>
  <si>
    <t>the left of the cross section</t>
  </si>
  <si>
    <t>(See Sign Convention Note Above)</t>
  </si>
  <si>
    <t>Unit Vector:</t>
  </si>
  <si>
    <t>3D Unit Vector:</t>
  </si>
  <si>
    <r>
      <t>Tan</t>
    </r>
    <r>
      <rPr>
        <vertAlign val="superscript"/>
        <sz val="11"/>
        <rFont val="Calibri"/>
        <family val="2"/>
        <scheme val="minor"/>
      </rPr>
      <t>-1</t>
    </r>
    <r>
      <rPr>
        <sz val="11"/>
        <rFont val="Calibri"/>
        <family val="2"/>
        <scheme val="minor"/>
      </rPr>
      <t>(Mx/My)</t>
    </r>
  </si>
  <si>
    <t>P-phiPn</t>
  </si>
  <si>
    <t>Coord. To plot goal</t>
  </si>
  <si>
    <t>phiTheta-theta</t>
  </si>
  <si>
    <t>Tolerance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</si>
</sst>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00"/>
    <numFmt numFmtId="166" formatCode="0.00000"/>
    <numFmt numFmtId="167" formatCode="0.0000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  <font>
      <vertAlign val="superscript"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0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166" fontId="0" fillId="0" borderId="0" xfId="0" applyNumberFormat="1" applyAlignment="1">
      <alignment horizontal="left"/>
    </xf>
    <xf numFmtId="167" fontId="0" fillId="0" borderId="0" xfId="0" applyNumberFormat="1"/>
    <xf numFmtId="165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0" fillId="0" borderId="0" xfId="0" applyFill="1"/>
    <xf numFmtId="0" fontId="2" fillId="0" borderId="0" xfId="0" applyFont="1" applyFill="1" applyAlignment="1">
      <alignment horizontal="left"/>
    </xf>
    <xf numFmtId="0" fontId="3" fillId="0" borderId="0" xfId="0" applyFont="1" applyFill="1"/>
    <xf numFmtId="0" fontId="3" fillId="0" borderId="0" xfId="0" applyFont="1" applyFill="1" applyAlignment="1">
      <alignment horizontal="right"/>
    </xf>
    <xf numFmtId="0" fontId="3" fillId="0" borderId="0" xfId="0" applyFont="1" applyFill="1" applyAlignment="1">
      <alignment horizontal="center"/>
    </xf>
    <xf numFmtId="166" fontId="3" fillId="0" borderId="0" xfId="0" applyNumberFormat="1" applyFont="1" applyFill="1" applyAlignment="1">
      <alignment horizontal="center"/>
    </xf>
    <xf numFmtId="164" fontId="3" fillId="0" borderId="0" xfId="0" applyNumberFormat="1" applyFont="1" applyFill="1" applyAlignment="1">
      <alignment horizontal="center"/>
    </xf>
    <xf numFmtId="2" fontId="3" fillId="0" borderId="0" xfId="0" applyNumberFormat="1" applyFont="1" applyFill="1" applyAlignment="1">
      <alignment horizontal="center"/>
    </xf>
    <xf numFmtId="0" fontId="1" fillId="0" borderId="0" xfId="0" applyFont="1" applyAlignment="1">
      <alignment horizontal="right"/>
    </xf>
    <xf numFmtId="164" fontId="0" fillId="0" borderId="1" xfId="0" applyNumberFormat="1" applyBorder="1" applyAlignment="1">
      <alignment horizontal="center"/>
    </xf>
    <xf numFmtId="165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/>
    <xf numFmtId="0" fontId="4" fillId="0" borderId="0" xfId="0" applyFont="1"/>
    <xf numFmtId="0" fontId="4" fillId="0" borderId="0" xfId="0" applyFont="1" applyAlignment="1">
      <alignment horizontal="left"/>
    </xf>
    <xf numFmtId="2" fontId="0" fillId="0" borderId="0" xfId="0" applyNumberFormat="1" applyAlignment="1">
      <alignment horizontal="right"/>
    </xf>
    <xf numFmtId="2" fontId="0" fillId="3" borderId="2" xfId="0" applyNumberFormat="1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166" fontId="0" fillId="0" borderId="0" xfId="0" applyNumberForma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4" borderId="0" xfId="0" applyFill="1" applyAlignment="1" applyProtection="1">
      <alignment horizont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0" fillId="2" borderId="0" xfId="0" applyFill="1" applyProtection="1">
      <protection locked="0"/>
    </xf>
    <xf numFmtId="2" fontId="0" fillId="2" borderId="0" xfId="0" applyNumberFormat="1" applyFill="1" applyAlignment="1" applyProtection="1">
      <alignment horizontal="center"/>
      <protection locked="0"/>
    </xf>
    <xf numFmtId="0" fontId="3" fillId="0" borderId="0" xfId="0" applyFont="1" applyFill="1" applyProtection="1">
      <protection locked="0"/>
    </xf>
    <xf numFmtId="0" fontId="3" fillId="0" borderId="0" xfId="0" applyFont="1" applyFill="1" applyAlignment="1" applyProtection="1">
      <alignment horizontal="right"/>
      <protection locked="0"/>
    </xf>
    <xf numFmtId="0" fontId="0" fillId="0" borderId="0" xfId="0" applyProtection="1">
      <protection locked="0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66" fontId="0" fillId="0" borderId="0" xfId="0" applyNumberFormat="1"/>
    <xf numFmtId="0" fontId="0" fillId="0" borderId="8" xfId="0" applyBorder="1"/>
    <xf numFmtId="0" fontId="0" fillId="0" borderId="7" xfId="0" applyBorder="1"/>
    <xf numFmtId="0" fontId="0" fillId="0" borderId="0" xfId="0" applyBorder="1"/>
    <xf numFmtId="0" fontId="0" fillId="0" borderId="2" xfId="0" applyBorder="1"/>
    <xf numFmtId="164" fontId="3" fillId="0" borderId="0" xfId="0" applyNumberFormat="1" applyFont="1" applyFill="1" applyAlignment="1" applyProtection="1">
      <alignment horizontal="center" vertical="center"/>
      <protection locked="0"/>
    </xf>
    <xf numFmtId="164" fontId="3" fillId="0" borderId="0" xfId="0" applyNumberFormat="1" applyFont="1" applyFill="1" applyAlignment="1">
      <alignment horizontal="center" vertical="center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9" xfId="0" applyBorder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66" fontId="0" fillId="0" borderId="9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</a:t>
            </a:r>
            <a:r>
              <a:rPr lang="en-US" baseline="0"/>
              <a:t> Section and Reinforcement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Analysis'!$D$3:$D$7</c:f>
              <c:numCache>
                <c:formatCode>0.00</c:formatCode>
                <c:ptCount val="5"/>
                <c:pt idx="0">
                  <c:v>0</c:v>
                </c:pt>
                <c:pt idx="1">
                  <c:v>20</c:v>
                </c:pt>
                <c:pt idx="2">
                  <c:v>20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'Cross Section Analysis'!$E$3:$E$7</c:f>
              <c:numCache>
                <c:formatCode>0.00</c:formatCode>
                <c:ptCount val="5"/>
                <c:pt idx="0">
                  <c:v>0</c:v>
                </c:pt>
                <c:pt idx="1">
                  <c:v>0</c:v>
                </c:pt>
                <c:pt idx="2">
                  <c:v>30</c:v>
                </c:pt>
                <c:pt idx="3">
                  <c:v>30</c:v>
                </c:pt>
                <c:pt idx="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042-49CA-9FFE-7F61A1310FE6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Analysis'!$D$13:$D$24</c:f>
              <c:numCache>
                <c:formatCode>0.00</c:formatCode>
                <c:ptCount val="12"/>
                <c:pt idx="0">
                  <c:v>4</c:v>
                </c:pt>
                <c:pt idx="1">
                  <c:v>16</c:v>
                </c:pt>
                <c:pt idx="2">
                  <c:v>4</c:v>
                </c:pt>
                <c:pt idx="3">
                  <c:v>10</c:v>
                </c:pt>
                <c:pt idx="4">
                  <c:v>16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Analysis'!$E$13:$E$24</c:f>
              <c:numCache>
                <c:formatCode>0.00</c:formatCode>
                <c:ptCount val="12"/>
                <c:pt idx="0">
                  <c:v>4</c:v>
                </c:pt>
                <c:pt idx="1">
                  <c:v>4</c:v>
                </c:pt>
                <c:pt idx="2">
                  <c:v>26</c:v>
                </c:pt>
                <c:pt idx="3">
                  <c:v>26</c:v>
                </c:pt>
                <c:pt idx="4">
                  <c:v>26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042-49CA-9FFE-7F61A1310FE6}"/>
            </c:ext>
          </c:extLst>
        </c:ser>
        <c:ser>
          <c:idx val="2"/>
          <c:order val="2"/>
          <c:tx>
            <c:v>_scale_point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'Cross Section Analysis'!$G$3:$G$4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xVal>
          <c:yVal>
            <c:numRef>
              <c:f>'Cross Section Analysis'!$H$3:$H$4</c:f>
              <c:numCache>
                <c:formatCode>General</c:formatCode>
                <c:ptCount val="2"/>
                <c:pt idx="0" formatCode="0.00">
                  <c:v>31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042-49CA-9FFE-7F61A1310FE6}"/>
            </c:ext>
          </c:extLst>
        </c:ser>
        <c:ser>
          <c:idx val="3"/>
          <c:order val="3"/>
          <c:tx>
            <c:v>PLASTIC 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'Cross Section Analysis'!$D$49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Analysis'!$E$49</c:f>
              <c:numCache>
                <c:formatCode>0.000</c:formatCode>
                <c:ptCount val="1"/>
                <c:pt idx="0">
                  <c:v>15.229409569306561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042-49CA-9FFE-7F61A1310FE6}"/>
            </c:ext>
          </c:extLst>
        </c:ser>
        <c:ser>
          <c:idx val="4"/>
          <c:order val="4"/>
          <c:tx>
            <c:v>GEOMETRIC CENTER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10"/>
            <c:spPr>
              <a:noFill/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'Cross Section Analysis'!$G$7</c:f>
              <c:numCache>
                <c:formatCode>General</c:formatCode>
                <c:ptCount val="1"/>
                <c:pt idx="0">
                  <c:v>10</c:v>
                </c:pt>
              </c:numCache>
            </c:numRef>
          </c:xVal>
          <c:yVal>
            <c:numRef>
              <c:f>'Cross Section Analysis'!$H$7</c:f>
              <c:numCache>
                <c:formatCode>General</c:formatCode>
                <c:ptCount val="1"/>
                <c:pt idx="0">
                  <c:v>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8042-49CA-9FFE-7F61A1310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</a:t>
            </a:r>
            <a:r>
              <a:rPr lang="en-US" baseline="0"/>
              <a:t> Cross Section with Compression block</a:t>
            </a:r>
          </a:p>
          <a:p>
            <a:pPr>
              <a:defRPr/>
            </a:pPr>
            <a:r>
              <a:rPr lang="en-US" baseline="0"/>
              <a:t>(Translated so P.C. is 0,0 and rotated so NA is horizontal)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TRANSFORMED X 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'Cross Section Analysis'!$C$57:$C$61</c:f>
              <c:numCache>
                <c:formatCode>0.000</c:formatCode>
                <c:ptCount val="5"/>
                <c:pt idx="0">
                  <c:v>-17.781896052715631</c:v>
                </c:pt>
                <c:pt idx="1">
                  <c:v>-10.708216904654174</c:v>
                </c:pt>
                <c:pt idx="2">
                  <c:v>17.352732695245884</c:v>
                </c:pt>
                <c:pt idx="3">
                  <c:v>10.279053547184427</c:v>
                </c:pt>
                <c:pt idx="4">
                  <c:v>-17.781896052715631</c:v>
                </c:pt>
              </c:numCache>
            </c:numRef>
          </c:xVal>
          <c:yVal>
            <c:numRef>
              <c:f>'Cross Section Analysis'!$D$57:$D$61</c:f>
              <c:numCache>
                <c:formatCode>0.000</c:formatCode>
                <c:ptCount val="5"/>
                <c:pt idx="0">
                  <c:v>3.9672520212487816</c:v>
                </c:pt>
                <c:pt idx="1">
                  <c:v>-14.740047712017923</c:v>
                </c:pt>
                <c:pt idx="2">
                  <c:v>-4.1295289899257401</c:v>
                </c:pt>
                <c:pt idx="3">
                  <c:v>14.577770743340965</c:v>
                </c:pt>
                <c:pt idx="4">
                  <c:v>3.9672520212487816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1-4499-A626-F3141CCA3A28}"/>
            </c:ext>
          </c:extLst>
        </c:ser>
        <c:ser>
          <c:idx val="1"/>
          <c:order val="1"/>
          <c:tx>
            <c:v>BARS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Analysis'!$F$64:$F$75</c:f>
              <c:numCache>
                <c:formatCode>0.000</c:formatCode>
                <c:ptCount val="12"/>
                <c:pt idx="0">
                  <c:v>-12.625700276449997</c:v>
                </c:pt>
                <c:pt idx="1">
                  <c:v>-8.3814927876131229</c:v>
                </c:pt>
                <c:pt idx="2">
                  <c:v>7.9523294301433776</c:v>
                </c:pt>
                <c:pt idx="3">
                  <c:v>10.074433174561815</c:v>
                </c:pt>
                <c:pt idx="4">
                  <c:v>12.196536918980252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'Cross Section Analysis'!$G$64:$G$75</c:f>
              <c:numCache>
                <c:formatCode>0.000</c:formatCode>
                <c:ptCount val="12"/>
                <c:pt idx="0">
                  <c:v>1.6405279042077314</c:v>
                </c:pt>
                <c:pt idx="1">
                  <c:v>-9.5838519357522909</c:v>
                </c:pt>
                <c:pt idx="2">
                  <c:v>9.4215749670753333</c:v>
                </c:pt>
                <c:pt idx="3">
                  <c:v>3.8093850470953217</c:v>
                </c:pt>
                <c:pt idx="4">
                  <c:v>-1.8028048728846895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1-4499-A626-F3141CCA3A28}"/>
            </c:ext>
          </c:extLst>
        </c:ser>
        <c:ser>
          <c:idx val="2"/>
          <c:order val="2"/>
          <c:tx>
            <c:v>NA</c:v>
          </c:tx>
          <c:spPr>
            <a:ln w="12700" cap="rnd">
              <a:solidFill>
                <a:srgbClr val="FF0000"/>
              </a:solidFill>
              <a:prstDash val="dashDot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Analysis'!$D$78:$D$79</c:f>
              <c:numCache>
                <c:formatCode>0.000</c:formatCode>
                <c:ptCount val="2"/>
                <c:pt idx="0">
                  <c:v>-17.781896052715631</c:v>
                </c:pt>
                <c:pt idx="1">
                  <c:v>17.352732695245884</c:v>
                </c:pt>
              </c:numCache>
            </c:numRef>
          </c:xVal>
          <c:yVal>
            <c:numRef>
              <c:f>'Cross Section Analysis'!$E$78:$E$79</c:f>
              <c:numCache>
                <c:formatCode>0.000</c:formatCode>
                <c:ptCount val="2"/>
                <c:pt idx="0">
                  <c:v>4.4575410513676985</c:v>
                </c:pt>
                <c:pt idx="1">
                  <c:v>4.4575410513676985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3F1-4499-A626-F3141CCA3A28}"/>
            </c:ext>
          </c:extLst>
        </c:ser>
        <c:ser>
          <c:idx val="3"/>
          <c:order val="3"/>
          <c:tx>
            <c:v>Compression Block Base</c:v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circle"/>
            <c:size val="2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Analysis'!$D$82:$D$83</c:f>
              <c:numCache>
                <c:formatCode>0.000</c:formatCode>
                <c:ptCount val="2"/>
                <c:pt idx="0">
                  <c:v>-17.781896052715631</c:v>
                </c:pt>
                <c:pt idx="1">
                  <c:v>17.352732695245884</c:v>
                </c:pt>
              </c:numCache>
            </c:numRef>
          </c:xVal>
          <c:yVal>
            <c:numRef>
              <c:f>'Cross Section Analysis'!$E$82:$E$83</c:f>
              <c:numCache>
                <c:formatCode>0.000</c:formatCode>
                <c:ptCount val="2"/>
                <c:pt idx="0">
                  <c:v>6.4815869897623521</c:v>
                </c:pt>
                <c:pt idx="1">
                  <c:v>6.4815869897623521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3F1-4499-A626-F3141CCA3A28}"/>
            </c:ext>
          </c:extLst>
        </c:ser>
        <c:ser>
          <c:idx val="4"/>
          <c:order val="4"/>
          <c:tx>
            <c:v>cbloc_points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'Cross Section Analysis'!$H$88:$H$91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13.3404149950219</c:v>
                </c:pt>
                <c:pt idx="3">
                  <c:v>-11.132397693900836</c:v>
                </c:pt>
              </c:numCache>
            </c:numRef>
          </c:xVal>
          <c:yVal>
            <c:numRef>
              <c:f>'Cross Section Analysis'!$I$88:$I$91</c:f>
              <c:numCache>
                <c:formatCode>0.000</c:formatCode>
                <c:ptCount val="4"/>
                <c:pt idx="0">
                  <c:v>#N/A</c:v>
                </c:pt>
                <c:pt idx="1">
                  <c:v>#N/A</c:v>
                </c:pt>
                <c:pt idx="2">
                  <c:v>6.4815869897623521</c:v>
                </c:pt>
                <c:pt idx="3">
                  <c:v>6.4815869897623521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A5-4190-9AC0-CF117630758C}"/>
            </c:ext>
          </c:extLst>
        </c:ser>
        <c:ser>
          <c:idx val="5"/>
          <c:order val="5"/>
          <c:tx>
            <c:v>_scale</c:v>
          </c:tx>
          <c:spPr>
            <a:ln w="19050" cap="rnd">
              <a:noFill/>
              <a:round/>
            </a:ln>
            <a:effectLst/>
          </c:spPr>
          <c:marker>
            <c:symbol val="dot"/>
            <c:size val="2"/>
            <c:spPr>
              <a:solidFill>
                <a:schemeClr val="accent6"/>
              </a:solidFill>
              <a:ln w="9525">
                <a:solidFill>
                  <a:schemeClr val="bg1">
                    <a:lumMod val="85000"/>
                  </a:schemeClr>
                </a:solidFill>
              </a:ln>
              <a:effectLst/>
            </c:spPr>
          </c:marker>
          <c:xVal>
            <c:numRef>
              <c:f>'Cross Section Analysis'!$T$59:$T$60</c:f>
              <c:numCache>
                <c:formatCode>General</c:formatCode>
                <c:ptCount val="2"/>
                <c:pt idx="0">
                  <c:v>17.352732695245884</c:v>
                </c:pt>
                <c:pt idx="1">
                  <c:v>-17.352732695245884</c:v>
                </c:pt>
              </c:numCache>
            </c:numRef>
          </c:xVal>
          <c:yVal>
            <c:numRef>
              <c:f>'Cross Section Analysis'!$U$59:$U$60</c:f>
              <c:numCache>
                <c:formatCode>General</c:formatCode>
                <c:ptCount val="2"/>
                <c:pt idx="0">
                  <c:v>17.352732695245884</c:v>
                </c:pt>
                <c:pt idx="1">
                  <c:v>-17.352732695245884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27-4C63-A03A-DC06FDF14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0040592"/>
        <c:axId val="761478528"/>
      </c:scatterChart>
      <c:valAx>
        <c:axId val="930040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478528"/>
        <c:crosses val="autoZero"/>
        <c:crossBetween val="midCat"/>
      </c:valAx>
      <c:valAx>
        <c:axId val="76147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0040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Mx vs My @ Goal P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Analysis'!$B$129:$B$490</c:f>
              <c:numCache>
                <c:formatCode>0.000</c:formatCode>
                <c:ptCount val="362"/>
                <c:pt idx="0">
                  <c:v>519.77806722348544</c:v>
                </c:pt>
                <c:pt idx="1">
                  <c:v>519.74277096735034</c:v>
                </c:pt>
                <c:pt idx="2">
                  <c:v>519.6768955234229</c:v>
                </c:pt>
                <c:pt idx="3">
                  <c:v>519.51301432788955</c:v>
                </c:pt>
                <c:pt idx="4">
                  <c:v>519.28369124932635</c:v>
                </c:pt>
                <c:pt idx="5">
                  <c:v>518.98855684339912</c:v>
                </c:pt>
                <c:pt idx="6">
                  <c:v>518.62654560490444</c:v>
                </c:pt>
                <c:pt idx="7">
                  <c:v>518.19691629628596</c:v>
                </c:pt>
                <c:pt idx="8">
                  <c:v>517.69872009748599</c:v>
                </c:pt>
                <c:pt idx="9">
                  <c:v>517.13072410085056</c:v>
                </c:pt>
                <c:pt idx="10">
                  <c:v>516.49134040267813</c:v>
                </c:pt>
                <c:pt idx="11">
                  <c:v>515.77877920974458</c:v>
                </c:pt>
                <c:pt idx="12">
                  <c:v>514.99186427930636</c:v>
                </c:pt>
                <c:pt idx="13">
                  <c:v>514.12777471952722</c:v>
                </c:pt>
                <c:pt idx="14">
                  <c:v>513.18462595672531</c:v>
                </c:pt>
                <c:pt idx="15">
                  <c:v>512.16009619446197</c:v>
                </c:pt>
                <c:pt idx="16">
                  <c:v>511.05115248408316</c:v>
                </c:pt>
                <c:pt idx="17">
                  <c:v>509.85487877337226</c:v>
                </c:pt>
                <c:pt idx="18">
                  <c:v>508.56798445779543</c:v>
                </c:pt>
                <c:pt idx="19">
                  <c:v>507.18675222735135</c:v>
                </c:pt>
                <c:pt idx="20">
                  <c:v>505.70742940222016</c:v>
                </c:pt>
                <c:pt idx="21">
                  <c:v>504.12573325142239</c:v>
                </c:pt>
                <c:pt idx="22">
                  <c:v>502.43679505285672</c:v>
                </c:pt>
                <c:pt idx="23">
                  <c:v>500.64849242725893</c:v>
                </c:pt>
                <c:pt idx="24">
                  <c:v>498.85332105409401</c:v>
                </c:pt>
                <c:pt idx="25">
                  <c:v>497.06645712874325</c:v>
                </c:pt>
                <c:pt idx="26">
                  <c:v>495.28315518407476</c:v>
                </c:pt>
                <c:pt idx="27">
                  <c:v>493.49912373806205</c:v>
                </c:pt>
                <c:pt idx="28">
                  <c:v>491.71058890858779</c:v>
                </c:pt>
                <c:pt idx="29">
                  <c:v>489.91380244608348</c:v>
                </c:pt>
                <c:pt idx="30">
                  <c:v>488.10502536697538</c:v>
                </c:pt>
                <c:pt idx="31">
                  <c:v>486.2807339485235</c:v>
                </c:pt>
                <c:pt idx="32">
                  <c:v>484.76335606575338</c:v>
                </c:pt>
                <c:pt idx="33">
                  <c:v>482.92879478316604</c:v>
                </c:pt>
                <c:pt idx="34">
                  <c:v>481.06868073828684</c:v>
                </c:pt>
                <c:pt idx="35">
                  <c:v>479.17995068343242</c:v>
                </c:pt>
                <c:pt idx="36">
                  <c:v>477.25894557012776</c:v>
                </c:pt>
                <c:pt idx="37">
                  <c:v>475.30207792817578</c:v>
                </c:pt>
                <c:pt idx="38">
                  <c:v>473.3057525311761</c:v>
                </c:pt>
                <c:pt idx="39">
                  <c:v>470.25301477294562</c:v>
                </c:pt>
                <c:pt idx="40">
                  <c:v>466.24426584888505</c:v>
                </c:pt>
                <c:pt idx="41">
                  <c:v>462.27201542425775</c:v>
                </c:pt>
                <c:pt idx="42">
                  <c:v>458.32802427670975</c:v>
                </c:pt>
                <c:pt idx="43">
                  <c:v>454.40413965003842</c:v>
                </c:pt>
                <c:pt idx="44">
                  <c:v>450.49215180700457</c:v>
                </c:pt>
                <c:pt idx="45">
                  <c:v>446.58414170339722</c:v>
                </c:pt>
                <c:pt idx="46">
                  <c:v>442.67184251954461</c:v>
                </c:pt>
                <c:pt idx="47">
                  <c:v>438.74714220856225</c:v>
                </c:pt>
                <c:pt idx="48">
                  <c:v>434.80146349248054</c:v>
                </c:pt>
                <c:pt idx="49">
                  <c:v>430.82609166173756</c:v>
                </c:pt>
                <c:pt idx="50">
                  <c:v>426.23592149550689</c:v>
                </c:pt>
                <c:pt idx="51">
                  <c:v>419.35597405356714</c:v>
                </c:pt>
                <c:pt idx="52">
                  <c:v>412.49035243844918</c:v>
                </c:pt>
                <c:pt idx="53">
                  <c:v>405.6248367049152</c:v>
                </c:pt>
                <c:pt idx="54">
                  <c:v>398.74463834905725</c:v>
                </c:pt>
                <c:pt idx="55">
                  <c:v>391.834244941333</c:v>
                </c:pt>
                <c:pt idx="56">
                  <c:v>384.87724592759372</c:v>
                </c:pt>
                <c:pt idx="57">
                  <c:v>377.85625776251618</c:v>
                </c:pt>
                <c:pt idx="58">
                  <c:v>370.75244517170034</c:v>
                </c:pt>
                <c:pt idx="59">
                  <c:v>363.54525089804059</c:v>
                </c:pt>
                <c:pt idx="60">
                  <c:v>356.21219748204817</c:v>
                </c:pt>
                <c:pt idx="61">
                  <c:v>348.7282940713834</c:v>
                </c:pt>
                <c:pt idx="62">
                  <c:v>341.06568827285486</c:v>
                </c:pt>
                <c:pt idx="63">
                  <c:v>333.19276089664851</c:v>
                </c:pt>
                <c:pt idx="64">
                  <c:v>325.07361265731578</c:v>
                </c:pt>
                <c:pt idx="65">
                  <c:v>316.66696088824136</c:v>
                </c:pt>
                <c:pt idx="66">
                  <c:v>307.92488131057519</c:v>
                </c:pt>
                <c:pt idx="67">
                  <c:v>298.7913515436025</c:v>
                </c:pt>
                <c:pt idx="68">
                  <c:v>289.2000922689827</c:v>
                </c:pt>
                <c:pt idx="69">
                  <c:v>279.07203082142172</c:v>
                </c:pt>
                <c:pt idx="70">
                  <c:v>268.3119258186079</c:v>
                </c:pt>
                <c:pt idx="71">
                  <c:v>257.24523912448791</c:v>
                </c:pt>
                <c:pt idx="72">
                  <c:v>247.79924584293005</c:v>
                </c:pt>
                <c:pt idx="73">
                  <c:v>237.62892890963218</c:v>
                </c:pt>
                <c:pt idx="74">
                  <c:v>226.58248366220445</c:v>
                </c:pt>
                <c:pt idx="75">
                  <c:v>214.465310548698</c:v>
                </c:pt>
                <c:pt idx="76">
                  <c:v>201.0236427395823</c:v>
                </c:pt>
                <c:pt idx="77">
                  <c:v>185.92012693960811</c:v>
                </c:pt>
                <c:pt idx="78">
                  <c:v>169.1360276042202</c:v>
                </c:pt>
                <c:pt idx="79">
                  <c:v>151.5642408658274</c:v>
                </c:pt>
                <c:pt idx="80">
                  <c:v>131.7059046824721</c:v>
                </c:pt>
                <c:pt idx="81">
                  <c:v>111.3260921110916</c:v>
                </c:pt>
                <c:pt idx="82">
                  <c:v>90.480113626436449</c:v>
                </c:pt>
                <c:pt idx="83">
                  <c:v>69.102378858342902</c:v>
                </c:pt>
                <c:pt idx="84">
                  <c:v>47.119681274435152</c:v>
                </c:pt>
                <c:pt idx="85">
                  <c:v>24.712509058098789</c:v>
                </c:pt>
                <c:pt idx="86">
                  <c:v>7.5295547161463183</c:v>
                </c:pt>
                <c:pt idx="87">
                  <c:v>-10.146569890635011</c:v>
                </c:pt>
                <c:pt idx="88">
                  <c:v>-28.420792612139508</c:v>
                </c:pt>
                <c:pt idx="89">
                  <c:v>-42.913035925015222</c:v>
                </c:pt>
                <c:pt idx="90">
                  <c:v>-62.864999999999881</c:v>
                </c:pt>
                <c:pt idx="91">
                  <c:v>-82.816964074984696</c:v>
                </c:pt>
                <c:pt idx="92">
                  <c:v>-97.309207387860397</c:v>
                </c:pt>
                <c:pt idx="93">
                  <c:v>-115.58343010936483</c:v>
                </c:pt>
                <c:pt idx="94">
                  <c:v>-133.2595547161464</c:v>
                </c:pt>
                <c:pt idx="95">
                  <c:v>-150.44250905809895</c:v>
                </c:pt>
                <c:pt idx="96">
                  <c:v>-167.2181898840463</c:v>
                </c:pt>
                <c:pt idx="97">
                  <c:v>-183.65792738661884</c:v>
                </c:pt>
                <c:pt idx="98">
                  <c:v>-199.82178569741458</c:v>
                </c:pt>
                <c:pt idx="99">
                  <c:v>-215.7610022494558</c:v>
                </c:pt>
                <c:pt idx="100">
                  <c:v>-228.01382665789828</c:v>
                </c:pt>
                <c:pt idx="101">
                  <c:v>-238.9839968225676</c:v>
                </c:pt>
                <c:pt idx="102">
                  <c:v>-249.72764031075059</c:v>
                </c:pt>
                <c:pt idx="103">
                  <c:v>-260.29516845076898</c:v>
                </c:pt>
                <c:pt idx="104">
                  <c:v>-270.72842148298781</c:v>
                </c:pt>
                <c:pt idx="105">
                  <c:v>-280.71018733116591</c:v>
                </c:pt>
                <c:pt idx="106">
                  <c:v>-289.9153826458018</c:v>
                </c:pt>
                <c:pt idx="107">
                  <c:v>-300.37517798202674</c:v>
                </c:pt>
                <c:pt idx="108">
                  <c:v>-312.41447617416668</c:v>
                </c:pt>
                <c:pt idx="109">
                  <c:v>-323.54291849737331</c:v>
                </c:pt>
                <c:pt idx="110">
                  <c:v>-333.91269878066311</c:v>
                </c:pt>
                <c:pt idx="111">
                  <c:v>-343.64585137349974</c:v>
                </c:pt>
                <c:pt idx="112">
                  <c:v>-352.84148058531747</c:v>
                </c:pt>
                <c:pt idx="113">
                  <c:v>-361.5810225363839</c:v>
                </c:pt>
                <c:pt idx="114">
                  <c:v>-369.9321503954402</c:v>
                </c:pt>
                <c:pt idx="115">
                  <c:v>-377.95169394986073</c:v>
                </c:pt>
                <c:pt idx="116">
                  <c:v>-385.68784549467262</c:v>
                </c:pt>
                <c:pt idx="117">
                  <c:v>-393.18189931444761</c:v>
                </c:pt>
                <c:pt idx="118">
                  <c:v>-400.46954503235571</c:v>
                </c:pt>
                <c:pt idx="119">
                  <c:v>-407.5819632326706</c:v>
                </c:pt>
                <c:pt idx="120">
                  <c:v>-414.54658627717578</c:v>
                </c:pt>
                <c:pt idx="121">
                  <c:v>-421.38784104181383</c:v>
                </c:pt>
                <c:pt idx="122">
                  <c:v>-428.12764246143649</c:v>
                </c:pt>
                <c:pt idx="123">
                  <c:v>-434.78585593584734</c:v>
                </c:pt>
                <c:pt idx="124">
                  <c:v>-441.38069346702906</c:v>
                </c:pt>
                <c:pt idx="125">
                  <c:v>-447.92893532284216</c:v>
                </c:pt>
                <c:pt idx="126">
                  <c:v>-454.44629279529971</c:v>
                </c:pt>
                <c:pt idx="127">
                  <c:v>-460.9475456390345</c:v>
                </c:pt>
                <c:pt idx="128">
                  <c:v>-467.44680322606308</c:v>
                </c:pt>
                <c:pt idx="129">
                  <c:v>-473.9576526384962</c:v>
                </c:pt>
                <c:pt idx="130">
                  <c:v>-480.49326699580865</c:v>
                </c:pt>
                <c:pt idx="131">
                  <c:v>-487.06660573229755</c:v>
                </c:pt>
                <c:pt idx="132">
                  <c:v>-493.69052120195317</c:v>
                </c:pt>
                <c:pt idx="133">
                  <c:v>-500.37785557803556</c:v>
                </c:pt>
                <c:pt idx="134">
                  <c:v>-507.14163040648094</c:v>
                </c:pt>
                <c:pt idx="135">
                  <c:v>-513.99504255311683</c:v>
                </c:pt>
                <c:pt idx="136">
                  <c:v>-520.95171459290236</c:v>
                </c:pt>
                <c:pt idx="137">
                  <c:v>-528.02571353307292</c:v>
                </c:pt>
                <c:pt idx="138">
                  <c:v>-533.81297062590397</c:v>
                </c:pt>
                <c:pt idx="139">
                  <c:v>-538.58282735617422</c:v>
                </c:pt>
                <c:pt idx="140">
                  <c:v>-543.40822206448024</c:v>
                </c:pt>
                <c:pt idx="141">
                  <c:v>-548.29901671793095</c:v>
                </c:pt>
                <c:pt idx="142">
                  <c:v>-553.26563344194858</c:v>
                </c:pt>
                <c:pt idx="143">
                  <c:v>-558.31888353446141</c:v>
                </c:pt>
                <c:pt idx="144">
                  <c:v>-563.4703581785036</c:v>
                </c:pt>
                <c:pt idx="145">
                  <c:v>-568.73226892687478</c:v>
                </c:pt>
                <c:pt idx="146">
                  <c:v>-574.1178872540944</c:v>
                </c:pt>
                <c:pt idx="147">
                  <c:v>-579.64140977397267</c:v>
                </c:pt>
                <c:pt idx="148">
                  <c:v>-585.31826463556126</c:v>
                </c:pt>
                <c:pt idx="149">
                  <c:v>-591.16547248451513</c:v>
                </c:pt>
                <c:pt idx="150">
                  <c:v>-597.20136585857222</c:v>
                </c:pt>
                <c:pt idx="151">
                  <c:v>-603.44664360221066</c:v>
                </c:pt>
                <c:pt idx="152">
                  <c:v>-609.9240501433203</c:v>
                </c:pt>
                <c:pt idx="153">
                  <c:v>-614.24404956238425</c:v>
                </c:pt>
                <c:pt idx="154">
                  <c:v>-616.58200042896419</c:v>
                </c:pt>
                <c:pt idx="155">
                  <c:v>-618.78333702205293</c:v>
                </c:pt>
                <c:pt idx="156">
                  <c:v>-620.85485032560632</c:v>
                </c:pt>
                <c:pt idx="157">
                  <c:v>-622.80332766195045</c:v>
                </c:pt>
                <c:pt idx="158">
                  <c:v>-624.63446300694329</c:v>
                </c:pt>
                <c:pt idx="159">
                  <c:v>-626.3540169877831</c:v>
                </c:pt>
                <c:pt idx="160">
                  <c:v>-627.967145184385</c:v>
                </c:pt>
                <c:pt idx="161">
                  <c:v>-629.47846029972072</c:v>
                </c:pt>
                <c:pt idx="162">
                  <c:v>-630.89244562633098</c:v>
                </c:pt>
                <c:pt idx="163">
                  <c:v>-632.21279805240249</c:v>
                </c:pt>
                <c:pt idx="164">
                  <c:v>-633.44336934107514</c:v>
                </c:pt>
                <c:pt idx="165">
                  <c:v>-634.58750966235141</c:v>
                </c:pt>
                <c:pt idx="166">
                  <c:v>-635.64812634530131</c:v>
                </c:pt>
                <c:pt idx="167">
                  <c:v>-636.62826090138401</c:v>
                </c:pt>
                <c:pt idx="168">
                  <c:v>-637.53027606870489</c:v>
                </c:pt>
                <c:pt idx="169">
                  <c:v>-638.35660949932446</c:v>
                </c:pt>
                <c:pt idx="170">
                  <c:v>-639.10931710134389</c:v>
                </c:pt>
                <c:pt idx="171">
                  <c:v>-639.46806527215961</c:v>
                </c:pt>
                <c:pt idx="172">
                  <c:v>-640.08306561273878</c:v>
                </c:pt>
                <c:pt idx="173">
                  <c:v>-640.62980603044571</c:v>
                </c:pt>
                <c:pt idx="174">
                  <c:v>-641.10944804156384</c:v>
                </c:pt>
                <c:pt idx="175">
                  <c:v>-641.5235089640056</c:v>
                </c:pt>
                <c:pt idx="176">
                  <c:v>-641.87279679642756</c:v>
                </c:pt>
                <c:pt idx="177">
                  <c:v>-642.15819819811668</c:v>
                </c:pt>
                <c:pt idx="178">
                  <c:v>-642.38031378687469</c:v>
                </c:pt>
                <c:pt idx="179">
                  <c:v>-642.5401078801774</c:v>
                </c:pt>
                <c:pt idx="180">
                  <c:v>-642.63760089371431</c:v>
                </c:pt>
                <c:pt idx="181">
                  <c:v>-642.54010788017706</c:v>
                </c:pt>
                <c:pt idx="182">
                  <c:v>-642.38031378687481</c:v>
                </c:pt>
                <c:pt idx="183">
                  <c:v>-642.15819819811691</c:v>
                </c:pt>
                <c:pt idx="184">
                  <c:v>-641.87279679642756</c:v>
                </c:pt>
                <c:pt idx="185">
                  <c:v>-641.52350896400537</c:v>
                </c:pt>
                <c:pt idx="186">
                  <c:v>-641.10944804156418</c:v>
                </c:pt>
                <c:pt idx="187">
                  <c:v>-640.62980603044616</c:v>
                </c:pt>
                <c:pt idx="188">
                  <c:v>-640.08306561273878</c:v>
                </c:pt>
                <c:pt idx="189">
                  <c:v>-639.46806527215995</c:v>
                </c:pt>
                <c:pt idx="190">
                  <c:v>-639.10931710134389</c:v>
                </c:pt>
                <c:pt idx="191">
                  <c:v>-638.35660949932446</c:v>
                </c:pt>
                <c:pt idx="192">
                  <c:v>-637.53027606870489</c:v>
                </c:pt>
                <c:pt idx="193">
                  <c:v>-636.62826090138401</c:v>
                </c:pt>
                <c:pt idx="194">
                  <c:v>-635.64812634530131</c:v>
                </c:pt>
                <c:pt idx="195">
                  <c:v>-634.58750966235175</c:v>
                </c:pt>
                <c:pt idx="196">
                  <c:v>-633.44336934107514</c:v>
                </c:pt>
                <c:pt idx="197">
                  <c:v>-632.21279805240249</c:v>
                </c:pt>
                <c:pt idx="198">
                  <c:v>-630.89244562633121</c:v>
                </c:pt>
                <c:pt idx="199">
                  <c:v>-629.4784602997205</c:v>
                </c:pt>
                <c:pt idx="200">
                  <c:v>-627.96714518438534</c:v>
                </c:pt>
                <c:pt idx="201">
                  <c:v>-626.35401698778333</c:v>
                </c:pt>
                <c:pt idx="202">
                  <c:v>-624.63446300694352</c:v>
                </c:pt>
                <c:pt idx="203">
                  <c:v>-622.80332766195045</c:v>
                </c:pt>
                <c:pt idx="204">
                  <c:v>-620.85485032560655</c:v>
                </c:pt>
                <c:pt idx="205">
                  <c:v>-618.78333702205293</c:v>
                </c:pt>
                <c:pt idx="206">
                  <c:v>-616.58200042896419</c:v>
                </c:pt>
                <c:pt idx="207">
                  <c:v>-614.24404956238448</c:v>
                </c:pt>
                <c:pt idx="208">
                  <c:v>-609.9240501433203</c:v>
                </c:pt>
                <c:pt idx="209">
                  <c:v>-603.44664360221077</c:v>
                </c:pt>
                <c:pt idx="210">
                  <c:v>-597.2013658585721</c:v>
                </c:pt>
                <c:pt idx="211">
                  <c:v>-591.16547248451513</c:v>
                </c:pt>
                <c:pt idx="212">
                  <c:v>-585.3182646355616</c:v>
                </c:pt>
                <c:pt idx="213">
                  <c:v>-579.64140977397267</c:v>
                </c:pt>
                <c:pt idx="214">
                  <c:v>-574.11788725409485</c:v>
                </c:pt>
                <c:pt idx="215">
                  <c:v>-568.73226892687478</c:v>
                </c:pt>
                <c:pt idx="216">
                  <c:v>-563.47035817850394</c:v>
                </c:pt>
                <c:pt idx="217">
                  <c:v>-558.31888353446118</c:v>
                </c:pt>
                <c:pt idx="218">
                  <c:v>-553.26563344194858</c:v>
                </c:pt>
                <c:pt idx="219">
                  <c:v>-548.29901671793107</c:v>
                </c:pt>
                <c:pt idx="220">
                  <c:v>-543.40822206448024</c:v>
                </c:pt>
                <c:pt idx="221">
                  <c:v>-538.58282735617422</c:v>
                </c:pt>
                <c:pt idx="222">
                  <c:v>-533.8129706259042</c:v>
                </c:pt>
                <c:pt idx="223">
                  <c:v>-528.02571353307292</c:v>
                </c:pt>
                <c:pt idx="224">
                  <c:v>-520.95171459290236</c:v>
                </c:pt>
                <c:pt idx="225">
                  <c:v>-513.99504255311695</c:v>
                </c:pt>
                <c:pt idx="226">
                  <c:v>-507.14163040648089</c:v>
                </c:pt>
                <c:pt idx="227">
                  <c:v>-500.37785557803574</c:v>
                </c:pt>
                <c:pt idx="228">
                  <c:v>-493.69052120195317</c:v>
                </c:pt>
                <c:pt idx="229">
                  <c:v>-487.06660573229755</c:v>
                </c:pt>
                <c:pt idx="230">
                  <c:v>-480.49326699580865</c:v>
                </c:pt>
                <c:pt idx="231">
                  <c:v>-473.95765263849648</c:v>
                </c:pt>
                <c:pt idx="232">
                  <c:v>-467.4468032260628</c:v>
                </c:pt>
                <c:pt idx="233">
                  <c:v>-460.94754563903467</c:v>
                </c:pt>
                <c:pt idx="234">
                  <c:v>-454.44629279529977</c:v>
                </c:pt>
                <c:pt idx="235">
                  <c:v>-447.92893532284228</c:v>
                </c:pt>
                <c:pt idx="236">
                  <c:v>-441.38069346702912</c:v>
                </c:pt>
                <c:pt idx="237">
                  <c:v>-434.78585593584734</c:v>
                </c:pt>
                <c:pt idx="238">
                  <c:v>-428.12764246143655</c:v>
                </c:pt>
                <c:pt idx="239">
                  <c:v>-421.38784104181394</c:v>
                </c:pt>
                <c:pt idx="240">
                  <c:v>-414.54658627717612</c:v>
                </c:pt>
                <c:pt idx="241">
                  <c:v>-407.5819632326706</c:v>
                </c:pt>
                <c:pt idx="242">
                  <c:v>-400.46954503235565</c:v>
                </c:pt>
                <c:pt idx="243">
                  <c:v>-393.18189931444783</c:v>
                </c:pt>
                <c:pt idx="244">
                  <c:v>-385.68784549467267</c:v>
                </c:pt>
                <c:pt idx="245">
                  <c:v>-377.95169394986073</c:v>
                </c:pt>
                <c:pt idx="246">
                  <c:v>-369.93215039544015</c:v>
                </c:pt>
                <c:pt idx="247">
                  <c:v>-361.5810225363839</c:v>
                </c:pt>
                <c:pt idx="248">
                  <c:v>-352.84148058531753</c:v>
                </c:pt>
                <c:pt idx="249">
                  <c:v>-343.64585137350019</c:v>
                </c:pt>
                <c:pt idx="250">
                  <c:v>-333.91269878066282</c:v>
                </c:pt>
                <c:pt idx="251">
                  <c:v>-323.54291849737331</c:v>
                </c:pt>
                <c:pt idx="252">
                  <c:v>-312.41447617416691</c:v>
                </c:pt>
                <c:pt idx="253">
                  <c:v>-300.37517798202708</c:v>
                </c:pt>
                <c:pt idx="254">
                  <c:v>-289.91538264580169</c:v>
                </c:pt>
                <c:pt idx="255">
                  <c:v>-280.71018733116568</c:v>
                </c:pt>
                <c:pt idx="256">
                  <c:v>-270.72842148298781</c:v>
                </c:pt>
                <c:pt idx="257">
                  <c:v>-260.29516845076915</c:v>
                </c:pt>
                <c:pt idx="258">
                  <c:v>-249.72764031075104</c:v>
                </c:pt>
                <c:pt idx="259">
                  <c:v>-238.98399682256746</c:v>
                </c:pt>
                <c:pt idx="260">
                  <c:v>-228.01382665789833</c:v>
                </c:pt>
                <c:pt idx="261">
                  <c:v>-215.761002249456</c:v>
                </c:pt>
                <c:pt idx="262">
                  <c:v>-199.82178569741507</c:v>
                </c:pt>
                <c:pt idx="263">
                  <c:v>-183.65792738661864</c:v>
                </c:pt>
                <c:pt idx="264">
                  <c:v>-167.2181898840461</c:v>
                </c:pt>
                <c:pt idx="265">
                  <c:v>-150.44250905809895</c:v>
                </c:pt>
                <c:pt idx="266">
                  <c:v>-133.25955471614668</c:v>
                </c:pt>
                <c:pt idx="267">
                  <c:v>-115.58343010936534</c:v>
                </c:pt>
                <c:pt idx="268">
                  <c:v>-97.309207387860155</c:v>
                </c:pt>
                <c:pt idx="269">
                  <c:v>-82.816964074984682</c:v>
                </c:pt>
                <c:pt idx="270">
                  <c:v>-62.865000000000265</c:v>
                </c:pt>
                <c:pt idx="271">
                  <c:v>-42.913035925015748</c:v>
                </c:pt>
                <c:pt idx="272">
                  <c:v>-28.420792612139319</c:v>
                </c:pt>
                <c:pt idx="273">
                  <c:v>-10.14656989063505</c:v>
                </c:pt>
                <c:pt idx="274">
                  <c:v>7.5295547161462961</c:v>
                </c:pt>
                <c:pt idx="275">
                  <c:v>24.712509058098551</c:v>
                </c:pt>
                <c:pt idx="276">
                  <c:v>47.11968127443474</c:v>
                </c:pt>
                <c:pt idx="277">
                  <c:v>69.102378858343073</c:v>
                </c:pt>
                <c:pt idx="278">
                  <c:v>90.480113626436449</c:v>
                </c:pt>
                <c:pt idx="279">
                  <c:v>111.3260921110914</c:v>
                </c:pt>
                <c:pt idx="280">
                  <c:v>131.70590468247158</c:v>
                </c:pt>
                <c:pt idx="281">
                  <c:v>151.56424086582754</c:v>
                </c:pt>
                <c:pt idx="282">
                  <c:v>169.13602760422015</c:v>
                </c:pt>
                <c:pt idx="283">
                  <c:v>185.92012693960814</c:v>
                </c:pt>
                <c:pt idx="284">
                  <c:v>201.02364273958213</c:v>
                </c:pt>
                <c:pt idx="285">
                  <c:v>214.46531054869763</c:v>
                </c:pt>
                <c:pt idx="286">
                  <c:v>226.58248366220462</c:v>
                </c:pt>
                <c:pt idx="287">
                  <c:v>237.62892890963212</c:v>
                </c:pt>
                <c:pt idx="288">
                  <c:v>247.79924584292996</c:v>
                </c:pt>
                <c:pt idx="289">
                  <c:v>257.24523912448774</c:v>
                </c:pt>
                <c:pt idx="290">
                  <c:v>268.31192581860802</c:v>
                </c:pt>
                <c:pt idx="291">
                  <c:v>279.07203082142172</c:v>
                </c:pt>
                <c:pt idx="292">
                  <c:v>289.2000922689827</c:v>
                </c:pt>
                <c:pt idx="293">
                  <c:v>298.79135154360239</c:v>
                </c:pt>
                <c:pt idx="294">
                  <c:v>307.92488131057502</c:v>
                </c:pt>
                <c:pt idx="295">
                  <c:v>316.66696088824153</c:v>
                </c:pt>
                <c:pt idx="296">
                  <c:v>325.07361265731578</c:v>
                </c:pt>
                <c:pt idx="297">
                  <c:v>333.19276089664856</c:v>
                </c:pt>
                <c:pt idx="298">
                  <c:v>341.06568827285469</c:v>
                </c:pt>
                <c:pt idx="299">
                  <c:v>348.72829407138329</c:v>
                </c:pt>
                <c:pt idx="300">
                  <c:v>356.21219748204805</c:v>
                </c:pt>
                <c:pt idx="301">
                  <c:v>363.54525089804059</c:v>
                </c:pt>
                <c:pt idx="302">
                  <c:v>370.75244517170017</c:v>
                </c:pt>
                <c:pt idx="303">
                  <c:v>377.85625776251584</c:v>
                </c:pt>
                <c:pt idx="304">
                  <c:v>384.87724592759389</c:v>
                </c:pt>
                <c:pt idx="305">
                  <c:v>391.83424494133283</c:v>
                </c:pt>
                <c:pt idx="306">
                  <c:v>398.74463834905708</c:v>
                </c:pt>
                <c:pt idx="307">
                  <c:v>405.62483670491486</c:v>
                </c:pt>
                <c:pt idx="308">
                  <c:v>412.49035243844941</c:v>
                </c:pt>
                <c:pt idx="309">
                  <c:v>419.35597405356702</c:v>
                </c:pt>
                <c:pt idx="310">
                  <c:v>426.23592149550689</c:v>
                </c:pt>
                <c:pt idx="311">
                  <c:v>430.82609166173756</c:v>
                </c:pt>
                <c:pt idx="312">
                  <c:v>434.80146349248037</c:v>
                </c:pt>
                <c:pt idx="313">
                  <c:v>438.74714220856237</c:v>
                </c:pt>
                <c:pt idx="314">
                  <c:v>442.67184251954461</c:v>
                </c:pt>
                <c:pt idx="315">
                  <c:v>446.58414170339705</c:v>
                </c:pt>
                <c:pt idx="316">
                  <c:v>450.4921518070044</c:v>
                </c:pt>
                <c:pt idx="317">
                  <c:v>454.40413965003847</c:v>
                </c:pt>
                <c:pt idx="318">
                  <c:v>458.32802427670964</c:v>
                </c:pt>
                <c:pt idx="319">
                  <c:v>462.27201542425786</c:v>
                </c:pt>
                <c:pt idx="320">
                  <c:v>466.24426584888494</c:v>
                </c:pt>
                <c:pt idx="321">
                  <c:v>470.25301477294533</c:v>
                </c:pt>
                <c:pt idx="322">
                  <c:v>473.30575253117615</c:v>
                </c:pt>
                <c:pt idx="323">
                  <c:v>475.30207792817578</c:v>
                </c:pt>
                <c:pt idx="324">
                  <c:v>477.25894557012793</c:v>
                </c:pt>
                <c:pt idx="325">
                  <c:v>479.17995068343242</c:v>
                </c:pt>
                <c:pt idx="326">
                  <c:v>481.06868073828718</c:v>
                </c:pt>
                <c:pt idx="327">
                  <c:v>482.92879478316593</c:v>
                </c:pt>
                <c:pt idx="328">
                  <c:v>484.76335606575327</c:v>
                </c:pt>
                <c:pt idx="329">
                  <c:v>486.28073394852333</c:v>
                </c:pt>
                <c:pt idx="330">
                  <c:v>488.10502536697493</c:v>
                </c:pt>
                <c:pt idx="331">
                  <c:v>489.91380244608337</c:v>
                </c:pt>
                <c:pt idx="332">
                  <c:v>491.71058890858779</c:v>
                </c:pt>
                <c:pt idx="333">
                  <c:v>493.49912373806194</c:v>
                </c:pt>
                <c:pt idx="334">
                  <c:v>495.28315518407447</c:v>
                </c:pt>
                <c:pt idx="335">
                  <c:v>497.06645712874337</c:v>
                </c:pt>
                <c:pt idx="336">
                  <c:v>498.85332105409424</c:v>
                </c:pt>
                <c:pt idx="337">
                  <c:v>500.64849242725865</c:v>
                </c:pt>
                <c:pt idx="338">
                  <c:v>502.43679505285621</c:v>
                </c:pt>
                <c:pt idx="339">
                  <c:v>504.12573325142176</c:v>
                </c:pt>
                <c:pt idx="340">
                  <c:v>505.70742940222027</c:v>
                </c:pt>
                <c:pt idx="341">
                  <c:v>507.18675222735135</c:v>
                </c:pt>
                <c:pt idx="342">
                  <c:v>508.56798445779543</c:v>
                </c:pt>
                <c:pt idx="343">
                  <c:v>509.85487877337175</c:v>
                </c:pt>
                <c:pt idx="344">
                  <c:v>511.05115248408333</c:v>
                </c:pt>
                <c:pt idx="345">
                  <c:v>512.16009619446208</c:v>
                </c:pt>
                <c:pt idx="346">
                  <c:v>513.18462595672531</c:v>
                </c:pt>
                <c:pt idx="347">
                  <c:v>514.127774719527</c:v>
                </c:pt>
                <c:pt idx="348">
                  <c:v>514.99186427930579</c:v>
                </c:pt>
                <c:pt idx="349">
                  <c:v>515.77877920974458</c:v>
                </c:pt>
                <c:pt idx="350">
                  <c:v>516.49134040267825</c:v>
                </c:pt>
                <c:pt idx="351">
                  <c:v>517.1307241008501</c:v>
                </c:pt>
                <c:pt idx="352">
                  <c:v>517.69872009748565</c:v>
                </c:pt>
                <c:pt idx="353">
                  <c:v>518.19691629628608</c:v>
                </c:pt>
                <c:pt idx="354">
                  <c:v>518.62654560490444</c:v>
                </c:pt>
                <c:pt idx="355">
                  <c:v>518.9885568433989</c:v>
                </c:pt>
                <c:pt idx="356">
                  <c:v>519.28369124932624</c:v>
                </c:pt>
                <c:pt idx="357">
                  <c:v>519.51301432788932</c:v>
                </c:pt>
                <c:pt idx="358">
                  <c:v>519.6768955234229</c:v>
                </c:pt>
                <c:pt idx="359">
                  <c:v>519.74277096735045</c:v>
                </c:pt>
                <c:pt idx="360">
                  <c:v>519.77806722348532</c:v>
                </c:pt>
                <c:pt idx="361">
                  <c:v>519.77806722348544</c:v>
                </c:pt>
              </c:numCache>
            </c:numRef>
          </c:xVal>
          <c:yVal>
            <c:numRef>
              <c:f>'Cross Section Analysis'!$C$129:$C$490</c:f>
              <c:numCache>
                <c:formatCode>0.000</c:formatCode>
                <c:ptCount val="362"/>
                <c:pt idx="0">
                  <c:v>0</c:v>
                </c:pt>
                <c:pt idx="1">
                  <c:v>5.6982588493087034</c:v>
                </c:pt>
                <c:pt idx="2">
                  <c:v>8.8466430801256664</c:v>
                </c:pt>
                <c:pt idx="3">
                  <c:v>14.272938558607025</c:v>
                </c:pt>
                <c:pt idx="4">
                  <c:v>19.58362094927439</c:v>
                </c:pt>
                <c:pt idx="5">
                  <c:v>24.794623698299443</c:v>
                </c:pt>
                <c:pt idx="6">
                  <c:v>29.91996051068141</c:v>
                </c:pt>
                <c:pt idx="7">
                  <c:v>34.972054193116399</c:v>
                </c:pt>
                <c:pt idx="8">
                  <c:v>39.96201834815836</c:v>
                </c:pt>
                <c:pt idx="9">
                  <c:v>44.899882831084611</c:v>
                </c:pt>
                <c:pt idx="10">
                  <c:v>49.794778789735894</c:v>
                </c:pt>
                <c:pt idx="11">
                  <c:v>54.655086434753478</c:v>
                </c:pt>
                <c:pt idx="12">
                  <c:v>59.488539327487992</c:v>
                </c:pt>
                <c:pt idx="13">
                  <c:v>64.302385530584232</c:v>
                </c:pt>
                <c:pt idx="14">
                  <c:v>69.103412747623636</c:v>
                </c:pt>
                <c:pt idx="15">
                  <c:v>73.898058110345801</c:v>
                </c:pt>
                <c:pt idx="16">
                  <c:v>78.692482755017281</c:v>
                </c:pt>
                <c:pt idx="17">
                  <c:v>83.492606473808095</c:v>
                </c:pt>
                <c:pt idx="18">
                  <c:v>88.304171714987987</c:v>
                </c:pt>
                <c:pt idx="19">
                  <c:v>93.132790495707681</c:v>
                </c:pt>
                <c:pt idx="20">
                  <c:v>97.983973456691743</c:v>
                </c:pt>
                <c:pt idx="21">
                  <c:v>102.86318172436881</c:v>
                </c:pt>
                <c:pt idx="22">
                  <c:v>107.77586342505313</c:v>
                </c:pt>
                <c:pt idx="23">
                  <c:v>112.69761258721304</c:v>
                </c:pt>
                <c:pt idx="24">
                  <c:v>117.4176916057352</c:v>
                </c:pt>
                <c:pt idx="25">
                  <c:v>121.91928359390158</c:v>
                </c:pt>
                <c:pt idx="26">
                  <c:v>126.22931851680941</c:v>
                </c:pt>
                <c:pt idx="27">
                  <c:v>130.37093834468322</c:v>
                </c:pt>
                <c:pt idx="28">
                  <c:v>134.36419594812119</c:v>
                </c:pt>
                <c:pt idx="29">
                  <c:v>138.22659077084487</c:v>
                </c:pt>
                <c:pt idx="30">
                  <c:v>141.97349606409671</c:v>
                </c:pt>
                <c:pt idx="31">
                  <c:v>145.61852261443707</c:v>
                </c:pt>
                <c:pt idx="32">
                  <c:v>148.8090158180772</c:v>
                </c:pt>
                <c:pt idx="33">
                  <c:v>152.24541279002787</c:v>
                </c:pt>
                <c:pt idx="34">
                  <c:v>155.61439993654074</c:v>
                </c:pt>
                <c:pt idx="35">
                  <c:v>158.92484847891416</c:v>
                </c:pt>
                <c:pt idx="36">
                  <c:v>162.18484306469071</c:v>
                </c:pt>
                <c:pt idx="37">
                  <c:v>165.40186788534874</c:v>
                </c:pt>
                <c:pt idx="38">
                  <c:v>168.58290617931706</c:v>
                </c:pt>
                <c:pt idx="39">
                  <c:v>171.22318899547525</c:v>
                </c:pt>
                <c:pt idx="40">
                  <c:v>173.36228373138985</c:v>
                </c:pt>
                <c:pt idx="41">
                  <c:v>175.50393527948637</c:v>
                </c:pt>
                <c:pt idx="42">
                  <c:v>177.65274885330479</c:v>
                </c:pt>
                <c:pt idx="43">
                  <c:v>179.81323890364709</c:v>
                </c:pt>
                <c:pt idx="44">
                  <c:v>181.98987193800619</c:v>
                </c:pt>
                <c:pt idx="45">
                  <c:v>184.18711780126233</c:v>
                </c:pt>
                <c:pt idx="46">
                  <c:v>186.40948445748867</c:v>
                </c:pt>
                <c:pt idx="47">
                  <c:v>188.66157676581344</c:v>
                </c:pt>
                <c:pt idx="48">
                  <c:v>190.94812120421162</c:v>
                </c:pt>
                <c:pt idx="49">
                  <c:v>193.27402819804618</c:v>
                </c:pt>
                <c:pt idx="50">
                  <c:v>195.83749786863029</c:v>
                </c:pt>
                <c:pt idx="51">
                  <c:v>199.19576027492744</c:v>
                </c:pt>
                <c:pt idx="52">
                  <c:v>202.57554412538602</c:v>
                </c:pt>
                <c:pt idx="53">
                  <c:v>205.98537667441471</c:v>
                </c:pt>
                <c:pt idx="54">
                  <c:v>209.43406203804116</c:v>
                </c:pt>
                <c:pt idx="55">
                  <c:v>212.93078634360572</c:v>
                </c:pt>
                <c:pt idx="56">
                  <c:v>216.48523471686624</c:v>
                </c:pt>
                <c:pt idx="57">
                  <c:v>220.10779961926937</c:v>
                </c:pt>
                <c:pt idx="58">
                  <c:v>223.80958121877671</c:v>
                </c:pt>
                <c:pt idx="59">
                  <c:v>227.60255782185064</c:v>
                </c:pt>
                <c:pt idx="60">
                  <c:v>231.49986397679299</c:v>
                </c:pt>
                <c:pt idx="61">
                  <c:v>235.51589731498484</c:v>
                </c:pt>
                <c:pt idx="62">
                  <c:v>239.66667670101003</c:v>
                </c:pt>
                <c:pt idx="63">
                  <c:v>243.96996316702314</c:v>
                </c:pt>
                <c:pt idx="64">
                  <c:v>248.44579403469183</c:v>
                </c:pt>
                <c:pt idx="65">
                  <c:v>253.11683759212494</c:v>
                </c:pt>
                <c:pt idx="66">
                  <c:v>258.00890803996759</c:v>
                </c:pt>
                <c:pt idx="67">
                  <c:v>263.15170627872209</c:v>
                </c:pt>
                <c:pt idx="68">
                  <c:v>268.57954713580853</c:v>
                </c:pt>
                <c:pt idx="69">
                  <c:v>274.33246611666198</c:v>
                </c:pt>
                <c:pt idx="70">
                  <c:v>280.45762143536251</c:v>
                </c:pt>
                <c:pt idx="71">
                  <c:v>286.62679525632785</c:v>
                </c:pt>
                <c:pt idx="72">
                  <c:v>291.13382537297952</c:v>
                </c:pt>
                <c:pt idx="73">
                  <c:v>295.97750602109375</c:v>
                </c:pt>
                <c:pt idx="74">
                  <c:v>301.21719610670499</c:v>
                </c:pt>
                <c:pt idx="75">
                  <c:v>306.92627539017786</c:v>
                </c:pt>
                <c:pt idx="76">
                  <c:v>313.19673230802135</c:v>
                </c:pt>
                <c:pt idx="77">
                  <c:v>320.14574503784752</c:v>
                </c:pt>
                <c:pt idx="78">
                  <c:v>327.73146188759279</c:v>
                </c:pt>
                <c:pt idx="79">
                  <c:v>335.52425820288994</c:v>
                </c:pt>
                <c:pt idx="80">
                  <c:v>340.53461997640005</c:v>
                </c:pt>
                <c:pt idx="81">
                  <c:v>345.24208771583056</c:v>
                </c:pt>
                <c:pt idx="82">
                  <c:v>349.85613539237664</c:v>
                </c:pt>
                <c:pt idx="83">
                  <c:v>354.39540791033954</c:v>
                </c:pt>
                <c:pt idx="84">
                  <c:v>358.87934578782404</c:v>
                </c:pt>
                <c:pt idx="85">
                  <c:v>363.18492367453968</c:v>
                </c:pt>
                <c:pt idx="86">
                  <c:v>364.19078835661782</c:v>
                </c:pt>
                <c:pt idx="87">
                  <c:v>364.97485369685461</c:v>
                </c:pt>
                <c:pt idx="88">
                  <c:v>365.53926735781937</c:v>
                </c:pt>
                <c:pt idx="89">
                  <c:v>365.78409639516826</c:v>
                </c:pt>
                <c:pt idx="90">
                  <c:v>365.91666755273656</c:v>
                </c:pt>
                <c:pt idx="91">
                  <c:v>365.78409639516826</c:v>
                </c:pt>
                <c:pt idx="92">
                  <c:v>365.53926735781943</c:v>
                </c:pt>
                <c:pt idx="93">
                  <c:v>364.97485369685461</c:v>
                </c:pt>
                <c:pt idx="94">
                  <c:v>364.19078835661782</c:v>
                </c:pt>
                <c:pt idx="95">
                  <c:v>363.18492367453979</c:v>
                </c:pt>
                <c:pt idx="96">
                  <c:v>361.95467998256453</c:v>
                </c:pt>
                <c:pt idx="97">
                  <c:v>360.49701750856445</c:v>
                </c:pt>
                <c:pt idx="98">
                  <c:v>358.80823991968083</c:v>
                </c:pt>
                <c:pt idx="99">
                  <c:v>356.88415049709232</c:v>
                </c:pt>
                <c:pt idx="100">
                  <c:v>351.40697871634961</c:v>
                </c:pt>
                <c:pt idx="101">
                  <c:v>345.14714933504735</c:v>
                </c:pt>
                <c:pt idx="102">
                  <c:v>339.06212467938082</c:v>
                </c:pt>
                <c:pt idx="103">
                  <c:v>333.102755925927</c:v>
                </c:pt>
                <c:pt idx="104">
                  <c:v>327.22657411845989</c:v>
                </c:pt>
                <c:pt idx="105">
                  <c:v>321.59121453499552</c:v>
                </c:pt>
                <c:pt idx="106">
                  <c:v>316.38075943354539</c:v>
                </c:pt>
                <c:pt idx="107">
                  <c:v>310.20754987985481</c:v>
                </c:pt>
                <c:pt idx="108">
                  <c:v>302.82073065839143</c:v>
                </c:pt>
                <c:pt idx="109">
                  <c:v>295.977993460986</c:v>
                </c:pt>
                <c:pt idx="110">
                  <c:v>289.60173483633497</c:v>
                </c:pt>
                <c:pt idx="111">
                  <c:v>283.62779133971327</c:v>
                </c:pt>
                <c:pt idx="112">
                  <c:v>278.00271751446525</c:v>
                </c:pt>
                <c:pt idx="113">
                  <c:v>272.68133882842949</c:v>
                </c:pt>
                <c:pt idx="114">
                  <c:v>267.62533315289778</c:v>
                </c:pt>
                <c:pt idx="115">
                  <c:v>262.80181725103233</c:v>
                </c:pt>
                <c:pt idx="116">
                  <c:v>258.182306741101</c:v>
                </c:pt>
                <c:pt idx="117">
                  <c:v>253.74203576042419</c:v>
                </c:pt>
                <c:pt idx="118">
                  <c:v>249.45918982420901</c:v>
                </c:pt>
                <c:pt idx="119">
                  <c:v>245.31453077523651</c:v>
                </c:pt>
                <c:pt idx="120">
                  <c:v>241.29080276865903</c:v>
                </c:pt>
                <c:pt idx="121">
                  <c:v>237.37256426968807</c:v>
                </c:pt>
                <c:pt idx="122">
                  <c:v>233.54579262239443</c:v>
                </c:pt>
                <c:pt idx="123">
                  <c:v>229.79768548744565</c:v>
                </c:pt>
                <c:pt idx="124">
                  <c:v>226.1164974242551</c:v>
                </c:pt>
                <c:pt idx="125">
                  <c:v>222.49123765612595</c:v>
                </c:pt>
                <c:pt idx="126">
                  <c:v>218.91167494139896</c:v>
                </c:pt>
                <c:pt idx="127">
                  <c:v>215.36808545023783</c:v>
                </c:pt>
                <c:pt idx="128">
                  <c:v>211.85122610238167</c:v>
                </c:pt>
                <c:pt idx="129">
                  <c:v>208.35219570936715</c:v>
                </c:pt>
                <c:pt idx="130">
                  <c:v>204.86229348818421</c:v>
                </c:pt>
                <c:pt idx="131">
                  <c:v>201.37299709778478</c:v>
                </c:pt>
                <c:pt idx="132">
                  <c:v>197.87585007238866</c:v>
                </c:pt>
                <c:pt idx="133">
                  <c:v>194.3623572008099</c:v>
                </c:pt>
                <c:pt idx="134">
                  <c:v>190.82396273761572</c:v>
                </c:pt>
                <c:pt idx="135">
                  <c:v>187.25186688220811</c:v>
                </c:pt>
                <c:pt idx="136">
                  <c:v>183.63704610832977</c:v>
                </c:pt>
                <c:pt idx="137">
                  <c:v>179.97008228640493</c:v>
                </c:pt>
                <c:pt idx="138">
                  <c:v>176.8317215484802</c:v>
                </c:pt>
                <c:pt idx="139">
                  <c:v>174.12277540527919</c:v>
                </c:pt>
                <c:pt idx="140">
                  <c:v>171.39927460847588</c:v>
                </c:pt>
                <c:pt idx="141">
                  <c:v>168.65537418468713</c:v>
                </c:pt>
                <c:pt idx="142">
                  <c:v>165.884937702348</c:v>
                </c:pt>
                <c:pt idx="143">
                  <c:v>163.08149940669679</c:v>
                </c:pt>
                <c:pt idx="144">
                  <c:v>160.23814546940704</c:v>
                </c:pt>
                <c:pt idx="145">
                  <c:v>157.34746742043026</c:v>
                </c:pt>
                <c:pt idx="146">
                  <c:v>154.40140146586549</c:v>
                </c:pt>
                <c:pt idx="147">
                  <c:v>151.3911608425008</c:v>
                </c:pt>
                <c:pt idx="148">
                  <c:v>148.3070683233509</c:v>
                </c:pt>
                <c:pt idx="149">
                  <c:v>145.13833767007588</c:v>
                </c:pt>
                <c:pt idx="150">
                  <c:v>141.87300978647684</c:v>
                </c:pt>
                <c:pt idx="151">
                  <c:v>138.49748224310139</c:v>
                </c:pt>
                <c:pt idx="152">
                  <c:v>134.99638728821688</c:v>
                </c:pt>
                <c:pt idx="153">
                  <c:v>130.55697186587457</c:v>
                </c:pt>
                <c:pt idx="154">
                  <c:v>125.39695483841751</c:v>
                </c:pt>
                <c:pt idx="155">
                  <c:v>120.30062355800533</c:v>
                </c:pt>
                <c:pt idx="156">
                  <c:v>115.26263479934431</c:v>
                </c:pt>
                <c:pt idx="157">
                  <c:v>110.27751698353102</c:v>
                </c:pt>
                <c:pt idx="158">
                  <c:v>105.33995020990204</c:v>
                </c:pt>
                <c:pt idx="159">
                  <c:v>100.4447042988178</c:v>
                </c:pt>
                <c:pt idx="160">
                  <c:v>95.586634114811929</c:v>
                </c:pt>
                <c:pt idx="161">
                  <c:v>90.760651373692895</c:v>
                </c:pt>
                <c:pt idx="162">
                  <c:v>85.961685378020675</c:v>
                </c:pt>
                <c:pt idx="163">
                  <c:v>81.184674610026207</c:v>
                </c:pt>
                <c:pt idx="164">
                  <c:v>76.42450939705266</c:v>
                </c:pt>
                <c:pt idx="165">
                  <c:v>71.676019789163661</c:v>
                </c:pt>
                <c:pt idx="166">
                  <c:v>66.933939058650694</c:v>
                </c:pt>
                <c:pt idx="167">
                  <c:v>62.192850220746237</c:v>
                </c:pt>
                <c:pt idx="168">
                  <c:v>57.447166143827154</c:v>
                </c:pt>
                <c:pt idx="169">
                  <c:v>52.691062020963336</c:v>
                </c:pt>
                <c:pt idx="170">
                  <c:v>47.91843348895322</c:v>
                </c:pt>
                <c:pt idx="171">
                  <c:v>45.462332579956119</c:v>
                </c:pt>
                <c:pt idx="172">
                  <c:v>40.642741798284071</c:v>
                </c:pt>
                <c:pt idx="173">
                  <c:v>35.786650777824875</c:v>
                </c:pt>
                <c:pt idx="174">
                  <c:v>30.886181089965699</c:v>
                </c:pt>
                <c:pt idx="175">
                  <c:v>25.932737286177041</c:v>
                </c:pt>
                <c:pt idx="176">
                  <c:v>20.91688405382023</c:v>
                </c:pt>
                <c:pt idx="177">
                  <c:v>15.82815998562814</c:v>
                </c:pt>
                <c:pt idx="178">
                  <c:v>10.654871008388611</c:v>
                </c:pt>
                <c:pt idx="179">
                  <c:v>5.3838228225777769</c:v>
                </c:pt>
                <c:pt idx="180">
                  <c:v>4.9445317652207014E-14</c:v>
                </c:pt>
                <c:pt idx="181">
                  <c:v>-5.3838228225778408</c:v>
                </c:pt>
                <c:pt idx="182">
                  <c:v>-10.654871008388589</c:v>
                </c:pt>
                <c:pt idx="183">
                  <c:v>-15.828159985628073</c:v>
                </c:pt>
                <c:pt idx="184">
                  <c:v>-20.916884053820176</c:v>
                </c:pt>
                <c:pt idx="185">
                  <c:v>-25.932737286176966</c:v>
                </c:pt>
                <c:pt idx="186">
                  <c:v>-30.886181089965614</c:v>
                </c:pt>
                <c:pt idx="187">
                  <c:v>-35.786650777824796</c:v>
                </c:pt>
                <c:pt idx="188">
                  <c:v>-40.642741798284156</c:v>
                </c:pt>
                <c:pt idx="189">
                  <c:v>-45.462332579955991</c:v>
                </c:pt>
                <c:pt idx="190">
                  <c:v>-47.918433488953326</c:v>
                </c:pt>
                <c:pt idx="191">
                  <c:v>-52.691062020963294</c:v>
                </c:pt>
                <c:pt idx="192">
                  <c:v>-57.447166143827253</c:v>
                </c:pt>
                <c:pt idx="193">
                  <c:v>-62.192850220746074</c:v>
                </c:pt>
                <c:pt idx="194">
                  <c:v>-66.933939058650552</c:v>
                </c:pt>
                <c:pt idx="195">
                  <c:v>-71.676019789163647</c:v>
                </c:pt>
                <c:pt idx="196">
                  <c:v>-76.424509397052475</c:v>
                </c:pt>
                <c:pt idx="197">
                  <c:v>-81.184674610026278</c:v>
                </c:pt>
                <c:pt idx="198">
                  <c:v>-85.961685378020661</c:v>
                </c:pt>
                <c:pt idx="199">
                  <c:v>-90.76065137369298</c:v>
                </c:pt>
                <c:pt idx="200">
                  <c:v>-95.586634114811886</c:v>
                </c:pt>
                <c:pt idx="201">
                  <c:v>-100.44470429881788</c:v>
                </c:pt>
                <c:pt idx="202">
                  <c:v>-105.33995020990204</c:v>
                </c:pt>
                <c:pt idx="203">
                  <c:v>-110.27751698353092</c:v>
                </c:pt>
                <c:pt idx="204">
                  <c:v>-115.26263479934431</c:v>
                </c:pt>
                <c:pt idx="205">
                  <c:v>-120.30062355800517</c:v>
                </c:pt>
                <c:pt idx="206">
                  <c:v>-125.39695483841768</c:v>
                </c:pt>
                <c:pt idx="207">
                  <c:v>-130.55697186587452</c:v>
                </c:pt>
                <c:pt idx="208">
                  <c:v>-134.99638728821694</c:v>
                </c:pt>
                <c:pt idx="209">
                  <c:v>-138.49748224310133</c:v>
                </c:pt>
                <c:pt idx="210">
                  <c:v>-141.87300978647693</c:v>
                </c:pt>
                <c:pt idx="211">
                  <c:v>-145.13833767007577</c:v>
                </c:pt>
                <c:pt idx="212">
                  <c:v>-148.30706832335088</c:v>
                </c:pt>
                <c:pt idx="213">
                  <c:v>-151.3911608425008</c:v>
                </c:pt>
                <c:pt idx="214">
                  <c:v>-154.40140146586543</c:v>
                </c:pt>
                <c:pt idx="215">
                  <c:v>-157.34746742043035</c:v>
                </c:pt>
                <c:pt idx="216">
                  <c:v>-160.23814546940707</c:v>
                </c:pt>
                <c:pt idx="217">
                  <c:v>-163.08149940669685</c:v>
                </c:pt>
                <c:pt idx="218">
                  <c:v>-165.88493770234791</c:v>
                </c:pt>
                <c:pt idx="219">
                  <c:v>-168.65537418468722</c:v>
                </c:pt>
                <c:pt idx="220">
                  <c:v>-171.39927460847562</c:v>
                </c:pt>
                <c:pt idx="221">
                  <c:v>-174.12277540527907</c:v>
                </c:pt>
                <c:pt idx="222">
                  <c:v>-176.83172154848023</c:v>
                </c:pt>
                <c:pt idx="223">
                  <c:v>-179.97008228640493</c:v>
                </c:pt>
                <c:pt idx="224">
                  <c:v>-183.63704610832986</c:v>
                </c:pt>
                <c:pt idx="225">
                  <c:v>-187.25186688220811</c:v>
                </c:pt>
                <c:pt idx="226">
                  <c:v>-190.8239627376158</c:v>
                </c:pt>
                <c:pt idx="227">
                  <c:v>-194.36235720080981</c:v>
                </c:pt>
                <c:pt idx="228">
                  <c:v>-197.87585007238863</c:v>
                </c:pt>
                <c:pt idx="229">
                  <c:v>-201.37299709778472</c:v>
                </c:pt>
                <c:pt idx="230">
                  <c:v>-204.86229348818429</c:v>
                </c:pt>
                <c:pt idx="231">
                  <c:v>-208.35219570936695</c:v>
                </c:pt>
                <c:pt idx="232">
                  <c:v>-211.85122610238184</c:v>
                </c:pt>
                <c:pt idx="233">
                  <c:v>-215.36808545023786</c:v>
                </c:pt>
                <c:pt idx="234">
                  <c:v>-218.91167494139901</c:v>
                </c:pt>
                <c:pt idx="235">
                  <c:v>-222.49123765612589</c:v>
                </c:pt>
                <c:pt idx="236">
                  <c:v>-226.1164974242551</c:v>
                </c:pt>
                <c:pt idx="237">
                  <c:v>-229.79768548744568</c:v>
                </c:pt>
                <c:pt idx="238">
                  <c:v>-233.5457926223944</c:v>
                </c:pt>
                <c:pt idx="239">
                  <c:v>-237.37256426968804</c:v>
                </c:pt>
                <c:pt idx="240">
                  <c:v>-241.29080276865889</c:v>
                </c:pt>
                <c:pt idx="241">
                  <c:v>-245.31453077523651</c:v>
                </c:pt>
                <c:pt idx="242">
                  <c:v>-249.45918982420915</c:v>
                </c:pt>
                <c:pt idx="243">
                  <c:v>-253.74203576042424</c:v>
                </c:pt>
                <c:pt idx="244">
                  <c:v>-258.18230674110089</c:v>
                </c:pt>
                <c:pt idx="245">
                  <c:v>-262.80181725103239</c:v>
                </c:pt>
                <c:pt idx="246">
                  <c:v>-267.62533315289784</c:v>
                </c:pt>
                <c:pt idx="247">
                  <c:v>-272.68133882842955</c:v>
                </c:pt>
                <c:pt idx="248">
                  <c:v>-278.00271751446496</c:v>
                </c:pt>
                <c:pt idx="249">
                  <c:v>-283.62779133971321</c:v>
                </c:pt>
                <c:pt idx="250">
                  <c:v>-289.6017348363348</c:v>
                </c:pt>
                <c:pt idx="251">
                  <c:v>-295.97799346098583</c:v>
                </c:pt>
                <c:pt idx="252">
                  <c:v>-302.82073065839108</c:v>
                </c:pt>
                <c:pt idx="253">
                  <c:v>-310.20754987985458</c:v>
                </c:pt>
                <c:pt idx="254">
                  <c:v>-316.38075943354568</c:v>
                </c:pt>
                <c:pt idx="255">
                  <c:v>-321.59121453499557</c:v>
                </c:pt>
                <c:pt idx="256">
                  <c:v>-327.22657411845989</c:v>
                </c:pt>
                <c:pt idx="257">
                  <c:v>-333.10275592592683</c:v>
                </c:pt>
                <c:pt idx="258">
                  <c:v>-339.06212467938042</c:v>
                </c:pt>
                <c:pt idx="259">
                  <c:v>-345.14714933504757</c:v>
                </c:pt>
                <c:pt idx="260">
                  <c:v>-351.40697871634961</c:v>
                </c:pt>
                <c:pt idx="261">
                  <c:v>-356.88415049709192</c:v>
                </c:pt>
                <c:pt idx="262">
                  <c:v>-358.80823991968032</c:v>
                </c:pt>
                <c:pt idx="263">
                  <c:v>-360.4970175085648</c:v>
                </c:pt>
                <c:pt idx="264">
                  <c:v>-361.95467998256493</c:v>
                </c:pt>
                <c:pt idx="265">
                  <c:v>-363.18492367453962</c:v>
                </c:pt>
                <c:pt idx="266">
                  <c:v>-364.19078835661759</c:v>
                </c:pt>
                <c:pt idx="267">
                  <c:v>-364.97485369685438</c:v>
                </c:pt>
                <c:pt idx="268">
                  <c:v>-365.53926735781971</c:v>
                </c:pt>
                <c:pt idx="269">
                  <c:v>-365.78409639516815</c:v>
                </c:pt>
                <c:pt idx="270">
                  <c:v>-365.91666755273667</c:v>
                </c:pt>
                <c:pt idx="271">
                  <c:v>-365.78409639516849</c:v>
                </c:pt>
                <c:pt idx="272">
                  <c:v>-365.5392673578192</c:v>
                </c:pt>
                <c:pt idx="273">
                  <c:v>-364.97485369685472</c:v>
                </c:pt>
                <c:pt idx="274">
                  <c:v>-364.19078835661793</c:v>
                </c:pt>
                <c:pt idx="275">
                  <c:v>-363.1849236745399</c:v>
                </c:pt>
                <c:pt idx="276">
                  <c:v>-358.87934578782449</c:v>
                </c:pt>
                <c:pt idx="277">
                  <c:v>-354.39540791033926</c:v>
                </c:pt>
                <c:pt idx="278">
                  <c:v>-349.85613539237664</c:v>
                </c:pt>
                <c:pt idx="279">
                  <c:v>-345.24208771583073</c:v>
                </c:pt>
                <c:pt idx="280">
                  <c:v>-340.53461997640028</c:v>
                </c:pt>
                <c:pt idx="281">
                  <c:v>-335.52425820288994</c:v>
                </c:pt>
                <c:pt idx="282">
                  <c:v>-327.73146188759279</c:v>
                </c:pt>
                <c:pt idx="283">
                  <c:v>-320.14574503784752</c:v>
                </c:pt>
                <c:pt idx="284">
                  <c:v>-313.19673230802164</c:v>
                </c:pt>
                <c:pt idx="285">
                  <c:v>-306.92627539017809</c:v>
                </c:pt>
                <c:pt idx="286">
                  <c:v>-301.21719610670476</c:v>
                </c:pt>
                <c:pt idx="287">
                  <c:v>-295.9775060210938</c:v>
                </c:pt>
                <c:pt idx="288">
                  <c:v>-291.13382537297974</c:v>
                </c:pt>
                <c:pt idx="289">
                  <c:v>-286.62679525632802</c:v>
                </c:pt>
                <c:pt idx="290">
                  <c:v>-280.4576214353624</c:v>
                </c:pt>
                <c:pt idx="291">
                  <c:v>-274.33246611666198</c:v>
                </c:pt>
                <c:pt idx="292">
                  <c:v>-268.57954713580853</c:v>
                </c:pt>
                <c:pt idx="293">
                  <c:v>-263.15170627872232</c:v>
                </c:pt>
                <c:pt idx="294">
                  <c:v>-258.00890803996776</c:v>
                </c:pt>
                <c:pt idx="295">
                  <c:v>-253.11683759212519</c:v>
                </c:pt>
                <c:pt idx="296">
                  <c:v>-248.44579403469174</c:v>
                </c:pt>
                <c:pt idx="297">
                  <c:v>-243.96996316702314</c:v>
                </c:pt>
                <c:pt idx="298">
                  <c:v>-239.66667670101032</c:v>
                </c:pt>
                <c:pt idx="299">
                  <c:v>-235.51589731498487</c:v>
                </c:pt>
                <c:pt idx="300">
                  <c:v>-231.49986397679291</c:v>
                </c:pt>
                <c:pt idx="301">
                  <c:v>-227.60255782185067</c:v>
                </c:pt>
                <c:pt idx="302">
                  <c:v>-223.80958121877686</c:v>
                </c:pt>
                <c:pt idx="303">
                  <c:v>-220.10779961926923</c:v>
                </c:pt>
                <c:pt idx="304">
                  <c:v>-216.48523471686607</c:v>
                </c:pt>
                <c:pt idx="305">
                  <c:v>-212.9307863436056</c:v>
                </c:pt>
                <c:pt idx="306">
                  <c:v>-209.43406203804119</c:v>
                </c:pt>
                <c:pt idx="307">
                  <c:v>-205.98537667441479</c:v>
                </c:pt>
                <c:pt idx="308">
                  <c:v>-202.57554412538605</c:v>
                </c:pt>
                <c:pt idx="309">
                  <c:v>-199.1957602749273</c:v>
                </c:pt>
                <c:pt idx="310">
                  <c:v>-195.83749786863029</c:v>
                </c:pt>
                <c:pt idx="311">
                  <c:v>-193.27402819804632</c:v>
                </c:pt>
                <c:pt idx="312">
                  <c:v>-190.94812120421173</c:v>
                </c:pt>
                <c:pt idx="313">
                  <c:v>-188.66157676581332</c:v>
                </c:pt>
                <c:pt idx="314">
                  <c:v>-186.4094844574887</c:v>
                </c:pt>
                <c:pt idx="315">
                  <c:v>-184.18711780126219</c:v>
                </c:pt>
                <c:pt idx="316">
                  <c:v>-181.98987193800619</c:v>
                </c:pt>
                <c:pt idx="317">
                  <c:v>-179.81323890364709</c:v>
                </c:pt>
                <c:pt idx="318">
                  <c:v>-177.65274885330493</c:v>
                </c:pt>
                <c:pt idx="319">
                  <c:v>-175.50393527948646</c:v>
                </c:pt>
                <c:pt idx="320">
                  <c:v>-173.36228373138988</c:v>
                </c:pt>
                <c:pt idx="321">
                  <c:v>-171.22318899547543</c:v>
                </c:pt>
                <c:pt idx="322">
                  <c:v>-168.58290617931712</c:v>
                </c:pt>
                <c:pt idx="323">
                  <c:v>-165.40186788534871</c:v>
                </c:pt>
                <c:pt idx="324">
                  <c:v>-162.18484306469085</c:v>
                </c:pt>
                <c:pt idx="325">
                  <c:v>-158.92484847891427</c:v>
                </c:pt>
                <c:pt idx="326">
                  <c:v>-155.61439993654074</c:v>
                </c:pt>
                <c:pt idx="327">
                  <c:v>-152.24541279002781</c:v>
                </c:pt>
                <c:pt idx="328">
                  <c:v>-148.80901581807728</c:v>
                </c:pt>
                <c:pt idx="329">
                  <c:v>-145.6185226144371</c:v>
                </c:pt>
                <c:pt idx="330">
                  <c:v>-141.97349606409679</c:v>
                </c:pt>
                <c:pt idx="331">
                  <c:v>-138.22659077084481</c:v>
                </c:pt>
                <c:pt idx="332">
                  <c:v>-134.36419594812111</c:v>
                </c:pt>
                <c:pt idx="333">
                  <c:v>-130.37093834468322</c:v>
                </c:pt>
                <c:pt idx="334">
                  <c:v>-126.22931851680957</c:v>
                </c:pt>
                <c:pt idx="335">
                  <c:v>-121.91928359390161</c:v>
                </c:pt>
                <c:pt idx="336">
                  <c:v>-117.41769160573517</c:v>
                </c:pt>
                <c:pt idx="337">
                  <c:v>-112.69761258721299</c:v>
                </c:pt>
                <c:pt idx="338">
                  <c:v>-107.77586342505325</c:v>
                </c:pt>
                <c:pt idx="339">
                  <c:v>-102.86318172436899</c:v>
                </c:pt>
                <c:pt idx="340">
                  <c:v>-97.983973456691601</c:v>
                </c:pt>
                <c:pt idx="341">
                  <c:v>-93.132790495707681</c:v>
                </c:pt>
                <c:pt idx="342">
                  <c:v>-88.30417171498803</c:v>
                </c:pt>
                <c:pt idx="343">
                  <c:v>-83.492606473808237</c:v>
                </c:pt>
                <c:pt idx="344">
                  <c:v>-78.692482755017181</c:v>
                </c:pt>
                <c:pt idx="345">
                  <c:v>-73.898058110345815</c:v>
                </c:pt>
                <c:pt idx="346">
                  <c:v>-69.103412747623665</c:v>
                </c:pt>
                <c:pt idx="347">
                  <c:v>-64.302385530584388</c:v>
                </c:pt>
                <c:pt idx="348">
                  <c:v>-59.488539327488169</c:v>
                </c:pt>
                <c:pt idx="349">
                  <c:v>-54.655086434753379</c:v>
                </c:pt>
                <c:pt idx="350">
                  <c:v>-49.794778789735915</c:v>
                </c:pt>
                <c:pt idx="351">
                  <c:v>-44.899882831084682</c:v>
                </c:pt>
                <c:pt idx="352">
                  <c:v>-39.962018348158459</c:v>
                </c:pt>
                <c:pt idx="353">
                  <c:v>-34.972054193116335</c:v>
                </c:pt>
                <c:pt idx="354">
                  <c:v>-29.91996051068136</c:v>
                </c:pt>
                <c:pt idx="355">
                  <c:v>-24.794623698299493</c:v>
                </c:pt>
                <c:pt idx="356">
                  <c:v>-19.583620949274476</c:v>
                </c:pt>
                <c:pt idx="357">
                  <c:v>-14.272938558607189</c:v>
                </c:pt>
                <c:pt idx="358">
                  <c:v>-8.8466430801256166</c:v>
                </c:pt>
                <c:pt idx="359">
                  <c:v>-5.6982588493087416</c:v>
                </c:pt>
                <c:pt idx="360">
                  <c:v>-1.209210555446875E-13</c:v>
                </c:pt>
                <c:pt idx="36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35-104B-91C4-30CCC9729C73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Analysis'!$B$119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'Cross Section Analysis'!$B$120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35-104B-91C4-30CCC9729C73}"/>
            </c:ext>
          </c:extLst>
        </c:ser>
        <c:ser>
          <c:idx val="2"/>
          <c:order val="2"/>
          <c:tx>
            <c:v>goal_line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Analysis'!$H$124:$H$125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276.05120392330355</c:v>
                </c:pt>
              </c:numCache>
            </c:numRef>
          </c:xVal>
          <c:yVal>
            <c:numRef>
              <c:f>'Cross Section Analysis'!$I$124:$I$125</c:f>
              <c:numCache>
                <c:formatCode>0.00</c:formatCode>
                <c:ptCount val="2"/>
                <c:pt idx="0" formatCode="General">
                  <c:v>0</c:v>
                </c:pt>
                <c:pt idx="1">
                  <c:v>276.05120391498906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B335-104B-91C4-30CCC9729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P-M @ Goal Load Angle = Tan</a:t>
            </a:r>
            <a:r>
              <a:rPr lang="en-US" baseline="30000"/>
              <a:t>-1</a:t>
            </a:r>
            <a:r>
              <a:rPr lang="en-US"/>
              <a:t>(Mx/My)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Analysis'!$R$129:$R$231</c:f>
              <c:numCache>
                <c:formatCode>General</c:formatCode>
                <c:ptCount val="103"/>
                <c:pt idx="0">
                  <c:v>#N/A</c:v>
                </c:pt>
                <c:pt idx="1">
                  <c:v>#N/A</c:v>
                </c:pt>
                <c:pt idx="2">
                  <c:v>187.3057228647375</c:v>
                </c:pt>
                <c:pt idx="3">
                  <c:v>312.67362709563145</c:v>
                </c:pt>
                <c:pt idx="4">
                  <c:v>390.39535408426951</c:v>
                </c:pt>
                <c:pt idx="5">
                  <c:v>426.41846386552947</c:v>
                </c:pt>
                <c:pt idx="6">
                  <c:v>447.21372876218294</c:v>
                </c:pt>
                <c:pt idx="7">
                  <c:v>462.89411976294156</c:v>
                </c:pt>
                <c:pt idx="8">
                  <c:v>458.60832440923264</c:v>
                </c:pt>
                <c:pt idx="9">
                  <c:v>431.41658460247447</c:v>
                </c:pt>
                <c:pt idx="10">
                  <c:v>378.36358770058041</c:v>
                </c:pt>
                <c:pt idx="11">
                  <c:v>295.61567946937458</c:v>
                </c:pt>
                <c:pt idx="12">
                  <c:v>0</c:v>
                </c:pt>
              </c:numCache>
            </c:numRef>
          </c:xVal>
          <c:yVal>
            <c:numRef>
              <c:f>'Cross Section Analysis'!$Q$129:$Q$231</c:f>
              <c:numCache>
                <c:formatCode>General</c:formatCode>
                <c:ptCount val="103"/>
                <c:pt idx="0">
                  <c:v>-308.38308660100358</c:v>
                </c:pt>
                <c:pt idx="1">
                  <c:v>-308.38208660100361</c:v>
                </c:pt>
                <c:pt idx="2">
                  <c:v>-126.53522794090324</c:v>
                </c:pt>
                <c:pt idx="3">
                  <c:v>55.311630719197126</c:v>
                </c:pt>
                <c:pt idx="4">
                  <c:v>237.15848937929749</c:v>
                </c:pt>
                <c:pt idx="5">
                  <c:v>419.00534803939786</c:v>
                </c:pt>
                <c:pt idx="6">
                  <c:v>600.8522066994982</c:v>
                </c:pt>
                <c:pt idx="7">
                  <c:v>782.69906535959853</c:v>
                </c:pt>
                <c:pt idx="8">
                  <c:v>964.54592401969887</c:v>
                </c:pt>
                <c:pt idx="9">
                  <c:v>1146.3927826797992</c:v>
                </c:pt>
                <c:pt idx="10">
                  <c:v>1328.2396413398997</c:v>
                </c:pt>
                <c:pt idx="11">
                  <c:v>1510.0865000000001</c:v>
                </c:pt>
                <c:pt idx="12">
                  <c:v>1510.0865000000001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88-45A8-82B1-F1E57D0B9DAF}"/>
            </c:ext>
          </c:extLst>
        </c:ser>
        <c:ser>
          <c:idx val="1"/>
          <c:order val="1"/>
          <c:tx>
            <c:v>goal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'Cross Section Analysis'!$E$120</c:f>
              <c:numCache>
                <c:formatCode>General</c:formatCode>
                <c:ptCount val="1"/>
                <c:pt idx="0">
                  <c:v>1.4142135623730951</c:v>
                </c:pt>
              </c:numCache>
            </c:numRef>
          </c:xVal>
          <c:yVal>
            <c:numRef>
              <c:f>'Cross Section Analysis'!$D$120</c:f>
              <c:numCache>
                <c:formatCode>General</c:formatCode>
                <c:ptCount val="1"/>
                <c:pt idx="0">
                  <c:v>237.1585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88-45A8-82B1-F1E57D0B9DAF}"/>
            </c:ext>
          </c:extLst>
        </c:ser>
        <c:ser>
          <c:idx val="2"/>
          <c:order val="2"/>
          <c:tx>
            <c:v>goal_line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Analysis'!$W$130:$W$131</c:f>
              <c:numCache>
                <c:formatCode>General</c:formatCode>
                <c:ptCount val="2"/>
                <c:pt idx="0">
                  <c:v>1.4142135623730951</c:v>
                </c:pt>
                <c:pt idx="1">
                  <c:v>390.39535649187764</c:v>
                </c:pt>
              </c:numCache>
            </c:numRef>
          </c:xVal>
          <c:yVal>
            <c:numRef>
              <c:f>'Cross Section Analysis'!$V$130:$V$131</c:f>
              <c:numCache>
                <c:formatCode>General</c:formatCode>
                <c:ptCount val="2"/>
                <c:pt idx="0">
                  <c:v>237.1585</c:v>
                </c:pt>
                <c:pt idx="1">
                  <c:v>237.1585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88-45A8-82B1-F1E57D0B9D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</c:valAx>
      <c:valAx>
        <c:axId val="1892693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Relation</a:t>
            </a:r>
            <a:r>
              <a:rPr lang="en-US" baseline="0"/>
              <a:t> of NA Angle to Mx v My Load Angle @ Goal P</a:t>
            </a:r>
            <a:endParaRPr lang="en-US"/>
          </a:p>
          <a:p>
            <a:pPr>
              <a:defRPr/>
            </a:pPr>
            <a:endParaRPr lang="en-US"/>
          </a:p>
        </c:rich>
      </c:tx>
      <c:layout>
        <c:manualLayout>
          <c:xMode val="edge"/>
          <c:yMode val="edge"/>
          <c:x val="0.28362741652021084"/>
          <c:y val="9.125475285171103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NA v Load Angle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'Cross Section Analysis'!$D$129:$D$489</c:f>
              <c:numCache>
                <c:formatCode>0.000</c:formatCode>
                <c:ptCount val="361"/>
                <c:pt idx="0">
                  <c:v>0</c:v>
                </c:pt>
                <c:pt idx="1">
                  <c:v>0.62814361356451232</c:v>
                </c:pt>
                <c:pt idx="2">
                  <c:v>0.97527206038106706</c:v>
                </c:pt>
                <c:pt idx="3">
                  <c:v>1.5737305073104444</c:v>
                </c:pt>
                <c:pt idx="4">
                  <c:v>2.1597584328836885</c:v>
                </c:pt>
                <c:pt idx="5">
                  <c:v>2.7352201105504879</c:v>
                </c:pt>
                <c:pt idx="6">
                  <c:v>3.3017773957053684</c:v>
                </c:pt>
                <c:pt idx="7">
                  <c:v>3.8609208546012184</c:v>
                </c:pt>
                <c:pt idx="8">
                  <c:v>4.4140026195013835</c:v>
                </c:pt>
                <c:pt idx="9">
                  <c:v>4.9622624032963039</c:v>
                </c:pt>
                <c:pt idx="10">
                  <c:v>5.5068496526969897</c:v>
                </c:pt>
                <c:pt idx="11">
                  <c:v>6.0488395536075972</c:v>
                </c:pt>
                <c:pt idx="12">
                  <c:v>6.5892349913495281</c:v>
                </c:pt>
                <c:pt idx="13">
                  <c:v>7.1290119221360602</c:v>
                </c:pt>
                <c:pt idx="14">
                  <c:v>7.669092525260421</c:v>
                </c:pt>
                <c:pt idx="15">
                  <c:v>8.2103740854520471</c:v>
                </c:pt>
                <c:pt idx="16">
                  <c:v>8.7537441111397705</c:v>
                </c:pt>
                <c:pt idx="17">
                  <c:v>9.3000731225243296</c:v>
                </c:pt>
                <c:pt idx="18">
                  <c:v>9.8502305167670503</c:v>
                </c:pt>
                <c:pt idx="19">
                  <c:v>10.40509292448289</c:v>
                </c:pt>
                <c:pt idx="20">
                  <c:v>10.965541645613252</c:v>
                </c:pt>
                <c:pt idx="21">
                  <c:v>11.532479803637596</c:v>
                </c:pt>
                <c:pt idx="22">
                  <c:v>12.106840897858998</c:v>
                </c:pt>
                <c:pt idx="23">
                  <c:v>12.686015171839447</c:v>
                </c:pt>
                <c:pt idx="24">
                  <c:v>13.244920867817793</c:v>
                </c:pt>
                <c:pt idx="25">
                  <c:v>13.781306110576997</c:v>
                </c:pt>
                <c:pt idx="26">
                  <c:v>14.29817783028883</c:v>
                </c:pt>
                <c:pt idx="27">
                  <c:v>14.798138294744136</c:v>
                </c:pt>
                <c:pt idx="28">
                  <c:v>15.283455403804696</c:v>
                </c:pt>
                <c:pt idx="29">
                  <c:v>15.756132432568254</c:v>
                </c:pt>
                <c:pt idx="30">
                  <c:v>16.217954151078459</c:v>
                </c:pt>
                <c:pt idx="31">
                  <c:v>16.670519108668685</c:v>
                </c:pt>
                <c:pt idx="32">
                  <c:v>17.065045900012347</c:v>
                </c:pt>
                <c:pt idx="33">
                  <c:v>17.497685068812153</c:v>
                </c:pt>
                <c:pt idx="34">
                  <c:v>17.925173935042423</c:v>
                </c:pt>
                <c:pt idx="35">
                  <c:v>18.348620910806414</c:v>
                </c:pt>
                <c:pt idx="36">
                  <c:v>18.769079610937286</c:v>
                </c:pt>
                <c:pt idx="37">
                  <c:v>19.187546586846125</c:v>
                </c:pt>
                <c:pt idx="38">
                  <c:v>19.60497491231456</c:v>
                </c:pt>
                <c:pt idx="39">
                  <c:v>20.007002469881339</c:v>
                </c:pt>
                <c:pt idx="40">
                  <c:v>20.396501643306109</c:v>
                </c:pt>
                <c:pt idx="41">
                  <c:v>20.789521959185052</c:v>
                </c:pt>
                <c:pt idx="42">
                  <c:v>21.186853294070204</c:v>
                </c:pt>
                <c:pt idx="43">
                  <c:v>21.589307424577381</c:v>
                </c:pt>
                <c:pt idx="44">
                  <c:v>21.997728823825586</c:v>
                </c:pt>
                <c:pt idx="45">
                  <c:v>22.41298527136264</c:v>
                </c:pt>
                <c:pt idx="46">
                  <c:v>22.836000300995721</c:v>
                </c:pt>
                <c:pt idx="47">
                  <c:v>23.267738492438937</c:v>
                </c:pt>
                <c:pt idx="48">
                  <c:v>23.709238401067765</c:v>
                </c:pt>
                <c:pt idx="49">
                  <c:v>24.161606926115464</c:v>
                </c:pt>
                <c:pt idx="50">
                  <c:v>24.676793442498333</c:v>
                </c:pt>
                <c:pt idx="51">
                  <c:v>25.407904563708087</c:v>
                </c:pt>
                <c:pt idx="52">
                  <c:v>26.155826171024863</c:v>
                </c:pt>
                <c:pt idx="53">
                  <c:v>26.922480390885795</c:v>
                </c:pt>
                <c:pt idx="54">
                  <c:v>27.709961906830458</c:v>
                </c:pt>
                <c:pt idx="55">
                  <c:v>28.520566535427342</c:v>
                </c:pt>
                <c:pt idx="56">
                  <c:v>29.356824403001866</c:v>
                </c:pt>
                <c:pt idx="57">
                  <c:v>30.221539173192305</c:v>
                </c:pt>
                <c:pt idx="58">
                  <c:v>31.11783204616518</c:v>
                </c:pt>
                <c:pt idx="59">
                  <c:v>32.049196507284009</c:v>
                </c:pt>
                <c:pt idx="60">
                  <c:v>33.019563264932977</c:v>
                </c:pt>
                <c:pt idx="61">
                  <c:v>34.033377518032637</c:v>
                </c:pt>
                <c:pt idx="62">
                  <c:v>35.095692604120686</c:v>
                </c:pt>
                <c:pt idx="63">
                  <c:v>36.212284948527135</c:v>
                </c:pt>
                <c:pt idx="64">
                  <c:v>37.389792980175471</c:v>
                </c:pt>
                <c:pt idx="65">
                  <c:v>38.635889293947095</c:v>
                </c:pt>
                <c:pt idx="66">
                  <c:v>39.959493932072085</c:v>
                </c:pt>
                <c:pt idx="67">
                  <c:v>41.371038093872556</c:v>
                </c:pt>
                <c:pt idx="68">
                  <c:v>42.882797570480264</c:v>
                </c:pt>
                <c:pt idx="69">
                  <c:v>44.509309344850621</c:v>
                </c:pt>
                <c:pt idx="70">
                  <c:v>46.267897437318204</c:v>
                </c:pt>
                <c:pt idx="71">
                  <c:v>48.092279479473483</c:v>
                </c:pt>
                <c:pt idx="72">
                  <c:v>49.59715371468161</c:v>
                </c:pt>
                <c:pt idx="73">
                  <c:v>51.240362371784755</c:v>
                </c:pt>
                <c:pt idx="74">
                  <c:v>53.048675783317641</c:v>
                </c:pt>
                <c:pt idx="75">
                  <c:v>55.056002761352524</c:v>
                </c:pt>
                <c:pt idx="76">
                  <c:v>57.305841086377406</c:v>
                </c:pt>
                <c:pt idx="77">
                  <c:v>59.85472657681111</c:v>
                </c:pt>
                <c:pt idx="78">
                  <c:v>62.702594483283512</c:v>
                </c:pt>
                <c:pt idx="79">
                  <c:v>65.690180793928818</c:v>
                </c:pt>
                <c:pt idx="80">
                  <c:v>68.855415684463438</c:v>
                </c:pt>
                <c:pt idx="81">
                  <c:v>72.127665523114629</c:v>
                </c:pt>
                <c:pt idx="82">
                  <c:v>75.499821166431545</c:v>
                </c:pt>
                <c:pt idx="83">
                  <c:v>78.966527021662856</c:v>
                </c:pt>
                <c:pt idx="84">
                  <c:v>82.520038135970324</c:v>
                </c:pt>
                <c:pt idx="85">
                  <c:v>86.10737339858801</c:v>
                </c:pt>
                <c:pt idx="86">
                  <c:v>88.815592628704181</c:v>
                </c:pt>
                <c:pt idx="87">
                  <c:v>91.592454718165982</c:v>
                </c:pt>
                <c:pt idx="88">
                  <c:v>94.445820718209418</c:v>
                </c:pt>
                <c:pt idx="89">
                  <c:v>96.69123629786786</c:v>
                </c:pt>
                <c:pt idx="90">
                  <c:v>99.748329564600709</c:v>
                </c:pt>
                <c:pt idx="91">
                  <c:v>102.7572227444936</c:v>
                </c:pt>
                <c:pt idx="92">
                  <c:v>104.90683991652152</c:v>
                </c:pt>
                <c:pt idx="93">
                  <c:v>107.57240872405313</c:v>
                </c:pt>
                <c:pt idx="94">
                  <c:v>110.09787053754181</c:v>
                </c:pt>
                <c:pt idx="95">
                  <c:v>112.5008601798404</c:v>
                </c:pt>
                <c:pt idx="96">
                  <c:v>114.79630148811752</c:v>
                </c:pt>
                <c:pt idx="97">
                  <c:v>116.99691139957726</c:v>
                </c:pt>
                <c:pt idx="98">
                  <c:v>119.11361381368623</c:v>
                </c:pt>
                <c:pt idx="99">
                  <c:v>121.15584634333798</c:v>
                </c:pt>
                <c:pt idx="100">
                  <c:v>122.97791434324706</c:v>
                </c:pt>
                <c:pt idx="101">
                  <c:v>124.69918987956017</c:v>
                </c:pt>
                <c:pt idx="102">
                  <c:v>126.3725645899483</c:v>
                </c:pt>
                <c:pt idx="103">
                  <c:v>128.00499545703099</c:v>
                </c:pt>
                <c:pt idx="104">
                  <c:v>129.60239671899919</c:v>
                </c:pt>
                <c:pt idx="105">
                  <c:v>131.11702175106396</c:v>
                </c:pt>
                <c:pt idx="106">
                  <c:v>132.50057389542488</c:v>
                </c:pt>
                <c:pt idx="107">
                  <c:v>134.07743095423845</c:v>
                </c:pt>
                <c:pt idx="108">
                  <c:v>135.89337634532225</c:v>
                </c:pt>
                <c:pt idx="109">
                  <c:v>137.54763455404</c:v>
                </c:pt>
                <c:pt idx="110">
                  <c:v>139.06497414562023</c:v>
                </c:pt>
                <c:pt idx="111">
                  <c:v>140.46546954796736</c:v>
                </c:pt>
                <c:pt idx="112">
                  <c:v>141.76553366190774</c:v>
                </c:pt>
                <c:pt idx="113">
                  <c:v>142.97873163009228</c:v>
                </c:pt>
                <c:pt idx="114">
                  <c:v>144.11635379583902</c:v>
                </c:pt>
                <c:pt idx="115">
                  <c:v>145.18788406284926</c:v>
                </c:pt>
                <c:pt idx="116">
                  <c:v>146.20135426379173</c:v>
                </c:pt>
                <c:pt idx="117">
                  <c:v>147.16360860194638</c:v>
                </c:pt>
                <c:pt idx="118">
                  <c:v>148.08052986477489</c:v>
                </c:pt>
                <c:pt idx="119">
                  <c:v>148.95719916917966</c:v>
                </c:pt>
                <c:pt idx="120">
                  <c:v>149.79804588029899</c:v>
                </c:pt>
                <c:pt idx="121">
                  <c:v>150.6069440859641</c:v>
                </c:pt>
                <c:pt idx="122">
                  <c:v>151.38731004045539</c:v>
                </c:pt>
                <c:pt idx="123">
                  <c:v>152.14217200542708</c:v>
                </c:pt>
                <c:pt idx="124">
                  <c:v>152.87422773244541</c:v>
                </c:pt>
                <c:pt idx="125">
                  <c:v>153.58590287764869</c:v>
                </c:pt>
                <c:pt idx="126">
                  <c:v>154.27938215652256</c:v>
                </c:pt>
                <c:pt idx="127">
                  <c:v>154.95665223280295</c:v>
                </c:pt>
                <c:pt idx="128">
                  <c:v>155.61952551323171</c:v>
                </c:pt>
                <c:pt idx="129">
                  <c:v>156.26966763643054</c:v>
                </c:pt>
                <c:pt idx="130">
                  <c:v>156.90862177967165</c:v>
                </c:pt>
                <c:pt idx="131">
                  <c:v>157.53782337174204</c:v>
                </c:pt>
                <c:pt idx="132">
                  <c:v>158.15861820309598</c:v>
                </c:pt>
                <c:pt idx="133">
                  <c:v>158.77227808939236</c:v>
                </c:pt>
                <c:pt idx="134">
                  <c:v>159.38001059358712</c:v>
                </c:pt>
                <c:pt idx="135">
                  <c:v>159.98297601496864</c:v>
                </c:pt>
                <c:pt idx="136">
                  <c:v>160.58229259120878</c:v>
                </c:pt>
                <c:pt idx="137">
                  <c:v>161.17905056984978</c:v>
                </c:pt>
                <c:pt idx="138">
                  <c:v>161.67195057460211</c:v>
                </c:pt>
                <c:pt idx="139">
                  <c:v>162.08408128378795</c:v>
                </c:pt>
                <c:pt idx="140">
                  <c:v>162.49392754858559</c:v>
                </c:pt>
                <c:pt idx="141">
                  <c:v>162.90223655537002</c:v>
                </c:pt>
                <c:pt idx="142">
                  <c:v>163.30975846660357</c:v>
                </c:pt>
                <c:pt idx="143">
                  <c:v>163.71724219498844</c:v>
                </c:pt>
                <c:pt idx="144">
                  <c:v>164.12545447859117</c:v>
                </c:pt>
                <c:pt idx="145">
                  <c:v>164.53517543512203</c:v>
                </c:pt>
                <c:pt idx="146">
                  <c:v>164.94722024319182</c:v>
                </c:pt>
                <c:pt idx="147">
                  <c:v>165.36243534979261</c:v>
                </c:pt>
                <c:pt idx="148">
                  <c:v>165.78171435472439</c:v>
                </c:pt>
                <c:pt idx="149">
                  <c:v>166.20601731478371</c:v>
                </c:pt>
                <c:pt idx="150">
                  <c:v>166.63635909990205</c:v>
                </c:pt>
                <c:pt idx="151">
                  <c:v>167.07386276170678</c:v>
                </c:pt>
                <c:pt idx="152">
                  <c:v>167.51974647424342</c:v>
                </c:pt>
                <c:pt idx="153">
                  <c:v>168.00041333041088</c:v>
                </c:pt>
                <c:pt idx="154">
                  <c:v>168.50428949692571</c:v>
                </c:pt>
                <c:pt idx="155">
                  <c:v>168.99809713233012</c:v>
                </c:pt>
                <c:pt idx="156">
                  <c:v>169.48269309678901</c:v>
                </c:pt>
                <c:pt idx="157">
                  <c:v>169.95891940939848</c:v>
                </c:pt>
                <c:pt idx="158">
                  <c:v>170.42756301937447</c:v>
                </c:pt>
                <c:pt idx="159">
                  <c:v>170.88938302073163</c:v>
                </c:pt>
                <c:pt idx="160">
                  <c:v>171.34510254196292</c:v>
                </c:pt>
                <c:pt idx="161">
                  <c:v>171.7954150029534</c:v>
                </c:pt>
                <c:pt idx="162">
                  <c:v>172.24099520405858</c:v>
                </c:pt>
                <c:pt idx="163">
                  <c:v>172.68249354285945</c:v>
                </c:pt>
                <c:pt idx="164">
                  <c:v>173.12055444771664</c:v>
                </c:pt>
                <c:pt idx="165">
                  <c:v>173.55581068796434</c:v>
                </c:pt>
                <c:pt idx="166">
                  <c:v>173.98888922741733</c:v>
                </c:pt>
                <c:pt idx="167">
                  <c:v>174.42042278850053</c:v>
                </c:pt>
                <c:pt idx="168">
                  <c:v>174.85104485546881</c:v>
                </c:pt>
                <c:pt idx="169">
                  <c:v>175.28140370653492</c:v>
                </c:pt>
                <c:pt idx="170">
                  <c:v>175.71216296929438</c:v>
                </c:pt>
                <c:pt idx="171">
                  <c:v>175.93345679251078</c:v>
                </c:pt>
                <c:pt idx="172">
                  <c:v>176.36682217232746</c:v>
                </c:pt>
                <c:pt idx="173">
                  <c:v>176.80268508121821</c:v>
                </c:pt>
                <c:pt idx="174">
                  <c:v>177.24184279630569</c:v>
                </c:pt>
                <c:pt idx="175">
                  <c:v>177.68515440570471</c:v>
                </c:pt>
                <c:pt idx="176">
                  <c:v>178.13354728579995</c:v>
                </c:pt>
                <c:pt idx="177">
                  <c:v>178.58803768818572</c:v>
                </c:pt>
                <c:pt idx="178">
                  <c:v>179.04974801922589</c:v>
                </c:pt>
                <c:pt idx="179">
                  <c:v>179.51993174750444</c:v>
                </c:pt>
                <c:pt idx="180">
                  <c:v>180</c:v>
                </c:pt>
                <c:pt idx="181">
                  <c:v>180.48006825249556</c:v>
                </c:pt>
                <c:pt idx="182">
                  <c:v>180.95025198077411</c:v>
                </c:pt>
                <c:pt idx="183">
                  <c:v>181.41196231181428</c:v>
                </c:pt>
                <c:pt idx="184">
                  <c:v>181.86645271420005</c:v>
                </c:pt>
                <c:pt idx="185">
                  <c:v>182.31484559429529</c:v>
                </c:pt>
                <c:pt idx="186">
                  <c:v>182.75815720369431</c:v>
                </c:pt>
                <c:pt idx="187">
                  <c:v>183.19731491878179</c:v>
                </c:pt>
                <c:pt idx="188">
                  <c:v>183.63317782767254</c:v>
                </c:pt>
                <c:pt idx="189">
                  <c:v>184.06654320748922</c:v>
                </c:pt>
                <c:pt idx="190">
                  <c:v>184.28783703070562</c:v>
                </c:pt>
                <c:pt idx="191">
                  <c:v>184.71859629346508</c:v>
                </c:pt>
                <c:pt idx="192">
                  <c:v>185.14895514453119</c:v>
                </c:pt>
                <c:pt idx="193">
                  <c:v>185.57957721149944</c:v>
                </c:pt>
                <c:pt idx="194">
                  <c:v>186.01111077258267</c:v>
                </c:pt>
                <c:pt idx="195">
                  <c:v>186.44418931203563</c:v>
                </c:pt>
                <c:pt idx="196">
                  <c:v>186.87944555228333</c:v>
                </c:pt>
                <c:pt idx="197">
                  <c:v>187.31750645714055</c:v>
                </c:pt>
                <c:pt idx="198">
                  <c:v>187.75900479594142</c:v>
                </c:pt>
                <c:pt idx="199">
                  <c:v>188.2045849970466</c:v>
                </c:pt>
                <c:pt idx="200">
                  <c:v>188.65489745803708</c:v>
                </c:pt>
                <c:pt idx="201">
                  <c:v>189.1106169792684</c:v>
                </c:pt>
                <c:pt idx="202">
                  <c:v>189.57243698062553</c:v>
                </c:pt>
                <c:pt idx="203">
                  <c:v>190.04108059060152</c:v>
                </c:pt>
                <c:pt idx="204">
                  <c:v>190.51730690321099</c:v>
                </c:pt>
                <c:pt idx="205">
                  <c:v>191.00190286766986</c:v>
                </c:pt>
                <c:pt idx="206">
                  <c:v>191.49571050307429</c:v>
                </c:pt>
                <c:pt idx="207">
                  <c:v>191.99958666958912</c:v>
                </c:pt>
                <c:pt idx="208">
                  <c:v>192.48025352575658</c:v>
                </c:pt>
                <c:pt idx="209">
                  <c:v>192.92613723829322</c:v>
                </c:pt>
                <c:pt idx="210">
                  <c:v>193.36364090009795</c:v>
                </c:pt>
                <c:pt idx="211">
                  <c:v>193.79398268521626</c:v>
                </c:pt>
                <c:pt idx="212">
                  <c:v>194.21828564527561</c:v>
                </c:pt>
                <c:pt idx="213">
                  <c:v>194.63756465020739</c:v>
                </c:pt>
                <c:pt idx="214">
                  <c:v>195.05277975680815</c:v>
                </c:pt>
                <c:pt idx="215">
                  <c:v>195.46482456487797</c:v>
                </c:pt>
                <c:pt idx="216">
                  <c:v>195.87454552140883</c:v>
                </c:pt>
                <c:pt idx="217">
                  <c:v>196.28275780501158</c:v>
                </c:pt>
                <c:pt idx="218">
                  <c:v>196.6902415333964</c:v>
                </c:pt>
                <c:pt idx="219">
                  <c:v>197.09776344462998</c:v>
                </c:pt>
                <c:pt idx="220">
                  <c:v>197.50607245141438</c:v>
                </c:pt>
                <c:pt idx="221">
                  <c:v>197.91591871621205</c:v>
                </c:pt>
                <c:pt idx="222">
                  <c:v>198.32804942539789</c:v>
                </c:pt>
                <c:pt idx="223">
                  <c:v>198.82094943015022</c:v>
                </c:pt>
                <c:pt idx="224">
                  <c:v>199.41770740879122</c:v>
                </c:pt>
                <c:pt idx="225">
                  <c:v>200.01702398503136</c:v>
                </c:pt>
                <c:pt idx="226">
                  <c:v>200.61998940641288</c:v>
                </c:pt>
                <c:pt idx="227">
                  <c:v>201.22772191060761</c:v>
                </c:pt>
                <c:pt idx="228">
                  <c:v>201.84138179690402</c:v>
                </c:pt>
                <c:pt idx="229">
                  <c:v>202.46217662825796</c:v>
                </c:pt>
                <c:pt idx="230">
                  <c:v>203.09137822032835</c:v>
                </c:pt>
                <c:pt idx="231">
                  <c:v>203.7303323635694</c:v>
                </c:pt>
                <c:pt idx="232">
                  <c:v>204.38047448676832</c:v>
                </c:pt>
                <c:pt idx="233">
                  <c:v>205.04334776719705</c:v>
                </c:pt>
                <c:pt idx="234">
                  <c:v>205.72061784347744</c:v>
                </c:pt>
                <c:pt idx="235">
                  <c:v>206.41409712235128</c:v>
                </c:pt>
                <c:pt idx="236">
                  <c:v>207.12577226755459</c:v>
                </c:pt>
                <c:pt idx="237">
                  <c:v>207.85782799457292</c:v>
                </c:pt>
                <c:pt idx="238">
                  <c:v>208.61268995954458</c:v>
                </c:pt>
                <c:pt idx="239">
                  <c:v>209.3930559140359</c:v>
                </c:pt>
                <c:pt idx="240">
                  <c:v>210.20195411970099</c:v>
                </c:pt>
                <c:pt idx="241">
                  <c:v>211.04280083082034</c:v>
                </c:pt>
                <c:pt idx="242">
                  <c:v>211.91947013522514</c:v>
                </c:pt>
                <c:pt idx="243">
                  <c:v>212.83639139805362</c:v>
                </c:pt>
                <c:pt idx="244">
                  <c:v>213.79864573620824</c:v>
                </c:pt>
                <c:pt idx="245">
                  <c:v>214.81211593715076</c:v>
                </c:pt>
                <c:pt idx="246">
                  <c:v>215.88364620416098</c:v>
                </c:pt>
                <c:pt idx="247">
                  <c:v>217.02126836990774</c:v>
                </c:pt>
                <c:pt idx="248">
                  <c:v>218.23446633809223</c:v>
                </c:pt>
                <c:pt idx="249">
                  <c:v>219.53453045203261</c:v>
                </c:pt>
                <c:pt idx="250">
                  <c:v>220.93502585437977</c:v>
                </c:pt>
                <c:pt idx="251">
                  <c:v>222.45236544596</c:v>
                </c:pt>
                <c:pt idx="252">
                  <c:v>224.10662365467769</c:v>
                </c:pt>
                <c:pt idx="253">
                  <c:v>225.92256904576149</c:v>
                </c:pt>
                <c:pt idx="254">
                  <c:v>227.49942610457515</c:v>
                </c:pt>
                <c:pt idx="255">
                  <c:v>228.8829782489361</c:v>
                </c:pt>
                <c:pt idx="256">
                  <c:v>230.39760328100081</c:v>
                </c:pt>
                <c:pt idx="257">
                  <c:v>231.99500454296899</c:v>
                </c:pt>
                <c:pt idx="258">
                  <c:v>233.62743541005162</c:v>
                </c:pt>
                <c:pt idx="259">
                  <c:v>235.30081012043985</c:v>
                </c:pt>
                <c:pt idx="260">
                  <c:v>237.02208565675289</c:v>
                </c:pt>
                <c:pt idx="261">
                  <c:v>238.84415365666194</c:v>
                </c:pt>
                <c:pt idx="262">
                  <c:v>240.88638618631367</c:v>
                </c:pt>
                <c:pt idx="263">
                  <c:v>243.00308860042281</c:v>
                </c:pt>
                <c:pt idx="264">
                  <c:v>245.20369851188252</c:v>
                </c:pt>
                <c:pt idx="265">
                  <c:v>247.4991398201596</c:v>
                </c:pt>
                <c:pt idx="266">
                  <c:v>249.90212946245816</c:v>
                </c:pt>
                <c:pt idx="267">
                  <c:v>252.42759127594678</c:v>
                </c:pt>
                <c:pt idx="268">
                  <c:v>255.09316008347855</c:v>
                </c:pt>
                <c:pt idx="269">
                  <c:v>257.24277725550638</c:v>
                </c:pt>
                <c:pt idx="270">
                  <c:v>260.25167043539921</c:v>
                </c:pt>
                <c:pt idx="271">
                  <c:v>263.30876370213207</c:v>
                </c:pt>
                <c:pt idx="272">
                  <c:v>265.5541792817906</c:v>
                </c:pt>
                <c:pt idx="273">
                  <c:v>268.40754528183402</c:v>
                </c:pt>
                <c:pt idx="274">
                  <c:v>271.18440737129583</c:v>
                </c:pt>
                <c:pt idx="275">
                  <c:v>273.89262660141196</c:v>
                </c:pt>
                <c:pt idx="276">
                  <c:v>277.47996186402963</c:v>
                </c:pt>
                <c:pt idx="277">
                  <c:v>281.03347297833716</c:v>
                </c:pt>
                <c:pt idx="278">
                  <c:v>284.50017883356844</c:v>
                </c:pt>
                <c:pt idx="279">
                  <c:v>287.87233447688533</c:v>
                </c:pt>
                <c:pt idx="280">
                  <c:v>291.14458431553646</c:v>
                </c:pt>
                <c:pt idx="281">
                  <c:v>294.30981920607121</c:v>
                </c:pt>
                <c:pt idx="282">
                  <c:v>297.29740551671648</c:v>
                </c:pt>
                <c:pt idx="283">
                  <c:v>300.14527342318888</c:v>
                </c:pt>
                <c:pt idx="284">
                  <c:v>302.69415891362257</c:v>
                </c:pt>
                <c:pt idx="285">
                  <c:v>304.9439972386474</c:v>
                </c:pt>
                <c:pt idx="286">
                  <c:v>306.95132421668239</c:v>
                </c:pt>
                <c:pt idx="287">
                  <c:v>308.75963762821522</c:v>
                </c:pt>
                <c:pt idx="288">
                  <c:v>310.40284628531833</c:v>
                </c:pt>
                <c:pt idx="289">
                  <c:v>311.90772052052648</c:v>
                </c:pt>
                <c:pt idx="290">
                  <c:v>313.7321025626818</c:v>
                </c:pt>
                <c:pt idx="291">
                  <c:v>315.49069065514936</c:v>
                </c:pt>
                <c:pt idx="292">
                  <c:v>317.11720242951975</c:v>
                </c:pt>
                <c:pt idx="293">
                  <c:v>318.62896190612742</c:v>
                </c:pt>
                <c:pt idx="294">
                  <c:v>320.04050606792788</c:v>
                </c:pt>
                <c:pt idx="295">
                  <c:v>321.36411070605288</c:v>
                </c:pt>
                <c:pt idx="296">
                  <c:v>322.61020701982454</c:v>
                </c:pt>
                <c:pt idx="297">
                  <c:v>323.7877150514729</c:v>
                </c:pt>
                <c:pt idx="298">
                  <c:v>324.90430739587924</c:v>
                </c:pt>
                <c:pt idx="299">
                  <c:v>325.96662248196736</c:v>
                </c:pt>
                <c:pt idx="300">
                  <c:v>326.98043673506703</c:v>
                </c:pt>
                <c:pt idx="301">
                  <c:v>327.95080349271598</c:v>
                </c:pt>
                <c:pt idx="302">
                  <c:v>328.88216795383482</c:v>
                </c:pt>
                <c:pt idx="303">
                  <c:v>329.7784608268077</c:v>
                </c:pt>
                <c:pt idx="304">
                  <c:v>330.64317559699816</c:v>
                </c:pt>
                <c:pt idx="305">
                  <c:v>331.47943346457265</c:v>
                </c:pt>
                <c:pt idx="306">
                  <c:v>332.29003809316953</c:v>
                </c:pt>
                <c:pt idx="307">
                  <c:v>333.07751960911418</c:v>
                </c:pt>
                <c:pt idx="308">
                  <c:v>333.84417382897516</c:v>
                </c:pt>
                <c:pt idx="309">
                  <c:v>334.59209543629191</c:v>
                </c:pt>
                <c:pt idx="310">
                  <c:v>335.32320655750169</c:v>
                </c:pt>
                <c:pt idx="311">
                  <c:v>335.8383930738845</c:v>
                </c:pt>
                <c:pt idx="312">
                  <c:v>336.29076159893219</c:v>
                </c:pt>
                <c:pt idx="313">
                  <c:v>336.73226150756108</c:v>
                </c:pt>
                <c:pt idx="314">
                  <c:v>337.16399969900425</c:v>
                </c:pt>
                <c:pt idx="315">
                  <c:v>337.58701472863737</c:v>
                </c:pt>
                <c:pt idx="316">
                  <c:v>338.00227117617442</c:v>
                </c:pt>
                <c:pt idx="317">
                  <c:v>338.41069257542262</c:v>
                </c:pt>
                <c:pt idx="318">
                  <c:v>338.8131467059298</c:v>
                </c:pt>
                <c:pt idx="319">
                  <c:v>339.21047804081496</c:v>
                </c:pt>
                <c:pt idx="320">
                  <c:v>339.60349835669388</c:v>
                </c:pt>
                <c:pt idx="321">
                  <c:v>339.99299753011866</c:v>
                </c:pt>
                <c:pt idx="322">
                  <c:v>340.39502508768544</c:v>
                </c:pt>
                <c:pt idx="323">
                  <c:v>340.81245341315389</c:v>
                </c:pt>
                <c:pt idx="324">
                  <c:v>341.2309203890627</c:v>
                </c:pt>
                <c:pt idx="325">
                  <c:v>341.6513790891936</c:v>
                </c:pt>
                <c:pt idx="326">
                  <c:v>342.07482606495756</c:v>
                </c:pt>
                <c:pt idx="327">
                  <c:v>342.50231493118787</c:v>
                </c:pt>
                <c:pt idx="328">
                  <c:v>342.93495409998764</c:v>
                </c:pt>
                <c:pt idx="329">
                  <c:v>343.32948089133129</c:v>
                </c:pt>
                <c:pt idx="330">
                  <c:v>343.78204584892154</c:v>
                </c:pt>
                <c:pt idx="331">
                  <c:v>344.24386756743172</c:v>
                </c:pt>
                <c:pt idx="332">
                  <c:v>344.71654459619532</c:v>
                </c:pt>
                <c:pt idx="333">
                  <c:v>345.20186170525585</c:v>
                </c:pt>
                <c:pt idx="334">
                  <c:v>345.70182216971114</c:v>
                </c:pt>
                <c:pt idx="335">
                  <c:v>346.21869388942298</c:v>
                </c:pt>
                <c:pt idx="336">
                  <c:v>346.75507913218223</c:v>
                </c:pt>
                <c:pt idx="337">
                  <c:v>347.31398482816053</c:v>
                </c:pt>
                <c:pt idx="338">
                  <c:v>347.893159102141</c:v>
                </c:pt>
                <c:pt idx="339">
                  <c:v>348.46752019636239</c:v>
                </c:pt>
                <c:pt idx="340">
                  <c:v>349.03445835438674</c:v>
                </c:pt>
                <c:pt idx="341">
                  <c:v>349.59490707551709</c:v>
                </c:pt>
                <c:pt idx="342">
                  <c:v>350.14976948323294</c:v>
                </c:pt>
                <c:pt idx="343">
                  <c:v>350.69992687747566</c:v>
                </c:pt>
                <c:pt idx="344">
                  <c:v>351.24625588886022</c:v>
                </c:pt>
                <c:pt idx="345">
                  <c:v>351.78962591454797</c:v>
                </c:pt>
                <c:pt idx="346">
                  <c:v>352.33090747473955</c:v>
                </c:pt>
                <c:pt idx="347">
                  <c:v>352.8709880778639</c:v>
                </c:pt>
                <c:pt idx="348">
                  <c:v>353.41076500865046</c:v>
                </c:pt>
                <c:pt idx="349">
                  <c:v>353.95116044639241</c:v>
                </c:pt>
                <c:pt idx="350">
                  <c:v>354.49315034730301</c:v>
                </c:pt>
                <c:pt idx="351">
                  <c:v>355.03773759670366</c:v>
                </c:pt>
                <c:pt idx="352">
                  <c:v>355.58599738049861</c:v>
                </c:pt>
                <c:pt idx="353">
                  <c:v>356.1390791453988</c:v>
                </c:pt>
                <c:pt idx="354">
                  <c:v>356.69822260429464</c:v>
                </c:pt>
                <c:pt idx="355">
                  <c:v>357.26477988944953</c:v>
                </c:pt>
                <c:pt idx="356">
                  <c:v>357.84024156711632</c:v>
                </c:pt>
                <c:pt idx="357">
                  <c:v>358.42626949268953</c:v>
                </c:pt>
                <c:pt idx="358">
                  <c:v>359.02472793961891</c:v>
                </c:pt>
                <c:pt idx="359">
                  <c:v>359.37185638643547</c:v>
                </c:pt>
                <c:pt idx="360">
                  <c:v>360</c:v>
                </c:pt>
              </c:numCache>
            </c:numRef>
          </c:xVal>
          <c:yVal>
            <c:numRef>
              <c:f>'Cross Section Analysis'!$A$129:$A$489</c:f>
              <c:numCache>
                <c:formatCode>General</c:formatCode>
                <c:ptCount val="361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-3</c:v>
                </c:pt>
                <c:pt idx="4">
                  <c:v>-4</c:v>
                </c:pt>
                <c:pt idx="5">
                  <c:v>-5</c:v>
                </c:pt>
                <c:pt idx="6">
                  <c:v>-6</c:v>
                </c:pt>
                <c:pt idx="7">
                  <c:v>-7</c:v>
                </c:pt>
                <c:pt idx="8">
                  <c:v>-8</c:v>
                </c:pt>
                <c:pt idx="9">
                  <c:v>-9</c:v>
                </c:pt>
                <c:pt idx="10">
                  <c:v>-10</c:v>
                </c:pt>
                <c:pt idx="11">
                  <c:v>-11</c:v>
                </c:pt>
                <c:pt idx="12">
                  <c:v>-12</c:v>
                </c:pt>
                <c:pt idx="13">
                  <c:v>-13</c:v>
                </c:pt>
                <c:pt idx="14">
                  <c:v>-14</c:v>
                </c:pt>
                <c:pt idx="15">
                  <c:v>-15</c:v>
                </c:pt>
                <c:pt idx="16">
                  <c:v>-16</c:v>
                </c:pt>
                <c:pt idx="17">
                  <c:v>-17</c:v>
                </c:pt>
                <c:pt idx="18">
                  <c:v>-18</c:v>
                </c:pt>
                <c:pt idx="19">
                  <c:v>-19</c:v>
                </c:pt>
                <c:pt idx="20">
                  <c:v>-20</c:v>
                </c:pt>
                <c:pt idx="21">
                  <c:v>-21</c:v>
                </c:pt>
                <c:pt idx="22">
                  <c:v>-22</c:v>
                </c:pt>
                <c:pt idx="23">
                  <c:v>-23</c:v>
                </c:pt>
                <c:pt idx="24">
                  <c:v>-24</c:v>
                </c:pt>
                <c:pt idx="25">
                  <c:v>-25</c:v>
                </c:pt>
                <c:pt idx="26">
                  <c:v>-26</c:v>
                </c:pt>
                <c:pt idx="27">
                  <c:v>-27</c:v>
                </c:pt>
                <c:pt idx="28">
                  <c:v>-28</c:v>
                </c:pt>
                <c:pt idx="29">
                  <c:v>-29</c:v>
                </c:pt>
                <c:pt idx="30">
                  <c:v>-30</c:v>
                </c:pt>
                <c:pt idx="31">
                  <c:v>-31</c:v>
                </c:pt>
                <c:pt idx="32">
                  <c:v>-32</c:v>
                </c:pt>
                <c:pt idx="33">
                  <c:v>-33</c:v>
                </c:pt>
                <c:pt idx="34">
                  <c:v>-34</c:v>
                </c:pt>
                <c:pt idx="35">
                  <c:v>-35</c:v>
                </c:pt>
                <c:pt idx="36">
                  <c:v>-36</c:v>
                </c:pt>
                <c:pt idx="37">
                  <c:v>-37</c:v>
                </c:pt>
                <c:pt idx="38">
                  <c:v>-38</c:v>
                </c:pt>
                <c:pt idx="39">
                  <c:v>-39</c:v>
                </c:pt>
                <c:pt idx="40">
                  <c:v>-40</c:v>
                </c:pt>
                <c:pt idx="41">
                  <c:v>-41</c:v>
                </c:pt>
                <c:pt idx="42">
                  <c:v>-42</c:v>
                </c:pt>
                <c:pt idx="43">
                  <c:v>-43</c:v>
                </c:pt>
                <c:pt idx="44">
                  <c:v>-44</c:v>
                </c:pt>
                <c:pt idx="45">
                  <c:v>-45</c:v>
                </c:pt>
                <c:pt idx="46">
                  <c:v>-46</c:v>
                </c:pt>
                <c:pt idx="47">
                  <c:v>-47</c:v>
                </c:pt>
                <c:pt idx="48">
                  <c:v>-48</c:v>
                </c:pt>
                <c:pt idx="49">
                  <c:v>-49</c:v>
                </c:pt>
                <c:pt idx="50">
                  <c:v>-50</c:v>
                </c:pt>
                <c:pt idx="51">
                  <c:v>-51</c:v>
                </c:pt>
                <c:pt idx="52">
                  <c:v>-52</c:v>
                </c:pt>
                <c:pt idx="53">
                  <c:v>-53</c:v>
                </c:pt>
                <c:pt idx="54">
                  <c:v>-54</c:v>
                </c:pt>
                <c:pt idx="55">
                  <c:v>-55</c:v>
                </c:pt>
                <c:pt idx="56">
                  <c:v>-56</c:v>
                </c:pt>
                <c:pt idx="57">
                  <c:v>-57</c:v>
                </c:pt>
                <c:pt idx="58">
                  <c:v>-58</c:v>
                </c:pt>
                <c:pt idx="59">
                  <c:v>-59</c:v>
                </c:pt>
                <c:pt idx="60">
                  <c:v>-60</c:v>
                </c:pt>
                <c:pt idx="61">
                  <c:v>-61</c:v>
                </c:pt>
                <c:pt idx="62">
                  <c:v>-62</c:v>
                </c:pt>
                <c:pt idx="63">
                  <c:v>-63</c:v>
                </c:pt>
                <c:pt idx="64">
                  <c:v>-64</c:v>
                </c:pt>
                <c:pt idx="65">
                  <c:v>-65</c:v>
                </c:pt>
                <c:pt idx="66">
                  <c:v>-66</c:v>
                </c:pt>
                <c:pt idx="67">
                  <c:v>-67</c:v>
                </c:pt>
                <c:pt idx="68">
                  <c:v>-68</c:v>
                </c:pt>
                <c:pt idx="69">
                  <c:v>-69</c:v>
                </c:pt>
                <c:pt idx="70">
                  <c:v>-70</c:v>
                </c:pt>
                <c:pt idx="71">
                  <c:v>-71</c:v>
                </c:pt>
                <c:pt idx="72">
                  <c:v>-72</c:v>
                </c:pt>
                <c:pt idx="73">
                  <c:v>-73</c:v>
                </c:pt>
                <c:pt idx="74">
                  <c:v>-74</c:v>
                </c:pt>
                <c:pt idx="75">
                  <c:v>-75</c:v>
                </c:pt>
                <c:pt idx="76">
                  <c:v>-76</c:v>
                </c:pt>
                <c:pt idx="77">
                  <c:v>-77</c:v>
                </c:pt>
                <c:pt idx="78">
                  <c:v>-78</c:v>
                </c:pt>
                <c:pt idx="79">
                  <c:v>-79</c:v>
                </c:pt>
                <c:pt idx="80">
                  <c:v>-80</c:v>
                </c:pt>
                <c:pt idx="81">
                  <c:v>-81</c:v>
                </c:pt>
                <c:pt idx="82">
                  <c:v>-82</c:v>
                </c:pt>
                <c:pt idx="83">
                  <c:v>-83</c:v>
                </c:pt>
                <c:pt idx="84">
                  <c:v>-84</c:v>
                </c:pt>
                <c:pt idx="85">
                  <c:v>-85</c:v>
                </c:pt>
                <c:pt idx="86">
                  <c:v>-86</c:v>
                </c:pt>
                <c:pt idx="87">
                  <c:v>-87</c:v>
                </c:pt>
                <c:pt idx="88">
                  <c:v>-88</c:v>
                </c:pt>
                <c:pt idx="89">
                  <c:v>-89</c:v>
                </c:pt>
                <c:pt idx="90">
                  <c:v>-90</c:v>
                </c:pt>
                <c:pt idx="91">
                  <c:v>-91</c:v>
                </c:pt>
                <c:pt idx="92">
                  <c:v>-92</c:v>
                </c:pt>
                <c:pt idx="93">
                  <c:v>-93</c:v>
                </c:pt>
                <c:pt idx="94">
                  <c:v>-94</c:v>
                </c:pt>
                <c:pt idx="95">
                  <c:v>-95</c:v>
                </c:pt>
                <c:pt idx="96">
                  <c:v>-96</c:v>
                </c:pt>
                <c:pt idx="97">
                  <c:v>-97</c:v>
                </c:pt>
                <c:pt idx="98">
                  <c:v>-98</c:v>
                </c:pt>
                <c:pt idx="99">
                  <c:v>-99</c:v>
                </c:pt>
                <c:pt idx="100">
                  <c:v>-100</c:v>
                </c:pt>
                <c:pt idx="101">
                  <c:v>-101</c:v>
                </c:pt>
                <c:pt idx="102">
                  <c:v>-102</c:v>
                </c:pt>
                <c:pt idx="103">
                  <c:v>-103</c:v>
                </c:pt>
                <c:pt idx="104">
                  <c:v>-104</c:v>
                </c:pt>
                <c:pt idx="105">
                  <c:v>-105</c:v>
                </c:pt>
                <c:pt idx="106">
                  <c:v>-106</c:v>
                </c:pt>
                <c:pt idx="107">
                  <c:v>-107</c:v>
                </c:pt>
                <c:pt idx="108">
                  <c:v>-108</c:v>
                </c:pt>
                <c:pt idx="109">
                  <c:v>-109</c:v>
                </c:pt>
                <c:pt idx="110">
                  <c:v>-110</c:v>
                </c:pt>
                <c:pt idx="111">
                  <c:v>-111</c:v>
                </c:pt>
                <c:pt idx="112">
                  <c:v>-112</c:v>
                </c:pt>
                <c:pt idx="113">
                  <c:v>-113</c:v>
                </c:pt>
                <c:pt idx="114">
                  <c:v>-114</c:v>
                </c:pt>
                <c:pt idx="115">
                  <c:v>-115</c:v>
                </c:pt>
                <c:pt idx="116">
                  <c:v>-116</c:v>
                </c:pt>
                <c:pt idx="117">
                  <c:v>-117</c:v>
                </c:pt>
                <c:pt idx="118">
                  <c:v>-118</c:v>
                </c:pt>
                <c:pt idx="119">
                  <c:v>-119</c:v>
                </c:pt>
                <c:pt idx="120">
                  <c:v>-120</c:v>
                </c:pt>
                <c:pt idx="121">
                  <c:v>-121</c:v>
                </c:pt>
                <c:pt idx="122">
                  <c:v>-122</c:v>
                </c:pt>
                <c:pt idx="123">
                  <c:v>-123</c:v>
                </c:pt>
                <c:pt idx="124">
                  <c:v>-124</c:v>
                </c:pt>
                <c:pt idx="125">
                  <c:v>-125</c:v>
                </c:pt>
                <c:pt idx="126">
                  <c:v>-126</c:v>
                </c:pt>
                <c:pt idx="127">
                  <c:v>-127</c:v>
                </c:pt>
                <c:pt idx="128">
                  <c:v>-128</c:v>
                </c:pt>
                <c:pt idx="129">
                  <c:v>-129</c:v>
                </c:pt>
                <c:pt idx="130">
                  <c:v>-130</c:v>
                </c:pt>
                <c:pt idx="131">
                  <c:v>-131</c:v>
                </c:pt>
                <c:pt idx="132">
                  <c:v>-132</c:v>
                </c:pt>
                <c:pt idx="133">
                  <c:v>-133</c:v>
                </c:pt>
                <c:pt idx="134">
                  <c:v>-134</c:v>
                </c:pt>
                <c:pt idx="135">
                  <c:v>-135</c:v>
                </c:pt>
                <c:pt idx="136">
                  <c:v>-136</c:v>
                </c:pt>
                <c:pt idx="137">
                  <c:v>-137</c:v>
                </c:pt>
                <c:pt idx="138">
                  <c:v>-138</c:v>
                </c:pt>
                <c:pt idx="139">
                  <c:v>-139</c:v>
                </c:pt>
                <c:pt idx="140">
                  <c:v>-140</c:v>
                </c:pt>
                <c:pt idx="141">
                  <c:v>-141</c:v>
                </c:pt>
                <c:pt idx="142">
                  <c:v>-142</c:v>
                </c:pt>
                <c:pt idx="143">
                  <c:v>-143</c:v>
                </c:pt>
                <c:pt idx="144">
                  <c:v>-144</c:v>
                </c:pt>
                <c:pt idx="145">
                  <c:v>-145</c:v>
                </c:pt>
                <c:pt idx="146">
                  <c:v>-146</c:v>
                </c:pt>
                <c:pt idx="147">
                  <c:v>-147</c:v>
                </c:pt>
                <c:pt idx="148">
                  <c:v>-148</c:v>
                </c:pt>
                <c:pt idx="149">
                  <c:v>-149</c:v>
                </c:pt>
                <c:pt idx="150">
                  <c:v>-150</c:v>
                </c:pt>
                <c:pt idx="151">
                  <c:v>-151</c:v>
                </c:pt>
                <c:pt idx="152">
                  <c:v>-152</c:v>
                </c:pt>
                <c:pt idx="153">
                  <c:v>-153</c:v>
                </c:pt>
                <c:pt idx="154">
                  <c:v>-154</c:v>
                </c:pt>
                <c:pt idx="155">
                  <c:v>-155</c:v>
                </c:pt>
                <c:pt idx="156">
                  <c:v>-156</c:v>
                </c:pt>
                <c:pt idx="157">
                  <c:v>-157</c:v>
                </c:pt>
                <c:pt idx="158">
                  <c:v>-158</c:v>
                </c:pt>
                <c:pt idx="159">
                  <c:v>-159</c:v>
                </c:pt>
                <c:pt idx="160">
                  <c:v>-160</c:v>
                </c:pt>
                <c:pt idx="161">
                  <c:v>-161</c:v>
                </c:pt>
                <c:pt idx="162">
                  <c:v>-162</c:v>
                </c:pt>
                <c:pt idx="163">
                  <c:v>-163</c:v>
                </c:pt>
                <c:pt idx="164">
                  <c:v>-164</c:v>
                </c:pt>
                <c:pt idx="165">
                  <c:v>-165</c:v>
                </c:pt>
                <c:pt idx="166">
                  <c:v>-166</c:v>
                </c:pt>
                <c:pt idx="167">
                  <c:v>-167</c:v>
                </c:pt>
                <c:pt idx="168">
                  <c:v>-168</c:v>
                </c:pt>
                <c:pt idx="169">
                  <c:v>-169</c:v>
                </c:pt>
                <c:pt idx="170">
                  <c:v>-170</c:v>
                </c:pt>
                <c:pt idx="171">
                  <c:v>-171</c:v>
                </c:pt>
                <c:pt idx="172">
                  <c:v>-172</c:v>
                </c:pt>
                <c:pt idx="173">
                  <c:v>-173</c:v>
                </c:pt>
                <c:pt idx="174">
                  <c:v>-174</c:v>
                </c:pt>
                <c:pt idx="175">
                  <c:v>-175</c:v>
                </c:pt>
                <c:pt idx="176">
                  <c:v>-176</c:v>
                </c:pt>
                <c:pt idx="177">
                  <c:v>-177</c:v>
                </c:pt>
                <c:pt idx="178">
                  <c:v>-178</c:v>
                </c:pt>
                <c:pt idx="179">
                  <c:v>-179</c:v>
                </c:pt>
                <c:pt idx="180">
                  <c:v>-180</c:v>
                </c:pt>
                <c:pt idx="181">
                  <c:v>-181</c:v>
                </c:pt>
                <c:pt idx="182">
                  <c:v>-182</c:v>
                </c:pt>
                <c:pt idx="183">
                  <c:v>-183</c:v>
                </c:pt>
                <c:pt idx="184">
                  <c:v>-184</c:v>
                </c:pt>
                <c:pt idx="185">
                  <c:v>-185</c:v>
                </c:pt>
                <c:pt idx="186">
                  <c:v>-186</c:v>
                </c:pt>
                <c:pt idx="187">
                  <c:v>-187</c:v>
                </c:pt>
                <c:pt idx="188">
                  <c:v>-188</c:v>
                </c:pt>
                <c:pt idx="189">
                  <c:v>-189</c:v>
                </c:pt>
                <c:pt idx="190">
                  <c:v>-190</c:v>
                </c:pt>
                <c:pt idx="191">
                  <c:v>-191</c:v>
                </c:pt>
                <c:pt idx="192">
                  <c:v>-192</c:v>
                </c:pt>
                <c:pt idx="193">
                  <c:v>-193</c:v>
                </c:pt>
                <c:pt idx="194">
                  <c:v>-194</c:v>
                </c:pt>
                <c:pt idx="195">
                  <c:v>-195</c:v>
                </c:pt>
                <c:pt idx="196">
                  <c:v>-196</c:v>
                </c:pt>
                <c:pt idx="197">
                  <c:v>-197</c:v>
                </c:pt>
                <c:pt idx="198">
                  <c:v>-198</c:v>
                </c:pt>
                <c:pt idx="199">
                  <c:v>-199</c:v>
                </c:pt>
                <c:pt idx="200">
                  <c:v>-200</c:v>
                </c:pt>
                <c:pt idx="201">
                  <c:v>-201</c:v>
                </c:pt>
                <c:pt idx="202">
                  <c:v>-202</c:v>
                </c:pt>
                <c:pt idx="203">
                  <c:v>-203</c:v>
                </c:pt>
                <c:pt idx="204">
                  <c:v>-204</c:v>
                </c:pt>
                <c:pt idx="205">
                  <c:v>-205</c:v>
                </c:pt>
                <c:pt idx="206">
                  <c:v>-206</c:v>
                </c:pt>
                <c:pt idx="207">
                  <c:v>-207</c:v>
                </c:pt>
                <c:pt idx="208">
                  <c:v>-208</c:v>
                </c:pt>
                <c:pt idx="209">
                  <c:v>-209</c:v>
                </c:pt>
                <c:pt idx="210">
                  <c:v>-210</c:v>
                </c:pt>
                <c:pt idx="211">
                  <c:v>-211</c:v>
                </c:pt>
                <c:pt idx="212">
                  <c:v>-212</c:v>
                </c:pt>
                <c:pt idx="213">
                  <c:v>-213</c:v>
                </c:pt>
                <c:pt idx="214">
                  <c:v>-214</c:v>
                </c:pt>
                <c:pt idx="215">
                  <c:v>-215</c:v>
                </c:pt>
                <c:pt idx="216">
                  <c:v>-216</c:v>
                </c:pt>
                <c:pt idx="217">
                  <c:v>-217</c:v>
                </c:pt>
                <c:pt idx="218">
                  <c:v>-218</c:v>
                </c:pt>
                <c:pt idx="219">
                  <c:v>-219</c:v>
                </c:pt>
                <c:pt idx="220">
                  <c:v>-220</c:v>
                </c:pt>
                <c:pt idx="221">
                  <c:v>-221</c:v>
                </c:pt>
                <c:pt idx="222">
                  <c:v>-222</c:v>
                </c:pt>
                <c:pt idx="223">
                  <c:v>-223</c:v>
                </c:pt>
                <c:pt idx="224">
                  <c:v>-224</c:v>
                </c:pt>
                <c:pt idx="225">
                  <c:v>-225</c:v>
                </c:pt>
                <c:pt idx="226">
                  <c:v>-226</c:v>
                </c:pt>
                <c:pt idx="227">
                  <c:v>-227</c:v>
                </c:pt>
                <c:pt idx="228">
                  <c:v>-228</c:v>
                </c:pt>
                <c:pt idx="229">
                  <c:v>-229</c:v>
                </c:pt>
                <c:pt idx="230">
                  <c:v>-230</c:v>
                </c:pt>
                <c:pt idx="231">
                  <c:v>-231</c:v>
                </c:pt>
                <c:pt idx="232">
                  <c:v>-232</c:v>
                </c:pt>
                <c:pt idx="233">
                  <c:v>-233</c:v>
                </c:pt>
                <c:pt idx="234">
                  <c:v>-234</c:v>
                </c:pt>
                <c:pt idx="235">
                  <c:v>-235</c:v>
                </c:pt>
                <c:pt idx="236">
                  <c:v>-236</c:v>
                </c:pt>
                <c:pt idx="237">
                  <c:v>-237</c:v>
                </c:pt>
                <c:pt idx="238">
                  <c:v>-238</c:v>
                </c:pt>
                <c:pt idx="239">
                  <c:v>-239</c:v>
                </c:pt>
                <c:pt idx="240">
                  <c:v>-240</c:v>
                </c:pt>
                <c:pt idx="241">
                  <c:v>-241</c:v>
                </c:pt>
                <c:pt idx="242">
                  <c:v>-242</c:v>
                </c:pt>
                <c:pt idx="243">
                  <c:v>-243</c:v>
                </c:pt>
                <c:pt idx="244">
                  <c:v>-244</c:v>
                </c:pt>
                <c:pt idx="245">
                  <c:v>-245</c:v>
                </c:pt>
                <c:pt idx="246">
                  <c:v>-246</c:v>
                </c:pt>
                <c:pt idx="247">
                  <c:v>-247</c:v>
                </c:pt>
                <c:pt idx="248">
                  <c:v>-248</c:v>
                </c:pt>
                <c:pt idx="249">
                  <c:v>-249</c:v>
                </c:pt>
                <c:pt idx="250">
                  <c:v>-250</c:v>
                </c:pt>
                <c:pt idx="251">
                  <c:v>-251</c:v>
                </c:pt>
                <c:pt idx="252">
                  <c:v>-252</c:v>
                </c:pt>
                <c:pt idx="253">
                  <c:v>-253</c:v>
                </c:pt>
                <c:pt idx="254">
                  <c:v>-254</c:v>
                </c:pt>
                <c:pt idx="255">
                  <c:v>-255</c:v>
                </c:pt>
                <c:pt idx="256">
                  <c:v>-256</c:v>
                </c:pt>
                <c:pt idx="257">
                  <c:v>-257</c:v>
                </c:pt>
                <c:pt idx="258">
                  <c:v>-258</c:v>
                </c:pt>
                <c:pt idx="259">
                  <c:v>-259</c:v>
                </c:pt>
                <c:pt idx="260">
                  <c:v>-260</c:v>
                </c:pt>
                <c:pt idx="261">
                  <c:v>-261</c:v>
                </c:pt>
                <c:pt idx="262">
                  <c:v>-262</c:v>
                </c:pt>
                <c:pt idx="263">
                  <c:v>-263</c:v>
                </c:pt>
                <c:pt idx="264">
                  <c:v>-264</c:v>
                </c:pt>
                <c:pt idx="265">
                  <c:v>-265</c:v>
                </c:pt>
                <c:pt idx="266">
                  <c:v>-266</c:v>
                </c:pt>
                <c:pt idx="267">
                  <c:v>-267</c:v>
                </c:pt>
                <c:pt idx="268">
                  <c:v>-268</c:v>
                </c:pt>
                <c:pt idx="269">
                  <c:v>-269</c:v>
                </c:pt>
                <c:pt idx="270">
                  <c:v>-270</c:v>
                </c:pt>
                <c:pt idx="271">
                  <c:v>-271</c:v>
                </c:pt>
                <c:pt idx="272">
                  <c:v>-272</c:v>
                </c:pt>
                <c:pt idx="273">
                  <c:v>-273</c:v>
                </c:pt>
                <c:pt idx="274">
                  <c:v>-274</c:v>
                </c:pt>
                <c:pt idx="275">
                  <c:v>-275</c:v>
                </c:pt>
                <c:pt idx="276">
                  <c:v>-276</c:v>
                </c:pt>
                <c:pt idx="277">
                  <c:v>-277</c:v>
                </c:pt>
                <c:pt idx="278">
                  <c:v>-278</c:v>
                </c:pt>
                <c:pt idx="279">
                  <c:v>-279</c:v>
                </c:pt>
                <c:pt idx="280">
                  <c:v>-280</c:v>
                </c:pt>
                <c:pt idx="281">
                  <c:v>-281</c:v>
                </c:pt>
                <c:pt idx="282">
                  <c:v>-282</c:v>
                </c:pt>
                <c:pt idx="283">
                  <c:v>-283</c:v>
                </c:pt>
                <c:pt idx="284">
                  <c:v>-284</c:v>
                </c:pt>
                <c:pt idx="285">
                  <c:v>-285</c:v>
                </c:pt>
                <c:pt idx="286">
                  <c:v>-286</c:v>
                </c:pt>
                <c:pt idx="287">
                  <c:v>-287</c:v>
                </c:pt>
                <c:pt idx="288">
                  <c:v>-288</c:v>
                </c:pt>
                <c:pt idx="289">
                  <c:v>-289</c:v>
                </c:pt>
                <c:pt idx="290">
                  <c:v>-290</c:v>
                </c:pt>
                <c:pt idx="291">
                  <c:v>-291</c:v>
                </c:pt>
                <c:pt idx="292">
                  <c:v>-292</c:v>
                </c:pt>
                <c:pt idx="293">
                  <c:v>-293</c:v>
                </c:pt>
                <c:pt idx="294">
                  <c:v>-294</c:v>
                </c:pt>
                <c:pt idx="295">
                  <c:v>-295</c:v>
                </c:pt>
                <c:pt idx="296">
                  <c:v>-296</c:v>
                </c:pt>
                <c:pt idx="297">
                  <c:v>-297</c:v>
                </c:pt>
                <c:pt idx="298">
                  <c:v>-298</c:v>
                </c:pt>
                <c:pt idx="299">
                  <c:v>-299</c:v>
                </c:pt>
                <c:pt idx="300">
                  <c:v>-300</c:v>
                </c:pt>
                <c:pt idx="301">
                  <c:v>-301</c:v>
                </c:pt>
                <c:pt idx="302">
                  <c:v>-302</c:v>
                </c:pt>
                <c:pt idx="303">
                  <c:v>-303</c:v>
                </c:pt>
                <c:pt idx="304">
                  <c:v>-304</c:v>
                </c:pt>
                <c:pt idx="305">
                  <c:v>-305</c:v>
                </c:pt>
                <c:pt idx="306">
                  <c:v>-306</c:v>
                </c:pt>
                <c:pt idx="307">
                  <c:v>-307</c:v>
                </c:pt>
                <c:pt idx="308">
                  <c:v>-308</c:v>
                </c:pt>
                <c:pt idx="309">
                  <c:v>-309</c:v>
                </c:pt>
                <c:pt idx="310">
                  <c:v>-310</c:v>
                </c:pt>
                <c:pt idx="311">
                  <c:v>-311</c:v>
                </c:pt>
                <c:pt idx="312">
                  <c:v>-312</c:v>
                </c:pt>
                <c:pt idx="313">
                  <c:v>-313</c:v>
                </c:pt>
                <c:pt idx="314">
                  <c:v>-314</c:v>
                </c:pt>
                <c:pt idx="315">
                  <c:v>-315</c:v>
                </c:pt>
                <c:pt idx="316">
                  <c:v>-316</c:v>
                </c:pt>
                <c:pt idx="317">
                  <c:v>-317</c:v>
                </c:pt>
                <c:pt idx="318">
                  <c:v>-318</c:v>
                </c:pt>
                <c:pt idx="319">
                  <c:v>-319</c:v>
                </c:pt>
                <c:pt idx="320">
                  <c:v>-320</c:v>
                </c:pt>
                <c:pt idx="321">
                  <c:v>-321</c:v>
                </c:pt>
                <c:pt idx="322">
                  <c:v>-322</c:v>
                </c:pt>
                <c:pt idx="323">
                  <c:v>-323</c:v>
                </c:pt>
                <c:pt idx="324">
                  <c:v>-324</c:v>
                </c:pt>
                <c:pt idx="325">
                  <c:v>-325</c:v>
                </c:pt>
                <c:pt idx="326">
                  <c:v>-326</c:v>
                </c:pt>
                <c:pt idx="327">
                  <c:v>-327</c:v>
                </c:pt>
                <c:pt idx="328">
                  <c:v>-328</c:v>
                </c:pt>
                <c:pt idx="329">
                  <c:v>-329</c:v>
                </c:pt>
                <c:pt idx="330">
                  <c:v>-330</c:v>
                </c:pt>
                <c:pt idx="331">
                  <c:v>-331</c:v>
                </c:pt>
                <c:pt idx="332">
                  <c:v>-332</c:v>
                </c:pt>
                <c:pt idx="333">
                  <c:v>-333</c:v>
                </c:pt>
                <c:pt idx="334">
                  <c:v>-334</c:v>
                </c:pt>
                <c:pt idx="335">
                  <c:v>-335</c:v>
                </c:pt>
                <c:pt idx="336">
                  <c:v>-336</c:v>
                </c:pt>
                <c:pt idx="337">
                  <c:v>-337</c:v>
                </c:pt>
                <c:pt idx="338">
                  <c:v>-338</c:v>
                </c:pt>
                <c:pt idx="339">
                  <c:v>-339</c:v>
                </c:pt>
                <c:pt idx="340">
                  <c:v>-340</c:v>
                </c:pt>
                <c:pt idx="341">
                  <c:v>-341</c:v>
                </c:pt>
                <c:pt idx="342">
                  <c:v>-342</c:v>
                </c:pt>
                <c:pt idx="343">
                  <c:v>-343</c:v>
                </c:pt>
                <c:pt idx="344">
                  <c:v>-344</c:v>
                </c:pt>
                <c:pt idx="345">
                  <c:v>-345</c:v>
                </c:pt>
                <c:pt idx="346">
                  <c:v>-346</c:v>
                </c:pt>
                <c:pt idx="347">
                  <c:v>-347</c:v>
                </c:pt>
                <c:pt idx="348">
                  <c:v>-348</c:v>
                </c:pt>
                <c:pt idx="349">
                  <c:v>-349</c:v>
                </c:pt>
                <c:pt idx="350">
                  <c:v>-350</c:v>
                </c:pt>
                <c:pt idx="351">
                  <c:v>-351</c:v>
                </c:pt>
                <c:pt idx="352">
                  <c:v>-352</c:v>
                </c:pt>
                <c:pt idx="353">
                  <c:v>-353</c:v>
                </c:pt>
                <c:pt idx="354">
                  <c:v>-354</c:v>
                </c:pt>
                <c:pt idx="355">
                  <c:v>-355</c:v>
                </c:pt>
                <c:pt idx="356">
                  <c:v>-356</c:v>
                </c:pt>
                <c:pt idx="357">
                  <c:v>-357</c:v>
                </c:pt>
                <c:pt idx="358">
                  <c:v>-358</c:v>
                </c:pt>
                <c:pt idx="359">
                  <c:v>-359</c:v>
                </c:pt>
                <c:pt idx="360">
                  <c:v>-360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DC7-4EF4-91DD-810F33130FCD}"/>
            </c:ext>
          </c:extLst>
        </c:ser>
        <c:ser>
          <c:idx val="0"/>
          <c:order val="1"/>
          <c:tx>
            <c:v>goal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7"/>
            <c:spPr>
              <a:solidFill>
                <a:schemeClr val="accent2">
                  <a:lumMod val="60000"/>
                  <a:lumOff val="40000"/>
                </a:schemeClr>
              </a:solidFill>
              <a:ln w="9525">
                <a:solidFill>
                  <a:schemeClr val="accent2">
                    <a:lumMod val="60000"/>
                    <a:lumOff val="40000"/>
                  </a:schemeClr>
                </a:solidFill>
              </a:ln>
              <a:effectLst/>
            </c:spPr>
          </c:marker>
          <c:xVal>
            <c:numRef>
              <c:f>'Cross Section Analysis'!$N$115</c:f>
              <c:numCache>
                <c:formatCode>0.00000</c:formatCode>
                <c:ptCount val="1"/>
                <c:pt idx="0">
                  <c:v>44.999999999137145</c:v>
                </c:pt>
              </c:numCache>
            </c:numRef>
          </c:xVal>
          <c:yVal>
            <c:numRef>
              <c:f>'Cross Section Analysis'!$F$53</c:f>
              <c:numCache>
                <c:formatCode>General</c:formatCode>
                <c:ptCount val="1"/>
                <c:pt idx="0">
                  <c:v>-69.287191286848213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DE-4471-8631-FA272A067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7131712"/>
        <c:axId val="1892693248"/>
      </c:scatterChart>
      <c:valAx>
        <c:axId val="1817131712"/>
        <c:scaling>
          <c:orientation val="minMax"/>
          <c:max val="36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 Angle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92693248"/>
        <c:crosses val="autoZero"/>
        <c:crossBetween val="midCat"/>
        <c:majorUnit val="36"/>
        <c:minorUnit val="6"/>
      </c:valAx>
      <c:valAx>
        <c:axId val="1892693248"/>
        <c:scaling>
          <c:orientation val="minMax"/>
          <c:max val="0"/>
          <c:min val="-3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NA</a:t>
                </a:r>
                <a:r>
                  <a:rPr lang="en-US" baseline="0"/>
                  <a:t> Angle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;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17131712"/>
        <c:crosses val="autoZero"/>
        <c:crossBetween val="midCat"/>
        <c:majorUnit val="36"/>
        <c:minorUnit val="6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38102</xdr:colOff>
      <xdr:row>1</xdr:row>
      <xdr:rowOff>19050</xdr:rowOff>
    </xdr:from>
    <xdr:to>
      <xdr:col>16</xdr:col>
      <xdr:colOff>581025</xdr:colOff>
      <xdr:row>34</xdr:row>
      <xdr:rowOff>142875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19051</xdr:colOff>
      <xdr:row>46</xdr:row>
      <xdr:rowOff>26362</xdr:rowOff>
    </xdr:from>
    <xdr:to>
      <xdr:col>16</xdr:col>
      <xdr:colOff>561975</xdr:colOff>
      <xdr:row>84</xdr:row>
      <xdr:rowOff>152400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</xdr:col>
      <xdr:colOff>25400</xdr:colOff>
      <xdr:row>116</xdr:row>
      <xdr:rowOff>152400</xdr:rowOff>
    </xdr:from>
    <xdr:to>
      <xdr:col>5</xdr:col>
      <xdr:colOff>698500</xdr:colOff>
      <xdr:row>119</xdr:row>
      <xdr:rowOff>168275</xdr:rowOff>
    </xdr:to>
    <xdr:sp macro="" textlink="">
      <xdr:nvSpPr>
        <xdr:cNvPr id="1025" name="CommandButton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774700</xdr:colOff>
          <xdr:row>121</xdr:row>
          <xdr:rowOff>63500</xdr:rowOff>
        </xdr:from>
        <xdr:to>
          <xdr:col>2</xdr:col>
          <xdr:colOff>889000</xdr:colOff>
          <xdr:row>126</xdr:row>
          <xdr:rowOff>50800</xdr:rowOff>
        </xdr:to>
        <xdr:sp macro="" textlink="">
          <xdr:nvSpPr>
            <xdr:cNvPr id="1027" name="Button 3" descr="Attempt to Find&#10;Interaction point for Goal&#10;(Form Button)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 to find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Interaction point for Goal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(Form Button)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15875</xdr:colOff>
      <xdr:row>127</xdr:row>
      <xdr:rowOff>69850</xdr:rowOff>
    </xdr:from>
    <xdr:to>
      <xdr:col>14</xdr:col>
      <xdr:colOff>571500</xdr:colOff>
      <xdr:row>170</xdr:row>
      <xdr:rowOff>123825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121</xdr:row>
          <xdr:rowOff>50800</xdr:rowOff>
        </xdr:from>
        <xdr:to>
          <xdr:col>5</xdr:col>
          <xdr:colOff>1155700</xdr:colOff>
          <xdr:row>126</xdr:row>
          <xdr:rowOff>50800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try to 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546100</xdr:colOff>
          <xdr:row>121</xdr:row>
          <xdr:rowOff>152400</xdr:rowOff>
        </xdr:from>
        <xdr:to>
          <xdr:col>13</xdr:col>
          <xdr:colOff>342900</xdr:colOff>
          <xdr:row>125</xdr:row>
          <xdr:rowOff>165100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Attemp a P-M curve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19050</xdr:colOff>
      <xdr:row>170</xdr:row>
      <xdr:rowOff>180975</xdr:rowOff>
    </xdr:from>
    <xdr:to>
      <xdr:col>14</xdr:col>
      <xdr:colOff>552450</xdr:colOff>
      <xdr:row>214</xdr:row>
      <xdr:rowOff>142875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9525</xdr:colOff>
      <xdr:row>215</xdr:row>
      <xdr:rowOff>38100</xdr:rowOff>
    </xdr:from>
    <xdr:to>
      <xdr:col>14</xdr:col>
      <xdr:colOff>565150</xdr:colOff>
      <xdr:row>259</xdr:row>
      <xdr:rowOff>6350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1F3883-D7DC-4528-8AF2-C728ADB69584}">
  <sheetPr codeName="Sheet1"/>
  <dimension ref="A1:Z490"/>
  <sheetViews>
    <sheetView tabSelected="1" topLeftCell="D123" zoomScaleNormal="100" workbookViewId="0">
      <selection activeCell="H120" sqref="H120"/>
    </sheetView>
  </sheetViews>
  <sheetFormatPr baseColWidth="10" defaultColWidth="8.83203125" defaultRowHeight="15" x14ac:dyDescent="0.2"/>
  <cols>
    <col min="1" max="1" width="16.5" customWidth="1"/>
    <col min="2" max="2" width="18.6640625" bestFit="1" customWidth="1"/>
    <col min="3" max="3" width="13.83203125" customWidth="1"/>
    <col min="4" max="4" width="10.6640625" customWidth="1"/>
    <col min="5" max="5" width="10.5" customWidth="1"/>
    <col min="6" max="6" width="19.83203125" customWidth="1"/>
    <col min="7" max="7" width="12.5" bestFit="1" customWidth="1"/>
    <col min="8" max="8" width="14.6640625" bestFit="1" customWidth="1"/>
    <col min="9" max="9" width="13.6640625" bestFit="1" customWidth="1"/>
    <col min="10" max="10" width="10.1640625" customWidth="1"/>
    <col min="11" max="11" width="11.6640625" customWidth="1"/>
    <col min="12" max="12" width="12.33203125" bestFit="1" customWidth="1"/>
    <col min="13" max="13" width="9.5" bestFit="1" customWidth="1"/>
    <col min="14" max="14" width="12.5" customWidth="1"/>
    <col min="16" max="16" width="12.33203125" bestFit="1" customWidth="1"/>
    <col min="17" max="19" width="9" bestFit="1" customWidth="1"/>
    <col min="21" max="21" width="9" bestFit="1" customWidth="1"/>
    <col min="22" max="22" width="11.83203125" customWidth="1"/>
    <col min="23" max="23" width="11.1640625" bestFit="1" customWidth="1"/>
    <col min="24" max="24" width="9" bestFit="1" customWidth="1"/>
    <col min="25" max="25" width="12.1640625" bestFit="1" customWidth="1"/>
    <col min="26" max="26" width="9" bestFit="1" customWidth="1"/>
  </cols>
  <sheetData>
    <row r="1" spans="1:8" x14ac:dyDescent="0.2">
      <c r="D1" t="s">
        <v>7</v>
      </c>
      <c r="G1" t="s">
        <v>14</v>
      </c>
    </row>
    <row r="2" spans="1:8" x14ac:dyDescent="0.2">
      <c r="A2" s="2" t="s">
        <v>4</v>
      </c>
      <c r="B2" s="36">
        <v>5</v>
      </c>
      <c r="C2" t="s">
        <v>5</v>
      </c>
      <c r="D2" s="1" t="s">
        <v>0</v>
      </c>
      <c r="E2" s="1" t="s">
        <v>1</v>
      </c>
      <c r="G2" t="s">
        <v>0</v>
      </c>
      <c r="H2" t="s">
        <v>1</v>
      </c>
    </row>
    <row r="3" spans="1:8" x14ac:dyDescent="0.2">
      <c r="A3" s="2" t="s">
        <v>13</v>
      </c>
      <c r="B3" s="3">
        <f>(POWER(145,1.5)*33*SQRT(1000*B2))/1000</f>
        <v>4074.2806880478911</v>
      </c>
      <c r="C3" t="s">
        <v>5</v>
      </c>
      <c r="D3" s="5">
        <v>0</v>
      </c>
      <c r="E3" s="5">
        <v>0</v>
      </c>
      <c r="G3" s="6">
        <f>MAX(MAX(D3:D7),MAX(E3:E7))+1</f>
        <v>31</v>
      </c>
      <c r="H3" s="6">
        <f>G3</f>
        <v>31</v>
      </c>
    </row>
    <row r="4" spans="1:8" x14ac:dyDescent="0.2">
      <c r="A4" s="2" t="s">
        <v>35</v>
      </c>
      <c r="B4" s="1">
        <f>IF(B2&lt;=4,0.85,IF(B2&lt;=8,0.85 - ((0.05*(B2-4))/1),0.65))</f>
        <v>0.79999999999999993</v>
      </c>
      <c r="D4" s="5">
        <f>B5</f>
        <v>20</v>
      </c>
      <c r="E4" s="5">
        <v>0</v>
      </c>
      <c r="G4">
        <v>-1</v>
      </c>
      <c r="H4">
        <v>-1</v>
      </c>
    </row>
    <row r="5" spans="1:8" x14ac:dyDescent="0.2">
      <c r="A5" s="2" t="s">
        <v>2</v>
      </c>
      <c r="B5" s="36">
        <v>20</v>
      </c>
      <c r="C5" t="s">
        <v>6</v>
      </c>
      <c r="D5" s="5">
        <f>B5</f>
        <v>20</v>
      </c>
      <c r="E5" s="5">
        <f>B6</f>
        <v>30</v>
      </c>
      <c r="G5" t="s">
        <v>33</v>
      </c>
    </row>
    <row r="6" spans="1:8" x14ac:dyDescent="0.2">
      <c r="A6" s="2" t="s">
        <v>3</v>
      </c>
      <c r="B6" s="36">
        <v>30</v>
      </c>
      <c r="C6" t="s">
        <v>6</v>
      </c>
      <c r="D6" s="5">
        <v>0</v>
      </c>
      <c r="E6" s="5">
        <f>B6</f>
        <v>30</v>
      </c>
      <c r="G6" t="s">
        <v>0</v>
      </c>
      <c r="H6" t="s">
        <v>1</v>
      </c>
    </row>
    <row r="7" spans="1:8" x14ac:dyDescent="0.2">
      <c r="D7" s="5">
        <v>0</v>
      </c>
      <c r="E7" s="5">
        <v>0</v>
      </c>
      <c r="G7">
        <f>B5/2</f>
        <v>10</v>
      </c>
      <c r="H7">
        <f>B6/2</f>
        <v>15</v>
      </c>
    </row>
    <row r="9" spans="1:8" x14ac:dyDescent="0.2">
      <c r="A9" t="s">
        <v>8</v>
      </c>
    </row>
    <row r="10" spans="1:8" x14ac:dyDescent="0.2">
      <c r="A10" t="s">
        <v>9</v>
      </c>
      <c r="B10" s="36">
        <v>60</v>
      </c>
      <c r="C10" t="s">
        <v>5</v>
      </c>
      <c r="F10" s="27" t="s">
        <v>88</v>
      </c>
    </row>
    <row r="11" spans="1:8" x14ac:dyDescent="0.2">
      <c r="A11" t="s">
        <v>12</v>
      </c>
      <c r="B11" s="3">
        <v>30000</v>
      </c>
      <c r="C11" t="s">
        <v>5</v>
      </c>
      <c r="F11" s="27" t="s">
        <v>89</v>
      </c>
    </row>
    <row r="12" spans="1:8" x14ac:dyDescent="0.2">
      <c r="B12" s="1" t="s">
        <v>10</v>
      </c>
      <c r="C12" t="s">
        <v>11</v>
      </c>
      <c r="D12" s="1" t="s">
        <v>0</v>
      </c>
      <c r="E12" s="1" t="s">
        <v>1</v>
      </c>
      <c r="F12" s="27" t="s">
        <v>90</v>
      </c>
    </row>
    <row r="13" spans="1:8" x14ac:dyDescent="0.2">
      <c r="A13">
        <v>1</v>
      </c>
      <c r="B13" s="35">
        <v>10</v>
      </c>
      <c r="C13" s="4">
        <f ca="1">OFFSET(Reference!A$1,MATCH('Cross Section Analysis'!B13,Reference!A$1:A$12,0)-1,2)</f>
        <v>1.27</v>
      </c>
      <c r="D13" s="36">
        <v>4</v>
      </c>
      <c r="E13" s="36">
        <v>4</v>
      </c>
      <c r="F13" s="27" t="s">
        <v>91</v>
      </c>
    </row>
    <row r="14" spans="1:8" x14ac:dyDescent="0.2">
      <c r="A14">
        <v>2</v>
      </c>
      <c r="B14" s="35">
        <v>10</v>
      </c>
      <c r="C14" s="4">
        <f ca="1">OFFSET(Reference!A$1,MATCH('Cross Section Analysis'!B14,Reference!A$1:A$12,0)-1,2)</f>
        <v>1.27</v>
      </c>
      <c r="D14" s="36">
        <v>16</v>
      </c>
      <c r="E14" s="36">
        <v>4</v>
      </c>
      <c r="F14" s="27" t="s">
        <v>92</v>
      </c>
    </row>
    <row r="15" spans="1:8" x14ac:dyDescent="0.2">
      <c r="A15">
        <v>3</v>
      </c>
      <c r="B15" s="35">
        <v>10</v>
      </c>
      <c r="C15" s="4">
        <f ca="1">OFFSET(Reference!A$1,MATCH('Cross Section Analysis'!B15,Reference!A$1:A$12,0)-1,2)</f>
        <v>1.27</v>
      </c>
      <c r="D15" s="36">
        <v>4</v>
      </c>
      <c r="E15" s="36">
        <v>26</v>
      </c>
    </row>
    <row r="16" spans="1:8" x14ac:dyDescent="0.2">
      <c r="A16">
        <v>4</v>
      </c>
      <c r="B16" s="35">
        <v>10</v>
      </c>
      <c r="C16" s="4">
        <f ca="1">OFFSET(Reference!A$1,MATCH('Cross Section Analysis'!B16,Reference!A$1:A$12,0)-1,2)</f>
        <v>1.27</v>
      </c>
      <c r="D16" s="36">
        <v>10</v>
      </c>
      <c r="E16" s="36">
        <v>26</v>
      </c>
    </row>
    <row r="17" spans="1:5" x14ac:dyDescent="0.2">
      <c r="A17">
        <v>5</v>
      </c>
      <c r="B17" s="35">
        <v>10</v>
      </c>
      <c r="C17" s="4">
        <f ca="1">OFFSET(Reference!A$1,MATCH('Cross Section Analysis'!B17,Reference!A$1:A$12,0)-1,2)</f>
        <v>1.27</v>
      </c>
      <c r="D17" s="36">
        <v>16</v>
      </c>
      <c r="E17" s="36">
        <v>26</v>
      </c>
    </row>
    <row r="18" spans="1:5" x14ac:dyDescent="0.2">
      <c r="A18">
        <v>6</v>
      </c>
      <c r="B18" s="35">
        <v>0</v>
      </c>
      <c r="C18" s="4">
        <f ca="1">OFFSET(Reference!A$1,MATCH('Cross Section Analysis'!B18,Reference!A$1:A$12,0)-1,2)</f>
        <v>0</v>
      </c>
      <c r="D18" s="36">
        <v>0</v>
      </c>
      <c r="E18" s="36">
        <v>0</v>
      </c>
    </row>
    <row r="19" spans="1:5" x14ac:dyDescent="0.2">
      <c r="A19">
        <v>7</v>
      </c>
      <c r="B19" s="35">
        <v>0</v>
      </c>
      <c r="C19" s="4">
        <f ca="1">OFFSET(Reference!A$1,MATCH('Cross Section Analysis'!B19,Reference!A$1:A$12,0)-1,2)</f>
        <v>0</v>
      </c>
      <c r="D19" s="36">
        <v>0</v>
      </c>
      <c r="E19" s="36">
        <v>0</v>
      </c>
    </row>
    <row r="20" spans="1:5" x14ac:dyDescent="0.2">
      <c r="A20">
        <v>8</v>
      </c>
      <c r="B20" s="35">
        <v>0</v>
      </c>
      <c r="C20" s="4">
        <f ca="1">OFFSET(Reference!A$1,MATCH('Cross Section Analysis'!B20,Reference!A$1:A$12,0)-1,2)</f>
        <v>0</v>
      </c>
      <c r="D20" s="36">
        <v>0</v>
      </c>
      <c r="E20" s="36">
        <v>0</v>
      </c>
    </row>
    <row r="21" spans="1:5" x14ac:dyDescent="0.2">
      <c r="A21">
        <v>9</v>
      </c>
      <c r="B21" s="35">
        <v>0</v>
      </c>
      <c r="C21" s="4">
        <f ca="1">OFFSET(Reference!A$1,MATCH('Cross Section Analysis'!B21,Reference!A$1:A$12,0)-1,2)</f>
        <v>0</v>
      </c>
      <c r="D21" s="36">
        <v>0</v>
      </c>
      <c r="E21" s="36">
        <v>0</v>
      </c>
    </row>
    <row r="22" spans="1:5" x14ac:dyDescent="0.2">
      <c r="A22">
        <v>10</v>
      </c>
      <c r="B22" s="35">
        <v>0</v>
      </c>
      <c r="C22" s="4">
        <f ca="1">OFFSET(Reference!A$1,MATCH('Cross Section Analysis'!B22,Reference!A$1:A$12,0)-1,2)</f>
        <v>0</v>
      </c>
      <c r="D22" s="36">
        <v>0</v>
      </c>
      <c r="E22" s="36">
        <v>0</v>
      </c>
    </row>
    <row r="23" spans="1:5" x14ac:dyDescent="0.2">
      <c r="A23">
        <v>11</v>
      </c>
      <c r="B23" s="35">
        <v>0</v>
      </c>
      <c r="C23" s="4">
        <f ca="1">OFFSET(Reference!A$1,MATCH('Cross Section Analysis'!B23,Reference!A$1:A$12,0)-1,2)</f>
        <v>0</v>
      </c>
      <c r="D23" s="36">
        <v>0</v>
      </c>
      <c r="E23" s="36">
        <v>0</v>
      </c>
    </row>
    <row r="24" spans="1:5" x14ac:dyDescent="0.2">
      <c r="A24">
        <v>12</v>
      </c>
      <c r="B24" s="35">
        <v>0</v>
      </c>
      <c r="C24" s="4">
        <f ca="1">OFFSET(Reference!A$1,MATCH('Cross Section Analysis'!B24,Reference!A$1:A$12,0)-1,2)</f>
        <v>0</v>
      </c>
      <c r="D24" s="36">
        <v>0</v>
      </c>
      <c r="E24" s="36">
        <v>0</v>
      </c>
    </row>
    <row r="26" spans="1:5" x14ac:dyDescent="0.2">
      <c r="A26" s="26" t="s">
        <v>15</v>
      </c>
    </row>
    <row r="27" spans="1:5" x14ac:dyDescent="0.2">
      <c r="A27" s="2" t="s">
        <v>16</v>
      </c>
    </row>
    <row r="28" spans="1:5" x14ac:dyDescent="0.2">
      <c r="A28" s="2" t="s">
        <v>17</v>
      </c>
      <c r="B28">
        <f>B5*B6</f>
        <v>600</v>
      </c>
      <c r="C28" t="s">
        <v>18</v>
      </c>
      <c r="D28">
        <v>1</v>
      </c>
    </row>
    <row r="29" spans="1:5" x14ac:dyDescent="0.2">
      <c r="A29" s="2" t="s">
        <v>19</v>
      </c>
      <c r="B29">
        <f>B28*B2*D28</f>
        <v>3000</v>
      </c>
      <c r="C29" t="s">
        <v>20</v>
      </c>
    </row>
    <row r="30" spans="1:5" x14ac:dyDescent="0.2">
      <c r="A30" s="2" t="s">
        <v>21</v>
      </c>
      <c r="B30">
        <f>B29*(B6/2)</f>
        <v>45000</v>
      </c>
      <c r="C30" t="s">
        <v>23</v>
      </c>
    </row>
    <row r="31" spans="1:5" x14ac:dyDescent="0.2">
      <c r="A31" s="2" t="s">
        <v>22</v>
      </c>
      <c r="B31">
        <f>B29*(B5/2)</f>
        <v>30000</v>
      </c>
      <c r="C31" t="s">
        <v>23</v>
      </c>
    </row>
    <row r="33" spans="1:6" x14ac:dyDescent="0.2">
      <c r="A33" s="2" t="s">
        <v>24</v>
      </c>
      <c r="C33" s="1" t="s">
        <v>71</v>
      </c>
      <c r="D33" s="1" t="s">
        <v>25</v>
      </c>
      <c r="E33" s="1" t="s">
        <v>26</v>
      </c>
      <c r="F33" s="1" t="s">
        <v>27</v>
      </c>
    </row>
    <row r="34" spans="1:6" x14ac:dyDescent="0.2">
      <c r="A34">
        <f>A13</f>
        <v>1</v>
      </c>
      <c r="B34" s="7">
        <f ca="1">C13</f>
        <v>1.27</v>
      </c>
      <c r="C34" s="6">
        <f>($B$10-($B$2*$D$28))</f>
        <v>55</v>
      </c>
      <c r="D34" s="6">
        <f ca="1">B34*C34</f>
        <v>69.849999999999994</v>
      </c>
      <c r="E34" s="6">
        <f ca="1">D34*E13</f>
        <v>279.39999999999998</v>
      </c>
      <c r="F34" s="6">
        <f ca="1">D34*D13</f>
        <v>279.39999999999998</v>
      </c>
    </row>
    <row r="35" spans="1:6" x14ac:dyDescent="0.2">
      <c r="A35">
        <f t="shared" ref="A35:A45" si="0">A14</f>
        <v>2</v>
      </c>
      <c r="B35" s="7">
        <f t="shared" ref="B35:B45" ca="1" si="1">C14</f>
        <v>1.27</v>
      </c>
      <c r="C35" s="6">
        <f t="shared" ref="C35:C45" si="2">($B$10-($B$2*$D$28))</f>
        <v>55</v>
      </c>
      <c r="D35" s="6">
        <f t="shared" ref="D35:D45" ca="1" si="3">B35*C35</f>
        <v>69.849999999999994</v>
      </c>
      <c r="E35" s="6">
        <f t="shared" ref="E35:E45" ca="1" si="4">D35*E14</f>
        <v>279.39999999999998</v>
      </c>
      <c r="F35" s="6">
        <f t="shared" ref="F35:F45" ca="1" si="5">D35*D14</f>
        <v>1117.5999999999999</v>
      </c>
    </row>
    <row r="36" spans="1:6" x14ac:dyDescent="0.2">
      <c r="A36">
        <f t="shared" si="0"/>
        <v>3</v>
      </c>
      <c r="B36" s="7">
        <f t="shared" ca="1" si="1"/>
        <v>1.27</v>
      </c>
      <c r="C36" s="6">
        <f t="shared" si="2"/>
        <v>55</v>
      </c>
      <c r="D36" s="6">
        <f t="shared" ca="1" si="3"/>
        <v>69.849999999999994</v>
      </c>
      <c r="E36" s="6">
        <f t="shared" ca="1" si="4"/>
        <v>1816.1</v>
      </c>
      <c r="F36" s="6">
        <f t="shared" ca="1" si="5"/>
        <v>279.39999999999998</v>
      </c>
    </row>
    <row r="37" spans="1:6" x14ac:dyDescent="0.2">
      <c r="A37">
        <f t="shared" si="0"/>
        <v>4</v>
      </c>
      <c r="B37" s="7">
        <f t="shared" ca="1" si="1"/>
        <v>1.27</v>
      </c>
      <c r="C37" s="6">
        <f t="shared" si="2"/>
        <v>55</v>
      </c>
      <c r="D37" s="6">
        <f t="shared" ca="1" si="3"/>
        <v>69.849999999999994</v>
      </c>
      <c r="E37" s="6">
        <f t="shared" ca="1" si="4"/>
        <v>1816.1</v>
      </c>
      <c r="F37" s="6">
        <f t="shared" ca="1" si="5"/>
        <v>698.5</v>
      </c>
    </row>
    <row r="38" spans="1:6" x14ac:dyDescent="0.2">
      <c r="A38">
        <f t="shared" si="0"/>
        <v>5</v>
      </c>
      <c r="B38" s="7">
        <f t="shared" ca="1" si="1"/>
        <v>1.27</v>
      </c>
      <c r="C38" s="6">
        <f t="shared" si="2"/>
        <v>55</v>
      </c>
      <c r="D38" s="6">
        <f t="shared" ca="1" si="3"/>
        <v>69.849999999999994</v>
      </c>
      <c r="E38" s="6">
        <f t="shared" ca="1" si="4"/>
        <v>1816.1</v>
      </c>
      <c r="F38" s="6">
        <f t="shared" ca="1" si="5"/>
        <v>1117.5999999999999</v>
      </c>
    </row>
    <row r="39" spans="1:6" x14ac:dyDescent="0.2">
      <c r="A39">
        <f t="shared" si="0"/>
        <v>6</v>
      </c>
      <c r="B39" s="7">
        <f t="shared" ca="1" si="1"/>
        <v>0</v>
      </c>
      <c r="C39" s="6">
        <f t="shared" si="2"/>
        <v>55</v>
      </c>
      <c r="D39" s="6">
        <f t="shared" ca="1" si="3"/>
        <v>0</v>
      </c>
      <c r="E39" s="6">
        <f t="shared" ca="1" si="4"/>
        <v>0</v>
      </c>
      <c r="F39" s="6">
        <f t="shared" ca="1" si="5"/>
        <v>0</v>
      </c>
    </row>
    <row r="40" spans="1:6" x14ac:dyDescent="0.2">
      <c r="A40">
        <f t="shared" si="0"/>
        <v>7</v>
      </c>
      <c r="B40" s="7">
        <f t="shared" ca="1" si="1"/>
        <v>0</v>
      </c>
      <c r="C40" s="6">
        <f t="shared" si="2"/>
        <v>55</v>
      </c>
      <c r="D40" s="6">
        <f t="shared" ca="1" si="3"/>
        <v>0</v>
      </c>
      <c r="E40" s="6">
        <f ca="1">D40*E19</f>
        <v>0</v>
      </c>
      <c r="F40" s="6">
        <f t="shared" ca="1" si="5"/>
        <v>0</v>
      </c>
    </row>
    <row r="41" spans="1:6" x14ac:dyDescent="0.2">
      <c r="A41">
        <f t="shared" si="0"/>
        <v>8</v>
      </c>
      <c r="B41" s="7">
        <f t="shared" ca="1" si="1"/>
        <v>0</v>
      </c>
      <c r="C41" s="6">
        <f t="shared" si="2"/>
        <v>55</v>
      </c>
      <c r="D41" s="6">
        <f t="shared" ca="1" si="3"/>
        <v>0</v>
      </c>
      <c r="E41" s="6">
        <f t="shared" ca="1" si="4"/>
        <v>0</v>
      </c>
      <c r="F41" s="6">
        <f t="shared" ca="1" si="5"/>
        <v>0</v>
      </c>
    </row>
    <row r="42" spans="1:6" x14ac:dyDescent="0.2">
      <c r="A42">
        <f t="shared" si="0"/>
        <v>9</v>
      </c>
      <c r="B42" s="7">
        <f t="shared" ca="1" si="1"/>
        <v>0</v>
      </c>
      <c r="C42" s="6">
        <f t="shared" si="2"/>
        <v>55</v>
      </c>
      <c r="D42" s="6">
        <f t="shared" ca="1" si="3"/>
        <v>0</v>
      </c>
      <c r="E42" s="6">
        <f t="shared" ca="1" si="4"/>
        <v>0</v>
      </c>
      <c r="F42" s="6">
        <f t="shared" ca="1" si="5"/>
        <v>0</v>
      </c>
    </row>
    <row r="43" spans="1:6" x14ac:dyDescent="0.2">
      <c r="A43">
        <f t="shared" si="0"/>
        <v>10</v>
      </c>
      <c r="B43" s="7">
        <f t="shared" ca="1" si="1"/>
        <v>0</v>
      </c>
      <c r="C43" s="6">
        <f t="shared" si="2"/>
        <v>55</v>
      </c>
      <c r="D43" s="6">
        <f t="shared" ca="1" si="3"/>
        <v>0</v>
      </c>
      <c r="E43" s="6">
        <f t="shared" ca="1" si="4"/>
        <v>0</v>
      </c>
      <c r="F43" s="6">
        <f t="shared" ca="1" si="5"/>
        <v>0</v>
      </c>
    </row>
    <row r="44" spans="1:6" x14ac:dyDescent="0.2">
      <c r="A44">
        <f t="shared" si="0"/>
        <v>11</v>
      </c>
      <c r="B44" s="7">
        <f t="shared" ca="1" si="1"/>
        <v>0</v>
      </c>
      <c r="C44" s="6">
        <f t="shared" si="2"/>
        <v>55</v>
      </c>
      <c r="D44" s="6">
        <f t="shared" ca="1" si="3"/>
        <v>0</v>
      </c>
      <c r="E44" s="6">
        <f t="shared" ca="1" si="4"/>
        <v>0</v>
      </c>
      <c r="F44" s="6">
        <f t="shared" ca="1" si="5"/>
        <v>0</v>
      </c>
    </row>
    <row r="45" spans="1:6" ht="16" thickBot="1" x14ac:dyDescent="0.25">
      <c r="A45">
        <f t="shared" si="0"/>
        <v>12</v>
      </c>
      <c r="B45" s="7">
        <f t="shared" ca="1" si="1"/>
        <v>0</v>
      </c>
      <c r="C45" s="6">
        <f t="shared" si="2"/>
        <v>55</v>
      </c>
      <c r="D45" s="25">
        <f t="shared" ca="1" si="3"/>
        <v>0</v>
      </c>
      <c r="E45" s="25">
        <f t="shared" ca="1" si="4"/>
        <v>0</v>
      </c>
      <c r="F45" s="25">
        <f t="shared" ca="1" si="5"/>
        <v>0</v>
      </c>
    </row>
    <row r="46" spans="1:6" ht="16" thickTop="1" x14ac:dyDescent="0.2">
      <c r="C46" s="6"/>
      <c r="D46" s="6">
        <f ca="1">SUM(D34:D45)</f>
        <v>349.25</v>
      </c>
      <c r="E46" s="6">
        <f t="shared" ref="E46:F46" ca="1" si="6">SUM(E34:E45)</f>
        <v>6007.1</v>
      </c>
      <c r="F46" s="6">
        <f t="shared" ca="1" si="6"/>
        <v>3492.5</v>
      </c>
    </row>
    <row r="48" spans="1:6" x14ac:dyDescent="0.2">
      <c r="A48" s="2" t="s">
        <v>28</v>
      </c>
      <c r="B48" s="6">
        <f ca="1">B29+D46</f>
        <v>3349.25</v>
      </c>
      <c r="D48" t="s">
        <v>31</v>
      </c>
      <c r="E48" t="s">
        <v>32</v>
      </c>
    </row>
    <row r="49" spans="1:21" x14ac:dyDescent="0.2">
      <c r="A49" s="2" t="s">
        <v>29</v>
      </c>
      <c r="B49" s="6">
        <f ca="1">E46+B30</f>
        <v>51007.1</v>
      </c>
      <c r="D49" s="1">
        <f ca="1">B50/B48</f>
        <v>10</v>
      </c>
      <c r="E49" s="4">
        <f ca="1">B49/B48</f>
        <v>15.229409569306561</v>
      </c>
    </row>
    <row r="50" spans="1:21" x14ac:dyDescent="0.2">
      <c r="A50" s="2" t="s">
        <v>30</v>
      </c>
      <c r="B50" s="6">
        <f ca="1">F46+B31</f>
        <v>33492.5</v>
      </c>
    </row>
    <row r="52" spans="1:21" x14ac:dyDescent="0.2">
      <c r="A52" s="27" t="s">
        <v>34</v>
      </c>
    </row>
    <row r="53" spans="1:21" x14ac:dyDescent="0.2">
      <c r="A53" s="2" t="s">
        <v>36</v>
      </c>
      <c r="B53" s="34">
        <v>290.71280871315179</v>
      </c>
      <c r="C53" t="s">
        <v>39</v>
      </c>
      <c r="F53">
        <f>B53-360</f>
        <v>-69.287191286848213</v>
      </c>
    </row>
    <row r="55" spans="1:21" x14ac:dyDescent="0.2">
      <c r="A55" s="2" t="s">
        <v>16</v>
      </c>
    </row>
    <row r="56" spans="1:21" x14ac:dyDescent="0.2">
      <c r="A56" s="1" t="s">
        <v>0</v>
      </c>
      <c r="B56" s="1" t="s">
        <v>1</v>
      </c>
      <c r="C56" s="1" t="s">
        <v>37</v>
      </c>
      <c r="D56" s="1" t="s">
        <v>38</v>
      </c>
    </row>
    <row r="57" spans="1:21" x14ac:dyDescent="0.2">
      <c r="A57" s="6">
        <f ca="1">D3-$D$49</f>
        <v>-10</v>
      </c>
      <c r="B57" s="7">
        <f ca="1">E3-$E$49</f>
        <v>-15.229409569306561</v>
      </c>
      <c r="C57" s="4">
        <f ca="1">A57*COS(RADIANS(-1*$B$53))+B57*SIN(RADIANS(-1*$B$53))</f>
        <v>-17.781896052715631</v>
      </c>
      <c r="D57" s="4">
        <f ca="1">-1*A57*SIN(RADIANS(-1*$B$53))+B57*COS(RADIANS(-1*$B$53))</f>
        <v>3.9672520212487816</v>
      </c>
      <c r="F57" t="s">
        <v>40</v>
      </c>
      <c r="G57">
        <f ca="1">MAX(D57:D61)-MIN(D57:D61)</f>
        <v>29.317818455358889</v>
      </c>
      <c r="H57" t="s">
        <v>6</v>
      </c>
      <c r="T57" t="s">
        <v>82</v>
      </c>
    </row>
    <row r="58" spans="1:21" x14ac:dyDescent="0.2">
      <c r="A58" s="6">
        <f ca="1">D4-$D$49</f>
        <v>10</v>
      </c>
      <c r="B58" s="7">
        <f t="shared" ref="B58:B61" ca="1" si="7">E4-$E$49</f>
        <v>-15.229409569306561</v>
      </c>
      <c r="C58" s="4">
        <f t="shared" ref="C58:C61" ca="1" si="8">A58*COS(RADIANS(-1*$B$53))+B58*SIN(RADIANS(-1*$B$53))</f>
        <v>-10.708216904654174</v>
      </c>
      <c r="D58" s="4">
        <f t="shared" ref="D58:D61" ca="1" si="9">-1*A58*SIN(RADIANS(-1*$B$53))+B58*COS(RADIANS(-1*$B$53))</f>
        <v>-14.740047712017923</v>
      </c>
      <c r="F58" t="s">
        <v>62</v>
      </c>
      <c r="G58" s="7">
        <f ca="1">MAX(D57:D61)</f>
        <v>14.577770743340965</v>
      </c>
      <c r="T58" t="s">
        <v>0</v>
      </c>
      <c r="U58" t="s">
        <v>1</v>
      </c>
    </row>
    <row r="59" spans="1:21" x14ac:dyDescent="0.2">
      <c r="A59" s="6">
        <f ca="1">D5-$D$49</f>
        <v>10</v>
      </c>
      <c r="B59" s="7">
        <f t="shared" ca="1" si="7"/>
        <v>14.770590430693439</v>
      </c>
      <c r="C59" s="4">
        <f t="shared" ca="1" si="8"/>
        <v>17.352732695245884</v>
      </c>
      <c r="D59" s="4">
        <f t="shared" ca="1" si="9"/>
        <v>-4.1295289899257401</v>
      </c>
      <c r="T59">
        <f ca="1">MAX(MAX(C57:C61),MAX(D57:D61))</f>
        <v>17.352732695245884</v>
      </c>
      <c r="U59">
        <f ca="1">T59</f>
        <v>17.352732695245884</v>
      </c>
    </row>
    <row r="60" spans="1:21" x14ac:dyDescent="0.2">
      <c r="A60" s="6">
        <f ca="1">D6-$D$49</f>
        <v>-10</v>
      </c>
      <c r="B60" s="7">
        <f t="shared" ca="1" si="7"/>
        <v>14.770590430693439</v>
      </c>
      <c r="C60" s="4">
        <f t="shared" ca="1" si="8"/>
        <v>10.279053547184427</v>
      </c>
      <c r="D60" s="4">
        <f t="shared" ca="1" si="9"/>
        <v>14.577770743340965</v>
      </c>
      <c r="T60">
        <f ca="1">-1*T59</f>
        <v>-17.352732695245884</v>
      </c>
      <c r="U60">
        <f ca="1">-1*U59</f>
        <v>-17.352732695245884</v>
      </c>
    </row>
    <row r="61" spans="1:21" x14ac:dyDescent="0.2">
      <c r="A61" s="6">
        <f ca="1">D7-$D$49</f>
        <v>-10</v>
      </c>
      <c r="B61" s="7">
        <f t="shared" ca="1" si="7"/>
        <v>-15.229409569306561</v>
      </c>
      <c r="C61" s="4">
        <f t="shared" ca="1" si="8"/>
        <v>-17.781896052715631</v>
      </c>
      <c r="D61" s="4">
        <f t="shared" ca="1" si="9"/>
        <v>3.9672520212487816</v>
      </c>
    </row>
    <row r="62" spans="1:21" x14ac:dyDescent="0.2">
      <c r="A62" s="6"/>
    </row>
    <row r="63" spans="1:21" x14ac:dyDescent="0.2">
      <c r="A63" s="28" t="s">
        <v>24</v>
      </c>
      <c r="F63" s="1" t="s">
        <v>37</v>
      </c>
      <c r="G63" s="1" t="s">
        <v>38</v>
      </c>
    </row>
    <row r="64" spans="1:21" x14ac:dyDescent="0.2">
      <c r="A64" s="8">
        <f t="shared" ref="A64:C75" si="10">A13</f>
        <v>1</v>
      </c>
      <c r="B64" s="6">
        <f t="shared" si="10"/>
        <v>10</v>
      </c>
      <c r="C64" s="6">
        <f t="shared" ca="1" si="10"/>
        <v>1.27</v>
      </c>
      <c r="D64" s="6">
        <f ca="1">D13-$D$49</f>
        <v>-6</v>
      </c>
      <c r="E64" s="6">
        <f ca="1">E13-$E$49</f>
        <v>-11.229409569306561</v>
      </c>
      <c r="F64" s="4">
        <f ca="1">IF(C64&gt;0,D64*COS(RADIANS(-1*$B$53))+E64*SIN(RADIANS(-1*$B$53)),0)</f>
        <v>-12.625700276449997</v>
      </c>
      <c r="G64" s="4">
        <f ca="1">IF(C64&gt;0,-1*D64*SIN(RADIANS(-1*$B$53))+E64*COS(RADIANS(-1*$B$53)),0)</f>
        <v>1.6405279042077314</v>
      </c>
    </row>
    <row r="65" spans="1:7" x14ac:dyDescent="0.2">
      <c r="A65" s="8">
        <f t="shared" si="10"/>
        <v>2</v>
      </c>
      <c r="B65" s="6">
        <f t="shared" si="10"/>
        <v>10</v>
      </c>
      <c r="C65" s="6">
        <f t="shared" ca="1" si="10"/>
        <v>1.27</v>
      </c>
      <c r="D65" s="6">
        <f t="shared" ref="D65:D75" ca="1" si="11">D14-$D$49</f>
        <v>6</v>
      </c>
      <c r="E65" s="6">
        <f t="shared" ref="E65:E75" ca="1" si="12">E14-$E$49</f>
        <v>-11.229409569306561</v>
      </c>
      <c r="F65" s="4">
        <f t="shared" ref="F65:F75" ca="1" si="13">IF(C65&gt;0,D65*COS(RADIANS(-1*$B$53))+E65*SIN(RADIANS(-1*$B$53)),0)</f>
        <v>-8.3814927876131229</v>
      </c>
      <c r="G65" s="4">
        <f t="shared" ref="G65:G75" ca="1" si="14">IF(C65&gt;0,-1*D65*SIN(RADIANS(-1*$B$53))+E65*COS(RADIANS(-1*$B$53)),0)</f>
        <v>-9.5838519357522909</v>
      </c>
    </row>
    <row r="66" spans="1:7" x14ac:dyDescent="0.2">
      <c r="A66" s="8">
        <f t="shared" si="10"/>
        <v>3</v>
      </c>
      <c r="B66" s="6">
        <f t="shared" si="10"/>
        <v>10</v>
      </c>
      <c r="C66" s="6">
        <f t="shared" ca="1" si="10"/>
        <v>1.27</v>
      </c>
      <c r="D66" s="6">
        <f t="shared" ca="1" si="11"/>
        <v>-6</v>
      </c>
      <c r="E66" s="6">
        <f t="shared" ca="1" si="12"/>
        <v>10.770590430693439</v>
      </c>
      <c r="F66" s="4">
        <f t="shared" ca="1" si="13"/>
        <v>7.9523294301433776</v>
      </c>
      <c r="G66" s="4">
        <f t="shared" ca="1" si="14"/>
        <v>9.4215749670753333</v>
      </c>
    </row>
    <row r="67" spans="1:7" x14ac:dyDescent="0.2">
      <c r="A67" s="8">
        <f t="shared" si="10"/>
        <v>4</v>
      </c>
      <c r="B67" s="6">
        <f t="shared" si="10"/>
        <v>10</v>
      </c>
      <c r="C67" s="6">
        <f t="shared" ca="1" si="10"/>
        <v>1.27</v>
      </c>
      <c r="D67" s="6">
        <f t="shared" ca="1" si="11"/>
        <v>0</v>
      </c>
      <c r="E67" s="6">
        <f t="shared" ca="1" si="12"/>
        <v>10.770590430693439</v>
      </c>
      <c r="F67" s="4">
        <f t="shared" ca="1" si="13"/>
        <v>10.074433174561815</v>
      </c>
      <c r="G67" s="4">
        <f t="shared" ca="1" si="14"/>
        <v>3.8093850470953217</v>
      </c>
    </row>
    <row r="68" spans="1:7" x14ac:dyDescent="0.2">
      <c r="A68" s="8">
        <f t="shared" si="10"/>
        <v>5</v>
      </c>
      <c r="B68" s="6">
        <f t="shared" si="10"/>
        <v>10</v>
      </c>
      <c r="C68" s="6">
        <f t="shared" ca="1" si="10"/>
        <v>1.27</v>
      </c>
      <c r="D68" s="6">
        <f t="shared" ca="1" si="11"/>
        <v>6</v>
      </c>
      <c r="E68" s="6">
        <f t="shared" ca="1" si="12"/>
        <v>10.770590430693439</v>
      </c>
      <c r="F68" s="4">
        <f t="shared" ca="1" si="13"/>
        <v>12.196536918980252</v>
      </c>
      <c r="G68" s="4">
        <f t="shared" ca="1" si="14"/>
        <v>-1.8028048728846895</v>
      </c>
    </row>
    <row r="69" spans="1:7" x14ac:dyDescent="0.2">
      <c r="A69" s="8">
        <f t="shared" si="10"/>
        <v>6</v>
      </c>
      <c r="B69" s="6">
        <f t="shared" si="10"/>
        <v>0</v>
      </c>
      <c r="C69" s="6">
        <f t="shared" ca="1" si="10"/>
        <v>0</v>
      </c>
      <c r="D69" s="6">
        <f t="shared" ca="1" si="11"/>
        <v>-10</v>
      </c>
      <c r="E69" s="6">
        <f t="shared" ca="1" si="12"/>
        <v>-15.229409569306561</v>
      </c>
      <c r="F69" s="4">
        <f t="shared" ca="1" si="13"/>
        <v>0</v>
      </c>
      <c r="G69" s="4">
        <f t="shared" ca="1" si="14"/>
        <v>0</v>
      </c>
    </row>
    <row r="70" spans="1:7" x14ac:dyDescent="0.2">
      <c r="A70" s="8">
        <f t="shared" si="10"/>
        <v>7</v>
      </c>
      <c r="B70" s="6">
        <f t="shared" si="10"/>
        <v>0</v>
      </c>
      <c r="C70" s="6">
        <f t="shared" ca="1" si="10"/>
        <v>0</v>
      </c>
      <c r="D70" s="6">
        <f t="shared" ca="1" si="11"/>
        <v>-10</v>
      </c>
      <c r="E70" s="6">
        <f t="shared" ca="1" si="12"/>
        <v>-15.229409569306561</v>
      </c>
      <c r="F70" s="4">
        <f t="shared" ca="1" si="13"/>
        <v>0</v>
      </c>
      <c r="G70" s="4">
        <f t="shared" ca="1" si="14"/>
        <v>0</v>
      </c>
    </row>
    <row r="71" spans="1:7" x14ac:dyDescent="0.2">
      <c r="A71" s="8">
        <f t="shared" si="10"/>
        <v>8</v>
      </c>
      <c r="B71" s="6">
        <f t="shared" si="10"/>
        <v>0</v>
      </c>
      <c r="C71" s="6">
        <f t="shared" ca="1" si="10"/>
        <v>0</v>
      </c>
      <c r="D71" s="6">
        <f t="shared" ca="1" si="11"/>
        <v>-10</v>
      </c>
      <c r="E71" s="6">
        <f t="shared" ca="1" si="12"/>
        <v>-15.229409569306561</v>
      </c>
      <c r="F71" s="4">
        <f t="shared" ca="1" si="13"/>
        <v>0</v>
      </c>
      <c r="G71" s="4">
        <f t="shared" ca="1" si="14"/>
        <v>0</v>
      </c>
    </row>
    <row r="72" spans="1:7" x14ac:dyDescent="0.2">
      <c r="A72" s="8">
        <f t="shared" si="10"/>
        <v>9</v>
      </c>
      <c r="B72" s="6">
        <f t="shared" si="10"/>
        <v>0</v>
      </c>
      <c r="C72" s="6">
        <f t="shared" ca="1" si="10"/>
        <v>0</v>
      </c>
      <c r="D72" s="6">
        <f t="shared" ca="1" si="11"/>
        <v>-10</v>
      </c>
      <c r="E72" s="6">
        <f t="shared" ca="1" si="12"/>
        <v>-15.229409569306561</v>
      </c>
      <c r="F72" s="4">
        <f t="shared" ca="1" si="13"/>
        <v>0</v>
      </c>
      <c r="G72" s="4">
        <f t="shared" ca="1" si="14"/>
        <v>0</v>
      </c>
    </row>
    <row r="73" spans="1:7" x14ac:dyDescent="0.2">
      <c r="A73" s="8">
        <f t="shared" si="10"/>
        <v>10</v>
      </c>
      <c r="B73" s="6">
        <f t="shared" si="10"/>
        <v>0</v>
      </c>
      <c r="C73" s="6">
        <f t="shared" ca="1" si="10"/>
        <v>0</v>
      </c>
      <c r="D73" s="6">
        <f t="shared" ca="1" si="11"/>
        <v>-10</v>
      </c>
      <c r="E73" s="6">
        <f t="shared" ca="1" si="12"/>
        <v>-15.229409569306561</v>
      </c>
      <c r="F73" s="4">
        <f t="shared" ca="1" si="13"/>
        <v>0</v>
      </c>
      <c r="G73" s="4">
        <f t="shared" ca="1" si="14"/>
        <v>0</v>
      </c>
    </row>
    <row r="74" spans="1:7" x14ac:dyDescent="0.2">
      <c r="A74" s="8">
        <f t="shared" si="10"/>
        <v>11</v>
      </c>
      <c r="B74" s="6">
        <f t="shared" si="10"/>
        <v>0</v>
      </c>
      <c r="C74" s="6">
        <f t="shared" ca="1" si="10"/>
        <v>0</v>
      </c>
      <c r="D74" s="6">
        <f t="shared" ca="1" si="11"/>
        <v>-10</v>
      </c>
      <c r="E74" s="6">
        <f t="shared" ca="1" si="12"/>
        <v>-15.229409569306561</v>
      </c>
      <c r="F74" s="4">
        <f t="shared" ca="1" si="13"/>
        <v>0</v>
      </c>
      <c r="G74" s="4">
        <f t="shared" ca="1" si="14"/>
        <v>0</v>
      </c>
    </row>
    <row r="75" spans="1:7" x14ac:dyDescent="0.2">
      <c r="A75" s="8">
        <f t="shared" si="10"/>
        <v>12</v>
      </c>
      <c r="B75" s="6">
        <f t="shared" si="10"/>
        <v>0</v>
      </c>
      <c r="C75" s="6">
        <f t="shared" ca="1" si="10"/>
        <v>0</v>
      </c>
      <c r="D75" s="6">
        <f t="shared" ca="1" si="11"/>
        <v>-10</v>
      </c>
      <c r="E75" s="6">
        <f t="shared" ca="1" si="12"/>
        <v>-15.229409569306561</v>
      </c>
      <c r="F75" s="4">
        <f t="shared" ca="1" si="13"/>
        <v>0</v>
      </c>
      <c r="G75" s="4">
        <f t="shared" ca="1" si="14"/>
        <v>0</v>
      </c>
    </row>
    <row r="76" spans="1:7" x14ac:dyDescent="0.2">
      <c r="G76" s="7">
        <f ca="1">MIN(G64:G75)</f>
        <v>-9.5838519357522909</v>
      </c>
    </row>
    <row r="77" spans="1:7" x14ac:dyDescent="0.2">
      <c r="D77" t="s">
        <v>0</v>
      </c>
      <c r="E77" t="s">
        <v>1</v>
      </c>
    </row>
    <row r="78" spans="1:7" x14ac:dyDescent="0.2">
      <c r="A78" s="2" t="s">
        <v>41</v>
      </c>
      <c r="B78" s="34">
        <v>10.120229691973266</v>
      </c>
      <c r="C78" t="s">
        <v>6</v>
      </c>
      <c r="D78" s="4">
        <f ca="1">MIN(C57:C61)</f>
        <v>-17.781896052715631</v>
      </c>
      <c r="E78" s="4">
        <f ca="1">MAX(D57:D61)-B78</f>
        <v>4.4575410513676985</v>
      </c>
    </row>
    <row r="79" spans="1:7" x14ac:dyDescent="0.2">
      <c r="A79" s="2"/>
      <c r="D79" s="4">
        <f ca="1">MAX(C57:C61)</f>
        <v>17.352732695245884</v>
      </c>
      <c r="E79" s="4">
        <f ca="1">E78</f>
        <v>4.4575410513676985</v>
      </c>
    </row>
    <row r="80" spans="1:7" x14ac:dyDescent="0.2">
      <c r="A80" s="2"/>
    </row>
    <row r="81" spans="1:12" x14ac:dyDescent="0.2">
      <c r="A81" s="2" t="s">
        <v>42</v>
      </c>
      <c r="B81" s="1">
        <f>B78*B4</f>
        <v>8.0961837535786128</v>
      </c>
      <c r="C81" t="s">
        <v>6</v>
      </c>
      <c r="D81" t="s">
        <v>0</v>
      </c>
      <c r="E81" t="s">
        <v>1</v>
      </c>
    </row>
    <row r="82" spans="1:12" x14ac:dyDescent="0.2">
      <c r="D82" s="4">
        <f ca="1">MIN(C57:C61)</f>
        <v>-17.781896052715631</v>
      </c>
      <c r="E82" s="4">
        <f ca="1">MAX(D57:D61)-B81</f>
        <v>6.4815869897623521</v>
      </c>
    </row>
    <row r="83" spans="1:12" x14ac:dyDescent="0.2">
      <c r="D83" s="4">
        <f ca="1">MAX(C57:C61)</f>
        <v>17.352732695245884</v>
      </c>
      <c r="E83" s="4">
        <f ca="1">E82</f>
        <v>6.4815869897623521</v>
      </c>
    </row>
    <row r="84" spans="1:12" x14ac:dyDescent="0.2">
      <c r="A84" t="s">
        <v>47</v>
      </c>
    </row>
    <row r="85" spans="1:12" x14ac:dyDescent="0.2">
      <c r="A85" s="2" t="s">
        <v>55</v>
      </c>
      <c r="B85" s="1">
        <f>0.85*B2</f>
        <v>4.25</v>
      </c>
      <c r="C85" t="s">
        <v>5</v>
      </c>
    </row>
    <row r="87" spans="1:12" x14ac:dyDescent="0.2">
      <c r="A87" t="s">
        <v>48</v>
      </c>
      <c r="B87" t="s">
        <v>43</v>
      </c>
      <c r="C87" t="s">
        <v>44</v>
      </c>
      <c r="D87" t="s">
        <v>45</v>
      </c>
      <c r="E87" t="s">
        <v>46</v>
      </c>
      <c r="G87" s="1" t="s">
        <v>49</v>
      </c>
      <c r="H87" s="1" t="s">
        <v>50</v>
      </c>
      <c r="I87" s="1" t="s">
        <v>51</v>
      </c>
      <c r="J87" s="1" t="s">
        <v>52</v>
      </c>
      <c r="K87" s="1" t="s">
        <v>53</v>
      </c>
      <c r="L87" s="1" t="s">
        <v>54</v>
      </c>
    </row>
    <row r="88" spans="1:12" x14ac:dyDescent="0.2">
      <c r="A88">
        <v>1</v>
      </c>
      <c r="B88" s="4">
        <f t="shared" ref="B88:C91" ca="1" si="15">C57</f>
        <v>-17.781896052715631</v>
      </c>
      <c r="C88" s="4">
        <f t="shared" ca="1" si="15"/>
        <v>3.9672520212487816</v>
      </c>
      <c r="D88" s="4">
        <f t="shared" ref="D88:E91" ca="1" si="16">C58</f>
        <v>-10.708216904654174</v>
      </c>
      <c r="E88" s="4">
        <f t="shared" ca="1" si="16"/>
        <v>-14.740047712017923</v>
      </c>
      <c r="F88" s="1">
        <f ca="1">IF(AND(E88&gt;=E$82,C88&lt;=E$82),1,IF(AND(C88&gt;=E$82,E88&gt;=E$82),3,IF(AND(E88&lt;=E$82,C88&gt;=E$82),2,0)))</f>
        <v>0</v>
      </c>
      <c r="G88" s="1">
        <f ca="1">IF(E88=C88,"H",IF(B88=D88,"V",(E88-C88)/(D88-B88)))</f>
        <v>-2.6446350395173699</v>
      </c>
      <c r="H88" s="4" t="e">
        <f ca="1">IF(OR(F88=1,F88=2),IF(G88="V",B88,(E$82-C88+(G88*B88))/G88),NA())</f>
        <v>#N/A</v>
      </c>
      <c r="I88" s="4" t="e">
        <f ca="1">IF(OR(F88=1,F88=2),E$82,NA())</f>
        <v>#N/A</v>
      </c>
      <c r="J88" s="5">
        <f ca="1">IF(F88=0,0,IF(F88=1,-0.5*B$85*(H88+D88)*(I88-E88),IF(F88=2,-0.5*B$85*(B88+H88)*(C88-I88),IF(F88=3,-0.5*B$85*(B88+D88)*(C88-E88),0))))</f>
        <v>0</v>
      </c>
      <c r="K88" s="5">
        <f ca="1">IF(F88=1,(1/6)*B$85*(E88-I88)*((H88*(2*I88+E88))+(D88*(I88+2*E88))),IF(F88=2,(1/6)*B$85*(I88-C88)*((B88*(2*C88+I88))+(H88*(C88+2*I88))),IF(F88=3,(1/6)*B$85*(E88-C88)*((B88*(2*C88+E88))+(D88*(C88+2*E88))),0)))</f>
        <v>0</v>
      </c>
      <c r="L88" s="5">
        <f ca="1">IF(F88=1,(1/6)*B$85*(POWER(H88,2)+H88*D88+POWER(D88,2))*(E88-I88),IF(F88=2,(1/6)*B$85*(POWER(B88,2)+B88*H88+POWER(H88,2))*(I88-C88),IF(F88=3,(1/6)*B$85*(POWER(B88,2)+B88*D88+POWER(D88,2))*(E88-C88),0)))</f>
        <v>0</v>
      </c>
    </row>
    <row r="89" spans="1:12" x14ac:dyDescent="0.2">
      <c r="A89">
        <v>2</v>
      </c>
      <c r="B89" s="4">
        <f t="shared" ca="1" si="15"/>
        <v>-10.708216904654174</v>
      </c>
      <c r="C89" s="4">
        <f t="shared" ca="1" si="15"/>
        <v>-14.740047712017923</v>
      </c>
      <c r="D89" s="4">
        <f t="shared" ca="1" si="16"/>
        <v>17.352732695245884</v>
      </c>
      <c r="E89" s="4">
        <f t="shared" ca="1" si="16"/>
        <v>-4.1295289899257401</v>
      </c>
      <c r="F89" s="1">
        <f t="shared" ref="F89:F91" ca="1" si="17">IF(AND(E89&gt;=E$82,C89&lt;=E$82),1,IF(AND(C89&gt;=E$82,E89&gt;=E$82),3,IF(AND(E89&lt;=E$82,C89&gt;=E$82),2,0)))</f>
        <v>0</v>
      </c>
      <c r="G89" s="1">
        <f t="shared" ref="G89:G91" ca="1" si="18">IF(E89=C89,"H",IF(B89=D89,"V",(E89-C89)/(D89-B89)))</f>
        <v>0.37812400768254734</v>
      </c>
      <c r="H89" s="4" t="e">
        <f t="shared" ref="H89:H91" ca="1" si="19">IF(OR(F89=1,F89=2),IF(G89="V",B89,(E$82-C89+(G89*B89))/G89),NA())</f>
        <v>#N/A</v>
      </c>
      <c r="I89" s="4" t="e">
        <f t="shared" ref="I89:I91" ca="1" si="20">IF(OR(F89=1,F89=2),E$82,NA())</f>
        <v>#N/A</v>
      </c>
      <c r="J89" s="5">
        <f ca="1">IF(F89=0,0,IF(F89=1,-0.5*B$85*(H89+D89)*(I89-E89),IF(F89=2,-0.5*B$85*(B89+H89)*(C89-I89),IF(F89=3,-0.5*B$85*(B89+D89)*(C89-E89),0))))</f>
        <v>0</v>
      </c>
      <c r="K89" s="5">
        <f t="shared" ref="K89:K91" ca="1" si="21">IF(F89=1,(1/6)*B$85*(E89-I89)*((H89*(2*I89+E89))+(D89*(I89+2*E89))),IF(F89=2,(1/6)*B$85*(I89-C89)*((B89*(2*C89+I89))+(H89*(C89+2*I89))),IF(F89=3,(1/6)*B$85*(E89-C89)*((B89*(2*C89+E89))+(D89*(C89+2*E89))),0)))</f>
        <v>0</v>
      </c>
      <c r="L89" s="5">
        <f t="shared" ref="L89:L91" ca="1" si="22">IF(F89=1,(1/6)*B$85*(POWER(H89,2)+H89*D89+POWER(D89,2))*(E89-I89),IF(F89=2,(1/6)*B$85*(POWER(B89,2)+B89*H89+POWER(H89,2))*(I89-C89),IF(F89=3,(1/6)*B$85*(POWER(B89,2)+B89*D89+POWER(D89,2))*(E89-C89),0)))</f>
        <v>0</v>
      </c>
    </row>
    <row r="90" spans="1:12" x14ac:dyDescent="0.2">
      <c r="A90">
        <v>3</v>
      </c>
      <c r="B90" s="4">
        <f t="shared" ca="1" si="15"/>
        <v>17.352732695245884</v>
      </c>
      <c r="C90" s="4">
        <f t="shared" ca="1" si="15"/>
        <v>-4.1295289899257401</v>
      </c>
      <c r="D90" s="4">
        <f t="shared" ca="1" si="16"/>
        <v>10.279053547184427</v>
      </c>
      <c r="E90" s="4">
        <f t="shared" ca="1" si="16"/>
        <v>14.577770743340965</v>
      </c>
      <c r="F90" s="1">
        <f t="shared" ca="1" si="17"/>
        <v>1</v>
      </c>
      <c r="G90" s="1">
        <f t="shared" ca="1" si="18"/>
        <v>-2.6446350395173699</v>
      </c>
      <c r="H90" s="4">
        <f t="shared" ca="1" si="19"/>
        <v>13.3404149950219</v>
      </c>
      <c r="I90" s="4">
        <f t="shared" ca="1" si="20"/>
        <v>6.4815869897623521</v>
      </c>
      <c r="J90" s="5">
        <f t="shared" ref="J90:J91" ca="1" si="23">IF(F90=0,0,IF(F90=1,-0.5*B$85*(H90+D90)*(I90-E90),IF(F90=2,-0.5*B$85*(B90+H90)*(C90-I90),IF(F90=3,-0.5*B$85*(B90+D90)*(C90-E90),0))))</f>
        <v>406.35855964409046</v>
      </c>
      <c r="K90" s="5">
        <f t="shared" ca="1" si="21"/>
        <v>4207.7556793372914</v>
      </c>
      <c r="L90" s="5">
        <f t="shared" ca="1" si="22"/>
        <v>2412.9298383074924</v>
      </c>
    </row>
    <row r="91" spans="1:12" ht="16" thickBot="1" x14ac:dyDescent="0.25">
      <c r="A91">
        <v>4</v>
      </c>
      <c r="B91" s="4">
        <f t="shared" ca="1" si="15"/>
        <v>10.279053547184427</v>
      </c>
      <c r="C91" s="4">
        <f t="shared" ca="1" si="15"/>
        <v>14.577770743340965</v>
      </c>
      <c r="D91" s="4">
        <f t="shared" ca="1" si="16"/>
        <v>-17.781896052715631</v>
      </c>
      <c r="E91" s="4">
        <f t="shared" ca="1" si="16"/>
        <v>3.9672520212487816</v>
      </c>
      <c r="F91" s="1">
        <f t="shared" ca="1" si="17"/>
        <v>2</v>
      </c>
      <c r="G91" s="1">
        <f t="shared" ca="1" si="18"/>
        <v>0.37812400768254739</v>
      </c>
      <c r="H91" s="4">
        <f t="shared" ca="1" si="19"/>
        <v>-11.132397693900836</v>
      </c>
      <c r="I91" s="4">
        <f t="shared" ca="1" si="20"/>
        <v>6.4815869897623521</v>
      </c>
      <c r="J91" s="24">
        <f t="shared" ca="1" si="23"/>
        <v>14.681265910820699</v>
      </c>
      <c r="K91" s="24">
        <f t="shared" ca="1" si="21"/>
        <v>-342.4774920930206</v>
      </c>
      <c r="L91" s="24">
        <f t="shared" ca="1" si="22"/>
        <v>-660.41179442003875</v>
      </c>
    </row>
    <row r="92" spans="1:12" ht="16" thickTop="1" x14ac:dyDescent="0.2">
      <c r="B92" s="1"/>
      <c r="C92" s="1"/>
      <c r="D92" s="1"/>
      <c r="E92" s="1"/>
      <c r="F92" s="1"/>
      <c r="G92" s="1"/>
      <c r="H92" s="1"/>
      <c r="I92" s="1"/>
      <c r="J92" s="5">
        <f ca="1">SUM(J88:J91)</f>
        <v>421.03982555491115</v>
      </c>
      <c r="K92" s="5">
        <f ca="1">SUM(K88:K91)</f>
        <v>3865.2781872442711</v>
      </c>
      <c r="L92" s="5">
        <f ca="1">SUM(L88:L91)*-1</f>
        <v>-1752.5180438874536</v>
      </c>
    </row>
    <row r="95" spans="1:12" x14ac:dyDescent="0.2">
      <c r="A95" t="s">
        <v>56</v>
      </c>
    </row>
    <row r="96" spans="1:12" x14ac:dyDescent="0.2">
      <c r="A96" s="2" t="s">
        <v>58</v>
      </c>
      <c r="B96" s="1">
        <v>3.0000000000000001E-3</v>
      </c>
    </row>
    <row r="97" spans="1:26" x14ac:dyDescent="0.2">
      <c r="A97" t="s">
        <v>57</v>
      </c>
      <c r="B97" t="s">
        <v>60</v>
      </c>
      <c r="C97" t="str">
        <f t="shared" ref="C97:C109" si="24">F63</f>
        <v>x'</v>
      </c>
      <c r="D97" t="str">
        <f t="shared" ref="D97:D109" si="25">G63</f>
        <v>y'</v>
      </c>
      <c r="E97" t="s">
        <v>61</v>
      </c>
      <c r="F97" t="s">
        <v>59</v>
      </c>
      <c r="G97" t="s">
        <v>63</v>
      </c>
      <c r="H97" s="1" t="s">
        <v>64</v>
      </c>
      <c r="I97" s="1" t="s">
        <v>65</v>
      </c>
      <c r="J97" s="1" t="s">
        <v>66</v>
      </c>
    </row>
    <row r="98" spans="1:26" x14ac:dyDescent="0.2">
      <c r="A98" s="8">
        <f>A64</f>
        <v>1</v>
      </c>
      <c r="B98" s="7">
        <f ca="1">C13</f>
        <v>1.27</v>
      </c>
      <c r="C98">
        <f t="shared" ca="1" si="24"/>
        <v>-12.625700276449997</v>
      </c>
      <c r="D98">
        <f t="shared" ca="1" si="25"/>
        <v>1.6405279042077314</v>
      </c>
      <c r="E98" s="7">
        <f ca="1">G$58-D98</f>
        <v>12.937242839133233</v>
      </c>
      <c r="F98" s="11">
        <f ca="1">IF(B98=0,0,((B$78-E98)/B$78)*B$96)</f>
        <v>-8.3506399545286395E-4</v>
      </c>
      <c r="G98" s="4">
        <f ca="1">IF(AND(F98&gt;0,E98&lt;=B$81),MIN((F98*B$11),B$10)-B$85,MAX(F98*B$11,-1*B$10))</f>
        <v>-25.051919863585919</v>
      </c>
      <c r="H98" s="4">
        <f ca="1">G98*B98</f>
        <v>-31.815938226754117</v>
      </c>
      <c r="I98" s="4">
        <f ca="1">H98*D98</f>
        <v>-52.194934459539581</v>
      </c>
      <c r="J98" s="4">
        <f ca="1">H98*C98</f>
        <v>401.69850006504549</v>
      </c>
    </row>
    <row r="99" spans="1:26" x14ac:dyDescent="0.2">
      <c r="A99" s="8">
        <f t="shared" ref="A99:A108" si="26">A65</f>
        <v>2</v>
      </c>
      <c r="B99" s="7">
        <f t="shared" ref="B99:B109" ca="1" si="27">C14</f>
        <v>1.27</v>
      </c>
      <c r="C99">
        <f t="shared" ca="1" si="24"/>
        <v>-8.3814927876131229</v>
      </c>
      <c r="D99">
        <f t="shared" ca="1" si="25"/>
        <v>-9.5838519357522909</v>
      </c>
      <c r="E99" s="7">
        <f t="shared" ref="E99:E109" ca="1" si="28">G$58-D99</f>
        <v>24.161622679093256</v>
      </c>
      <c r="F99" s="11">
        <f t="shared" ref="F99:F109" ca="1" si="29">IF(B99=0,0,((B$78-E99)/B$78)*B$96)</f>
        <v>-4.1623738041015245E-3</v>
      </c>
      <c r="G99" s="4">
        <f t="shared" ref="G99:G109" ca="1" si="30">IF(AND(F99&gt;0,E99&lt;=B$81),MIN((F99*B$11),B$10)-B$85,MAX(F99*B$11,-1*B$10))</f>
        <v>-60</v>
      </c>
      <c r="H99" s="4">
        <f t="shared" ref="H99:H109" ca="1" si="31">G99*B99</f>
        <v>-76.2</v>
      </c>
      <c r="I99" s="4">
        <f t="shared" ref="I99:I109" ca="1" si="32">H99*D99</f>
        <v>730.28951750432464</v>
      </c>
      <c r="J99" s="4">
        <f t="shared" ref="J99:J109" ca="1" si="33">H99*C99</f>
        <v>638.66975041612</v>
      </c>
    </row>
    <row r="100" spans="1:26" x14ac:dyDescent="0.2">
      <c r="A100" s="8">
        <f t="shared" si="26"/>
        <v>3</v>
      </c>
      <c r="B100" s="7">
        <f t="shared" ca="1" si="27"/>
        <v>1.27</v>
      </c>
      <c r="C100">
        <f t="shared" ca="1" si="24"/>
        <v>7.9523294301433776</v>
      </c>
      <c r="D100">
        <f t="shared" ca="1" si="25"/>
        <v>9.4215749670753333</v>
      </c>
      <c r="E100" s="7">
        <f t="shared" ca="1" si="28"/>
        <v>5.1561957762656316</v>
      </c>
      <c r="F100" s="11">
        <f t="shared" ca="1" si="29"/>
        <v>1.4715181572345526E-3</v>
      </c>
      <c r="G100" s="4">
        <f t="shared" ca="1" si="30"/>
        <v>39.895544717036579</v>
      </c>
      <c r="H100" s="4">
        <f t="shared" ca="1" si="31"/>
        <v>50.667341790636456</v>
      </c>
      <c r="I100" s="4">
        <f t="shared" ca="1" si="32"/>
        <v>477.36615906291036</v>
      </c>
      <c r="J100" s="4">
        <f t="shared" ca="1" si="33"/>
        <v>402.92339326881176</v>
      </c>
    </row>
    <row r="101" spans="1:26" x14ac:dyDescent="0.2">
      <c r="A101" s="8">
        <f t="shared" si="26"/>
        <v>4</v>
      </c>
      <c r="B101" s="7">
        <f t="shared" ca="1" si="27"/>
        <v>1.27</v>
      </c>
      <c r="C101">
        <f t="shared" ca="1" si="24"/>
        <v>10.074433174561815</v>
      </c>
      <c r="D101">
        <f t="shared" ca="1" si="25"/>
        <v>3.8093850470953217</v>
      </c>
      <c r="E101" s="7">
        <f t="shared" ca="1" si="28"/>
        <v>10.768385696245643</v>
      </c>
      <c r="F101" s="11">
        <f t="shared" ca="1" si="29"/>
        <v>-1.9213674708977799E-4</v>
      </c>
      <c r="G101" s="4">
        <f t="shared" ca="1" si="30"/>
        <v>-5.7641024126933393</v>
      </c>
      <c r="H101" s="4">
        <f t="shared" ca="1" si="31"/>
        <v>-7.3204100641205407</v>
      </c>
      <c r="I101" s="4">
        <f t="shared" ca="1" si="32"/>
        <v>-27.886260636866893</v>
      </c>
      <c r="J101" s="4">
        <f t="shared" ca="1" si="33"/>
        <v>-73.748982001372156</v>
      </c>
    </row>
    <row r="102" spans="1:26" x14ac:dyDescent="0.2">
      <c r="A102" s="8">
        <f t="shared" si="26"/>
        <v>5</v>
      </c>
      <c r="B102" s="7">
        <f t="shared" ca="1" si="27"/>
        <v>1.27</v>
      </c>
      <c r="C102">
        <f t="shared" ca="1" si="24"/>
        <v>12.196536918980252</v>
      </c>
      <c r="D102">
        <f t="shared" ca="1" si="25"/>
        <v>-1.8028048728846895</v>
      </c>
      <c r="E102" s="7">
        <f t="shared" ca="1" si="28"/>
        <v>16.380575616225656</v>
      </c>
      <c r="F102" s="11">
        <f t="shared" ca="1" si="29"/>
        <v>-1.8557916514141092E-3</v>
      </c>
      <c r="G102" s="4">
        <f t="shared" ca="1" si="30"/>
        <v>-55.673749542423273</v>
      </c>
      <c r="H102" s="4">
        <f t="shared" ca="1" si="31"/>
        <v>-70.705661918877553</v>
      </c>
      <c r="I102" s="4">
        <f t="shared" ca="1" si="32"/>
        <v>127.46851184788987</v>
      </c>
      <c r="J102" s="4">
        <f t="shared" ca="1" si="33"/>
        <v>-862.36421597452613</v>
      </c>
    </row>
    <row r="103" spans="1:26" x14ac:dyDescent="0.2">
      <c r="A103" s="8">
        <f t="shared" si="26"/>
        <v>6</v>
      </c>
      <c r="B103" s="7">
        <f t="shared" ca="1" si="27"/>
        <v>0</v>
      </c>
      <c r="C103">
        <f t="shared" ca="1" si="24"/>
        <v>0</v>
      </c>
      <c r="D103">
        <f t="shared" ca="1" si="25"/>
        <v>0</v>
      </c>
      <c r="E103" s="7">
        <f t="shared" ca="1" si="28"/>
        <v>14.577770743340965</v>
      </c>
      <c r="F103" s="11">
        <f t="shared" ca="1" si="29"/>
        <v>0</v>
      </c>
      <c r="G103" s="4">
        <f t="shared" ca="1" si="30"/>
        <v>0</v>
      </c>
      <c r="H103" s="4">
        <f t="shared" ca="1" si="31"/>
        <v>0</v>
      </c>
      <c r="I103" s="4">
        <f t="shared" ca="1" si="32"/>
        <v>0</v>
      </c>
      <c r="J103" s="4">
        <f t="shared" ca="1" si="33"/>
        <v>0</v>
      </c>
    </row>
    <row r="104" spans="1:26" x14ac:dyDescent="0.2">
      <c r="A104" s="8">
        <f t="shared" si="26"/>
        <v>7</v>
      </c>
      <c r="B104" s="7">
        <f t="shared" ca="1" si="27"/>
        <v>0</v>
      </c>
      <c r="C104">
        <f t="shared" ca="1" si="24"/>
        <v>0</v>
      </c>
      <c r="D104">
        <f t="shared" ca="1" si="25"/>
        <v>0</v>
      </c>
      <c r="E104" s="7">
        <f t="shared" ca="1" si="28"/>
        <v>14.577770743340965</v>
      </c>
      <c r="F104" s="11">
        <f t="shared" ca="1" si="29"/>
        <v>0</v>
      </c>
      <c r="G104" s="4">
        <f t="shared" ca="1" si="30"/>
        <v>0</v>
      </c>
      <c r="H104" s="4">
        <f t="shared" ca="1" si="31"/>
        <v>0</v>
      </c>
      <c r="I104" s="4">
        <f t="shared" ca="1" si="32"/>
        <v>0</v>
      </c>
      <c r="J104" s="4">
        <f t="shared" ca="1" si="33"/>
        <v>0</v>
      </c>
    </row>
    <row r="105" spans="1:26" x14ac:dyDescent="0.2">
      <c r="A105" s="8">
        <f t="shared" si="26"/>
        <v>8</v>
      </c>
      <c r="B105" s="7">
        <f t="shared" ca="1" si="27"/>
        <v>0</v>
      </c>
      <c r="C105">
        <f t="shared" ca="1" si="24"/>
        <v>0</v>
      </c>
      <c r="D105">
        <f t="shared" ca="1" si="25"/>
        <v>0</v>
      </c>
      <c r="E105" s="7">
        <f t="shared" ca="1" si="28"/>
        <v>14.577770743340965</v>
      </c>
      <c r="F105" s="11">
        <f t="shared" ca="1" si="29"/>
        <v>0</v>
      </c>
      <c r="G105" s="4">
        <f t="shared" ca="1" si="30"/>
        <v>0</v>
      </c>
      <c r="H105" s="4">
        <f t="shared" ca="1" si="31"/>
        <v>0</v>
      </c>
      <c r="I105" s="4">
        <f t="shared" ca="1" si="32"/>
        <v>0</v>
      </c>
      <c r="J105" s="4">
        <f t="shared" ca="1" si="33"/>
        <v>0</v>
      </c>
      <c r="M105" s="47"/>
      <c r="N105" s="47"/>
      <c r="O105" s="47"/>
      <c r="P105" s="47"/>
      <c r="Q105" s="47"/>
      <c r="R105" s="47"/>
      <c r="S105" s="47"/>
      <c r="T105" s="47"/>
      <c r="U105" s="47"/>
      <c r="V105" s="47"/>
      <c r="W105" s="47"/>
      <c r="X105" s="47"/>
      <c r="Y105" s="47"/>
      <c r="Z105" s="47"/>
    </row>
    <row r="106" spans="1:26" x14ac:dyDescent="0.2">
      <c r="A106" s="8">
        <f t="shared" si="26"/>
        <v>9</v>
      </c>
      <c r="B106" s="7">
        <f t="shared" ca="1" si="27"/>
        <v>0</v>
      </c>
      <c r="C106">
        <f t="shared" ca="1" si="24"/>
        <v>0</v>
      </c>
      <c r="D106">
        <f t="shared" ca="1" si="25"/>
        <v>0</v>
      </c>
      <c r="E106" s="7">
        <f t="shared" ca="1" si="28"/>
        <v>14.577770743340965</v>
      </c>
      <c r="F106" s="11">
        <f t="shared" ca="1" si="29"/>
        <v>0</v>
      </c>
      <c r="G106" s="4">
        <f t="shared" ca="1" si="30"/>
        <v>0</v>
      </c>
      <c r="H106" s="4">
        <f t="shared" ca="1" si="31"/>
        <v>0</v>
      </c>
      <c r="I106" s="4">
        <f t="shared" ca="1" si="32"/>
        <v>0</v>
      </c>
      <c r="J106" s="4">
        <f t="shared" ca="1" si="33"/>
        <v>0</v>
      </c>
      <c r="M106" s="47"/>
      <c r="N106" s="47"/>
      <c r="O106" s="47"/>
      <c r="P106" s="47"/>
      <c r="Q106" s="47"/>
      <c r="R106" s="47"/>
      <c r="S106" s="47"/>
      <c r="T106" s="47"/>
      <c r="U106" s="47"/>
      <c r="V106" s="47"/>
      <c r="W106" s="47"/>
      <c r="X106" s="47"/>
      <c r="Y106" s="47"/>
      <c r="Z106" s="47"/>
    </row>
    <row r="107" spans="1:26" x14ac:dyDescent="0.2">
      <c r="A107" s="8">
        <f t="shared" si="26"/>
        <v>10</v>
      </c>
      <c r="B107" s="7">
        <f t="shared" ca="1" si="27"/>
        <v>0</v>
      </c>
      <c r="C107">
        <f t="shared" ca="1" si="24"/>
        <v>0</v>
      </c>
      <c r="D107">
        <f t="shared" ca="1" si="25"/>
        <v>0</v>
      </c>
      <c r="E107" s="7">
        <f t="shared" ca="1" si="28"/>
        <v>14.577770743340965</v>
      </c>
      <c r="F107" s="11">
        <f t="shared" ca="1" si="29"/>
        <v>0</v>
      </c>
      <c r="G107" s="4">
        <f t="shared" ca="1" si="30"/>
        <v>0</v>
      </c>
      <c r="H107" s="4">
        <f t="shared" ca="1" si="31"/>
        <v>0</v>
      </c>
      <c r="I107" s="4">
        <f t="shared" ca="1" si="32"/>
        <v>0</v>
      </c>
      <c r="J107" s="4">
        <f t="shared" ca="1" si="33"/>
        <v>0</v>
      </c>
      <c r="M107" s="47"/>
      <c r="N107" s="47"/>
      <c r="O107" s="47"/>
      <c r="P107" s="47"/>
      <c r="Q107" s="47"/>
      <c r="R107" s="47"/>
      <c r="S107" s="47"/>
      <c r="T107" s="47"/>
      <c r="U107" s="47"/>
      <c r="V107" s="47"/>
      <c r="W107" s="47"/>
      <c r="X107" s="47"/>
      <c r="Y107" s="47"/>
      <c r="Z107" s="47"/>
    </row>
    <row r="108" spans="1:26" x14ac:dyDescent="0.2">
      <c r="A108" s="8">
        <f t="shared" si="26"/>
        <v>11</v>
      </c>
      <c r="B108" s="7">
        <f t="shared" ca="1" si="27"/>
        <v>0</v>
      </c>
      <c r="C108">
        <f t="shared" ca="1" si="24"/>
        <v>0</v>
      </c>
      <c r="D108">
        <f t="shared" ca="1" si="25"/>
        <v>0</v>
      </c>
      <c r="E108" s="7">
        <f t="shared" ca="1" si="28"/>
        <v>14.577770743340965</v>
      </c>
      <c r="F108" s="11">
        <f t="shared" ca="1" si="29"/>
        <v>0</v>
      </c>
      <c r="G108" s="4">
        <f t="shared" ca="1" si="30"/>
        <v>0</v>
      </c>
      <c r="H108" s="4">
        <f t="shared" ca="1" si="31"/>
        <v>0</v>
      </c>
      <c r="I108" s="4">
        <f t="shared" ca="1" si="32"/>
        <v>0</v>
      </c>
      <c r="J108" s="4">
        <f t="shared" ca="1" si="33"/>
        <v>0</v>
      </c>
      <c r="M108" s="47"/>
      <c r="N108" s="47"/>
      <c r="O108" s="47"/>
      <c r="P108" s="47"/>
      <c r="Q108" s="47"/>
      <c r="R108" s="47"/>
      <c r="S108" s="47"/>
      <c r="T108" s="47"/>
      <c r="U108" s="47"/>
      <c r="V108" s="47"/>
      <c r="W108" s="47"/>
      <c r="X108" s="47"/>
      <c r="Y108" s="47"/>
      <c r="Z108" s="47"/>
    </row>
    <row r="109" spans="1:26" ht="16" thickBot="1" x14ac:dyDescent="0.25">
      <c r="A109" s="8">
        <f>A75</f>
        <v>12</v>
      </c>
      <c r="B109" s="7">
        <f t="shared" ca="1" si="27"/>
        <v>0</v>
      </c>
      <c r="C109">
        <f t="shared" ca="1" si="24"/>
        <v>0</v>
      </c>
      <c r="D109">
        <f t="shared" ca="1" si="25"/>
        <v>0</v>
      </c>
      <c r="E109" s="7">
        <f t="shared" ca="1" si="28"/>
        <v>14.577770743340965</v>
      </c>
      <c r="F109" s="23">
        <f t="shared" ca="1" si="29"/>
        <v>0</v>
      </c>
      <c r="G109" s="4">
        <f t="shared" ca="1" si="30"/>
        <v>0</v>
      </c>
      <c r="H109" s="22">
        <f t="shared" ca="1" si="31"/>
        <v>0</v>
      </c>
      <c r="I109" s="22">
        <f t="shared" ca="1" si="32"/>
        <v>0</v>
      </c>
      <c r="J109" s="22">
        <f t="shared" ca="1" si="33"/>
        <v>0</v>
      </c>
    </row>
    <row r="110" spans="1:26" ht="16" thickTop="1" x14ac:dyDescent="0.2">
      <c r="F110" s="11">
        <f ca="1">MIN(F98:F109)</f>
        <v>-4.1623738041015245E-3</v>
      </c>
      <c r="H110" s="4">
        <f ca="1">SUM(H98:H109)</f>
        <v>-135.37466841911575</v>
      </c>
      <c r="I110" s="4">
        <f ca="1">SUM(I98:I109)</f>
        <v>1255.0429933187183</v>
      </c>
      <c r="J110" s="4">
        <f ca="1">SUM(J98:J109)*-1</f>
        <v>-507.17844577407891</v>
      </c>
    </row>
    <row r="112" spans="1:26" x14ac:dyDescent="0.2">
      <c r="M112" t="s">
        <v>95</v>
      </c>
    </row>
    <row r="113" spans="1:24" x14ac:dyDescent="0.2">
      <c r="A113" s="2" t="s">
        <v>67</v>
      </c>
      <c r="B113" s="31">
        <f ca="1">J92+H110</f>
        <v>285.66515713579543</v>
      </c>
      <c r="C113" t="s">
        <v>20</v>
      </c>
      <c r="D113" t="s">
        <v>68</v>
      </c>
      <c r="I113" s="2" t="s">
        <v>73</v>
      </c>
      <c r="J113" s="1">
        <f ca="1">IF(ABS(F110)&lt;0.002,0.65,IF(ABS(F110)&gt;0.005,0.9,0.65+((ABS(F110)-0.002)*(250/3))))</f>
        <v>0.8301978170084604</v>
      </c>
      <c r="M113">
        <f ca="1">SQRT((J114*J114)+(J115*J115)+(J116*J116))</f>
        <v>456.78521332222573</v>
      </c>
      <c r="N113" s="48">
        <f ca="1">J114/M113</f>
        <v>0.60433480741543033</v>
      </c>
      <c r="O113" s="48">
        <f ca="1">J115/M113</f>
        <v>0.60433480739722811</v>
      </c>
      <c r="P113" s="48">
        <f ca="1">J116/M113</f>
        <v>0.51919060191254396</v>
      </c>
    </row>
    <row r="114" spans="1:24" x14ac:dyDescent="0.2">
      <c r="A114" s="2" t="s">
        <v>69</v>
      </c>
      <c r="B114" s="4">
        <f ca="1">(((K92+I110)*COS(RADIANS(B53)))+((L92+J110)*SIN(RADIANS(B53))))</f>
        <v>3924.6164352317369</v>
      </c>
      <c r="C114" t="s">
        <v>23</v>
      </c>
      <c r="D114" s="4">
        <f ca="1">(B113*(E49-H7))</f>
        <v>65.534320664414025</v>
      </c>
      <c r="E114" t="s">
        <v>23</v>
      </c>
      <c r="F114" s="4">
        <f ca="1">B114+D114</f>
        <v>3990.1507558961507</v>
      </c>
      <c r="G114" s="10" t="str">
        <f>"= Mnx,gc"</f>
        <v>= Mnx,gc</v>
      </c>
      <c r="H114" s="4">
        <f ca="1">F114/12</f>
        <v>332.51256299134587</v>
      </c>
      <c r="I114" t="s">
        <v>72</v>
      </c>
      <c r="J114" s="29">
        <f ca="1">H114*J113</f>
        <v>276.05120392330355</v>
      </c>
      <c r="K114" t="s">
        <v>72</v>
      </c>
      <c r="P114" t="s">
        <v>87</v>
      </c>
      <c r="V114">
        <v>62.857350020400126</v>
      </c>
      <c r="W114" s="6"/>
    </row>
    <row r="115" spans="1:24" ht="16" thickBot="1" x14ac:dyDescent="0.25">
      <c r="A115" s="2" t="s">
        <v>70</v>
      </c>
      <c r="B115" s="4">
        <f ca="1">(-1*(K92+I110)*SIN(RADIANS(B53)))+((L92+J110)*COS(RADIANS(B53)))</f>
        <v>3990.1507557759701</v>
      </c>
      <c r="C115" t="s">
        <v>23</v>
      </c>
      <c r="D115" s="1">
        <f ca="1">-1*B113*(D49-G7)</f>
        <v>0</v>
      </c>
      <c r="E115" t="s">
        <v>23</v>
      </c>
      <c r="F115" s="4">
        <f ca="1">B115+D115</f>
        <v>3990.1507557759701</v>
      </c>
      <c r="G115" s="10" t="str">
        <f>"= Mny,gc"</f>
        <v>= Mny,gc</v>
      </c>
      <c r="H115" s="4">
        <f ca="1">F115/12</f>
        <v>332.51256298133086</v>
      </c>
      <c r="I115" t="s">
        <v>72</v>
      </c>
      <c r="J115" s="29">
        <f ca="1">H115*J113</f>
        <v>276.05120391498906</v>
      </c>
      <c r="K115" t="s">
        <v>72</v>
      </c>
      <c r="M115" t="s">
        <v>79</v>
      </c>
      <c r="N115" s="9">
        <f ca="1">IF(DEGREES(ATAN2(J114,J115))&lt;0,DEGREES(ATAN2(J114,J115))+360,DEGREES(ATAN2(J114,J115)))</f>
        <v>44.999999999137145</v>
      </c>
      <c r="P115">
        <f ca="1">(-1*0.003*MAX(E98:E109))/(0.002-0.003)</f>
        <v>72.484868037279767</v>
      </c>
      <c r="V115">
        <v>4.1003971032098353E-14</v>
      </c>
      <c r="W115" s="6"/>
      <c r="X115" s="6"/>
    </row>
    <row r="116" spans="1:24" ht="16" thickBot="1" x14ac:dyDescent="0.25">
      <c r="J116" s="30">
        <f ca="1">B113*J113</f>
        <v>237.15858984951618</v>
      </c>
      <c r="K116" t="s">
        <v>20</v>
      </c>
      <c r="T116" t="s">
        <v>100</v>
      </c>
      <c r="U116" s="53">
        <v>1E-4</v>
      </c>
    </row>
    <row r="117" spans="1:24" ht="16" thickBot="1" x14ac:dyDescent="0.25">
      <c r="A117" s="21" t="s">
        <v>74</v>
      </c>
      <c r="B117" t="s">
        <v>93</v>
      </c>
      <c r="I117" t="s">
        <v>83</v>
      </c>
      <c r="J117" s="1">
        <f ca="1">0.65*((0.85*B2*B5*B6)+((B10-0.85*B2)*SUM(C13:C24)))*0.8</f>
        <v>1510.0865000000001</v>
      </c>
      <c r="K117" t="s">
        <v>20</v>
      </c>
      <c r="M117">
        <f ca="1">SQRT((J114*J114)+(J115*J115))</f>
        <v>390.39535649187764</v>
      </c>
      <c r="N117" t="s">
        <v>94</v>
      </c>
      <c r="O117">
        <f ca="1">J114/M117</f>
        <v>0.70710678119719628</v>
      </c>
      <c r="P117">
        <f ca="1">J115/M117</f>
        <v>0.70710678117589865</v>
      </c>
      <c r="T117" s="2" t="s">
        <v>97</v>
      </c>
      <c r="U117" s="53">
        <f ca="1">B118-J116</f>
        <v>-8.9849516172080257E-5</v>
      </c>
    </row>
    <row r="118" spans="1:24" ht="16" thickBot="1" x14ac:dyDescent="0.25">
      <c r="A118" s="2" t="s">
        <v>75</v>
      </c>
      <c r="B118" s="34">
        <v>237.1585</v>
      </c>
      <c r="C118" t="s">
        <v>20</v>
      </c>
      <c r="I118" t="s">
        <v>84</v>
      </c>
      <c r="J118" s="1">
        <f ca="1">-1*0.9*B10*SUM(C13:C24)</f>
        <v>-342.9</v>
      </c>
      <c r="K118" t="s">
        <v>20</v>
      </c>
      <c r="O118">
        <f ca="1">ABS(O117)/O117</f>
        <v>1</v>
      </c>
      <c r="P118">
        <f ca="1">ABS(P117)/P117</f>
        <v>1</v>
      </c>
      <c r="Q118">
        <f ca="1">P118*O118</f>
        <v>1</v>
      </c>
      <c r="T118" s="2" t="s">
        <v>99</v>
      </c>
      <c r="U118" s="56">
        <f ca="1">B121-N115</f>
        <v>8.6285467659763526E-10</v>
      </c>
    </row>
    <row r="119" spans="1:24" x14ac:dyDescent="0.2">
      <c r="A119" s="2" t="s">
        <v>76</v>
      </c>
      <c r="B119" s="34">
        <v>1</v>
      </c>
      <c r="C119" t="s">
        <v>72</v>
      </c>
      <c r="G119" s="2" t="s">
        <v>80</v>
      </c>
      <c r="H119" s="33">
        <v>25</v>
      </c>
      <c r="L119">
        <f ca="1">B118-J116</f>
        <v>-8.9849516172080257E-5</v>
      </c>
      <c r="M119" s="44">
        <f ca="1">N115-B121</f>
        <v>-8.6285467659763526E-10</v>
      </c>
      <c r="O119">
        <f>B119/E120</f>
        <v>0.70710678118654746</v>
      </c>
      <c r="P119">
        <f>B120/E120</f>
        <v>0.70710678118654746</v>
      </c>
    </row>
    <row r="120" spans="1:24" x14ac:dyDescent="0.2">
      <c r="A120" s="2" t="s">
        <v>77</v>
      </c>
      <c r="B120" s="34">
        <v>1</v>
      </c>
      <c r="C120" t="s">
        <v>72</v>
      </c>
      <c r="D120">
        <f>B118</f>
        <v>237.1585</v>
      </c>
      <c r="E120">
        <f>SQRT((B119*B119)+(B120*B120))</f>
        <v>1.4142135623730951</v>
      </c>
      <c r="G120" s="2" t="s">
        <v>81</v>
      </c>
      <c r="H120" s="52">
        <v>21</v>
      </c>
      <c r="I120" s="52">
        <v>20</v>
      </c>
      <c r="O120">
        <f>ABS(O119)/O119</f>
        <v>1</v>
      </c>
      <c r="P120">
        <f>ABS(P119)/P119</f>
        <v>1</v>
      </c>
      <c r="Q120">
        <f>P120*O120</f>
        <v>1</v>
      </c>
    </row>
    <row r="121" spans="1:24" x14ac:dyDescent="0.2">
      <c r="A121" s="2" t="s">
        <v>78</v>
      </c>
      <c r="B121" s="12">
        <f>IF(DEGREES(ATAN2(B119,B120))&lt;0,DEGREES(ATAN2(B119,B120))+360,DEGREES(ATAN2(B119,B120)))</f>
        <v>45</v>
      </c>
      <c r="H121" s="1">
        <v>1</v>
      </c>
      <c r="O121">
        <f ca="1">O117-O119</f>
        <v>1.0648815162994651E-11</v>
      </c>
      <c r="P121">
        <f ca="1">P117-P119</f>
        <v>-1.0648815162994651E-11</v>
      </c>
    </row>
    <row r="123" spans="1:24" x14ac:dyDescent="0.2">
      <c r="A123" s="14"/>
      <c r="B123" s="15"/>
      <c r="C123" s="15"/>
      <c r="D123" s="15"/>
      <c r="E123" s="15"/>
      <c r="F123" s="15"/>
      <c r="G123" s="15"/>
      <c r="H123" s="15"/>
      <c r="I123" s="15"/>
    </row>
    <row r="124" spans="1:24" x14ac:dyDescent="0.2">
      <c r="A124" s="16"/>
      <c r="B124" s="15"/>
      <c r="C124" s="15"/>
      <c r="D124" s="15"/>
      <c r="E124" s="15"/>
      <c r="F124" s="15"/>
      <c r="G124" s="15"/>
      <c r="H124" s="17">
        <v>0</v>
      </c>
      <c r="I124" s="32">
        <v>0</v>
      </c>
      <c r="J124" s="15"/>
      <c r="K124" s="15"/>
      <c r="L124" s="13"/>
      <c r="M124" s="15"/>
      <c r="N124" s="15"/>
    </row>
    <row r="125" spans="1:24" x14ac:dyDescent="0.2">
      <c r="A125" s="16"/>
      <c r="B125" s="20"/>
      <c r="C125" s="15"/>
      <c r="D125" s="16"/>
      <c r="E125" s="17"/>
      <c r="F125" s="17"/>
      <c r="G125" s="16"/>
      <c r="H125" s="20">
        <f ca="1">J114</f>
        <v>276.05120392330355</v>
      </c>
      <c r="I125" s="3">
        <f ca="1">J115</f>
        <v>276.05120391498906</v>
      </c>
      <c r="J125" s="16"/>
      <c r="K125" s="17"/>
      <c r="L125" s="13"/>
      <c r="M125" s="16"/>
      <c r="N125" s="17"/>
    </row>
    <row r="126" spans="1:24" x14ac:dyDescent="0.2">
      <c r="A126" s="16"/>
      <c r="B126" s="18"/>
      <c r="C126" s="17"/>
      <c r="D126" s="16"/>
      <c r="E126" s="20"/>
      <c r="F126" s="15"/>
      <c r="G126" s="16"/>
      <c r="H126" s="17"/>
      <c r="I126" s="13"/>
      <c r="J126" s="16"/>
      <c r="K126" s="17"/>
      <c r="L126" s="13"/>
      <c r="M126" s="16"/>
      <c r="N126" s="17"/>
    </row>
    <row r="127" spans="1:24" ht="16" thickBot="1" x14ac:dyDescent="0.25">
      <c r="A127" s="16"/>
      <c r="B127" s="17"/>
      <c r="C127" s="18"/>
      <c r="D127" s="16"/>
      <c r="E127" s="17"/>
      <c r="F127" s="15"/>
      <c r="G127" s="16"/>
      <c r="H127" s="17"/>
      <c r="I127" s="13"/>
      <c r="J127" s="16"/>
      <c r="K127" s="17"/>
      <c r="L127" s="13"/>
      <c r="M127" s="16"/>
      <c r="N127" s="17"/>
      <c r="Q127" s="2" t="s">
        <v>86</v>
      </c>
      <c r="R127">
        <v>10</v>
      </c>
    </row>
    <row r="128" spans="1:24" ht="17" x14ac:dyDescent="0.2">
      <c r="A128" s="16" t="s">
        <v>85</v>
      </c>
      <c r="B128" s="17" t="s">
        <v>76</v>
      </c>
      <c r="C128" s="18" t="s">
        <v>77</v>
      </c>
      <c r="D128" s="16" t="s">
        <v>96</v>
      </c>
      <c r="E128" s="17"/>
      <c r="F128" s="15"/>
      <c r="G128" s="16"/>
      <c r="H128" s="17"/>
      <c r="I128" s="13"/>
      <c r="J128" s="16"/>
      <c r="K128" s="17"/>
      <c r="L128" s="13"/>
      <c r="M128" s="16"/>
      <c r="N128" s="17"/>
      <c r="Q128" t="s">
        <v>75</v>
      </c>
      <c r="R128" t="s">
        <v>49</v>
      </c>
      <c r="V128" s="40" t="s">
        <v>98</v>
      </c>
      <c r="W128" s="41"/>
    </row>
    <row r="129" spans="1:23" x14ac:dyDescent="0.2">
      <c r="A129" s="37">
        <v>0</v>
      </c>
      <c r="B129" s="49">
        <v>519.77806722348544</v>
      </c>
      <c r="C129" s="49">
        <v>0</v>
      </c>
      <c r="D129" s="50">
        <f>IF(DEGREES(ATAN2(B129,C129))&lt;0,DEGREES(ATAN2(B129,C129))+360,DEGREES(ATAN2(B129,C129)))</f>
        <v>0</v>
      </c>
      <c r="E129" s="17"/>
      <c r="F129" s="15"/>
      <c r="G129" s="16"/>
      <c r="H129" s="17"/>
      <c r="I129" s="13"/>
      <c r="J129" s="16"/>
      <c r="K129" s="17"/>
      <c r="L129" s="13"/>
      <c r="M129" s="16"/>
      <c r="N129" s="17"/>
      <c r="P129" s="39"/>
      <c r="Q129" s="39">
        <v>-308.38308660100358</v>
      </c>
      <c r="R129" s="39" t="e">
        <v>#N/A</v>
      </c>
      <c r="S129" s="39">
        <v>179.99999997189937</v>
      </c>
      <c r="V129" s="54" t="s">
        <v>75</v>
      </c>
      <c r="W129" s="55" t="s">
        <v>49</v>
      </c>
    </row>
    <row r="130" spans="1:23" x14ac:dyDescent="0.2">
      <c r="A130" s="38">
        <v>-1</v>
      </c>
      <c r="B130" s="49">
        <v>519.74277096735034</v>
      </c>
      <c r="C130" s="49">
        <v>5.6982588493087034</v>
      </c>
      <c r="D130" s="50">
        <f t="shared" ref="D130:D193" si="34">IF(DEGREES(ATAN2(B130,C130))&lt;0,DEGREES(ATAN2(B130,C130))+360,DEGREES(ATAN2(B130,C130)))</f>
        <v>0.62814361356451232</v>
      </c>
      <c r="E130" s="17"/>
      <c r="F130" s="15"/>
      <c r="G130" s="16"/>
      <c r="H130" s="17"/>
      <c r="I130" s="13"/>
      <c r="J130" s="16"/>
      <c r="K130" s="17"/>
      <c r="L130" s="13"/>
      <c r="M130" s="16"/>
      <c r="N130" s="17"/>
      <c r="P130" s="39">
        <v>1</v>
      </c>
      <c r="Q130">
        <v>-308.38208660100361</v>
      </c>
      <c r="R130" t="e">
        <v>#N/A</v>
      </c>
      <c r="S130" s="39">
        <v>155.73953541284669</v>
      </c>
      <c r="V130" s="46">
        <f>D120</f>
        <v>237.1585</v>
      </c>
      <c r="W130" s="45">
        <f>E120</f>
        <v>1.4142135623730951</v>
      </c>
    </row>
    <row r="131" spans="1:23" ht="16" thickBot="1" x14ac:dyDescent="0.25">
      <c r="A131" s="38">
        <v>-2</v>
      </c>
      <c r="B131" s="49">
        <v>519.6768955234229</v>
      </c>
      <c r="C131" s="49">
        <v>8.8466430801256664</v>
      </c>
      <c r="D131" s="50">
        <f t="shared" si="34"/>
        <v>0.97527206038106706</v>
      </c>
      <c r="E131" s="15"/>
      <c r="F131" s="15"/>
      <c r="G131" s="15"/>
      <c r="H131" s="15"/>
      <c r="I131" s="15"/>
      <c r="P131" s="39">
        <v>2</v>
      </c>
      <c r="Q131">
        <v>-126.53522794090324</v>
      </c>
      <c r="R131">
        <v>187.3057228647375</v>
      </c>
      <c r="S131" s="39">
        <v>44.999996854098576</v>
      </c>
      <c r="V131" s="42">
        <f>B118</f>
        <v>237.1585</v>
      </c>
      <c r="W131" s="43">
        <f ca="1">SQRT((J114*J114)+(J115*J115))</f>
        <v>390.39535649187764</v>
      </c>
    </row>
    <row r="132" spans="1:23" x14ac:dyDescent="0.2">
      <c r="A132" s="37">
        <v>-3</v>
      </c>
      <c r="B132" s="49">
        <v>519.51301432788955</v>
      </c>
      <c r="C132" s="49">
        <v>14.272938558607025</v>
      </c>
      <c r="D132" s="50">
        <f t="shared" si="34"/>
        <v>1.5737305073104444</v>
      </c>
      <c r="E132" s="15"/>
      <c r="F132" s="15"/>
      <c r="G132" s="15"/>
      <c r="H132" s="15"/>
      <c r="I132" s="15"/>
      <c r="P132" s="39">
        <v>3</v>
      </c>
      <c r="Q132">
        <v>55.311630719197126</v>
      </c>
      <c r="R132">
        <v>312.67362709563145</v>
      </c>
      <c r="S132" s="39">
        <v>44.999999859860623</v>
      </c>
    </row>
    <row r="133" spans="1:23" x14ac:dyDescent="0.2">
      <c r="A133" s="37">
        <v>-4</v>
      </c>
      <c r="B133" s="49">
        <v>519.28369124932635</v>
      </c>
      <c r="C133" s="49">
        <v>19.58362094927439</v>
      </c>
      <c r="D133" s="50">
        <f t="shared" si="34"/>
        <v>2.1597584328836885</v>
      </c>
      <c r="E133" s="15"/>
      <c r="F133" s="15"/>
      <c r="G133" s="15"/>
      <c r="H133" s="15"/>
      <c r="I133" s="15"/>
      <c r="P133" s="39">
        <v>4</v>
      </c>
      <c r="Q133">
        <v>237.15848937929749</v>
      </c>
      <c r="R133">
        <v>390.39535408426951</v>
      </c>
      <c r="S133" s="39">
        <v>44.999999999137202</v>
      </c>
    </row>
    <row r="134" spans="1:23" x14ac:dyDescent="0.2">
      <c r="A134" s="38">
        <v>-5</v>
      </c>
      <c r="B134" s="49">
        <v>518.98855684339912</v>
      </c>
      <c r="C134" s="49">
        <v>24.794623698299443</v>
      </c>
      <c r="D134" s="50">
        <f t="shared" si="34"/>
        <v>2.7352201105504879</v>
      </c>
      <c r="E134" s="15"/>
      <c r="F134" s="15"/>
      <c r="G134" s="15"/>
      <c r="H134" s="15"/>
      <c r="I134" s="15"/>
      <c r="P134" s="39">
        <v>5</v>
      </c>
      <c r="Q134">
        <v>419.00534803939786</v>
      </c>
      <c r="R134">
        <v>426.41846386552947</v>
      </c>
      <c r="S134" s="39">
        <v>44.999997662704253</v>
      </c>
    </row>
    <row r="135" spans="1:23" x14ac:dyDescent="0.2">
      <c r="A135" s="38">
        <v>-6</v>
      </c>
      <c r="B135" s="49">
        <v>518.62654560490444</v>
      </c>
      <c r="C135" s="49">
        <v>29.91996051068141</v>
      </c>
      <c r="D135" s="50">
        <f t="shared" si="34"/>
        <v>3.3017773957053684</v>
      </c>
      <c r="E135" s="15"/>
      <c r="F135" s="15"/>
      <c r="G135" s="15"/>
      <c r="H135" s="15"/>
      <c r="I135" s="15"/>
      <c r="P135" s="39">
        <v>6</v>
      </c>
      <c r="Q135">
        <v>600.8522066994982</v>
      </c>
      <c r="R135">
        <v>447.21372876218294</v>
      </c>
      <c r="S135" s="39">
        <v>44.999999999770168</v>
      </c>
    </row>
    <row r="136" spans="1:23" x14ac:dyDescent="0.2">
      <c r="A136" s="37">
        <v>-7</v>
      </c>
      <c r="B136" s="49">
        <v>518.19691629628596</v>
      </c>
      <c r="C136" s="49">
        <v>34.972054193116399</v>
      </c>
      <c r="D136" s="50">
        <f t="shared" si="34"/>
        <v>3.8609208546012184</v>
      </c>
      <c r="E136" s="15"/>
      <c r="F136" s="15"/>
      <c r="G136" s="15"/>
      <c r="H136" s="15"/>
      <c r="I136" s="15"/>
      <c r="P136" s="39">
        <v>7</v>
      </c>
      <c r="Q136">
        <v>782.69906535959853</v>
      </c>
      <c r="R136">
        <v>462.89411976294156</v>
      </c>
      <c r="S136" s="39">
        <v>44.999994885693411</v>
      </c>
    </row>
    <row r="137" spans="1:23" x14ac:dyDescent="0.2">
      <c r="A137" s="37">
        <v>-8</v>
      </c>
      <c r="B137" s="49">
        <v>517.69872009748599</v>
      </c>
      <c r="C137" s="49">
        <v>39.96201834815836</v>
      </c>
      <c r="D137" s="50">
        <f t="shared" si="34"/>
        <v>4.4140026195013835</v>
      </c>
      <c r="E137" s="15"/>
      <c r="F137" s="15"/>
      <c r="G137" s="15"/>
      <c r="H137" s="15"/>
      <c r="I137" s="15"/>
      <c r="P137" s="39">
        <v>8</v>
      </c>
      <c r="Q137">
        <v>964.54592401969887</v>
      </c>
      <c r="R137">
        <v>458.60832440923264</v>
      </c>
      <c r="S137" s="39">
        <v>44.99999999999995</v>
      </c>
    </row>
    <row r="138" spans="1:23" x14ac:dyDescent="0.2">
      <c r="A138" s="38">
        <v>-9</v>
      </c>
      <c r="B138" s="49">
        <v>517.13072410085056</v>
      </c>
      <c r="C138" s="49">
        <v>44.899882831084611</v>
      </c>
      <c r="D138" s="50">
        <f t="shared" si="34"/>
        <v>4.9622624032963039</v>
      </c>
      <c r="E138" s="15"/>
      <c r="F138" s="15"/>
      <c r="G138" s="15"/>
      <c r="H138" s="15"/>
      <c r="I138" s="15"/>
      <c r="P138" s="39">
        <v>9</v>
      </c>
      <c r="Q138">
        <v>1146.3927826797992</v>
      </c>
      <c r="R138">
        <v>431.41658460247447</v>
      </c>
      <c r="S138" s="39">
        <v>44.99996708139961</v>
      </c>
    </row>
    <row r="139" spans="1:23" x14ac:dyDescent="0.2">
      <c r="A139" s="38">
        <v>-10</v>
      </c>
      <c r="B139" s="49">
        <v>516.49134040267813</v>
      </c>
      <c r="C139" s="49">
        <v>49.794778789735894</v>
      </c>
      <c r="D139" s="50">
        <f t="shared" si="34"/>
        <v>5.5068496526969897</v>
      </c>
      <c r="E139" s="15"/>
      <c r="F139" s="15"/>
      <c r="G139" s="15"/>
      <c r="H139" s="15"/>
      <c r="I139" s="15"/>
      <c r="P139" s="39">
        <v>10</v>
      </c>
      <c r="Q139">
        <v>1328.2396413398997</v>
      </c>
      <c r="R139">
        <v>378.36358770058041</v>
      </c>
      <c r="S139" s="39">
        <v>44.999980506995819</v>
      </c>
    </row>
    <row r="140" spans="1:23" x14ac:dyDescent="0.2">
      <c r="A140" s="37">
        <v>-11</v>
      </c>
      <c r="B140" s="49">
        <v>515.77877920974458</v>
      </c>
      <c r="C140" s="49">
        <v>54.655086434753478</v>
      </c>
      <c r="D140" s="50">
        <f t="shared" si="34"/>
        <v>6.0488395536075972</v>
      </c>
      <c r="E140" s="15"/>
      <c r="F140" s="15"/>
      <c r="G140" s="15"/>
      <c r="H140" s="15"/>
      <c r="I140" s="15"/>
      <c r="P140" s="39">
        <v>11</v>
      </c>
      <c r="Q140">
        <v>1510.0865000000001</v>
      </c>
      <c r="R140">
        <v>295.61567946937458</v>
      </c>
      <c r="S140" s="39">
        <v>44.99999986660638</v>
      </c>
    </row>
    <row r="141" spans="1:23" x14ac:dyDescent="0.2">
      <c r="A141" s="37">
        <v>-12</v>
      </c>
      <c r="B141" s="49">
        <v>514.99186427930636</v>
      </c>
      <c r="C141" s="49">
        <v>59.488539327487992</v>
      </c>
      <c r="D141" s="50">
        <f t="shared" si="34"/>
        <v>6.5892349913495281</v>
      </c>
      <c r="E141" s="15"/>
      <c r="F141" s="15"/>
      <c r="G141" s="15"/>
      <c r="H141" s="15"/>
      <c r="I141" s="15"/>
      <c r="P141" s="39">
        <v>12</v>
      </c>
      <c r="Q141">
        <v>1510.0865000000001</v>
      </c>
      <c r="R141">
        <v>0</v>
      </c>
      <c r="S141" s="39">
        <v>45.000000002494509</v>
      </c>
    </row>
    <row r="142" spans="1:23" x14ac:dyDescent="0.2">
      <c r="A142" s="38">
        <v>-13</v>
      </c>
      <c r="B142" s="49">
        <v>514.12777471952722</v>
      </c>
      <c r="C142" s="49">
        <v>64.302385530584232</v>
      </c>
      <c r="D142" s="50">
        <f t="shared" si="34"/>
        <v>7.1290119221360602</v>
      </c>
      <c r="E142" s="15"/>
      <c r="F142" s="15"/>
      <c r="G142" s="15"/>
      <c r="H142" s="15"/>
      <c r="I142" s="15"/>
      <c r="P142" s="39">
        <v>13</v>
      </c>
      <c r="S142" s="39">
        <v>45.000000000840586</v>
      </c>
    </row>
    <row r="143" spans="1:23" x14ac:dyDescent="0.2">
      <c r="A143" s="38">
        <v>-14</v>
      </c>
      <c r="B143" s="49">
        <v>513.18462595672531</v>
      </c>
      <c r="C143" s="49">
        <v>69.103412747623636</v>
      </c>
      <c r="D143" s="50">
        <f t="shared" si="34"/>
        <v>7.669092525260421</v>
      </c>
      <c r="E143" s="15"/>
      <c r="F143" s="15"/>
      <c r="G143" s="15"/>
      <c r="H143" s="15"/>
      <c r="I143" s="15"/>
      <c r="P143" s="39">
        <v>14</v>
      </c>
      <c r="S143" s="39">
        <v>44.999999999263181</v>
      </c>
    </row>
    <row r="144" spans="1:23" x14ac:dyDescent="0.2">
      <c r="A144" s="37">
        <v>-15</v>
      </c>
      <c r="B144" s="49">
        <v>512.16009619446197</v>
      </c>
      <c r="C144" s="49">
        <v>73.898058110345801</v>
      </c>
      <c r="D144" s="50">
        <f t="shared" si="34"/>
        <v>8.2103740854520471</v>
      </c>
      <c r="E144" s="15"/>
      <c r="F144" s="15"/>
      <c r="G144" s="15"/>
      <c r="H144" s="16"/>
      <c r="I144" s="19"/>
      <c r="P144" s="39">
        <v>15</v>
      </c>
      <c r="S144" s="39">
        <v>45.000000004610122</v>
      </c>
    </row>
    <row r="145" spans="1:19" x14ac:dyDescent="0.2">
      <c r="A145" s="37">
        <v>-16</v>
      </c>
      <c r="B145" s="49">
        <v>511.05115248408316</v>
      </c>
      <c r="C145" s="49">
        <v>78.692482755017281</v>
      </c>
      <c r="D145" s="50">
        <f t="shared" si="34"/>
        <v>8.7537441111397705</v>
      </c>
      <c r="E145" s="15"/>
      <c r="F145" s="15"/>
      <c r="G145" s="15"/>
      <c r="H145" s="16"/>
      <c r="I145" s="19"/>
      <c r="P145" s="39">
        <v>16</v>
      </c>
      <c r="S145" s="39">
        <v>44.999999996087176</v>
      </c>
    </row>
    <row r="146" spans="1:19" x14ac:dyDescent="0.2">
      <c r="A146" s="38">
        <v>-17</v>
      </c>
      <c r="B146" s="49">
        <v>509.85487877337226</v>
      </c>
      <c r="C146" s="49">
        <v>83.492606473808095</v>
      </c>
      <c r="D146" s="50">
        <f t="shared" si="34"/>
        <v>9.3000731225243296</v>
      </c>
      <c r="E146" s="15"/>
      <c r="F146" s="15"/>
      <c r="G146" s="15"/>
      <c r="H146" s="15"/>
      <c r="I146" s="15"/>
      <c r="P146" s="39">
        <v>17</v>
      </c>
      <c r="S146" s="39">
        <v>44.999999997119573</v>
      </c>
    </row>
    <row r="147" spans="1:19" x14ac:dyDescent="0.2">
      <c r="A147" s="38">
        <v>-18</v>
      </c>
      <c r="B147" s="51">
        <v>508.56798445779543</v>
      </c>
      <c r="C147" s="51">
        <v>88.304171714987987</v>
      </c>
      <c r="D147" s="50">
        <f t="shared" si="34"/>
        <v>9.8502305167670503</v>
      </c>
      <c r="P147" s="39">
        <v>18</v>
      </c>
      <c r="S147" s="39">
        <v>44.999999997280028</v>
      </c>
    </row>
    <row r="148" spans="1:19" x14ac:dyDescent="0.2">
      <c r="A148" s="37">
        <v>-19</v>
      </c>
      <c r="B148" s="51">
        <v>507.18675222735135</v>
      </c>
      <c r="C148" s="51">
        <v>93.132790495707681</v>
      </c>
      <c r="D148" s="50">
        <f t="shared" si="34"/>
        <v>10.40509292448289</v>
      </c>
      <c r="P148" s="39">
        <v>19</v>
      </c>
      <c r="S148" s="39">
        <v>45.000000006174027</v>
      </c>
    </row>
    <row r="149" spans="1:19" x14ac:dyDescent="0.2">
      <c r="A149" s="37">
        <v>-20</v>
      </c>
      <c r="B149" s="51">
        <v>505.70742940222016</v>
      </c>
      <c r="C149" s="51">
        <v>97.983973456691743</v>
      </c>
      <c r="D149" s="50">
        <f t="shared" si="34"/>
        <v>10.965541645613252</v>
      </c>
      <c r="P149" s="39">
        <v>20</v>
      </c>
      <c r="S149" s="39">
        <v>44.999999996804206</v>
      </c>
    </row>
    <row r="150" spans="1:19" x14ac:dyDescent="0.2">
      <c r="A150" s="38">
        <v>-21</v>
      </c>
      <c r="B150" s="51">
        <v>504.12573325142239</v>
      </c>
      <c r="C150" s="51">
        <v>102.86318172436881</v>
      </c>
      <c r="D150" s="50">
        <f t="shared" si="34"/>
        <v>11.532479803637596</v>
      </c>
      <c r="P150" s="39">
        <v>21</v>
      </c>
      <c r="S150" s="39">
        <v>45.000000004607841</v>
      </c>
    </row>
    <row r="151" spans="1:19" x14ac:dyDescent="0.2">
      <c r="A151" s="38">
        <v>-22</v>
      </c>
      <c r="B151" s="51">
        <v>502.43679505285672</v>
      </c>
      <c r="C151" s="51">
        <v>107.77586342505313</v>
      </c>
      <c r="D151" s="50">
        <f t="shared" si="34"/>
        <v>12.106840897858998</v>
      </c>
      <c r="P151" s="39">
        <v>22</v>
      </c>
      <c r="S151" s="39">
        <v>45.000000005430699</v>
      </c>
    </row>
    <row r="152" spans="1:19" x14ac:dyDescent="0.2">
      <c r="A152" s="37">
        <v>-23</v>
      </c>
      <c r="B152" s="51">
        <v>500.64849242725893</v>
      </c>
      <c r="C152" s="51">
        <v>112.69761258721304</v>
      </c>
      <c r="D152" s="50">
        <f t="shared" si="34"/>
        <v>12.686015171839447</v>
      </c>
      <c r="P152" s="39">
        <v>23</v>
      </c>
      <c r="S152" s="39">
        <v>45.000000003018478</v>
      </c>
    </row>
    <row r="153" spans="1:19" x14ac:dyDescent="0.2">
      <c r="A153" s="37">
        <v>-24</v>
      </c>
      <c r="B153" s="51">
        <v>498.85332105409401</v>
      </c>
      <c r="C153" s="51">
        <v>117.4176916057352</v>
      </c>
      <c r="D153" s="50">
        <f t="shared" si="34"/>
        <v>13.244920867817793</v>
      </c>
      <c r="P153" s="39">
        <v>24</v>
      </c>
      <c r="S153" s="39">
        <v>44.999999997279325</v>
      </c>
    </row>
    <row r="154" spans="1:19" x14ac:dyDescent="0.2">
      <c r="A154" s="38">
        <v>-25</v>
      </c>
      <c r="B154" s="51">
        <v>497.06645712874325</v>
      </c>
      <c r="C154" s="51">
        <v>121.91928359390158</v>
      </c>
      <c r="D154" s="50">
        <f t="shared" si="34"/>
        <v>13.781306110576997</v>
      </c>
      <c r="P154" s="39">
        <v>25</v>
      </c>
      <c r="S154" s="39">
        <v>44.999999999497582</v>
      </c>
    </row>
    <row r="155" spans="1:19" x14ac:dyDescent="0.2">
      <c r="A155" s="38">
        <v>-26</v>
      </c>
      <c r="B155" s="51">
        <v>495.28315518407476</v>
      </c>
      <c r="C155" s="51">
        <v>126.22931851680941</v>
      </c>
      <c r="D155" s="50">
        <f t="shared" si="34"/>
        <v>14.29817783028883</v>
      </c>
      <c r="P155" s="39">
        <v>26</v>
      </c>
      <c r="S155" s="39">
        <v>45.000000001222233</v>
      </c>
    </row>
    <row r="156" spans="1:19" x14ac:dyDescent="0.2">
      <c r="A156" s="37">
        <v>-27</v>
      </c>
      <c r="B156" s="51">
        <v>493.49912373806205</v>
      </c>
      <c r="C156" s="51">
        <v>130.37093834468322</v>
      </c>
      <c r="D156" s="50">
        <f t="shared" si="34"/>
        <v>14.798138294744136</v>
      </c>
      <c r="P156" s="39">
        <v>27</v>
      </c>
      <c r="S156" s="39">
        <v>44.999999996766405</v>
      </c>
    </row>
    <row r="157" spans="1:19" x14ac:dyDescent="0.2">
      <c r="A157" s="37">
        <v>-28</v>
      </c>
      <c r="B157" s="51">
        <v>491.71058890858779</v>
      </c>
      <c r="C157" s="51">
        <v>134.36419594812119</v>
      </c>
      <c r="D157" s="50">
        <f t="shared" si="34"/>
        <v>15.283455403804696</v>
      </c>
      <c r="P157" s="39">
        <v>28</v>
      </c>
      <c r="S157" s="39">
        <v>44.999999996600764</v>
      </c>
    </row>
    <row r="158" spans="1:19" x14ac:dyDescent="0.2">
      <c r="A158" s="38">
        <v>-29</v>
      </c>
      <c r="B158" s="51">
        <v>489.91380244608348</v>
      </c>
      <c r="C158" s="51">
        <v>138.22659077084487</v>
      </c>
      <c r="D158" s="50">
        <f t="shared" si="34"/>
        <v>15.756132432568254</v>
      </c>
      <c r="P158" s="39">
        <v>29</v>
      </c>
      <c r="S158" s="39">
        <v>45.000000008817594</v>
      </c>
    </row>
    <row r="159" spans="1:19" x14ac:dyDescent="0.2">
      <c r="A159" s="38">
        <v>-30</v>
      </c>
      <c r="B159" s="51">
        <v>488.10502536697538</v>
      </c>
      <c r="C159" s="51">
        <v>141.97349606409671</v>
      </c>
      <c r="D159" s="50">
        <f t="shared" si="34"/>
        <v>16.217954151078459</v>
      </c>
      <c r="P159" s="39">
        <v>30</v>
      </c>
      <c r="S159" s="39">
        <v>44.99999999902542</v>
      </c>
    </row>
    <row r="160" spans="1:19" x14ac:dyDescent="0.2">
      <c r="A160" s="37">
        <v>-31</v>
      </c>
      <c r="B160" s="51">
        <v>486.2807339485235</v>
      </c>
      <c r="C160" s="51">
        <v>145.61852261443707</v>
      </c>
      <c r="D160" s="50">
        <f t="shared" si="34"/>
        <v>16.670519108668685</v>
      </c>
      <c r="P160" s="39">
        <v>31</v>
      </c>
      <c r="S160" s="39">
        <v>45.000000005926921</v>
      </c>
    </row>
    <row r="161" spans="1:19" x14ac:dyDescent="0.2">
      <c r="A161" s="37">
        <v>-32</v>
      </c>
      <c r="B161" s="51">
        <v>484.76335606575338</v>
      </c>
      <c r="C161" s="51">
        <v>148.8090158180772</v>
      </c>
      <c r="D161" s="50">
        <f t="shared" si="34"/>
        <v>17.065045900012347</v>
      </c>
      <c r="P161" s="39">
        <v>32</v>
      </c>
      <c r="S161" s="39">
        <v>44.999999993474333</v>
      </c>
    </row>
    <row r="162" spans="1:19" x14ac:dyDescent="0.2">
      <c r="A162" s="38">
        <v>-33</v>
      </c>
      <c r="B162" s="51">
        <v>482.92879478316604</v>
      </c>
      <c r="C162" s="51">
        <v>152.24541279002787</v>
      </c>
      <c r="D162" s="50">
        <f t="shared" si="34"/>
        <v>17.497685068812153</v>
      </c>
      <c r="P162" s="39">
        <v>33</v>
      </c>
      <c r="S162" s="39">
        <v>45.000000002934492</v>
      </c>
    </row>
    <row r="163" spans="1:19" x14ac:dyDescent="0.2">
      <c r="A163" s="38">
        <v>-34</v>
      </c>
      <c r="B163" s="51">
        <v>481.06868073828684</v>
      </c>
      <c r="C163" s="51">
        <v>155.61439993654074</v>
      </c>
      <c r="D163" s="50">
        <f t="shared" si="34"/>
        <v>17.925173935042423</v>
      </c>
      <c r="P163" s="39">
        <v>34</v>
      </c>
      <c r="S163" s="39">
        <v>44.999999993949622</v>
      </c>
    </row>
    <row r="164" spans="1:19" x14ac:dyDescent="0.2">
      <c r="A164" s="37">
        <v>-35</v>
      </c>
      <c r="B164" s="51">
        <v>479.17995068343242</v>
      </c>
      <c r="C164" s="51">
        <v>158.92484847891416</v>
      </c>
      <c r="D164" s="50">
        <f t="shared" si="34"/>
        <v>18.348620910806414</v>
      </c>
      <c r="P164" s="39">
        <v>35</v>
      </c>
      <c r="S164" s="39">
        <v>44.999999996032344</v>
      </c>
    </row>
    <row r="165" spans="1:19" x14ac:dyDescent="0.2">
      <c r="A165" s="37">
        <v>-36</v>
      </c>
      <c r="B165" s="51">
        <v>477.25894557012776</v>
      </c>
      <c r="C165" s="51">
        <v>162.18484306469071</v>
      </c>
      <c r="D165" s="50">
        <f t="shared" si="34"/>
        <v>18.769079610937286</v>
      </c>
      <c r="P165" s="39">
        <v>36</v>
      </c>
      <c r="S165" s="39">
        <v>45.000000003616989</v>
      </c>
    </row>
    <row r="166" spans="1:19" x14ac:dyDescent="0.2">
      <c r="A166" s="38">
        <v>-37</v>
      </c>
      <c r="B166" s="51">
        <v>475.30207792817578</v>
      </c>
      <c r="C166" s="51">
        <v>165.40186788534874</v>
      </c>
      <c r="D166" s="50">
        <f t="shared" si="34"/>
        <v>19.187546586846125</v>
      </c>
      <c r="P166" s="39">
        <v>37</v>
      </c>
      <c r="S166" s="39">
        <v>44.999999993988027</v>
      </c>
    </row>
    <row r="167" spans="1:19" x14ac:dyDescent="0.2">
      <c r="A167" s="38">
        <v>-38</v>
      </c>
      <c r="B167" s="51">
        <v>473.3057525311761</v>
      </c>
      <c r="C167" s="51">
        <v>168.58290617931706</v>
      </c>
      <c r="D167" s="50">
        <f t="shared" si="34"/>
        <v>19.60497491231456</v>
      </c>
      <c r="P167" s="39">
        <v>38</v>
      </c>
      <c r="S167" s="39">
        <v>44.999999992582161</v>
      </c>
    </row>
    <row r="168" spans="1:19" x14ac:dyDescent="0.2">
      <c r="A168" s="37">
        <v>-39</v>
      </c>
      <c r="B168" s="51">
        <v>470.25301477294562</v>
      </c>
      <c r="C168" s="51">
        <v>171.22318899547525</v>
      </c>
      <c r="D168" s="50">
        <f t="shared" si="34"/>
        <v>20.007002469881339</v>
      </c>
      <c r="P168" s="39">
        <v>39</v>
      </c>
      <c r="S168" s="39">
        <v>44.999999996440806</v>
      </c>
    </row>
    <row r="169" spans="1:19" x14ac:dyDescent="0.2">
      <c r="A169" s="37">
        <v>-40</v>
      </c>
      <c r="B169" s="51">
        <v>466.24426584888505</v>
      </c>
      <c r="C169" s="51">
        <v>173.36228373138985</v>
      </c>
      <c r="D169" s="50">
        <f t="shared" si="34"/>
        <v>20.396501643306109</v>
      </c>
      <c r="P169" s="39">
        <v>40</v>
      </c>
      <c r="S169" s="39">
        <v>44.999999992560419</v>
      </c>
    </row>
    <row r="170" spans="1:19" x14ac:dyDescent="0.2">
      <c r="A170" s="38">
        <v>-41</v>
      </c>
      <c r="B170" s="51">
        <v>462.27201542425775</v>
      </c>
      <c r="C170" s="51">
        <v>175.50393527948637</v>
      </c>
      <c r="D170" s="50">
        <f t="shared" si="34"/>
        <v>20.789521959185052</v>
      </c>
      <c r="P170" s="39">
        <v>41</v>
      </c>
      <c r="S170" s="39">
        <v>44.999999993963534</v>
      </c>
    </row>
    <row r="171" spans="1:19" x14ac:dyDescent="0.2">
      <c r="A171" s="38">
        <v>-42</v>
      </c>
      <c r="B171" s="51">
        <v>458.32802427670975</v>
      </c>
      <c r="C171" s="51">
        <v>177.65274885330479</v>
      </c>
      <c r="D171" s="50">
        <f t="shared" si="34"/>
        <v>21.186853294070204</v>
      </c>
      <c r="P171" s="39">
        <v>42</v>
      </c>
      <c r="S171" s="39">
        <v>44.999999997993569</v>
      </c>
    </row>
    <row r="172" spans="1:19" x14ac:dyDescent="0.2">
      <c r="A172" s="37">
        <v>-43</v>
      </c>
      <c r="B172" s="51">
        <v>454.40413965003842</v>
      </c>
      <c r="C172" s="51">
        <v>179.81323890364709</v>
      </c>
      <c r="D172" s="50">
        <f t="shared" si="34"/>
        <v>21.589307424577381</v>
      </c>
      <c r="P172" s="39">
        <v>43</v>
      </c>
      <c r="S172" s="39">
        <v>45.00000000309096</v>
      </c>
    </row>
    <row r="173" spans="1:19" x14ac:dyDescent="0.2">
      <c r="A173" s="37">
        <v>-44</v>
      </c>
      <c r="B173" s="51">
        <v>450.49215180700457</v>
      </c>
      <c r="C173" s="51">
        <v>181.98987193800619</v>
      </c>
      <c r="D173" s="50">
        <f t="shared" si="34"/>
        <v>21.997728823825586</v>
      </c>
      <c r="P173" s="39">
        <v>44</v>
      </c>
      <c r="S173" s="39">
        <v>45.000000002439378</v>
      </c>
    </row>
    <row r="174" spans="1:19" x14ac:dyDescent="0.2">
      <c r="A174" s="38">
        <v>-45</v>
      </c>
      <c r="B174" s="51">
        <v>446.58414170339722</v>
      </c>
      <c r="C174" s="51">
        <v>184.18711780126233</v>
      </c>
      <c r="D174" s="50">
        <f t="shared" si="34"/>
        <v>22.41298527136264</v>
      </c>
      <c r="P174" s="39">
        <v>45</v>
      </c>
      <c r="S174" s="39">
        <v>44.999999991538317</v>
      </c>
    </row>
    <row r="175" spans="1:19" x14ac:dyDescent="0.2">
      <c r="A175" s="38">
        <v>-46</v>
      </c>
      <c r="B175" s="51">
        <v>442.67184251954461</v>
      </c>
      <c r="C175" s="51">
        <v>186.40948445748867</v>
      </c>
      <c r="D175" s="50">
        <f t="shared" si="34"/>
        <v>22.836000300995721</v>
      </c>
      <c r="P175" s="39">
        <v>46</v>
      </c>
      <c r="S175" s="39">
        <v>45.000000001361656</v>
      </c>
    </row>
    <row r="176" spans="1:19" x14ac:dyDescent="0.2">
      <c r="A176" s="37">
        <v>-47</v>
      </c>
      <c r="B176" s="51">
        <v>438.74714220856225</v>
      </c>
      <c r="C176" s="51">
        <v>188.66157676581344</v>
      </c>
      <c r="D176" s="50">
        <f t="shared" si="34"/>
        <v>23.267738492438937</v>
      </c>
      <c r="P176" s="39">
        <v>47</v>
      </c>
      <c r="S176" s="39">
        <v>44.999999994567524</v>
      </c>
    </row>
    <row r="177" spans="1:19" x14ac:dyDescent="0.2">
      <c r="A177" s="37">
        <v>-48</v>
      </c>
      <c r="B177" s="51">
        <v>434.80146349248054</v>
      </c>
      <c r="C177" s="51">
        <v>190.94812120421162</v>
      </c>
      <c r="D177" s="50">
        <f t="shared" si="34"/>
        <v>23.709238401067765</v>
      </c>
      <c r="P177" s="39">
        <v>48</v>
      </c>
      <c r="S177" s="39">
        <v>45.000000006495242</v>
      </c>
    </row>
    <row r="178" spans="1:19" x14ac:dyDescent="0.2">
      <c r="A178" s="38">
        <v>-49</v>
      </c>
      <c r="B178" s="51">
        <v>430.82609166173756</v>
      </c>
      <c r="C178" s="51">
        <v>193.27402819804618</v>
      </c>
      <c r="D178" s="50">
        <f t="shared" si="34"/>
        <v>24.161606926115464</v>
      </c>
      <c r="P178" s="39">
        <v>49</v>
      </c>
      <c r="S178" s="39">
        <v>44.999999995872663</v>
      </c>
    </row>
    <row r="179" spans="1:19" x14ac:dyDescent="0.2">
      <c r="A179" s="38">
        <v>-50</v>
      </c>
      <c r="B179" s="51">
        <v>426.23592149550689</v>
      </c>
      <c r="C179" s="51">
        <v>195.83749786863029</v>
      </c>
      <c r="D179" s="50">
        <f t="shared" si="34"/>
        <v>24.676793442498333</v>
      </c>
      <c r="P179" s="39">
        <v>50</v>
      </c>
      <c r="S179" s="39">
        <v>44.999999999802611</v>
      </c>
    </row>
    <row r="180" spans="1:19" x14ac:dyDescent="0.2">
      <c r="A180" s="37">
        <v>-51</v>
      </c>
      <c r="B180" s="51">
        <v>419.35597405356714</v>
      </c>
      <c r="C180" s="51">
        <v>199.19576027492744</v>
      </c>
      <c r="D180" s="50">
        <f t="shared" si="34"/>
        <v>25.407904563708087</v>
      </c>
      <c r="P180" s="39">
        <v>51</v>
      </c>
      <c r="S180" s="39">
        <v>45.000000003474021</v>
      </c>
    </row>
    <row r="181" spans="1:19" x14ac:dyDescent="0.2">
      <c r="A181" s="37">
        <v>-52</v>
      </c>
      <c r="B181" s="51">
        <v>412.49035243844918</v>
      </c>
      <c r="C181" s="51">
        <v>202.57554412538602</v>
      </c>
      <c r="D181" s="50">
        <f t="shared" si="34"/>
        <v>26.155826171024863</v>
      </c>
      <c r="P181" s="39">
        <v>52</v>
      </c>
      <c r="S181" s="39">
        <v>44.999999992803495</v>
      </c>
    </row>
    <row r="182" spans="1:19" x14ac:dyDescent="0.2">
      <c r="A182" s="38">
        <v>-53</v>
      </c>
      <c r="B182" s="51">
        <v>405.6248367049152</v>
      </c>
      <c r="C182" s="51">
        <v>205.98537667441471</v>
      </c>
      <c r="D182" s="50">
        <f t="shared" si="34"/>
        <v>26.922480390885795</v>
      </c>
      <c r="P182" s="39">
        <v>53</v>
      </c>
      <c r="S182" s="39">
        <v>45.000000007446815</v>
      </c>
    </row>
    <row r="183" spans="1:19" x14ac:dyDescent="0.2">
      <c r="A183" s="38">
        <v>-54</v>
      </c>
      <c r="B183" s="51">
        <v>398.74463834905725</v>
      </c>
      <c r="C183" s="51">
        <v>209.43406203804116</v>
      </c>
      <c r="D183" s="50">
        <f t="shared" si="34"/>
        <v>27.709961906830458</v>
      </c>
      <c r="P183" s="39">
        <v>54</v>
      </c>
      <c r="S183" s="39">
        <v>45.00000000114899</v>
      </c>
    </row>
    <row r="184" spans="1:19" x14ac:dyDescent="0.2">
      <c r="A184" s="37">
        <v>-55</v>
      </c>
      <c r="B184" s="51">
        <v>391.834244941333</v>
      </c>
      <c r="C184" s="51">
        <v>212.93078634360572</v>
      </c>
      <c r="D184" s="50">
        <f t="shared" si="34"/>
        <v>28.520566535427342</v>
      </c>
      <c r="P184" s="39">
        <v>55</v>
      </c>
      <c r="S184" s="39">
        <v>44.999999995019607</v>
      </c>
    </row>
    <row r="185" spans="1:19" x14ac:dyDescent="0.2">
      <c r="A185" s="37">
        <v>-56</v>
      </c>
      <c r="B185" s="51">
        <v>384.87724592759372</v>
      </c>
      <c r="C185" s="51">
        <v>216.48523471686624</v>
      </c>
      <c r="D185" s="50">
        <f t="shared" si="34"/>
        <v>29.356824403001866</v>
      </c>
      <c r="P185" s="39">
        <v>56</v>
      </c>
      <c r="S185" s="39">
        <v>45.000000002461263</v>
      </c>
    </row>
    <row r="186" spans="1:19" x14ac:dyDescent="0.2">
      <c r="A186" s="38">
        <v>-57</v>
      </c>
      <c r="B186" s="51">
        <v>377.85625776251618</v>
      </c>
      <c r="C186" s="51">
        <v>220.10779961926937</v>
      </c>
      <c r="D186" s="50">
        <f t="shared" si="34"/>
        <v>30.221539173192305</v>
      </c>
      <c r="P186" s="39">
        <v>57</v>
      </c>
      <c r="S186" s="39">
        <v>45.000000000284487</v>
      </c>
    </row>
    <row r="187" spans="1:19" x14ac:dyDescent="0.2">
      <c r="A187" s="38">
        <v>-58</v>
      </c>
      <c r="B187" s="51">
        <v>370.75244517170034</v>
      </c>
      <c r="C187" s="51">
        <v>223.80958121877671</v>
      </c>
      <c r="D187" s="50">
        <f t="shared" si="34"/>
        <v>31.11783204616518</v>
      </c>
      <c r="P187" s="39">
        <v>58</v>
      </c>
      <c r="S187" s="39">
        <v>44.999999994645904</v>
      </c>
    </row>
    <row r="188" spans="1:19" x14ac:dyDescent="0.2">
      <c r="A188" s="37">
        <v>-59</v>
      </c>
      <c r="B188" s="51">
        <v>363.54525089804059</v>
      </c>
      <c r="C188" s="51">
        <v>227.60255782185064</v>
      </c>
      <c r="D188" s="50">
        <f t="shared" si="34"/>
        <v>32.049196507284009</v>
      </c>
      <c r="P188" s="39">
        <v>59</v>
      </c>
      <c r="S188" s="39">
        <v>45.000000007512085</v>
      </c>
    </row>
    <row r="189" spans="1:19" x14ac:dyDescent="0.2">
      <c r="A189" s="37">
        <v>-60</v>
      </c>
      <c r="B189" s="51">
        <v>356.21219748204817</v>
      </c>
      <c r="C189" s="51">
        <v>231.49986397679299</v>
      </c>
      <c r="D189" s="50">
        <f t="shared" si="34"/>
        <v>33.019563264932977</v>
      </c>
      <c r="P189" s="39">
        <v>60</v>
      </c>
      <c r="S189" s="39">
        <v>45.000000002640647</v>
      </c>
    </row>
    <row r="190" spans="1:19" x14ac:dyDescent="0.2">
      <c r="A190" s="38">
        <v>-61</v>
      </c>
      <c r="B190" s="51">
        <v>348.7282940713834</v>
      </c>
      <c r="C190" s="51">
        <v>235.51589731498484</v>
      </c>
      <c r="D190" s="50">
        <f t="shared" si="34"/>
        <v>34.033377518032637</v>
      </c>
      <c r="P190" s="39">
        <v>61</v>
      </c>
      <c r="S190" s="39">
        <v>44.99999999247688</v>
      </c>
    </row>
    <row r="191" spans="1:19" x14ac:dyDescent="0.2">
      <c r="A191" s="38">
        <v>-62</v>
      </c>
      <c r="B191" s="51">
        <v>341.06568827285486</v>
      </c>
      <c r="C191" s="51">
        <v>239.66667670101003</v>
      </c>
      <c r="D191" s="50">
        <f t="shared" si="34"/>
        <v>35.095692604120686</v>
      </c>
      <c r="P191" s="39">
        <v>62</v>
      </c>
      <c r="S191" s="39">
        <v>45.000000009693743</v>
      </c>
    </row>
    <row r="192" spans="1:19" x14ac:dyDescent="0.2">
      <c r="A192" s="37">
        <v>-63</v>
      </c>
      <c r="B192" s="51">
        <v>333.19276089664851</v>
      </c>
      <c r="C192" s="51">
        <v>243.96996316702314</v>
      </c>
      <c r="D192" s="50">
        <f t="shared" si="34"/>
        <v>36.212284948527135</v>
      </c>
      <c r="P192" s="39">
        <v>63</v>
      </c>
      <c r="S192" s="39">
        <v>45.000000000656911</v>
      </c>
    </row>
    <row r="193" spans="1:19" x14ac:dyDescent="0.2">
      <c r="A193" s="37">
        <v>-64</v>
      </c>
      <c r="B193" s="51">
        <v>325.07361265731578</v>
      </c>
      <c r="C193" s="51">
        <v>248.44579403469183</v>
      </c>
      <c r="D193" s="50">
        <f t="shared" si="34"/>
        <v>37.389792980175471</v>
      </c>
      <c r="P193" s="39">
        <v>64</v>
      </c>
      <c r="S193" s="39">
        <v>44.999999995447396</v>
      </c>
    </row>
    <row r="194" spans="1:19" x14ac:dyDescent="0.2">
      <c r="A194" s="38">
        <v>-65</v>
      </c>
      <c r="B194" s="51">
        <v>316.66696088824136</v>
      </c>
      <c r="C194" s="51">
        <v>253.11683759212494</v>
      </c>
      <c r="D194" s="50">
        <f t="shared" ref="D194:D257" si="35">IF(DEGREES(ATAN2(B194,C194))&lt;0,DEGREES(ATAN2(B194,C194))+360,DEGREES(ATAN2(B194,C194)))</f>
        <v>38.635889293947095</v>
      </c>
      <c r="P194" s="39">
        <v>65</v>
      </c>
      <c r="S194" s="39">
        <v>45.000000006248513</v>
      </c>
    </row>
    <row r="195" spans="1:19" x14ac:dyDescent="0.2">
      <c r="A195" s="38">
        <v>-66</v>
      </c>
      <c r="B195" s="51">
        <v>307.92488131057519</v>
      </c>
      <c r="C195" s="51">
        <v>258.00890803996759</v>
      </c>
      <c r="D195" s="50">
        <f t="shared" si="35"/>
        <v>39.959493932072085</v>
      </c>
      <c r="P195" s="39">
        <v>66</v>
      </c>
      <c r="S195" s="39">
        <v>44.999999997244558</v>
      </c>
    </row>
    <row r="196" spans="1:19" x14ac:dyDescent="0.2">
      <c r="A196" s="37">
        <v>-67</v>
      </c>
      <c r="B196" s="51">
        <v>298.7913515436025</v>
      </c>
      <c r="C196" s="51">
        <v>263.15170627872209</v>
      </c>
      <c r="D196" s="50">
        <f t="shared" si="35"/>
        <v>41.371038093872556</v>
      </c>
      <c r="P196" s="39">
        <v>67</v>
      </c>
      <c r="S196" s="39">
        <v>44.999999996882806</v>
      </c>
    </row>
    <row r="197" spans="1:19" x14ac:dyDescent="0.2">
      <c r="A197" s="37">
        <v>-68</v>
      </c>
      <c r="B197" s="51">
        <v>289.2000922689827</v>
      </c>
      <c r="C197" s="51">
        <v>268.57954713580853</v>
      </c>
      <c r="D197" s="50">
        <f t="shared" si="35"/>
        <v>42.882797570480264</v>
      </c>
      <c r="P197" s="39">
        <v>68</v>
      </c>
      <c r="S197" s="39">
        <v>45.000000001369429</v>
      </c>
    </row>
    <row r="198" spans="1:19" x14ac:dyDescent="0.2">
      <c r="A198" s="38">
        <v>-69</v>
      </c>
      <c r="B198" s="51">
        <v>279.07203082142172</v>
      </c>
      <c r="C198" s="51">
        <v>274.33246611666198</v>
      </c>
      <c r="D198" s="50">
        <f t="shared" si="35"/>
        <v>44.509309344850621</v>
      </c>
      <c r="P198" s="39">
        <v>69</v>
      </c>
      <c r="S198" s="39">
        <v>45.000000003327244</v>
      </c>
    </row>
    <row r="199" spans="1:19" x14ac:dyDescent="0.2">
      <c r="A199" s="38">
        <v>-70</v>
      </c>
      <c r="B199" s="51">
        <v>268.3119258186079</v>
      </c>
      <c r="C199" s="51">
        <v>280.45762143536251</v>
      </c>
      <c r="D199" s="50">
        <f t="shared" si="35"/>
        <v>46.267897437318204</v>
      </c>
      <c r="P199" s="39">
        <v>70</v>
      </c>
      <c r="S199" s="39">
        <v>45.000000008671414</v>
      </c>
    </row>
    <row r="200" spans="1:19" x14ac:dyDescent="0.2">
      <c r="A200" s="37">
        <v>-71</v>
      </c>
      <c r="B200" s="51">
        <v>257.24523912448791</v>
      </c>
      <c r="C200" s="51">
        <v>286.62679525632785</v>
      </c>
      <c r="D200" s="50">
        <f t="shared" si="35"/>
        <v>48.092279479473483</v>
      </c>
      <c r="P200" s="39">
        <v>71</v>
      </c>
      <c r="S200" s="39">
        <v>45.000000008746142</v>
      </c>
    </row>
    <row r="201" spans="1:19" x14ac:dyDescent="0.2">
      <c r="A201" s="37">
        <v>-72</v>
      </c>
      <c r="B201" s="51">
        <v>247.79924584293005</v>
      </c>
      <c r="C201" s="51">
        <v>291.13382537297952</v>
      </c>
      <c r="D201" s="50">
        <f t="shared" si="35"/>
        <v>49.59715371468161</v>
      </c>
      <c r="P201" s="39">
        <v>72</v>
      </c>
      <c r="S201" s="39">
        <v>44.999999995355992</v>
      </c>
    </row>
    <row r="202" spans="1:19" x14ac:dyDescent="0.2">
      <c r="A202" s="38">
        <v>-73</v>
      </c>
      <c r="B202" s="51">
        <v>237.62892890963218</v>
      </c>
      <c r="C202" s="51">
        <v>295.97750602109375</v>
      </c>
      <c r="D202" s="50">
        <f t="shared" si="35"/>
        <v>51.240362371784755</v>
      </c>
      <c r="P202" s="39">
        <v>73</v>
      </c>
      <c r="S202" s="39">
        <v>44.999999997986428</v>
      </c>
    </row>
    <row r="203" spans="1:19" x14ac:dyDescent="0.2">
      <c r="A203" s="38">
        <v>-74</v>
      </c>
      <c r="B203" s="51">
        <v>226.58248366220445</v>
      </c>
      <c r="C203" s="51">
        <v>301.21719610670499</v>
      </c>
      <c r="D203" s="50">
        <f t="shared" si="35"/>
        <v>53.048675783317641</v>
      </c>
      <c r="P203" s="39">
        <v>74</v>
      </c>
      <c r="S203" s="39">
        <v>45.000000004981047</v>
      </c>
    </row>
    <row r="204" spans="1:19" x14ac:dyDescent="0.2">
      <c r="A204" s="37">
        <v>-75</v>
      </c>
      <c r="B204" s="51">
        <v>214.465310548698</v>
      </c>
      <c r="C204" s="51">
        <v>306.92627539017786</v>
      </c>
      <c r="D204" s="50">
        <f t="shared" si="35"/>
        <v>55.056002761352524</v>
      </c>
      <c r="P204" s="39">
        <v>75</v>
      </c>
      <c r="S204" s="39">
        <v>45.00000000107886</v>
      </c>
    </row>
    <row r="205" spans="1:19" x14ac:dyDescent="0.2">
      <c r="A205" s="37">
        <v>-76</v>
      </c>
      <c r="B205" s="51">
        <v>201.0236427395823</v>
      </c>
      <c r="C205" s="51">
        <v>313.19673230802135</v>
      </c>
      <c r="D205" s="50">
        <f t="shared" si="35"/>
        <v>57.305841086377406</v>
      </c>
      <c r="P205" s="39">
        <v>76</v>
      </c>
      <c r="S205" s="39">
        <v>44.999999991552365</v>
      </c>
    </row>
    <row r="206" spans="1:19" x14ac:dyDescent="0.2">
      <c r="A206" s="38">
        <v>-77</v>
      </c>
      <c r="B206" s="51">
        <v>185.92012693960811</v>
      </c>
      <c r="C206" s="51">
        <v>320.14574503784752</v>
      </c>
      <c r="D206" s="50">
        <f t="shared" si="35"/>
        <v>59.85472657681111</v>
      </c>
      <c r="P206" s="39">
        <v>77</v>
      </c>
      <c r="S206" s="39">
        <v>45.000000008498866</v>
      </c>
    </row>
    <row r="207" spans="1:19" x14ac:dyDescent="0.2">
      <c r="A207" s="38">
        <v>-78</v>
      </c>
      <c r="B207" s="51">
        <v>169.1360276042202</v>
      </c>
      <c r="C207" s="51">
        <v>327.73146188759279</v>
      </c>
      <c r="D207" s="50">
        <f t="shared" si="35"/>
        <v>62.702594483283512</v>
      </c>
      <c r="P207">
        <v>78</v>
      </c>
      <c r="S207">
        <v>45.000000007252908</v>
      </c>
    </row>
    <row r="208" spans="1:19" x14ac:dyDescent="0.2">
      <c r="A208" s="37">
        <v>-79</v>
      </c>
      <c r="B208" s="51">
        <v>151.5642408658274</v>
      </c>
      <c r="C208" s="51">
        <v>335.52425820288994</v>
      </c>
      <c r="D208" s="50">
        <f t="shared" si="35"/>
        <v>65.690180793928818</v>
      </c>
      <c r="P208">
        <v>79</v>
      </c>
      <c r="S208">
        <v>45.000000009808083</v>
      </c>
    </row>
    <row r="209" spans="1:19" x14ac:dyDescent="0.2">
      <c r="A209" s="37">
        <v>-80</v>
      </c>
      <c r="B209" s="51">
        <v>131.7059046824721</v>
      </c>
      <c r="C209" s="51">
        <v>340.53461997640005</v>
      </c>
      <c r="D209" s="50">
        <f t="shared" si="35"/>
        <v>68.855415684463438</v>
      </c>
      <c r="P209">
        <v>80</v>
      </c>
      <c r="S209">
        <v>45.000000002539785</v>
      </c>
    </row>
    <row r="210" spans="1:19" x14ac:dyDescent="0.2">
      <c r="A210" s="38">
        <v>-81</v>
      </c>
      <c r="B210" s="51">
        <v>111.3260921110916</v>
      </c>
      <c r="C210" s="51">
        <v>345.24208771583056</v>
      </c>
      <c r="D210" s="50">
        <f t="shared" si="35"/>
        <v>72.127665523114629</v>
      </c>
      <c r="P210">
        <v>81</v>
      </c>
      <c r="S210">
        <v>44.999999995704101</v>
      </c>
    </row>
    <row r="211" spans="1:19" x14ac:dyDescent="0.2">
      <c r="A211" s="38">
        <v>-82</v>
      </c>
      <c r="B211" s="51">
        <v>90.480113626436449</v>
      </c>
      <c r="C211" s="51">
        <v>349.85613539237664</v>
      </c>
      <c r="D211" s="50">
        <f t="shared" si="35"/>
        <v>75.499821166431545</v>
      </c>
      <c r="P211">
        <v>82</v>
      </c>
      <c r="S211">
        <v>44.999999997659856</v>
      </c>
    </row>
    <row r="212" spans="1:19" x14ac:dyDescent="0.2">
      <c r="A212" s="37">
        <v>-83</v>
      </c>
      <c r="B212" s="51">
        <v>69.102378858342902</v>
      </c>
      <c r="C212" s="51">
        <v>354.39540791033954</v>
      </c>
      <c r="D212" s="50">
        <f t="shared" si="35"/>
        <v>78.966527021662856</v>
      </c>
      <c r="P212">
        <v>83</v>
      </c>
      <c r="S212">
        <v>44.999999992893265</v>
      </c>
    </row>
    <row r="213" spans="1:19" x14ac:dyDescent="0.2">
      <c r="A213" s="37">
        <v>-84</v>
      </c>
      <c r="B213" s="51">
        <v>47.119681274435152</v>
      </c>
      <c r="C213" s="51">
        <v>358.87934578782404</v>
      </c>
      <c r="D213" s="50">
        <f t="shared" si="35"/>
        <v>82.520038135970324</v>
      </c>
      <c r="P213">
        <v>84</v>
      </c>
      <c r="S213">
        <v>45.000000004866621</v>
      </c>
    </row>
    <row r="214" spans="1:19" x14ac:dyDescent="0.2">
      <c r="A214" s="38">
        <v>-85</v>
      </c>
      <c r="B214" s="51">
        <v>24.712509058098789</v>
      </c>
      <c r="C214" s="51">
        <v>363.18492367453968</v>
      </c>
      <c r="D214" s="50">
        <f t="shared" si="35"/>
        <v>86.10737339858801</v>
      </c>
      <c r="P214">
        <v>85</v>
      </c>
      <c r="S214">
        <v>44.999999991264495</v>
      </c>
    </row>
    <row r="215" spans="1:19" x14ac:dyDescent="0.2">
      <c r="A215" s="38">
        <v>-86</v>
      </c>
      <c r="B215" s="51">
        <v>7.5295547161463183</v>
      </c>
      <c r="C215" s="51">
        <v>364.19078835661782</v>
      </c>
      <c r="D215" s="50">
        <f t="shared" si="35"/>
        <v>88.815592628704181</v>
      </c>
      <c r="P215">
        <v>86</v>
      </c>
      <c r="S215">
        <v>44.999999995703966</v>
      </c>
    </row>
    <row r="216" spans="1:19" x14ac:dyDescent="0.2">
      <c r="A216" s="37">
        <v>-87</v>
      </c>
      <c r="B216" s="51">
        <v>-10.146569890635011</v>
      </c>
      <c r="C216" s="51">
        <v>364.97485369685461</v>
      </c>
      <c r="D216" s="50">
        <f t="shared" si="35"/>
        <v>91.592454718165982</v>
      </c>
      <c r="P216">
        <v>87</v>
      </c>
      <c r="S216">
        <v>45.00000000612944</v>
      </c>
    </row>
    <row r="217" spans="1:19" x14ac:dyDescent="0.2">
      <c r="A217" s="37">
        <v>-88</v>
      </c>
      <c r="B217" s="51">
        <v>-28.420792612139508</v>
      </c>
      <c r="C217" s="51">
        <v>365.53926735781937</v>
      </c>
      <c r="D217" s="50">
        <f t="shared" si="35"/>
        <v>94.445820718209418</v>
      </c>
      <c r="P217">
        <v>88</v>
      </c>
      <c r="S217">
        <v>44.999999994496306</v>
      </c>
    </row>
    <row r="218" spans="1:19" x14ac:dyDescent="0.2">
      <c r="A218" s="38">
        <v>-89</v>
      </c>
      <c r="B218" s="51">
        <v>-42.913035925015222</v>
      </c>
      <c r="C218" s="51">
        <v>365.78409639516826</v>
      </c>
      <c r="D218" s="50">
        <f t="shared" si="35"/>
        <v>96.69123629786786</v>
      </c>
      <c r="P218">
        <v>89</v>
      </c>
      <c r="S218">
        <v>44.999999995024808</v>
      </c>
    </row>
    <row r="219" spans="1:19" x14ac:dyDescent="0.2">
      <c r="A219" s="38">
        <v>-90</v>
      </c>
      <c r="B219" s="51">
        <v>-62.864999999999881</v>
      </c>
      <c r="C219" s="51">
        <v>365.91666755273656</v>
      </c>
      <c r="D219" s="50">
        <f t="shared" si="35"/>
        <v>99.748329564600709</v>
      </c>
      <c r="P219">
        <v>90</v>
      </c>
      <c r="S219">
        <v>44.999999997511033</v>
      </c>
    </row>
    <row r="220" spans="1:19" x14ac:dyDescent="0.2">
      <c r="A220" s="37">
        <v>-91</v>
      </c>
      <c r="B220" s="51">
        <v>-82.816964074984696</v>
      </c>
      <c r="C220" s="51">
        <v>365.78409639516826</v>
      </c>
      <c r="D220" s="50">
        <f t="shared" si="35"/>
        <v>102.7572227444936</v>
      </c>
      <c r="P220">
        <v>91</v>
      </c>
      <c r="S220">
        <v>45.000000005994309</v>
      </c>
    </row>
    <row r="221" spans="1:19" x14ac:dyDescent="0.2">
      <c r="A221" s="37">
        <v>-92</v>
      </c>
      <c r="B221" s="51">
        <v>-97.309207387860397</v>
      </c>
      <c r="C221" s="51">
        <v>365.53926735781943</v>
      </c>
      <c r="D221" s="50">
        <f t="shared" si="35"/>
        <v>104.90683991652152</v>
      </c>
      <c r="P221">
        <v>92</v>
      </c>
      <c r="S221">
        <v>44.999999992742765</v>
      </c>
    </row>
    <row r="222" spans="1:19" x14ac:dyDescent="0.2">
      <c r="A222" s="38">
        <v>-93</v>
      </c>
      <c r="B222" s="51">
        <v>-115.58343010936483</v>
      </c>
      <c r="C222" s="51">
        <v>364.97485369685461</v>
      </c>
      <c r="D222" s="50">
        <f t="shared" si="35"/>
        <v>107.57240872405313</v>
      </c>
      <c r="P222">
        <v>93</v>
      </c>
      <c r="S222">
        <v>45.000000006247902</v>
      </c>
    </row>
    <row r="223" spans="1:19" x14ac:dyDescent="0.2">
      <c r="A223" s="38">
        <v>-94</v>
      </c>
      <c r="B223" s="51">
        <v>-133.2595547161464</v>
      </c>
      <c r="C223" s="51">
        <v>364.19078835661782</v>
      </c>
      <c r="D223" s="50">
        <f t="shared" si="35"/>
        <v>110.09787053754181</v>
      </c>
      <c r="P223">
        <v>94</v>
      </c>
      <c r="S223">
        <v>44.999999995830031</v>
      </c>
    </row>
    <row r="224" spans="1:19" x14ac:dyDescent="0.2">
      <c r="A224" s="37">
        <v>-95</v>
      </c>
      <c r="B224" s="51">
        <v>-150.44250905809895</v>
      </c>
      <c r="C224" s="51">
        <v>363.18492367453979</v>
      </c>
      <c r="D224" s="50">
        <f t="shared" si="35"/>
        <v>112.5008601798404</v>
      </c>
      <c r="P224">
        <v>95</v>
      </c>
      <c r="S224">
        <v>44.999999997627441</v>
      </c>
    </row>
    <row r="225" spans="1:19" x14ac:dyDescent="0.2">
      <c r="A225" s="37">
        <v>-96</v>
      </c>
      <c r="B225" s="51">
        <v>-167.2181898840463</v>
      </c>
      <c r="C225" s="51">
        <v>361.95467998256453</v>
      </c>
      <c r="D225" s="50">
        <f t="shared" si="35"/>
        <v>114.79630148811752</v>
      </c>
      <c r="P225">
        <v>96</v>
      </c>
      <c r="S225">
        <v>45.000000000234508</v>
      </c>
    </row>
    <row r="226" spans="1:19" x14ac:dyDescent="0.2">
      <c r="A226" s="38">
        <v>-97</v>
      </c>
      <c r="B226" s="51">
        <v>-183.65792738661884</v>
      </c>
      <c r="C226" s="51">
        <v>360.49701750856445</v>
      </c>
      <c r="D226" s="50">
        <f t="shared" si="35"/>
        <v>116.99691139957726</v>
      </c>
      <c r="P226">
        <v>97</v>
      </c>
      <c r="S226">
        <v>44.999999990039775</v>
      </c>
    </row>
    <row r="227" spans="1:19" x14ac:dyDescent="0.2">
      <c r="A227" s="38">
        <v>-98</v>
      </c>
      <c r="B227" s="51">
        <v>-199.82178569741458</v>
      </c>
      <c r="C227" s="51">
        <v>358.80823991968083</v>
      </c>
      <c r="D227" s="50">
        <f t="shared" si="35"/>
        <v>119.11361381368623</v>
      </c>
      <c r="P227">
        <v>98</v>
      </c>
      <c r="S227">
        <v>45.000000005972097</v>
      </c>
    </row>
    <row r="228" spans="1:19" x14ac:dyDescent="0.2">
      <c r="A228" s="37">
        <v>-99</v>
      </c>
      <c r="B228" s="51">
        <v>-215.7610022494558</v>
      </c>
      <c r="C228" s="51">
        <v>356.88415049709232</v>
      </c>
      <c r="D228" s="50">
        <f t="shared" si="35"/>
        <v>121.15584634333798</v>
      </c>
      <c r="P228">
        <v>99</v>
      </c>
      <c r="S228">
        <v>44.999999997676056</v>
      </c>
    </row>
    <row r="229" spans="1:19" x14ac:dyDescent="0.2">
      <c r="A229" s="37">
        <v>-100</v>
      </c>
      <c r="B229" s="51">
        <v>-228.01382665789828</v>
      </c>
      <c r="C229" s="51">
        <v>351.40697871634961</v>
      </c>
      <c r="D229" s="50">
        <f t="shared" si="35"/>
        <v>122.97791434324706</v>
      </c>
      <c r="P229">
        <v>100</v>
      </c>
      <c r="S229">
        <v>45.000000009666508</v>
      </c>
    </row>
    <row r="230" spans="1:19" x14ac:dyDescent="0.2">
      <c r="A230" s="38">
        <v>-101</v>
      </c>
      <c r="B230" s="51">
        <v>-238.9839968225676</v>
      </c>
      <c r="C230" s="51">
        <v>345.14714933504735</v>
      </c>
      <c r="D230" s="50">
        <f t="shared" si="35"/>
        <v>124.69918987956017</v>
      </c>
      <c r="P230">
        <v>101</v>
      </c>
      <c r="S230">
        <v>45.000000002426589</v>
      </c>
    </row>
    <row r="231" spans="1:19" x14ac:dyDescent="0.2">
      <c r="A231" s="38">
        <v>-102</v>
      </c>
      <c r="B231" s="51">
        <v>-249.72764031075059</v>
      </c>
      <c r="C231" s="51">
        <v>339.06212467938082</v>
      </c>
      <c r="D231" s="50">
        <f t="shared" si="35"/>
        <v>126.3725645899483</v>
      </c>
    </row>
    <row r="232" spans="1:19" x14ac:dyDescent="0.2">
      <c r="A232" s="37">
        <v>-103</v>
      </c>
      <c r="B232" s="51">
        <v>-260.29516845076898</v>
      </c>
      <c r="C232" s="51">
        <v>333.102755925927</v>
      </c>
      <c r="D232" s="50">
        <f t="shared" si="35"/>
        <v>128.00499545703099</v>
      </c>
    </row>
    <row r="233" spans="1:19" x14ac:dyDescent="0.2">
      <c r="A233" s="37">
        <v>-104</v>
      </c>
      <c r="B233" s="51">
        <v>-270.72842148298781</v>
      </c>
      <c r="C233" s="51">
        <v>327.22657411845989</v>
      </c>
      <c r="D233" s="50">
        <f t="shared" si="35"/>
        <v>129.60239671899919</v>
      </c>
    </row>
    <row r="234" spans="1:19" x14ac:dyDescent="0.2">
      <c r="A234" s="38">
        <v>-105</v>
      </c>
      <c r="B234" s="51">
        <v>-280.71018733116591</v>
      </c>
      <c r="C234" s="51">
        <v>321.59121453499552</v>
      </c>
      <c r="D234" s="50">
        <f t="shared" si="35"/>
        <v>131.11702175106396</v>
      </c>
    </row>
    <row r="235" spans="1:19" x14ac:dyDescent="0.2">
      <c r="A235" s="38">
        <v>-106</v>
      </c>
      <c r="B235" s="51">
        <v>-289.9153826458018</v>
      </c>
      <c r="C235" s="51">
        <v>316.38075943354539</v>
      </c>
      <c r="D235" s="50">
        <f t="shared" si="35"/>
        <v>132.50057389542488</v>
      </c>
    </row>
    <row r="236" spans="1:19" x14ac:dyDescent="0.2">
      <c r="A236" s="37">
        <v>-107</v>
      </c>
      <c r="B236" s="51">
        <v>-300.37517798202674</v>
      </c>
      <c r="C236" s="51">
        <v>310.20754987985481</v>
      </c>
      <c r="D236" s="50">
        <f t="shared" si="35"/>
        <v>134.07743095423845</v>
      </c>
    </row>
    <row r="237" spans="1:19" x14ac:dyDescent="0.2">
      <c r="A237" s="37">
        <v>-108</v>
      </c>
      <c r="B237" s="51">
        <v>-312.41447617416668</v>
      </c>
      <c r="C237" s="51">
        <v>302.82073065839143</v>
      </c>
      <c r="D237" s="50">
        <f t="shared" si="35"/>
        <v>135.89337634532225</v>
      </c>
    </row>
    <row r="238" spans="1:19" x14ac:dyDescent="0.2">
      <c r="A238" s="38">
        <v>-109</v>
      </c>
      <c r="B238" s="51">
        <v>-323.54291849737331</v>
      </c>
      <c r="C238" s="51">
        <v>295.977993460986</v>
      </c>
      <c r="D238" s="50">
        <f t="shared" si="35"/>
        <v>137.54763455404</v>
      </c>
    </row>
    <row r="239" spans="1:19" x14ac:dyDescent="0.2">
      <c r="A239" s="38">
        <v>-110</v>
      </c>
      <c r="B239" s="51">
        <v>-333.91269878066311</v>
      </c>
      <c r="C239" s="51">
        <v>289.60173483633497</v>
      </c>
      <c r="D239" s="50">
        <f t="shared" si="35"/>
        <v>139.06497414562023</v>
      </c>
    </row>
    <row r="240" spans="1:19" x14ac:dyDescent="0.2">
      <c r="A240" s="37">
        <v>-111</v>
      </c>
      <c r="B240" s="51">
        <v>-343.64585137349974</v>
      </c>
      <c r="C240" s="51">
        <v>283.62779133971327</v>
      </c>
      <c r="D240" s="50">
        <f t="shared" si="35"/>
        <v>140.46546954796736</v>
      </c>
    </row>
    <row r="241" spans="1:4" x14ac:dyDescent="0.2">
      <c r="A241" s="37">
        <v>-112</v>
      </c>
      <c r="B241" s="51">
        <v>-352.84148058531747</v>
      </c>
      <c r="C241" s="51">
        <v>278.00271751446525</v>
      </c>
      <c r="D241" s="50">
        <f t="shared" si="35"/>
        <v>141.76553366190774</v>
      </c>
    </row>
    <row r="242" spans="1:4" x14ac:dyDescent="0.2">
      <c r="A242" s="38">
        <v>-113</v>
      </c>
      <c r="B242" s="51">
        <v>-361.5810225363839</v>
      </c>
      <c r="C242" s="51">
        <v>272.68133882842949</v>
      </c>
      <c r="D242" s="50">
        <f t="shared" si="35"/>
        <v>142.97873163009228</v>
      </c>
    </row>
    <row r="243" spans="1:4" x14ac:dyDescent="0.2">
      <c r="A243" s="38">
        <v>-114</v>
      </c>
      <c r="B243" s="51">
        <v>-369.9321503954402</v>
      </c>
      <c r="C243" s="51">
        <v>267.62533315289778</v>
      </c>
      <c r="D243" s="50">
        <f t="shared" si="35"/>
        <v>144.11635379583902</v>
      </c>
    </row>
    <row r="244" spans="1:4" x14ac:dyDescent="0.2">
      <c r="A244" s="37">
        <v>-115</v>
      </c>
      <c r="B244" s="51">
        <v>-377.95169394986073</v>
      </c>
      <c r="C244" s="51">
        <v>262.80181725103233</v>
      </c>
      <c r="D244" s="50">
        <f t="shared" si="35"/>
        <v>145.18788406284926</v>
      </c>
    </row>
    <row r="245" spans="1:4" x14ac:dyDescent="0.2">
      <c r="A245" s="37">
        <v>-116</v>
      </c>
      <c r="B245" s="51">
        <v>-385.68784549467262</v>
      </c>
      <c r="C245" s="51">
        <v>258.182306741101</v>
      </c>
      <c r="D245" s="50">
        <f t="shared" si="35"/>
        <v>146.20135426379173</v>
      </c>
    </row>
    <row r="246" spans="1:4" x14ac:dyDescent="0.2">
      <c r="A246" s="38">
        <v>-117</v>
      </c>
      <c r="B246" s="51">
        <v>-393.18189931444761</v>
      </c>
      <c r="C246" s="51">
        <v>253.74203576042419</v>
      </c>
      <c r="D246" s="50">
        <f t="shared" si="35"/>
        <v>147.16360860194638</v>
      </c>
    </row>
    <row r="247" spans="1:4" x14ac:dyDescent="0.2">
      <c r="A247" s="38">
        <v>-118</v>
      </c>
      <c r="B247" s="51">
        <v>-400.46954503235571</v>
      </c>
      <c r="C247" s="51">
        <v>249.45918982420901</v>
      </c>
      <c r="D247" s="50">
        <f t="shared" si="35"/>
        <v>148.08052986477489</v>
      </c>
    </row>
    <row r="248" spans="1:4" x14ac:dyDescent="0.2">
      <c r="A248" s="37">
        <v>-119</v>
      </c>
      <c r="B248" s="51">
        <v>-407.5819632326706</v>
      </c>
      <c r="C248" s="51">
        <v>245.31453077523651</v>
      </c>
      <c r="D248" s="50">
        <f t="shared" si="35"/>
        <v>148.95719916917966</v>
      </c>
    </row>
    <row r="249" spans="1:4" x14ac:dyDescent="0.2">
      <c r="A249" s="37">
        <v>-120</v>
      </c>
      <c r="B249" s="51">
        <v>-414.54658627717578</v>
      </c>
      <c r="C249" s="51">
        <v>241.29080276865903</v>
      </c>
      <c r="D249" s="50">
        <f t="shared" si="35"/>
        <v>149.79804588029899</v>
      </c>
    </row>
    <row r="250" spans="1:4" x14ac:dyDescent="0.2">
      <c r="A250" s="38">
        <v>-121</v>
      </c>
      <c r="B250" s="51">
        <v>-421.38784104181383</v>
      </c>
      <c r="C250" s="51">
        <v>237.37256426968807</v>
      </c>
      <c r="D250" s="50">
        <f t="shared" si="35"/>
        <v>150.6069440859641</v>
      </c>
    </row>
    <row r="251" spans="1:4" x14ac:dyDescent="0.2">
      <c r="A251" s="38">
        <v>-122</v>
      </c>
      <c r="B251" s="51">
        <v>-428.12764246143649</v>
      </c>
      <c r="C251" s="51">
        <v>233.54579262239443</v>
      </c>
      <c r="D251" s="50">
        <f t="shared" si="35"/>
        <v>151.38731004045539</v>
      </c>
    </row>
    <row r="252" spans="1:4" x14ac:dyDescent="0.2">
      <c r="A252" s="37">
        <v>-123</v>
      </c>
      <c r="B252" s="51">
        <v>-434.78585593584734</v>
      </c>
      <c r="C252" s="51">
        <v>229.79768548744565</v>
      </c>
      <c r="D252" s="50">
        <f t="shared" si="35"/>
        <v>152.14217200542708</v>
      </c>
    </row>
    <row r="253" spans="1:4" x14ac:dyDescent="0.2">
      <c r="A253" s="37">
        <v>-124</v>
      </c>
      <c r="B253" s="51">
        <v>-441.38069346702906</v>
      </c>
      <c r="C253" s="51">
        <v>226.1164974242551</v>
      </c>
      <c r="D253" s="50">
        <f t="shared" si="35"/>
        <v>152.87422773244541</v>
      </c>
    </row>
    <row r="254" spans="1:4" x14ac:dyDescent="0.2">
      <c r="A254" s="38">
        <v>-125</v>
      </c>
      <c r="B254" s="51">
        <v>-447.92893532284216</v>
      </c>
      <c r="C254" s="51">
        <v>222.49123765612595</v>
      </c>
      <c r="D254" s="50">
        <f t="shared" si="35"/>
        <v>153.58590287764869</v>
      </c>
    </row>
    <row r="255" spans="1:4" x14ac:dyDescent="0.2">
      <c r="A255" s="38">
        <v>-126</v>
      </c>
      <c r="B255" s="51">
        <v>-454.44629279529971</v>
      </c>
      <c r="C255" s="51">
        <v>218.91167494139896</v>
      </c>
      <c r="D255" s="50">
        <f t="shared" si="35"/>
        <v>154.27938215652256</v>
      </c>
    </row>
    <row r="256" spans="1:4" x14ac:dyDescent="0.2">
      <c r="A256" s="37">
        <v>-127</v>
      </c>
      <c r="B256" s="51">
        <v>-460.9475456390345</v>
      </c>
      <c r="C256" s="51">
        <v>215.36808545023783</v>
      </c>
      <c r="D256" s="50">
        <f t="shared" si="35"/>
        <v>154.95665223280295</v>
      </c>
    </row>
    <row r="257" spans="1:4" x14ac:dyDescent="0.2">
      <c r="A257" s="37">
        <v>-128</v>
      </c>
      <c r="B257" s="51">
        <v>-467.44680322606308</v>
      </c>
      <c r="C257" s="51">
        <v>211.85122610238167</v>
      </c>
      <c r="D257" s="50">
        <f t="shared" si="35"/>
        <v>155.61952551323171</v>
      </c>
    </row>
    <row r="258" spans="1:4" x14ac:dyDescent="0.2">
      <c r="A258" s="38">
        <v>-129</v>
      </c>
      <c r="B258" s="51">
        <v>-473.9576526384962</v>
      </c>
      <c r="C258" s="51">
        <v>208.35219570936715</v>
      </c>
      <c r="D258" s="50">
        <f t="shared" ref="D258:D321" si="36">IF(DEGREES(ATAN2(B258,C258))&lt;0,DEGREES(ATAN2(B258,C258))+360,DEGREES(ATAN2(B258,C258)))</f>
        <v>156.26966763643054</v>
      </c>
    </row>
    <row r="259" spans="1:4" x14ac:dyDescent="0.2">
      <c r="A259" s="38">
        <v>-130</v>
      </c>
      <c r="B259" s="51">
        <v>-480.49326699580865</v>
      </c>
      <c r="C259" s="51">
        <v>204.86229348818421</v>
      </c>
      <c r="D259" s="50">
        <f t="shared" si="36"/>
        <v>156.90862177967165</v>
      </c>
    </row>
    <row r="260" spans="1:4" x14ac:dyDescent="0.2">
      <c r="A260" s="37">
        <v>-131</v>
      </c>
      <c r="B260" s="51">
        <v>-487.06660573229755</v>
      </c>
      <c r="C260" s="51">
        <v>201.37299709778478</v>
      </c>
      <c r="D260" s="50">
        <f t="shared" si="36"/>
        <v>157.53782337174204</v>
      </c>
    </row>
    <row r="261" spans="1:4" x14ac:dyDescent="0.2">
      <c r="A261" s="37">
        <v>-132</v>
      </c>
      <c r="B261" s="51">
        <v>-493.69052120195317</v>
      </c>
      <c r="C261" s="51">
        <v>197.87585007238866</v>
      </c>
      <c r="D261" s="50">
        <f t="shared" si="36"/>
        <v>158.15861820309598</v>
      </c>
    </row>
    <row r="262" spans="1:4" x14ac:dyDescent="0.2">
      <c r="A262" s="38">
        <v>-133</v>
      </c>
      <c r="B262" s="51">
        <v>-500.37785557803556</v>
      </c>
      <c r="C262" s="51">
        <v>194.3623572008099</v>
      </c>
      <c r="D262" s="50">
        <f t="shared" si="36"/>
        <v>158.77227808939236</v>
      </c>
    </row>
    <row r="263" spans="1:4" x14ac:dyDescent="0.2">
      <c r="A263" s="38">
        <v>-134</v>
      </c>
      <c r="B263" s="51">
        <v>-507.14163040648094</v>
      </c>
      <c r="C263" s="51">
        <v>190.82396273761572</v>
      </c>
      <c r="D263" s="50">
        <f t="shared" si="36"/>
        <v>159.38001059358712</v>
      </c>
    </row>
    <row r="264" spans="1:4" x14ac:dyDescent="0.2">
      <c r="A264" s="37">
        <v>-135</v>
      </c>
      <c r="B264" s="51">
        <v>-513.99504255311683</v>
      </c>
      <c r="C264" s="51">
        <v>187.25186688220811</v>
      </c>
      <c r="D264" s="50">
        <f t="shared" si="36"/>
        <v>159.98297601496864</v>
      </c>
    </row>
    <row r="265" spans="1:4" x14ac:dyDescent="0.2">
      <c r="A265" s="37">
        <v>-136</v>
      </c>
      <c r="B265" s="51">
        <v>-520.95171459290236</v>
      </c>
      <c r="C265" s="51">
        <v>183.63704610832977</v>
      </c>
      <c r="D265" s="50">
        <f t="shared" si="36"/>
        <v>160.58229259120878</v>
      </c>
    </row>
    <row r="266" spans="1:4" x14ac:dyDescent="0.2">
      <c r="A266" s="38">
        <v>-137</v>
      </c>
      <c r="B266" s="51">
        <v>-528.02571353307292</v>
      </c>
      <c r="C266" s="51">
        <v>179.97008228640493</v>
      </c>
      <c r="D266" s="50">
        <f t="shared" si="36"/>
        <v>161.17905056984978</v>
      </c>
    </row>
    <row r="267" spans="1:4" x14ac:dyDescent="0.2">
      <c r="A267" s="38">
        <v>-138</v>
      </c>
      <c r="B267" s="51">
        <v>-533.81297062590397</v>
      </c>
      <c r="C267" s="51">
        <v>176.8317215484802</v>
      </c>
      <c r="D267" s="50">
        <f t="shared" si="36"/>
        <v>161.67195057460211</v>
      </c>
    </row>
    <row r="268" spans="1:4" x14ac:dyDescent="0.2">
      <c r="A268" s="37">
        <v>-139</v>
      </c>
      <c r="B268" s="51">
        <v>-538.58282735617422</v>
      </c>
      <c r="C268" s="51">
        <v>174.12277540527919</v>
      </c>
      <c r="D268" s="50">
        <f t="shared" si="36"/>
        <v>162.08408128378795</v>
      </c>
    </row>
    <row r="269" spans="1:4" x14ac:dyDescent="0.2">
      <c r="A269" s="37">
        <v>-140</v>
      </c>
      <c r="B269" s="51">
        <v>-543.40822206448024</v>
      </c>
      <c r="C269" s="51">
        <v>171.39927460847588</v>
      </c>
      <c r="D269" s="50">
        <f t="shared" si="36"/>
        <v>162.49392754858559</v>
      </c>
    </row>
    <row r="270" spans="1:4" x14ac:dyDescent="0.2">
      <c r="A270" s="38">
        <v>-141</v>
      </c>
      <c r="B270" s="51">
        <v>-548.29901671793095</v>
      </c>
      <c r="C270" s="51">
        <v>168.65537418468713</v>
      </c>
      <c r="D270" s="50">
        <f t="shared" si="36"/>
        <v>162.90223655537002</v>
      </c>
    </row>
    <row r="271" spans="1:4" x14ac:dyDescent="0.2">
      <c r="A271" s="38">
        <v>-142</v>
      </c>
      <c r="B271" s="51">
        <v>-553.26563344194858</v>
      </c>
      <c r="C271" s="51">
        <v>165.884937702348</v>
      </c>
      <c r="D271" s="50">
        <f t="shared" si="36"/>
        <v>163.30975846660357</v>
      </c>
    </row>
    <row r="272" spans="1:4" x14ac:dyDescent="0.2">
      <c r="A272" s="37">
        <v>-143</v>
      </c>
      <c r="B272" s="51">
        <v>-558.31888353446141</v>
      </c>
      <c r="C272" s="51">
        <v>163.08149940669679</v>
      </c>
      <c r="D272" s="50">
        <f t="shared" si="36"/>
        <v>163.71724219498844</v>
      </c>
    </row>
    <row r="273" spans="1:4" x14ac:dyDescent="0.2">
      <c r="A273" s="37">
        <v>-144</v>
      </c>
      <c r="B273" s="51">
        <v>-563.4703581785036</v>
      </c>
      <c r="C273" s="51">
        <v>160.23814546940704</v>
      </c>
      <c r="D273" s="50">
        <f t="shared" si="36"/>
        <v>164.12545447859117</v>
      </c>
    </row>
    <row r="274" spans="1:4" x14ac:dyDescent="0.2">
      <c r="A274" s="38">
        <v>-145</v>
      </c>
      <c r="B274" s="51">
        <v>-568.73226892687478</v>
      </c>
      <c r="C274" s="51">
        <v>157.34746742043026</v>
      </c>
      <c r="D274" s="50">
        <f t="shared" si="36"/>
        <v>164.53517543512203</v>
      </c>
    </row>
    <row r="275" spans="1:4" x14ac:dyDescent="0.2">
      <c r="A275" s="38">
        <v>-146</v>
      </c>
      <c r="B275" s="51">
        <v>-574.1178872540944</v>
      </c>
      <c r="C275" s="51">
        <v>154.40140146586549</v>
      </c>
      <c r="D275" s="50">
        <f t="shared" si="36"/>
        <v>164.94722024319182</v>
      </c>
    </row>
    <row r="276" spans="1:4" x14ac:dyDescent="0.2">
      <c r="A276" s="37">
        <v>-147</v>
      </c>
      <c r="B276" s="51">
        <v>-579.64140977397267</v>
      </c>
      <c r="C276" s="51">
        <v>151.3911608425008</v>
      </c>
      <c r="D276" s="50">
        <f t="shared" si="36"/>
        <v>165.36243534979261</v>
      </c>
    </row>
    <row r="277" spans="1:4" x14ac:dyDescent="0.2">
      <c r="A277" s="37">
        <v>-148</v>
      </c>
      <c r="B277" s="51">
        <v>-585.31826463556126</v>
      </c>
      <c r="C277" s="51">
        <v>148.3070683233509</v>
      </c>
      <c r="D277" s="50">
        <f t="shared" si="36"/>
        <v>165.78171435472439</v>
      </c>
    </row>
    <row r="278" spans="1:4" x14ac:dyDescent="0.2">
      <c r="A278" s="38">
        <v>-149</v>
      </c>
      <c r="B278" s="51">
        <v>-591.16547248451513</v>
      </c>
      <c r="C278" s="51">
        <v>145.13833767007588</v>
      </c>
      <c r="D278" s="50">
        <f t="shared" si="36"/>
        <v>166.20601731478371</v>
      </c>
    </row>
    <row r="279" spans="1:4" x14ac:dyDescent="0.2">
      <c r="A279" s="38">
        <v>-150</v>
      </c>
      <c r="B279" s="51">
        <v>-597.20136585857222</v>
      </c>
      <c r="C279" s="51">
        <v>141.87300978647684</v>
      </c>
      <c r="D279" s="50">
        <f t="shared" si="36"/>
        <v>166.63635909990205</v>
      </c>
    </row>
    <row r="280" spans="1:4" x14ac:dyDescent="0.2">
      <c r="A280" s="37">
        <v>-151</v>
      </c>
      <c r="B280" s="51">
        <v>-603.44664360221066</v>
      </c>
      <c r="C280" s="51">
        <v>138.49748224310139</v>
      </c>
      <c r="D280" s="50">
        <f t="shared" si="36"/>
        <v>167.07386276170678</v>
      </c>
    </row>
    <row r="281" spans="1:4" x14ac:dyDescent="0.2">
      <c r="A281" s="37">
        <v>-152</v>
      </c>
      <c r="B281" s="51">
        <v>-609.9240501433203</v>
      </c>
      <c r="C281" s="51">
        <v>134.99638728821688</v>
      </c>
      <c r="D281" s="50">
        <f t="shared" si="36"/>
        <v>167.51974647424342</v>
      </c>
    </row>
    <row r="282" spans="1:4" x14ac:dyDescent="0.2">
      <c r="A282" s="38">
        <v>-153</v>
      </c>
      <c r="B282" s="51">
        <v>-614.24404956238425</v>
      </c>
      <c r="C282" s="51">
        <v>130.55697186587457</v>
      </c>
      <c r="D282" s="50">
        <f t="shared" si="36"/>
        <v>168.00041333041088</v>
      </c>
    </row>
    <row r="283" spans="1:4" x14ac:dyDescent="0.2">
      <c r="A283" s="38">
        <v>-154</v>
      </c>
      <c r="B283" s="51">
        <v>-616.58200042896419</v>
      </c>
      <c r="C283" s="51">
        <v>125.39695483841751</v>
      </c>
      <c r="D283" s="50">
        <f t="shared" si="36"/>
        <v>168.50428949692571</v>
      </c>
    </row>
    <row r="284" spans="1:4" x14ac:dyDescent="0.2">
      <c r="A284" s="37">
        <v>-155</v>
      </c>
      <c r="B284" s="51">
        <v>-618.78333702205293</v>
      </c>
      <c r="C284" s="51">
        <v>120.30062355800533</v>
      </c>
      <c r="D284" s="50">
        <f t="shared" si="36"/>
        <v>168.99809713233012</v>
      </c>
    </row>
    <row r="285" spans="1:4" x14ac:dyDescent="0.2">
      <c r="A285" s="37">
        <v>-156</v>
      </c>
      <c r="B285" s="51">
        <v>-620.85485032560632</v>
      </c>
      <c r="C285" s="51">
        <v>115.26263479934431</v>
      </c>
      <c r="D285" s="50">
        <f t="shared" si="36"/>
        <v>169.48269309678901</v>
      </c>
    </row>
    <row r="286" spans="1:4" x14ac:dyDescent="0.2">
      <c r="A286" s="38">
        <v>-157</v>
      </c>
      <c r="B286" s="51">
        <v>-622.80332766195045</v>
      </c>
      <c r="C286" s="51">
        <v>110.27751698353102</v>
      </c>
      <c r="D286" s="50">
        <f t="shared" si="36"/>
        <v>169.95891940939848</v>
      </c>
    </row>
    <row r="287" spans="1:4" x14ac:dyDescent="0.2">
      <c r="A287" s="38">
        <v>-158</v>
      </c>
      <c r="B287" s="51">
        <v>-624.63446300694329</v>
      </c>
      <c r="C287" s="51">
        <v>105.33995020990204</v>
      </c>
      <c r="D287" s="50">
        <f t="shared" si="36"/>
        <v>170.42756301937447</v>
      </c>
    </row>
    <row r="288" spans="1:4" x14ac:dyDescent="0.2">
      <c r="A288" s="37">
        <v>-159</v>
      </c>
      <c r="B288" s="51">
        <v>-626.3540169877831</v>
      </c>
      <c r="C288" s="51">
        <v>100.4447042988178</v>
      </c>
      <c r="D288" s="50">
        <f t="shared" si="36"/>
        <v>170.88938302073163</v>
      </c>
    </row>
    <row r="289" spans="1:4" x14ac:dyDescent="0.2">
      <c r="A289" s="37">
        <v>-160</v>
      </c>
      <c r="B289" s="51">
        <v>-627.967145184385</v>
      </c>
      <c r="C289" s="51">
        <v>95.586634114811929</v>
      </c>
      <c r="D289" s="50">
        <f t="shared" si="36"/>
        <v>171.34510254196292</v>
      </c>
    </row>
    <row r="290" spans="1:4" x14ac:dyDescent="0.2">
      <c r="A290" s="38">
        <v>-161</v>
      </c>
      <c r="B290" s="51">
        <v>-629.47846029972072</v>
      </c>
      <c r="C290" s="51">
        <v>90.760651373692895</v>
      </c>
      <c r="D290" s="50">
        <f t="shared" si="36"/>
        <v>171.7954150029534</v>
      </c>
    </row>
    <row r="291" spans="1:4" x14ac:dyDescent="0.2">
      <c r="A291" s="38">
        <v>-162</v>
      </c>
      <c r="B291" s="51">
        <v>-630.89244562633098</v>
      </c>
      <c r="C291" s="51">
        <v>85.961685378020675</v>
      </c>
      <c r="D291" s="50">
        <f t="shared" si="36"/>
        <v>172.24099520405858</v>
      </c>
    </row>
    <row r="292" spans="1:4" x14ac:dyDescent="0.2">
      <c r="A292" s="37">
        <v>-163</v>
      </c>
      <c r="B292" s="51">
        <v>-632.21279805240249</v>
      </c>
      <c r="C292" s="51">
        <v>81.184674610026207</v>
      </c>
      <c r="D292" s="50">
        <f t="shared" si="36"/>
        <v>172.68249354285945</v>
      </c>
    </row>
    <row r="293" spans="1:4" x14ac:dyDescent="0.2">
      <c r="A293" s="37">
        <v>-164</v>
      </c>
      <c r="B293" s="51">
        <v>-633.44336934107514</v>
      </c>
      <c r="C293" s="51">
        <v>76.42450939705266</v>
      </c>
      <c r="D293" s="50">
        <f t="shared" si="36"/>
        <v>173.12055444771664</v>
      </c>
    </row>
    <row r="294" spans="1:4" x14ac:dyDescent="0.2">
      <c r="A294" s="38">
        <v>-165</v>
      </c>
      <c r="B294" s="51">
        <v>-634.58750966235141</v>
      </c>
      <c r="C294" s="51">
        <v>71.676019789163661</v>
      </c>
      <c r="D294" s="50">
        <f t="shared" si="36"/>
        <v>173.55581068796434</v>
      </c>
    </row>
    <row r="295" spans="1:4" x14ac:dyDescent="0.2">
      <c r="A295" s="38">
        <v>-166</v>
      </c>
      <c r="B295" s="51">
        <v>-635.64812634530131</v>
      </c>
      <c r="C295" s="51">
        <v>66.933939058650694</v>
      </c>
      <c r="D295" s="50">
        <f t="shared" si="36"/>
        <v>173.98888922741733</v>
      </c>
    </row>
    <row r="296" spans="1:4" x14ac:dyDescent="0.2">
      <c r="A296" s="37">
        <v>-167</v>
      </c>
      <c r="B296" s="51">
        <v>-636.62826090138401</v>
      </c>
      <c r="C296" s="51">
        <v>62.192850220746237</v>
      </c>
      <c r="D296" s="50">
        <f t="shared" si="36"/>
        <v>174.42042278850053</v>
      </c>
    </row>
    <row r="297" spans="1:4" x14ac:dyDescent="0.2">
      <c r="A297" s="37">
        <v>-168</v>
      </c>
      <c r="B297" s="51">
        <v>-637.53027606870489</v>
      </c>
      <c r="C297" s="51">
        <v>57.447166143827154</v>
      </c>
      <c r="D297" s="50">
        <f t="shared" si="36"/>
        <v>174.85104485546881</v>
      </c>
    </row>
    <row r="298" spans="1:4" x14ac:dyDescent="0.2">
      <c r="A298" s="38">
        <v>-169</v>
      </c>
      <c r="B298" s="51">
        <v>-638.35660949932446</v>
      </c>
      <c r="C298" s="51">
        <v>52.691062020963336</v>
      </c>
      <c r="D298" s="50">
        <f t="shared" si="36"/>
        <v>175.28140370653492</v>
      </c>
    </row>
    <row r="299" spans="1:4" x14ac:dyDescent="0.2">
      <c r="A299" s="38">
        <v>-170</v>
      </c>
      <c r="B299" s="51">
        <v>-639.10931710134389</v>
      </c>
      <c r="C299" s="51">
        <v>47.91843348895322</v>
      </c>
      <c r="D299" s="50">
        <f t="shared" si="36"/>
        <v>175.71216296929438</v>
      </c>
    </row>
    <row r="300" spans="1:4" x14ac:dyDescent="0.2">
      <c r="A300" s="37">
        <v>-171</v>
      </c>
      <c r="B300" s="51">
        <v>-639.46806527215961</v>
      </c>
      <c r="C300" s="51">
        <v>45.462332579956119</v>
      </c>
      <c r="D300" s="50">
        <f t="shared" si="36"/>
        <v>175.93345679251078</v>
      </c>
    </row>
    <row r="301" spans="1:4" x14ac:dyDescent="0.2">
      <c r="A301" s="37">
        <v>-172</v>
      </c>
      <c r="B301" s="51">
        <v>-640.08306561273878</v>
      </c>
      <c r="C301" s="51">
        <v>40.642741798284071</v>
      </c>
      <c r="D301" s="50">
        <f t="shared" si="36"/>
        <v>176.36682217232746</v>
      </c>
    </row>
    <row r="302" spans="1:4" x14ac:dyDescent="0.2">
      <c r="A302" s="38">
        <v>-173</v>
      </c>
      <c r="B302" s="51">
        <v>-640.62980603044571</v>
      </c>
      <c r="C302" s="51">
        <v>35.786650777824875</v>
      </c>
      <c r="D302" s="50">
        <f t="shared" si="36"/>
        <v>176.80268508121821</v>
      </c>
    </row>
    <row r="303" spans="1:4" x14ac:dyDescent="0.2">
      <c r="A303" s="38">
        <v>-174</v>
      </c>
      <c r="B303" s="51">
        <v>-641.10944804156384</v>
      </c>
      <c r="C303" s="51">
        <v>30.886181089965699</v>
      </c>
      <c r="D303" s="50">
        <f t="shared" si="36"/>
        <v>177.24184279630569</v>
      </c>
    </row>
    <row r="304" spans="1:4" x14ac:dyDescent="0.2">
      <c r="A304" s="37">
        <v>-175</v>
      </c>
      <c r="B304" s="51">
        <v>-641.5235089640056</v>
      </c>
      <c r="C304" s="51">
        <v>25.932737286177041</v>
      </c>
      <c r="D304" s="50">
        <f t="shared" si="36"/>
        <v>177.68515440570471</v>
      </c>
    </row>
    <row r="305" spans="1:4" x14ac:dyDescent="0.2">
      <c r="A305" s="37">
        <v>-176</v>
      </c>
      <c r="B305" s="51">
        <v>-641.87279679642756</v>
      </c>
      <c r="C305" s="51">
        <v>20.91688405382023</v>
      </c>
      <c r="D305" s="50">
        <f t="shared" si="36"/>
        <v>178.13354728579995</v>
      </c>
    </row>
    <row r="306" spans="1:4" x14ac:dyDescent="0.2">
      <c r="A306" s="38">
        <v>-177</v>
      </c>
      <c r="B306" s="51">
        <v>-642.15819819811668</v>
      </c>
      <c r="C306" s="51">
        <v>15.82815998562814</v>
      </c>
      <c r="D306" s="50">
        <f t="shared" si="36"/>
        <v>178.58803768818572</v>
      </c>
    </row>
    <row r="307" spans="1:4" x14ac:dyDescent="0.2">
      <c r="A307" s="38">
        <v>-178</v>
      </c>
      <c r="B307" s="51">
        <v>-642.38031378687469</v>
      </c>
      <c r="C307" s="51">
        <v>10.654871008388611</v>
      </c>
      <c r="D307" s="50">
        <f t="shared" si="36"/>
        <v>179.04974801922589</v>
      </c>
    </row>
    <row r="308" spans="1:4" x14ac:dyDescent="0.2">
      <c r="A308" s="37">
        <v>-179</v>
      </c>
      <c r="B308" s="51">
        <v>-642.5401078801774</v>
      </c>
      <c r="C308" s="51">
        <v>5.3838228225777769</v>
      </c>
      <c r="D308" s="50">
        <f t="shared" si="36"/>
        <v>179.51993174750444</v>
      </c>
    </row>
    <row r="309" spans="1:4" x14ac:dyDescent="0.2">
      <c r="A309" s="37">
        <v>-180</v>
      </c>
      <c r="B309" s="51">
        <v>-642.63760089371431</v>
      </c>
      <c r="C309" s="51">
        <v>4.9445317652207014E-14</v>
      </c>
      <c r="D309" s="50">
        <f t="shared" si="36"/>
        <v>180</v>
      </c>
    </row>
    <row r="310" spans="1:4" x14ac:dyDescent="0.2">
      <c r="A310" s="38">
        <v>-181</v>
      </c>
      <c r="B310" s="51">
        <v>-642.54010788017706</v>
      </c>
      <c r="C310" s="51">
        <v>-5.3838228225778408</v>
      </c>
      <c r="D310" s="50">
        <f t="shared" si="36"/>
        <v>180.48006825249556</v>
      </c>
    </row>
    <row r="311" spans="1:4" x14ac:dyDescent="0.2">
      <c r="A311" s="38">
        <v>-182</v>
      </c>
      <c r="B311" s="51">
        <v>-642.38031378687481</v>
      </c>
      <c r="C311" s="51">
        <v>-10.654871008388589</v>
      </c>
      <c r="D311" s="50">
        <f t="shared" si="36"/>
        <v>180.95025198077411</v>
      </c>
    </row>
    <row r="312" spans="1:4" x14ac:dyDescent="0.2">
      <c r="A312" s="37">
        <v>-183</v>
      </c>
      <c r="B312" s="51">
        <v>-642.15819819811691</v>
      </c>
      <c r="C312" s="51">
        <v>-15.828159985628073</v>
      </c>
      <c r="D312" s="50">
        <f t="shared" si="36"/>
        <v>181.41196231181428</v>
      </c>
    </row>
    <row r="313" spans="1:4" x14ac:dyDescent="0.2">
      <c r="A313" s="37">
        <v>-184</v>
      </c>
      <c r="B313" s="51">
        <v>-641.87279679642756</v>
      </c>
      <c r="C313" s="51">
        <v>-20.916884053820176</v>
      </c>
      <c r="D313" s="50">
        <f t="shared" si="36"/>
        <v>181.86645271420005</v>
      </c>
    </row>
    <row r="314" spans="1:4" x14ac:dyDescent="0.2">
      <c r="A314" s="38">
        <v>-185</v>
      </c>
      <c r="B314" s="51">
        <v>-641.52350896400537</v>
      </c>
      <c r="C314" s="51">
        <v>-25.932737286176966</v>
      </c>
      <c r="D314" s="50">
        <f t="shared" si="36"/>
        <v>182.31484559429529</v>
      </c>
    </row>
    <row r="315" spans="1:4" x14ac:dyDescent="0.2">
      <c r="A315" s="38">
        <v>-186</v>
      </c>
      <c r="B315" s="51">
        <v>-641.10944804156418</v>
      </c>
      <c r="C315" s="51">
        <v>-30.886181089965614</v>
      </c>
      <c r="D315" s="50">
        <f t="shared" si="36"/>
        <v>182.75815720369431</v>
      </c>
    </row>
    <row r="316" spans="1:4" x14ac:dyDescent="0.2">
      <c r="A316" s="37">
        <v>-187</v>
      </c>
      <c r="B316" s="51">
        <v>-640.62980603044616</v>
      </c>
      <c r="C316" s="51">
        <v>-35.786650777824796</v>
      </c>
      <c r="D316" s="50">
        <f t="shared" si="36"/>
        <v>183.19731491878179</v>
      </c>
    </row>
    <row r="317" spans="1:4" x14ac:dyDescent="0.2">
      <c r="A317" s="37">
        <v>-188</v>
      </c>
      <c r="B317" s="51">
        <v>-640.08306561273878</v>
      </c>
      <c r="C317" s="51">
        <v>-40.642741798284156</v>
      </c>
      <c r="D317" s="50">
        <f t="shared" si="36"/>
        <v>183.63317782767254</v>
      </c>
    </row>
    <row r="318" spans="1:4" x14ac:dyDescent="0.2">
      <c r="A318" s="38">
        <v>-189</v>
      </c>
      <c r="B318" s="51">
        <v>-639.46806527215995</v>
      </c>
      <c r="C318" s="51">
        <v>-45.462332579955991</v>
      </c>
      <c r="D318" s="50">
        <f t="shared" si="36"/>
        <v>184.06654320748922</v>
      </c>
    </row>
    <row r="319" spans="1:4" x14ac:dyDescent="0.2">
      <c r="A319" s="38">
        <v>-190</v>
      </c>
      <c r="B319" s="51">
        <v>-639.10931710134389</v>
      </c>
      <c r="C319" s="51">
        <v>-47.918433488953326</v>
      </c>
      <c r="D319" s="50">
        <f t="shared" si="36"/>
        <v>184.28783703070562</v>
      </c>
    </row>
    <row r="320" spans="1:4" x14ac:dyDescent="0.2">
      <c r="A320" s="37">
        <v>-191</v>
      </c>
      <c r="B320" s="51">
        <v>-638.35660949932446</v>
      </c>
      <c r="C320" s="51">
        <v>-52.691062020963294</v>
      </c>
      <c r="D320" s="50">
        <f t="shared" si="36"/>
        <v>184.71859629346508</v>
      </c>
    </row>
    <row r="321" spans="1:4" x14ac:dyDescent="0.2">
      <c r="A321" s="37">
        <v>-192</v>
      </c>
      <c r="B321" s="51">
        <v>-637.53027606870489</v>
      </c>
      <c r="C321" s="51">
        <v>-57.447166143827253</v>
      </c>
      <c r="D321" s="50">
        <f t="shared" si="36"/>
        <v>185.14895514453119</v>
      </c>
    </row>
    <row r="322" spans="1:4" x14ac:dyDescent="0.2">
      <c r="A322" s="38">
        <v>-193</v>
      </c>
      <c r="B322" s="51">
        <v>-636.62826090138401</v>
      </c>
      <c r="C322" s="51">
        <v>-62.192850220746074</v>
      </c>
      <c r="D322" s="50">
        <f t="shared" ref="D322:D385" si="37">IF(DEGREES(ATAN2(B322,C322))&lt;0,DEGREES(ATAN2(B322,C322))+360,DEGREES(ATAN2(B322,C322)))</f>
        <v>185.57957721149944</v>
      </c>
    </row>
    <row r="323" spans="1:4" x14ac:dyDescent="0.2">
      <c r="A323" s="38">
        <v>-194</v>
      </c>
      <c r="B323" s="51">
        <v>-635.64812634530131</v>
      </c>
      <c r="C323" s="51">
        <v>-66.933939058650552</v>
      </c>
      <c r="D323" s="50">
        <f t="shared" si="37"/>
        <v>186.01111077258267</v>
      </c>
    </row>
    <row r="324" spans="1:4" x14ac:dyDescent="0.2">
      <c r="A324" s="37">
        <v>-195</v>
      </c>
      <c r="B324" s="51">
        <v>-634.58750966235175</v>
      </c>
      <c r="C324" s="51">
        <v>-71.676019789163647</v>
      </c>
      <c r="D324" s="50">
        <f t="shared" si="37"/>
        <v>186.44418931203563</v>
      </c>
    </row>
    <row r="325" spans="1:4" x14ac:dyDescent="0.2">
      <c r="A325" s="37">
        <v>-196</v>
      </c>
      <c r="B325" s="51">
        <v>-633.44336934107514</v>
      </c>
      <c r="C325" s="51">
        <v>-76.424509397052475</v>
      </c>
      <c r="D325" s="50">
        <f t="shared" si="37"/>
        <v>186.87944555228333</v>
      </c>
    </row>
    <row r="326" spans="1:4" x14ac:dyDescent="0.2">
      <c r="A326" s="38">
        <v>-197</v>
      </c>
      <c r="B326" s="51">
        <v>-632.21279805240249</v>
      </c>
      <c r="C326" s="51">
        <v>-81.184674610026278</v>
      </c>
      <c r="D326" s="50">
        <f t="shared" si="37"/>
        <v>187.31750645714055</v>
      </c>
    </row>
    <row r="327" spans="1:4" x14ac:dyDescent="0.2">
      <c r="A327" s="38">
        <v>-198</v>
      </c>
      <c r="B327" s="51">
        <v>-630.89244562633121</v>
      </c>
      <c r="C327" s="51">
        <v>-85.961685378020661</v>
      </c>
      <c r="D327" s="50">
        <f t="shared" si="37"/>
        <v>187.75900479594142</v>
      </c>
    </row>
    <row r="328" spans="1:4" x14ac:dyDescent="0.2">
      <c r="A328" s="37">
        <v>-199</v>
      </c>
      <c r="B328" s="51">
        <v>-629.4784602997205</v>
      </c>
      <c r="C328" s="51">
        <v>-90.76065137369298</v>
      </c>
      <c r="D328" s="50">
        <f t="shared" si="37"/>
        <v>188.2045849970466</v>
      </c>
    </row>
    <row r="329" spans="1:4" x14ac:dyDescent="0.2">
      <c r="A329" s="37">
        <v>-200</v>
      </c>
      <c r="B329" s="51">
        <v>-627.96714518438534</v>
      </c>
      <c r="C329" s="51">
        <v>-95.586634114811886</v>
      </c>
      <c r="D329" s="50">
        <f t="shared" si="37"/>
        <v>188.65489745803708</v>
      </c>
    </row>
    <row r="330" spans="1:4" x14ac:dyDescent="0.2">
      <c r="A330" s="38">
        <v>-201</v>
      </c>
      <c r="B330" s="51">
        <v>-626.35401698778333</v>
      </c>
      <c r="C330" s="51">
        <v>-100.44470429881788</v>
      </c>
      <c r="D330" s="50">
        <f t="shared" si="37"/>
        <v>189.1106169792684</v>
      </c>
    </row>
    <row r="331" spans="1:4" x14ac:dyDescent="0.2">
      <c r="A331" s="38">
        <v>-202</v>
      </c>
      <c r="B331" s="51">
        <v>-624.63446300694352</v>
      </c>
      <c r="C331" s="51">
        <v>-105.33995020990204</v>
      </c>
      <c r="D331" s="50">
        <f t="shared" si="37"/>
        <v>189.57243698062553</v>
      </c>
    </row>
    <row r="332" spans="1:4" x14ac:dyDescent="0.2">
      <c r="A332" s="37">
        <v>-203</v>
      </c>
      <c r="B332" s="51">
        <v>-622.80332766195045</v>
      </c>
      <c r="C332" s="51">
        <v>-110.27751698353092</v>
      </c>
      <c r="D332" s="50">
        <f t="shared" si="37"/>
        <v>190.04108059060152</v>
      </c>
    </row>
    <row r="333" spans="1:4" x14ac:dyDescent="0.2">
      <c r="A333" s="37">
        <v>-204</v>
      </c>
      <c r="B333" s="51">
        <v>-620.85485032560655</v>
      </c>
      <c r="C333" s="51">
        <v>-115.26263479934431</v>
      </c>
      <c r="D333" s="50">
        <f t="shared" si="37"/>
        <v>190.51730690321099</v>
      </c>
    </row>
    <row r="334" spans="1:4" x14ac:dyDescent="0.2">
      <c r="A334" s="38">
        <v>-205</v>
      </c>
      <c r="B334" s="51">
        <v>-618.78333702205293</v>
      </c>
      <c r="C334" s="51">
        <v>-120.30062355800517</v>
      </c>
      <c r="D334" s="50">
        <f t="shared" si="37"/>
        <v>191.00190286766986</v>
      </c>
    </row>
    <row r="335" spans="1:4" x14ac:dyDescent="0.2">
      <c r="A335" s="38">
        <v>-206</v>
      </c>
      <c r="B335" s="51">
        <v>-616.58200042896419</v>
      </c>
      <c r="C335" s="51">
        <v>-125.39695483841768</v>
      </c>
      <c r="D335" s="50">
        <f t="shared" si="37"/>
        <v>191.49571050307429</v>
      </c>
    </row>
    <row r="336" spans="1:4" x14ac:dyDescent="0.2">
      <c r="A336" s="37">
        <v>-207</v>
      </c>
      <c r="B336" s="51">
        <v>-614.24404956238448</v>
      </c>
      <c r="C336" s="51">
        <v>-130.55697186587452</v>
      </c>
      <c r="D336" s="50">
        <f t="shared" si="37"/>
        <v>191.99958666958912</v>
      </c>
    </row>
    <row r="337" spans="1:4" x14ac:dyDescent="0.2">
      <c r="A337" s="37">
        <v>-208</v>
      </c>
      <c r="B337" s="51">
        <v>-609.9240501433203</v>
      </c>
      <c r="C337" s="51">
        <v>-134.99638728821694</v>
      </c>
      <c r="D337" s="50">
        <f t="shared" si="37"/>
        <v>192.48025352575658</v>
      </c>
    </row>
    <row r="338" spans="1:4" x14ac:dyDescent="0.2">
      <c r="A338" s="38">
        <v>-209</v>
      </c>
      <c r="B338" s="51">
        <v>-603.44664360221077</v>
      </c>
      <c r="C338" s="51">
        <v>-138.49748224310133</v>
      </c>
      <c r="D338" s="50">
        <f t="shared" si="37"/>
        <v>192.92613723829322</v>
      </c>
    </row>
    <row r="339" spans="1:4" x14ac:dyDescent="0.2">
      <c r="A339" s="38">
        <v>-210</v>
      </c>
      <c r="B339" s="51">
        <v>-597.2013658585721</v>
      </c>
      <c r="C339" s="51">
        <v>-141.87300978647693</v>
      </c>
      <c r="D339" s="50">
        <f t="shared" si="37"/>
        <v>193.36364090009795</v>
      </c>
    </row>
    <row r="340" spans="1:4" x14ac:dyDescent="0.2">
      <c r="A340" s="37">
        <v>-211</v>
      </c>
      <c r="B340" s="51">
        <v>-591.16547248451513</v>
      </c>
      <c r="C340" s="51">
        <v>-145.13833767007577</v>
      </c>
      <c r="D340" s="50">
        <f t="shared" si="37"/>
        <v>193.79398268521626</v>
      </c>
    </row>
    <row r="341" spans="1:4" x14ac:dyDescent="0.2">
      <c r="A341" s="37">
        <v>-212</v>
      </c>
      <c r="B341" s="51">
        <v>-585.3182646355616</v>
      </c>
      <c r="C341" s="51">
        <v>-148.30706832335088</v>
      </c>
      <c r="D341" s="50">
        <f t="shared" si="37"/>
        <v>194.21828564527561</v>
      </c>
    </row>
    <row r="342" spans="1:4" x14ac:dyDescent="0.2">
      <c r="A342" s="38">
        <v>-213</v>
      </c>
      <c r="B342" s="51">
        <v>-579.64140977397267</v>
      </c>
      <c r="C342" s="51">
        <v>-151.3911608425008</v>
      </c>
      <c r="D342" s="50">
        <f t="shared" si="37"/>
        <v>194.63756465020739</v>
      </c>
    </row>
    <row r="343" spans="1:4" x14ac:dyDescent="0.2">
      <c r="A343" s="38">
        <v>-214</v>
      </c>
      <c r="B343" s="51">
        <v>-574.11788725409485</v>
      </c>
      <c r="C343" s="51">
        <v>-154.40140146586543</v>
      </c>
      <c r="D343" s="50">
        <f t="shared" si="37"/>
        <v>195.05277975680815</v>
      </c>
    </row>
    <row r="344" spans="1:4" x14ac:dyDescent="0.2">
      <c r="A344" s="37">
        <v>-215</v>
      </c>
      <c r="B344" s="51">
        <v>-568.73226892687478</v>
      </c>
      <c r="C344" s="51">
        <v>-157.34746742043035</v>
      </c>
      <c r="D344" s="50">
        <f t="shared" si="37"/>
        <v>195.46482456487797</v>
      </c>
    </row>
    <row r="345" spans="1:4" x14ac:dyDescent="0.2">
      <c r="A345" s="37">
        <v>-216</v>
      </c>
      <c r="B345" s="51">
        <v>-563.47035817850394</v>
      </c>
      <c r="C345" s="51">
        <v>-160.23814546940707</v>
      </c>
      <c r="D345" s="50">
        <f t="shared" si="37"/>
        <v>195.87454552140883</v>
      </c>
    </row>
    <row r="346" spans="1:4" x14ac:dyDescent="0.2">
      <c r="A346" s="38">
        <v>-217</v>
      </c>
      <c r="B346" s="51">
        <v>-558.31888353446118</v>
      </c>
      <c r="C346" s="51">
        <v>-163.08149940669685</v>
      </c>
      <c r="D346" s="50">
        <f t="shared" si="37"/>
        <v>196.28275780501158</v>
      </c>
    </row>
    <row r="347" spans="1:4" x14ac:dyDescent="0.2">
      <c r="A347" s="38">
        <v>-218</v>
      </c>
      <c r="B347" s="51">
        <v>-553.26563344194858</v>
      </c>
      <c r="C347" s="51">
        <v>-165.88493770234791</v>
      </c>
      <c r="D347" s="50">
        <f t="shared" si="37"/>
        <v>196.6902415333964</v>
      </c>
    </row>
    <row r="348" spans="1:4" x14ac:dyDescent="0.2">
      <c r="A348" s="37">
        <v>-219</v>
      </c>
      <c r="B348" s="51">
        <v>-548.29901671793107</v>
      </c>
      <c r="C348" s="51">
        <v>-168.65537418468722</v>
      </c>
      <c r="D348" s="50">
        <f t="shared" si="37"/>
        <v>197.09776344462998</v>
      </c>
    </row>
    <row r="349" spans="1:4" x14ac:dyDescent="0.2">
      <c r="A349" s="37">
        <v>-220</v>
      </c>
      <c r="B349" s="51">
        <v>-543.40822206448024</v>
      </c>
      <c r="C349" s="51">
        <v>-171.39927460847562</v>
      </c>
      <c r="D349" s="50">
        <f t="shared" si="37"/>
        <v>197.50607245141438</v>
      </c>
    </row>
    <row r="350" spans="1:4" x14ac:dyDescent="0.2">
      <c r="A350" s="38">
        <v>-221</v>
      </c>
      <c r="B350" s="51">
        <v>-538.58282735617422</v>
      </c>
      <c r="C350" s="51">
        <v>-174.12277540527907</v>
      </c>
      <c r="D350" s="50">
        <f t="shared" si="37"/>
        <v>197.91591871621205</v>
      </c>
    </row>
    <row r="351" spans="1:4" x14ac:dyDescent="0.2">
      <c r="A351" s="38">
        <v>-222</v>
      </c>
      <c r="B351" s="51">
        <v>-533.8129706259042</v>
      </c>
      <c r="C351" s="51">
        <v>-176.83172154848023</v>
      </c>
      <c r="D351" s="50">
        <f t="shared" si="37"/>
        <v>198.32804942539789</v>
      </c>
    </row>
    <row r="352" spans="1:4" x14ac:dyDescent="0.2">
      <c r="A352" s="37">
        <v>-223</v>
      </c>
      <c r="B352" s="51">
        <v>-528.02571353307292</v>
      </c>
      <c r="C352" s="51">
        <v>-179.97008228640493</v>
      </c>
      <c r="D352" s="50">
        <f t="shared" si="37"/>
        <v>198.82094943015022</v>
      </c>
    </row>
    <row r="353" spans="1:4" x14ac:dyDescent="0.2">
      <c r="A353" s="37">
        <v>-224</v>
      </c>
      <c r="B353" s="51">
        <v>-520.95171459290236</v>
      </c>
      <c r="C353" s="51">
        <v>-183.63704610832986</v>
      </c>
      <c r="D353" s="50">
        <f t="shared" si="37"/>
        <v>199.41770740879122</v>
      </c>
    </row>
    <row r="354" spans="1:4" x14ac:dyDescent="0.2">
      <c r="A354" s="38">
        <v>-225</v>
      </c>
      <c r="B354" s="51">
        <v>-513.99504255311695</v>
      </c>
      <c r="C354" s="51">
        <v>-187.25186688220811</v>
      </c>
      <c r="D354" s="50">
        <f t="shared" si="37"/>
        <v>200.01702398503136</v>
      </c>
    </row>
    <row r="355" spans="1:4" x14ac:dyDescent="0.2">
      <c r="A355" s="38">
        <v>-226</v>
      </c>
      <c r="B355" s="51">
        <v>-507.14163040648089</v>
      </c>
      <c r="C355" s="51">
        <v>-190.8239627376158</v>
      </c>
      <c r="D355" s="50">
        <f t="shared" si="37"/>
        <v>200.61998940641288</v>
      </c>
    </row>
    <row r="356" spans="1:4" x14ac:dyDescent="0.2">
      <c r="A356" s="37">
        <v>-227</v>
      </c>
      <c r="B356" s="51">
        <v>-500.37785557803574</v>
      </c>
      <c r="C356" s="51">
        <v>-194.36235720080981</v>
      </c>
      <c r="D356" s="50">
        <f t="shared" si="37"/>
        <v>201.22772191060761</v>
      </c>
    </row>
    <row r="357" spans="1:4" x14ac:dyDescent="0.2">
      <c r="A357" s="37">
        <v>-228</v>
      </c>
      <c r="B357" s="51">
        <v>-493.69052120195317</v>
      </c>
      <c r="C357" s="51">
        <v>-197.87585007238863</v>
      </c>
      <c r="D357" s="50">
        <f t="shared" si="37"/>
        <v>201.84138179690402</v>
      </c>
    </row>
    <row r="358" spans="1:4" x14ac:dyDescent="0.2">
      <c r="A358" s="38">
        <v>-229</v>
      </c>
      <c r="B358" s="51">
        <v>-487.06660573229755</v>
      </c>
      <c r="C358" s="51">
        <v>-201.37299709778472</v>
      </c>
      <c r="D358" s="50">
        <f t="shared" si="37"/>
        <v>202.46217662825796</v>
      </c>
    </row>
    <row r="359" spans="1:4" x14ac:dyDescent="0.2">
      <c r="A359" s="38">
        <v>-230</v>
      </c>
      <c r="B359" s="51">
        <v>-480.49326699580865</v>
      </c>
      <c r="C359" s="51">
        <v>-204.86229348818429</v>
      </c>
      <c r="D359" s="50">
        <f t="shared" si="37"/>
        <v>203.09137822032835</v>
      </c>
    </row>
    <row r="360" spans="1:4" x14ac:dyDescent="0.2">
      <c r="A360" s="37">
        <v>-231</v>
      </c>
      <c r="B360" s="51">
        <v>-473.95765263849648</v>
      </c>
      <c r="C360" s="51">
        <v>-208.35219570936695</v>
      </c>
      <c r="D360" s="50">
        <f t="shared" si="37"/>
        <v>203.7303323635694</v>
      </c>
    </row>
    <row r="361" spans="1:4" x14ac:dyDescent="0.2">
      <c r="A361" s="37">
        <v>-232</v>
      </c>
      <c r="B361" s="51">
        <v>-467.4468032260628</v>
      </c>
      <c r="C361" s="51">
        <v>-211.85122610238184</v>
      </c>
      <c r="D361" s="50">
        <f t="shared" si="37"/>
        <v>204.38047448676832</v>
      </c>
    </row>
    <row r="362" spans="1:4" x14ac:dyDescent="0.2">
      <c r="A362" s="38">
        <v>-233</v>
      </c>
      <c r="B362" s="51">
        <v>-460.94754563903467</v>
      </c>
      <c r="C362" s="51">
        <v>-215.36808545023786</v>
      </c>
      <c r="D362" s="50">
        <f t="shared" si="37"/>
        <v>205.04334776719705</v>
      </c>
    </row>
    <row r="363" spans="1:4" x14ac:dyDescent="0.2">
      <c r="A363" s="38">
        <v>-234</v>
      </c>
      <c r="B363" s="51">
        <v>-454.44629279529977</v>
      </c>
      <c r="C363" s="51">
        <v>-218.91167494139901</v>
      </c>
      <c r="D363" s="50">
        <f t="shared" si="37"/>
        <v>205.72061784347744</v>
      </c>
    </row>
    <row r="364" spans="1:4" x14ac:dyDescent="0.2">
      <c r="A364" s="37">
        <v>-235</v>
      </c>
      <c r="B364" s="51">
        <v>-447.92893532284228</v>
      </c>
      <c r="C364" s="51">
        <v>-222.49123765612589</v>
      </c>
      <c r="D364" s="50">
        <f t="shared" si="37"/>
        <v>206.41409712235128</v>
      </c>
    </row>
    <row r="365" spans="1:4" x14ac:dyDescent="0.2">
      <c r="A365" s="37">
        <v>-236</v>
      </c>
      <c r="B365" s="51">
        <v>-441.38069346702912</v>
      </c>
      <c r="C365" s="51">
        <v>-226.1164974242551</v>
      </c>
      <c r="D365" s="50">
        <f t="shared" si="37"/>
        <v>207.12577226755459</v>
      </c>
    </row>
    <row r="366" spans="1:4" x14ac:dyDescent="0.2">
      <c r="A366" s="38">
        <v>-237</v>
      </c>
      <c r="B366" s="51">
        <v>-434.78585593584734</v>
      </c>
      <c r="C366" s="51">
        <v>-229.79768548744568</v>
      </c>
      <c r="D366" s="50">
        <f t="shared" si="37"/>
        <v>207.85782799457292</v>
      </c>
    </row>
    <row r="367" spans="1:4" x14ac:dyDescent="0.2">
      <c r="A367" s="38">
        <v>-238</v>
      </c>
      <c r="B367" s="51">
        <v>-428.12764246143655</v>
      </c>
      <c r="C367" s="51">
        <v>-233.5457926223944</v>
      </c>
      <c r="D367" s="50">
        <f t="shared" si="37"/>
        <v>208.61268995954458</v>
      </c>
    </row>
    <row r="368" spans="1:4" x14ac:dyDescent="0.2">
      <c r="A368" s="37">
        <v>-239</v>
      </c>
      <c r="B368" s="51">
        <v>-421.38784104181394</v>
      </c>
      <c r="C368" s="51">
        <v>-237.37256426968804</v>
      </c>
      <c r="D368" s="50">
        <f t="shared" si="37"/>
        <v>209.3930559140359</v>
      </c>
    </row>
    <row r="369" spans="1:4" x14ac:dyDescent="0.2">
      <c r="A369" s="37">
        <v>-240</v>
      </c>
      <c r="B369" s="51">
        <v>-414.54658627717612</v>
      </c>
      <c r="C369" s="51">
        <v>-241.29080276865889</v>
      </c>
      <c r="D369" s="50">
        <f t="shared" si="37"/>
        <v>210.20195411970099</v>
      </c>
    </row>
    <row r="370" spans="1:4" x14ac:dyDescent="0.2">
      <c r="A370" s="38">
        <v>-241</v>
      </c>
      <c r="B370" s="51">
        <v>-407.5819632326706</v>
      </c>
      <c r="C370" s="51">
        <v>-245.31453077523651</v>
      </c>
      <c r="D370" s="50">
        <f t="shared" si="37"/>
        <v>211.04280083082034</v>
      </c>
    </row>
    <row r="371" spans="1:4" x14ac:dyDescent="0.2">
      <c r="A371" s="38">
        <v>-242</v>
      </c>
      <c r="B371" s="51">
        <v>-400.46954503235565</v>
      </c>
      <c r="C371" s="51">
        <v>-249.45918982420915</v>
      </c>
      <c r="D371" s="50">
        <f t="shared" si="37"/>
        <v>211.91947013522514</v>
      </c>
    </row>
    <row r="372" spans="1:4" x14ac:dyDescent="0.2">
      <c r="A372" s="37">
        <v>-243</v>
      </c>
      <c r="B372" s="51">
        <v>-393.18189931444783</v>
      </c>
      <c r="C372" s="51">
        <v>-253.74203576042424</v>
      </c>
      <c r="D372" s="50">
        <f t="shared" si="37"/>
        <v>212.83639139805362</v>
      </c>
    </row>
    <row r="373" spans="1:4" x14ac:dyDescent="0.2">
      <c r="A373" s="37">
        <v>-244</v>
      </c>
      <c r="B373" s="51">
        <v>-385.68784549467267</v>
      </c>
      <c r="C373" s="51">
        <v>-258.18230674110089</v>
      </c>
      <c r="D373" s="50">
        <f t="shared" si="37"/>
        <v>213.79864573620824</v>
      </c>
    </row>
    <row r="374" spans="1:4" x14ac:dyDescent="0.2">
      <c r="A374" s="38">
        <v>-245</v>
      </c>
      <c r="B374" s="51">
        <v>-377.95169394986073</v>
      </c>
      <c r="C374" s="51">
        <v>-262.80181725103239</v>
      </c>
      <c r="D374" s="50">
        <f t="shared" si="37"/>
        <v>214.81211593715076</v>
      </c>
    </row>
    <row r="375" spans="1:4" x14ac:dyDescent="0.2">
      <c r="A375" s="38">
        <v>-246</v>
      </c>
      <c r="B375" s="51">
        <v>-369.93215039544015</v>
      </c>
      <c r="C375" s="51">
        <v>-267.62533315289784</v>
      </c>
      <c r="D375" s="50">
        <f t="shared" si="37"/>
        <v>215.88364620416098</v>
      </c>
    </row>
    <row r="376" spans="1:4" x14ac:dyDescent="0.2">
      <c r="A376" s="37">
        <v>-247</v>
      </c>
      <c r="B376" s="51">
        <v>-361.5810225363839</v>
      </c>
      <c r="C376" s="51">
        <v>-272.68133882842955</v>
      </c>
      <c r="D376" s="50">
        <f t="shared" si="37"/>
        <v>217.02126836990774</v>
      </c>
    </row>
    <row r="377" spans="1:4" x14ac:dyDescent="0.2">
      <c r="A377" s="37">
        <v>-248</v>
      </c>
      <c r="B377" s="51">
        <v>-352.84148058531753</v>
      </c>
      <c r="C377" s="51">
        <v>-278.00271751446496</v>
      </c>
      <c r="D377" s="50">
        <f t="shared" si="37"/>
        <v>218.23446633809223</v>
      </c>
    </row>
    <row r="378" spans="1:4" x14ac:dyDescent="0.2">
      <c r="A378" s="38">
        <v>-249</v>
      </c>
      <c r="B378" s="51">
        <v>-343.64585137350019</v>
      </c>
      <c r="C378" s="51">
        <v>-283.62779133971321</v>
      </c>
      <c r="D378" s="50">
        <f t="shared" si="37"/>
        <v>219.53453045203261</v>
      </c>
    </row>
    <row r="379" spans="1:4" x14ac:dyDescent="0.2">
      <c r="A379" s="38">
        <v>-250</v>
      </c>
      <c r="B379" s="51">
        <v>-333.91269878066282</v>
      </c>
      <c r="C379" s="51">
        <v>-289.6017348363348</v>
      </c>
      <c r="D379" s="50">
        <f t="shared" si="37"/>
        <v>220.93502585437977</v>
      </c>
    </row>
    <row r="380" spans="1:4" x14ac:dyDescent="0.2">
      <c r="A380" s="37">
        <v>-251</v>
      </c>
      <c r="B380" s="51">
        <v>-323.54291849737331</v>
      </c>
      <c r="C380" s="51">
        <v>-295.97799346098583</v>
      </c>
      <c r="D380" s="50">
        <f t="shared" si="37"/>
        <v>222.45236544596</v>
      </c>
    </row>
    <row r="381" spans="1:4" x14ac:dyDescent="0.2">
      <c r="A381" s="37">
        <v>-252</v>
      </c>
      <c r="B381" s="51">
        <v>-312.41447617416691</v>
      </c>
      <c r="C381" s="51">
        <v>-302.82073065839108</v>
      </c>
      <c r="D381" s="50">
        <f t="shared" si="37"/>
        <v>224.10662365467769</v>
      </c>
    </row>
    <row r="382" spans="1:4" x14ac:dyDescent="0.2">
      <c r="A382" s="38">
        <v>-253</v>
      </c>
      <c r="B382" s="51">
        <v>-300.37517798202708</v>
      </c>
      <c r="C382" s="51">
        <v>-310.20754987985458</v>
      </c>
      <c r="D382" s="50">
        <f t="shared" si="37"/>
        <v>225.92256904576149</v>
      </c>
    </row>
    <row r="383" spans="1:4" x14ac:dyDescent="0.2">
      <c r="A383" s="38">
        <v>-254</v>
      </c>
      <c r="B383" s="51">
        <v>-289.91538264580169</v>
      </c>
      <c r="C383" s="51">
        <v>-316.38075943354568</v>
      </c>
      <c r="D383" s="50">
        <f t="shared" si="37"/>
        <v>227.49942610457515</v>
      </c>
    </row>
    <row r="384" spans="1:4" x14ac:dyDescent="0.2">
      <c r="A384" s="37">
        <v>-255</v>
      </c>
      <c r="B384" s="51">
        <v>-280.71018733116568</v>
      </c>
      <c r="C384" s="51">
        <v>-321.59121453499557</v>
      </c>
      <c r="D384" s="50">
        <f t="shared" si="37"/>
        <v>228.8829782489361</v>
      </c>
    </row>
    <row r="385" spans="1:4" x14ac:dyDescent="0.2">
      <c r="A385" s="37">
        <v>-256</v>
      </c>
      <c r="B385" s="51">
        <v>-270.72842148298781</v>
      </c>
      <c r="C385" s="51">
        <v>-327.22657411845989</v>
      </c>
      <c r="D385" s="50">
        <f t="shared" si="37"/>
        <v>230.39760328100081</v>
      </c>
    </row>
    <row r="386" spans="1:4" x14ac:dyDescent="0.2">
      <c r="A386" s="38">
        <v>-257</v>
      </c>
      <c r="B386" s="51">
        <v>-260.29516845076915</v>
      </c>
      <c r="C386" s="51">
        <v>-333.10275592592683</v>
      </c>
      <c r="D386" s="50">
        <f t="shared" ref="D386:D449" si="38">IF(DEGREES(ATAN2(B386,C386))&lt;0,DEGREES(ATAN2(B386,C386))+360,DEGREES(ATAN2(B386,C386)))</f>
        <v>231.99500454296899</v>
      </c>
    </row>
    <row r="387" spans="1:4" x14ac:dyDescent="0.2">
      <c r="A387" s="38">
        <v>-258</v>
      </c>
      <c r="B387" s="51">
        <v>-249.72764031075104</v>
      </c>
      <c r="C387" s="51">
        <v>-339.06212467938042</v>
      </c>
      <c r="D387" s="50">
        <f t="shared" si="38"/>
        <v>233.62743541005162</v>
      </c>
    </row>
    <row r="388" spans="1:4" x14ac:dyDescent="0.2">
      <c r="A388" s="37">
        <v>-259</v>
      </c>
      <c r="B388" s="51">
        <v>-238.98399682256746</v>
      </c>
      <c r="C388" s="51">
        <v>-345.14714933504757</v>
      </c>
      <c r="D388" s="50">
        <f t="shared" si="38"/>
        <v>235.30081012043985</v>
      </c>
    </row>
    <row r="389" spans="1:4" x14ac:dyDescent="0.2">
      <c r="A389" s="37">
        <v>-260</v>
      </c>
      <c r="B389" s="51">
        <v>-228.01382665789833</v>
      </c>
      <c r="C389" s="51">
        <v>-351.40697871634961</v>
      </c>
      <c r="D389" s="50">
        <f t="shared" si="38"/>
        <v>237.02208565675289</v>
      </c>
    </row>
    <row r="390" spans="1:4" x14ac:dyDescent="0.2">
      <c r="A390" s="38">
        <v>-261</v>
      </c>
      <c r="B390" s="51">
        <v>-215.761002249456</v>
      </c>
      <c r="C390" s="51">
        <v>-356.88415049709192</v>
      </c>
      <c r="D390" s="50">
        <f t="shared" si="38"/>
        <v>238.84415365666194</v>
      </c>
    </row>
    <row r="391" spans="1:4" x14ac:dyDescent="0.2">
      <c r="A391" s="38">
        <v>-262</v>
      </c>
      <c r="B391" s="51">
        <v>-199.82178569741507</v>
      </c>
      <c r="C391" s="51">
        <v>-358.80823991968032</v>
      </c>
      <c r="D391" s="50">
        <f t="shared" si="38"/>
        <v>240.88638618631367</v>
      </c>
    </row>
    <row r="392" spans="1:4" x14ac:dyDescent="0.2">
      <c r="A392" s="37">
        <v>-263</v>
      </c>
      <c r="B392" s="51">
        <v>-183.65792738661864</v>
      </c>
      <c r="C392" s="51">
        <v>-360.4970175085648</v>
      </c>
      <c r="D392" s="50">
        <f t="shared" si="38"/>
        <v>243.00308860042281</v>
      </c>
    </row>
    <row r="393" spans="1:4" x14ac:dyDescent="0.2">
      <c r="A393" s="37">
        <v>-264</v>
      </c>
      <c r="B393" s="51">
        <v>-167.2181898840461</v>
      </c>
      <c r="C393" s="51">
        <v>-361.95467998256493</v>
      </c>
      <c r="D393" s="50">
        <f t="shared" si="38"/>
        <v>245.20369851188252</v>
      </c>
    </row>
    <row r="394" spans="1:4" x14ac:dyDescent="0.2">
      <c r="A394" s="38">
        <v>-265</v>
      </c>
      <c r="B394" s="51">
        <v>-150.44250905809895</v>
      </c>
      <c r="C394" s="51">
        <v>-363.18492367453962</v>
      </c>
      <c r="D394" s="50">
        <f t="shared" si="38"/>
        <v>247.4991398201596</v>
      </c>
    </row>
    <row r="395" spans="1:4" x14ac:dyDescent="0.2">
      <c r="A395" s="38">
        <v>-266</v>
      </c>
      <c r="B395" s="51">
        <v>-133.25955471614668</v>
      </c>
      <c r="C395" s="51">
        <v>-364.19078835661759</v>
      </c>
      <c r="D395" s="50">
        <f t="shared" si="38"/>
        <v>249.90212946245816</v>
      </c>
    </row>
    <row r="396" spans="1:4" x14ac:dyDescent="0.2">
      <c r="A396" s="37">
        <v>-267</v>
      </c>
      <c r="B396" s="51">
        <v>-115.58343010936534</v>
      </c>
      <c r="C396" s="51">
        <v>-364.97485369685438</v>
      </c>
      <c r="D396" s="50">
        <f t="shared" si="38"/>
        <v>252.42759127594678</v>
      </c>
    </row>
    <row r="397" spans="1:4" x14ac:dyDescent="0.2">
      <c r="A397" s="37">
        <v>-268</v>
      </c>
      <c r="B397" s="51">
        <v>-97.309207387860155</v>
      </c>
      <c r="C397" s="51">
        <v>-365.53926735781971</v>
      </c>
      <c r="D397" s="50">
        <f t="shared" si="38"/>
        <v>255.09316008347855</v>
      </c>
    </row>
    <row r="398" spans="1:4" x14ac:dyDescent="0.2">
      <c r="A398" s="38">
        <v>-269</v>
      </c>
      <c r="B398" s="51">
        <v>-82.816964074984682</v>
      </c>
      <c r="C398" s="51">
        <v>-365.78409639516815</v>
      </c>
      <c r="D398" s="50">
        <f t="shared" si="38"/>
        <v>257.24277725550638</v>
      </c>
    </row>
    <row r="399" spans="1:4" x14ac:dyDescent="0.2">
      <c r="A399" s="38">
        <v>-270</v>
      </c>
      <c r="B399" s="51">
        <v>-62.865000000000265</v>
      </c>
      <c r="C399" s="51">
        <v>-365.91666755273667</v>
      </c>
      <c r="D399" s="50">
        <f t="shared" si="38"/>
        <v>260.25167043539921</v>
      </c>
    </row>
    <row r="400" spans="1:4" x14ac:dyDescent="0.2">
      <c r="A400" s="37">
        <v>-271</v>
      </c>
      <c r="B400" s="51">
        <v>-42.913035925015748</v>
      </c>
      <c r="C400" s="51">
        <v>-365.78409639516849</v>
      </c>
      <c r="D400" s="50">
        <f t="shared" si="38"/>
        <v>263.30876370213207</v>
      </c>
    </row>
    <row r="401" spans="1:4" x14ac:dyDescent="0.2">
      <c r="A401" s="37">
        <v>-272</v>
      </c>
      <c r="B401" s="51">
        <v>-28.420792612139319</v>
      </c>
      <c r="C401" s="51">
        <v>-365.5392673578192</v>
      </c>
      <c r="D401" s="50">
        <f t="shared" si="38"/>
        <v>265.5541792817906</v>
      </c>
    </row>
    <row r="402" spans="1:4" x14ac:dyDescent="0.2">
      <c r="A402" s="38">
        <v>-273</v>
      </c>
      <c r="B402" s="51">
        <v>-10.14656989063505</v>
      </c>
      <c r="C402" s="51">
        <v>-364.97485369685472</v>
      </c>
      <c r="D402" s="50">
        <f t="shared" si="38"/>
        <v>268.40754528183402</v>
      </c>
    </row>
    <row r="403" spans="1:4" x14ac:dyDescent="0.2">
      <c r="A403" s="38">
        <v>-274</v>
      </c>
      <c r="B403" s="51">
        <v>7.5295547161462961</v>
      </c>
      <c r="C403" s="51">
        <v>-364.19078835661793</v>
      </c>
      <c r="D403" s="50">
        <f t="shared" si="38"/>
        <v>271.18440737129583</v>
      </c>
    </row>
    <row r="404" spans="1:4" x14ac:dyDescent="0.2">
      <c r="A404" s="37">
        <v>-275</v>
      </c>
      <c r="B404" s="51">
        <v>24.712509058098551</v>
      </c>
      <c r="C404" s="51">
        <v>-363.1849236745399</v>
      </c>
      <c r="D404" s="50">
        <f t="shared" si="38"/>
        <v>273.89262660141196</v>
      </c>
    </row>
    <row r="405" spans="1:4" x14ac:dyDescent="0.2">
      <c r="A405" s="37">
        <v>-276</v>
      </c>
      <c r="B405" s="51">
        <v>47.11968127443474</v>
      </c>
      <c r="C405" s="51">
        <v>-358.87934578782449</v>
      </c>
      <c r="D405" s="50">
        <f t="shared" si="38"/>
        <v>277.47996186402963</v>
      </c>
    </row>
    <row r="406" spans="1:4" x14ac:dyDescent="0.2">
      <c r="A406" s="38">
        <v>-277</v>
      </c>
      <c r="B406" s="51">
        <v>69.102378858343073</v>
      </c>
      <c r="C406" s="51">
        <v>-354.39540791033926</v>
      </c>
      <c r="D406" s="50">
        <f t="shared" si="38"/>
        <v>281.03347297833716</v>
      </c>
    </row>
    <row r="407" spans="1:4" x14ac:dyDescent="0.2">
      <c r="A407" s="38">
        <v>-278</v>
      </c>
      <c r="B407" s="51">
        <v>90.480113626436449</v>
      </c>
      <c r="C407" s="51">
        <v>-349.85613539237664</v>
      </c>
      <c r="D407" s="50">
        <f t="shared" si="38"/>
        <v>284.50017883356844</v>
      </c>
    </row>
    <row r="408" spans="1:4" x14ac:dyDescent="0.2">
      <c r="A408" s="37">
        <v>-279</v>
      </c>
      <c r="B408" s="51">
        <v>111.3260921110914</v>
      </c>
      <c r="C408" s="51">
        <v>-345.24208771583073</v>
      </c>
      <c r="D408" s="50">
        <f t="shared" si="38"/>
        <v>287.87233447688533</v>
      </c>
    </row>
    <row r="409" spans="1:4" x14ac:dyDescent="0.2">
      <c r="A409" s="37">
        <v>-280</v>
      </c>
      <c r="B409" s="51">
        <v>131.70590468247158</v>
      </c>
      <c r="C409" s="51">
        <v>-340.53461997640028</v>
      </c>
      <c r="D409" s="50">
        <f t="shared" si="38"/>
        <v>291.14458431553646</v>
      </c>
    </row>
    <row r="410" spans="1:4" x14ac:dyDescent="0.2">
      <c r="A410" s="38">
        <v>-281</v>
      </c>
      <c r="B410" s="51">
        <v>151.56424086582754</v>
      </c>
      <c r="C410" s="51">
        <v>-335.52425820288994</v>
      </c>
      <c r="D410" s="50">
        <f t="shared" si="38"/>
        <v>294.30981920607121</v>
      </c>
    </row>
    <row r="411" spans="1:4" x14ac:dyDescent="0.2">
      <c r="A411" s="38">
        <v>-282</v>
      </c>
      <c r="B411" s="51">
        <v>169.13602760422015</v>
      </c>
      <c r="C411" s="51">
        <v>-327.73146188759279</v>
      </c>
      <c r="D411" s="50">
        <f t="shared" si="38"/>
        <v>297.29740551671648</v>
      </c>
    </row>
    <row r="412" spans="1:4" x14ac:dyDescent="0.2">
      <c r="A412" s="37">
        <v>-283</v>
      </c>
      <c r="B412" s="51">
        <v>185.92012693960814</v>
      </c>
      <c r="C412" s="51">
        <v>-320.14574503784752</v>
      </c>
      <c r="D412" s="50">
        <f t="shared" si="38"/>
        <v>300.14527342318888</v>
      </c>
    </row>
    <row r="413" spans="1:4" x14ac:dyDescent="0.2">
      <c r="A413" s="37">
        <v>-284</v>
      </c>
      <c r="B413" s="51">
        <v>201.02364273958213</v>
      </c>
      <c r="C413" s="51">
        <v>-313.19673230802164</v>
      </c>
      <c r="D413" s="50">
        <f t="shared" si="38"/>
        <v>302.69415891362257</v>
      </c>
    </row>
    <row r="414" spans="1:4" x14ac:dyDescent="0.2">
      <c r="A414" s="38">
        <v>-285</v>
      </c>
      <c r="B414" s="51">
        <v>214.46531054869763</v>
      </c>
      <c r="C414" s="51">
        <v>-306.92627539017809</v>
      </c>
      <c r="D414" s="50">
        <f t="shared" si="38"/>
        <v>304.9439972386474</v>
      </c>
    </row>
    <row r="415" spans="1:4" x14ac:dyDescent="0.2">
      <c r="A415" s="38">
        <v>-286</v>
      </c>
      <c r="B415" s="51">
        <v>226.58248366220462</v>
      </c>
      <c r="C415" s="51">
        <v>-301.21719610670476</v>
      </c>
      <c r="D415" s="50">
        <f t="shared" si="38"/>
        <v>306.95132421668239</v>
      </c>
    </row>
    <row r="416" spans="1:4" x14ac:dyDescent="0.2">
      <c r="A416" s="37">
        <v>-287</v>
      </c>
      <c r="B416" s="51">
        <v>237.62892890963212</v>
      </c>
      <c r="C416" s="51">
        <v>-295.9775060210938</v>
      </c>
      <c r="D416" s="50">
        <f t="shared" si="38"/>
        <v>308.75963762821522</v>
      </c>
    </row>
    <row r="417" spans="1:4" x14ac:dyDescent="0.2">
      <c r="A417" s="37">
        <v>-288</v>
      </c>
      <c r="B417" s="51">
        <v>247.79924584292996</v>
      </c>
      <c r="C417" s="51">
        <v>-291.13382537297974</v>
      </c>
      <c r="D417" s="50">
        <f t="shared" si="38"/>
        <v>310.40284628531833</v>
      </c>
    </row>
    <row r="418" spans="1:4" x14ac:dyDescent="0.2">
      <c r="A418" s="38">
        <v>-289</v>
      </c>
      <c r="B418" s="51">
        <v>257.24523912448774</v>
      </c>
      <c r="C418" s="51">
        <v>-286.62679525632802</v>
      </c>
      <c r="D418" s="50">
        <f t="shared" si="38"/>
        <v>311.90772052052648</v>
      </c>
    </row>
    <row r="419" spans="1:4" x14ac:dyDescent="0.2">
      <c r="A419" s="38">
        <v>-290</v>
      </c>
      <c r="B419" s="51">
        <v>268.31192581860802</v>
      </c>
      <c r="C419" s="51">
        <v>-280.4576214353624</v>
      </c>
      <c r="D419" s="50">
        <f t="shared" si="38"/>
        <v>313.7321025626818</v>
      </c>
    </row>
    <row r="420" spans="1:4" x14ac:dyDescent="0.2">
      <c r="A420" s="37">
        <v>-291</v>
      </c>
      <c r="B420" s="51">
        <v>279.07203082142172</v>
      </c>
      <c r="C420" s="51">
        <v>-274.33246611666198</v>
      </c>
      <c r="D420" s="50">
        <f t="shared" si="38"/>
        <v>315.49069065514936</v>
      </c>
    </row>
    <row r="421" spans="1:4" x14ac:dyDescent="0.2">
      <c r="A421" s="37">
        <v>-292</v>
      </c>
      <c r="B421" s="51">
        <v>289.2000922689827</v>
      </c>
      <c r="C421" s="51">
        <v>-268.57954713580853</v>
      </c>
      <c r="D421" s="50">
        <f t="shared" si="38"/>
        <v>317.11720242951975</v>
      </c>
    </row>
    <row r="422" spans="1:4" x14ac:dyDescent="0.2">
      <c r="A422" s="38">
        <v>-293</v>
      </c>
      <c r="B422" s="51">
        <v>298.79135154360239</v>
      </c>
      <c r="C422" s="51">
        <v>-263.15170627872232</v>
      </c>
      <c r="D422" s="50">
        <f t="shared" si="38"/>
        <v>318.62896190612742</v>
      </c>
    </row>
    <row r="423" spans="1:4" x14ac:dyDescent="0.2">
      <c r="A423" s="38">
        <v>-294</v>
      </c>
      <c r="B423" s="51">
        <v>307.92488131057502</v>
      </c>
      <c r="C423" s="51">
        <v>-258.00890803996776</v>
      </c>
      <c r="D423" s="50">
        <f t="shared" si="38"/>
        <v>320.04050606792788</v>
      </c>
    </row>
    <row r="424" spans="1:4" x14ac:dyDescent="0.2">
      <c r="A424" s="37">
        <v>-295</v>
      </c>
      <c r="B424" s="51">
        <v>316.66696088824153</v>
      </c>
      <c r="C424" s="51">
        <v>-253.11683759212519</v>
      </c>
      <c r="D424" s="50">
        <f t="shared" si="38"/>
        <v>321.36411070605288</v>
      </c>
    </row>
    <row r="425" spans="1:4" x14ac:dyDescent="0.2">
      <c r="A425" s="37">
        <v>-296</v>
      </c>
      <c r="B425" s="51">
        <v>325.07361265731578</v>
      </c>
      <c r="C425" s="51">
        <v>-248.44579403469174</v>
      </c>
      <c r="D425" s="50">
        <f t="shared" si="38"/>
        <v>322.61020701982454</v>
      </c>
    </row>
    <row r="426" spans="1:4" x14ac:dyDescent="0.2">
      <c r="A426" s="38">
        <v>-297</v>
      </c>
      <c r="B426" s="51">
        <v>333.19276089664856</v>
      </c>
      <c r="C426" s="51">
        <v>-243.96996316702314</v>
      </c>
      <c r="D426" s="50">
        <f t="shared" si="38"/>
        <v>323.7877150514729</v>
      </c>
    </row>
    <row r="427" spans="1:4" x14ac:dyDescent="0.2">
      <c r="A427" s="38">
        <v>-298</v>
      </c>
      <c r="B427" s="51">
        <v>341.06568827285469</v>
      </c>
      <c r="C427" s="51">
        <v>-239.66667670101032</v>
      </c>
      <c r="D427" s="50">
        <f t="shared" si="38"/>
        <v>324.90430739587924</v>
      </c>
    </row>
    <row r="428" spans="1:4" x14ac:dyDescent="0.2">
      <c r="A428" s="37">
        <v>-299</v>
      </c>
      <c r="B428" s="51">
        <v>348.72829407138329</v>
      </c>
      <c r="C428" s="51">
        <v>-235.51589731498487</v>
      </c>
      <c r="D428" s="50">
        <f t="shared" si="38"/>
        <v>325.96662248196736</v>
      </c>
    </row>
    <row r="429" spans="1:4" x14ac:dyDescent="0.2">
      <c r="A429" s="37">
        <v>-300</v>
      </c>
      <c r="B429" s="51">
        <v>356.21219748204805</v>
      </c>
      <c r="C429" s="51">
        <v>-231.49986397679291</v>
      </c>
      <c r="D429" s="50">
        <f t="shared" si="38"/>
        <v>326.98043673506703</v>
      </c>
    </row>
    <row r="430" spans="1:4" x14ac:dyDescent="0.2">
      <c r="A430" s="38">
        <v>-301</v>
      </c>
      <c r="B430" s="51">
        <v>363.54525089804059</v>
      </c>
      <c r="C430" s="51">
        <v>-227.60255782185067</v>
      </c>
      <c r="D430" s="50">
        <f t="shared" si="38"/>
        <v>327.95080349271598</v>
      </c>
    </row>
    <row r="431" spans="1:4" x14ac:dyDescent="0.2">
      <c r="A431" s="38">
        <v>-302</v>
      </c>
      <c r="B431" s="51">
        <v>370.75244517170017</v>
      </c>
      <c r="C431" s="51">
        <v>-223.80958121877686</v>
      </c>
      <c r="D431" s="50">
        <f t="shared" si="38"/>
        <v>328.88216795383482</v>
      </c>
    </row>
    <row r="432" spans="1:4" x14ac:dyDescent="0.2">
      <c r="A432" s="37">
        <v>-303</v>
      </c>
      <c r="B432" s="51">
        <v>377.85625776251584</v>
      </c>
      <c r="C432" s="51">
        <v>-220.10779961926923</v>
      </c>
      <c r="D432" s="50">
        <f t="shared" si="38"/>
        <v>329.7784608268077</v>
      </c>
    </row>
    <row r="433" spans="1:4" x14ac:dyDescent="0.2">
      <c r="A433" s="37">
        <v>-304</v>
      </c>
      <c r="B433" s="51">
        <v>384.87724592759389</v>
      </c>
      <c r="C433" s="51">
        <v>-216.48523471686607</v>
      </c>
      <c r="D433" s="50">
        <f t="shared" si="38"/>
        <v>330.64317559699816</v>
      </c>
    </row>
    <row r="434" spans="1:4" x14ac:dyDescent="0.2">
      <c r="A434" s="38">
        <v>-305</v>
      </c>
      <c r="B434" s="51">
        <v>391.83424494133283</v>
      </c>
      <c r="C434" s="51">
        <v>-212.9307863436056</v>
      </c>
      <c r="D434" s="50">
        <f t="shared" si="38"/>
        <v>331.47943346457265</v>
      </c>
    </row>
    <row r="435" spans="1:4" x14ac:dyDescent="0.2">
      <c r="A435" s="38">
        <v>-306</v>
      </c>
      <c r="B435" s="51">
        <v>398.74463834905708</v>
      </c>
      <c r="C435" s="51">
        <v>-209.43406203804119</v>
      </c>
      <c r="D435" s="50">
        <f t="shared" si="38"/>
        <v>332.29003809316953</v>
      </c>
    </row>
    <row r="436" spans="1:4" x14ac:dyDescent="0.2">
      <c r="A436" s="37">
        <v>-307</v>
      </c>
      <c r="B436" s="51">
        <v>405.62483670491486</v>
      </c>
      <c r="C436" s="51">
        <v>-205.98537667441479</v>
      </c>
      <c r="D436" s="50">
        <f t="shared" si="38"/>
        <v>333.07751960911418</v>
      </c>
    </row>
    <row r="437" spans="1:4" x14ac:dyDescent="0.2">
      <c r="A437" s="37">
        <v>-308</v>
      </c>
      <c r="B437" s="51">
        <v>412.49035243844941</v>
      </c>
      <c r="C437" s="51">
        <v>-202.57554412538605</v>
      </c>
      <c r="D437" s="50">
        <f t="shared" si="38"/>
        <v>333.84417382897516</v>
      </c>
    </row>
    <row r="438" spans="1:4" x14ac:dyDescent="0.2">
      <c r="A438" s="38">
        <v>-309</v>
      </c>
      <c r="B438" s="51">
        <v>419.35597405356702</v>
      </c>
      <c r="C438" s="51">
        <v>-199.1957602749273</v>
      </c>
      <c r="D438" s="50">
        <f t="shared" si="38"/>
        <v>334.59209543629191</v>
      </c>
    </row>
    <row r="439" spans="1:4" x14ac:dyDescent="0.2">
      <c r="A439" s="38">
        <v>-310</v>
      </c>
      <c r="B439" s="51">
        <v>426.23592149550689</v>
      </c>
      <c r="C439" s="51">
        <v>-195.83749786863029</v>
      </c>
      <c r="D439" s="50">
        <f t="shared" si="38"/>
        <v>335.32320655750169</v>
      </c>
    </row>
    <row r="440" spans="1:4" x14ac:dyDescent="0.2">
      <c r="A440" s="37">
        <v>-311</v>
      </c>
      <c r="B440" s="51">
        <v>430.82609166173756</v>
      </c>
      <c r="C440" s="51">
        <v>-193.27402819804632</v>
      </c>
      <c r="D440" s="50">
        <f t="shared" si="38"/>
        <v>335.8383930738845</v>
      </c>
    </row>
    <row r="441" spans="1:4" x14ac:dyDescent="0.2">
      <c r="A441" s="37">
        <v>-312</v>
      </c>
      <c r="B441" s="51">
        <v>434.80146349248037</v>
      </c>
      <c r="C441" s="51">
        <v>-190.94812120421173</v>
      </c>
      <c r="D441" s="50">
        <f t="shared" si="38"/>
        <v>336.29076159893219</v>
      </c>
    </row>
    <row r="442" spans="1:4" x14ac:dyDescent="0.2">
      <c r="A442" s="38">
        <v>-313</v>
      </c>
      <c r="B442" s="51">
        <v>438.74714220856237</v>
      </c>
      <c r="C442" s="51">
        <v>-188.66157676581332</v>
      </c>
      <c r="D442" s="50">
        <f t="shared" si="38"/>
        <v>336.73226150756108</v>
      </c>
    </row>
    <row r="443" spans="1:4" x14ac:dyDescent="0.2">
      <c r="A443" s="38">
        <v>-314</v>
      </c>
      <c r="B443" s="51">
        <v>442.67184251954461</v>
      </c>
      <c r="C443" s="51">
        <v>-186.4094844574887</v>
      </c>
      <c r="D443" s="50">
        <f t="shared" si="38"/>
        <v>337.16399969900425</v>
      </c>
    </row>
    <row r="444" spans="1:4" x14ac:dyDescent="0.2">
      <c r="A444" s="37">
        <v>-315</v>
      </c>
      <c r="B444" s="51">
        <v>446.58414170339705</v>
      </c>
      <c r="C444" s="51">
        <v>-184.18711780126219</v>
      </c>
      <c r="D444" s="50">
        <f t="shared" si="38"/>
        <v>337.58701472863737</v>
      </c>
    </row>
    <row r="445" spans="1:4" x14ac:dyDescent="0.2">
      <c r="A445" s="37">
        <v>-316</v>
      </c>
      <c r="B445" s="51">
        <v>450.4921518070044</v>
      </c>
      <c r="C445" s="51">
        <v>-181.98987193800619</v>
      </c>
      <c r="D445" s="50">
        <f t="shared" si="38"/>
        <v>338.00227117617442</v>
      </c>
    </row>
    <row r="446" spans="1:4" x14ac:dyDescent="0.2">
      <c r="A446" s="38">
        <v>-317</v>
      </c>
      <c r="B446" s="51">
        <v>454.40413965003847</v>
      </c>
      <c r="C446" s="51">
        <v>-179.81323890364709</v>
      </c>
      <c r="D446" s="50">
        <f t="shared" si="38"/>
        <v>338.41069257542262</v>
      </c>
    </row>
    <row r="447" spans="1:4" x14ac:dyDescent="0.2">
      <c r="A447" s="38">
        <v>-318</v>
      </c>
      <c r="B447" s="51">
        <v>458.32802427670964</v>
      </c>
      <c r="C447" s="51">
        <v>-177.65274885330493</v>
      </c>
      <c r="D447" s="50">
        <f t="shared" si="38"/>
        <v>338.8131467059298</v>
      </c>
    </row>
    <row r="448" spans="1:4" x14ac:dyDescent="0.2">
      <c r="A448" s="37">
        <v>-319</v>
      </c>
      <c r="B448" s="51">
        <v>462.27201542425786</v>
      </c>
      <c r="C448" s="51">
        <v>-175.50393527948646</v>
      </c>
      <c r="D448" s="50">
        <f t="shared" si="38"/>
        <v>339.21047804081496</v>
      </c>
    </row>
    <row r="449" spans="1:4" x14ac:dyDescent="0.2">
      <c r="A449" s="37">
        <v>-320</v>
      </c>
      <c r="B449" s="51">
        <v>466.24426584888494</v>
      </c>
      <c r="C449" s="51">
        <v>-173.36228373138988</v>
      </c>
      <c r="D449" s="50">
        <f t="shared" si="38"/>
        <v>339.60349835669388</v>
      </c>
    </row>
    <row r="450" spans="1:4" x14ac:dyDescent="0.2">
      <c r="A450" s="38">
        <v>-321</v>
      </c>
      <c r="B450" s="51">
        <v>470.25301477294533</v>
      </c>
      <c r="C450" s="51">
        <v>-171.22318899547543</v>
      </c>
      <c r="D450" s="50">
        <f t="shared" ref="D450:D490" si="39">IF(DEGREES(ATAN2(B450,C450))&lt;0,DEGREES(ATAN2(B450,C450))+360,DEGREES(ATAN2(B450,C450)))</f>
        <v>339.99299753011866</v>
      </c>
    </row>
    <row r="451" spans="1:4" x14ac:dyDescent="0.2">
      <c r="A451" s="38">
        <v>-322</v>
      </c>
      <c r="B451" s="51">
        <v>473.30575253117615</v>
      </c>
      <c r="C451" s="51">
        <v>-168.58290617931712</v>
      </c>
      <c r="D451" s="50">
        <f t="shared" si="39"/>
        <v>340.39502508768544</v>
      </c>
    </row>
    <row r="452" spans="1:4" x14ac:dyDescent="0.2">
      <c r="A452" s="37">
        <v>-323</v>
      </c>
      <c r="B452" s="51">
        <v>475.30207792817578</v>
      </c>
      <c r="C452" s="51">
        <v>-165.40186788534871</v>
      </c>
      <c r="D452" s="50">
        <f t="shared" si="39"/>
        <v>340.81245341315389</v>
      </c>
    </row>
    <row r="453" spans="1:4" x14ac:dyDescent="0.2">
      <c r="A453" s="37">
        <v>-324</v>
      </c>
      <c r="B453" s="51">
        <v>477.25894557012793</v>
      </c>
      <c r="C453" s="51">
        <v>-162.18484306469085</v>
      </c>
      <c r="D453" s="50">
        <f t="shared" si="39"/>
        <v>341.2309203890627</v>
      </c>
    </row>
    <row r="454" spans="1:4" x14ac:dyDescent="0.2">
      <c r="A454" s="38">
        <v>-325</v>
      </c>
      <c r="B454" s="51">
        <v>479.17995068343242</v>
      </c>
      <c r="C454" s="51">
        <v>-158.92484847891427</v>
      </c>
      <c r="D454" s="50">
        <f t="shared" si="39"/>
        <v>341.6513790891936</v>
      </c>
    </row>
    <row r="455" spans="1:4" x14ac:dyDescent="0.2">
      <c r="A455" s="38">
        <v>-326</v>
      </c>
      <c r="B455" s="51">
        <v>481.06868073828718</v>
      </c>
      <c r="C455" s="51">
        <v>-155.61439993654074</v>
      </c>
      <c r="D455" s="50">
        <f t="shared" si="39"/>
        <v>342.07482606495756</v>
      </c>
    </row>
    <row r="456" spans="1:4" x14ac:dyDescent="0.2">
      <c r="A456" s="37">
        <v>-327</v>
      </c>
      <c r="B456" s="51">
        <v>482.92879478316593</v>
      </c>
      <c r="C456" s="51">
        <v>-152.24541279002781</v>
      </c>
      <c r="D456" s="50">
        <f t="shared" si="39"/>
        <v>342.50231493118787</v>
      </c>
    </row>
    <row r="457" spans="1:4" x14ac:dyDescent="0.2">
      <c r="A457" s="37">
        <v>-328</v>
      </c>
      <c r="B457" s="51">
        <v>484.76335606575327</v>
      </c>
      <c r="C457" s="51">
        <v>-148.80901581807728</v>
      </c>
      <c r="D457" s="50">
        <f t="shared" si="39"/>
        <v>342.93495409998764</v>
      </c>
    </row>
    <row r="458" spans="1:4" x14ac:dyDescent="0.2">
      <c r="A458" s="38">
        <v>-329</v>
      </c>
      <c r="B458" s="51">
        <v>486.28073394852333</v>
      </c>
      <c r="C458" s="51">
        <v>-145.6185226144371</v>
      </c>
      <c r="D458" s="50">
        <f t="shared" si="39"/>
        <v>343.32948089133129</v>
      </c>
    </row>
    <row r="459" spans="1:4" x14ac:dyDescent="0.2">
      <c r="A459" s="38">
        <v>-330</v>
      </c>
      <c r="B459" s="51">
        <v>488.10502536697493</v>
      </c>
      <c r="C459" s="51">
        <v>-141.97349606409679</v>
      </c>
      <c r="D459" s="50">
        <f t="shared" si="39"/>
        <v>343.78204584892154</v>
      </c>
    </row>
    <row r="460" spans="1:4" x14ac:dyDescent="0.2">
      <c r="A460" s="37">
        <v>-331</v>
      </c>
      <c r="B460" s="51">
        <v>489.91380244608337</v>
      </c>
      <c r="C460" s="51">
        <v>-138.22659077084481</v>
      </c>
      <c r="D460" s="50">
        <f t="shared" si="39"/>
        <v>344.24386756743172</v>
      </c>
    </row>
    <row r="461" spans="1:4" x14ac:dyDescent="0.2">
      <c r="A461" s="37">
        <v>-332</v>
      </c>
      <c r="B461" s="51">
        <v>491.71058890858779</v>
      </c>
      <c r="C461" s="51">
        <v>-134.36419594812111</v>
      </c>
      <c r="D461" s="50">
        <f t="shared" si="39"/>
        <v>344.71654459619532</v>
      </c>
    </row>
    <row r="462" spans="1:4" x14ac:dyDescent="0.2">
      <c r="A462" s="38">
        <v>-333</v>
      </c>
      <c r="B462" s="51">
        <v>493.49912373806194</v>
      </c>
      <c r="C462" s="51">
        <v>-130.37093834468322</v>
      </c>
      <c r="D462" s="50">
        <f t="shared" si="39"/>
        <v>345.20186170525585</v>
      </c>
    </row>
    <row r="463" spans="1:4" x14ac:dyDescent="0.2">
      <c r="A463" s="38">
        <v>-334</v>
      </c>
      <c r="B463" s="51">
        <v>495.28315518407447</v>
      </c>
      <c r="C463" s="51">
        <v>-126.22931851680957</v>
      </c>
      <c r="D463" s="50">
        <f t="shared" si="39"/>
        <v>345.70182216971114</v>
      </c>
    </row>
    <row r="464" spans="1:4" x14ac:dyDescent="0.2">
      <c r="A464" s="37">
        <v>-335</v>
      </c>
      <c r="B464" s="51">
        <v>497.06645712874337</v>
      </c>
      <c r="C464" s="51">
        <v>-121.91928359390161</v>
      </c>
      <c r="D464" s="50">
        <f t="shared" si="39"/>
        <v>346.21869388942298</v>
      </c>
    </row>
    <row r="465" spans="1:4" x14ac:dyDescent="0.2">
      <c r="A465" s="37">
        <v>-336</v>
      </c>
      <c r="B465" s="51">
        <v>498.85332105409424</v>
      </c>
      <c r="C465" s="51">
        <v>-117.41769160573517</v>
      </c>
      <c r="D465" s="50">
        <f t="shared" si="39"/>
        <v>346.75507913218223</v>
      </c>
    </row>
    <row r="466" spans="1:4" x14ac:dyDescent="0.2">
      <c r="A466" s="38">
        <v>-337</v>
      </c>
      <c r="B466" s="51">
        <v>500.64849242725865</v>
      </c>
      <c r="C466" s="51">
        <v>-112.69761258721299</v>
      </c>
      <c r="D466" s="50">
        <f t="shared" si="39"/>
        <v>347.31398482816053</v>
      </c>
    </row>
    <row r="467" spans="1:4" x14ac:dyDescent="0.2">
      <c r="A467" s="38">
        <v>-338</v>
      </c>
      <c r="B467" s="51">
        <v>502.43679505285621</v>
      </c>
      <c r="C467" s="51">
        <v>-107.77586342505325</v>
      </c>
      <c r="D467" s="50">
        <f t="shared" si="39"/>
        <v>347.893159102141</v>
      </c>
    </row>
    <row r="468" spans="1:4" x14ac:dyDescent="0.2">
      <c r="A468" s="37">
        <v>-339</v>
      </c>
      <c r="B468" s="51">
        <v>504.12573325142176</v>
      </c>
      <c r="C468" s="51">
        <v>-102.86318172436899</v>
      </c>
      <c r="D468" s="50">
        <f t="shared" si="39"/>
        <v>348.46752019636239</v>
      </c>
    </row>
    <row r="469" spans="1:4" x14ac:dyDescent="0.2">
      <c r="A469" s="37">
        <v>-340</v>
      </c>
      <c r="B469" s="51">
        <v>505.70742940222027</v>
      </c>
      <c r="C469" s="51">
        <v>-97.983973456691601</v>
      </c>
      <c r="D469" s="50">
        <f t="shared" si="39"/>
        <v>349.03445835438674</v>
      </c>
    </row>
    <row r="470" spans="1:4" x14ac:dyDescent="0.2">
      <c r="A470" s="38">
        <v>-341</v>
      </c>
      <c r="B470" s="51">
        <v>507.18675222735135</v>
      </c>
      <c r="C470" s="51">
        <v>-93.132790495707681</v>
      </c>
      <c r="D470" s="50">
        <f t="shared" si="39"/>
        <v>349.59490707551709</v>
      </c>
    </row>
    <row r="471" spans="1:4" x14ac:dyDescent="0.2">
      <c r="A471" s="38">
        <v>-342</v>
      </c>
      <c r="B471" s="51">
        <v>508.56798445779543</v>
      </c>
      <c r="C471" s="51">
        <v>-88.30417171498803</v>
      </c>
      <c r="D471" s="50">
        <f t="shared" si="39"/>
        <v>350.14976948323294</v>
      </c>
    </row>
    <row r="472" spans="1:4" x14ac:dyDescent="0.2">
      <c r="A472" s="37">
        <v>-343</v>
      </c>
      <c r="B472" s="51">
        <v>509.85487877337175</v>
      </c>
      <c r="C472" s="51">
        <v>-83.492606473808237</v>
      </c>
      <c r="D472" s="50">
        <f t="shared" si="39"/>
        <v>350.69992687747566</v>
      </c>
    </row>
    <row r="473" spans="1:4" x14ac:dyDescent="0.2">
      <c r="A473" s="37">
        <v>-344</v>
      </c>
      <c r="B473" s="51">
        <v>511.05115248408333</v>
      </c>
      <c r="C473" s="51">
        <v>-78.692482755017181</v>
      </c>
      <c r="D473" s="50">
        <f t="shared" si="39"/>
        <v>351.24625588886022</v>
      </c>
    </row>
    <row r="474" spans="1:4" x14ac:dyDescent="0.2">
      <c r="A474" s="38">
        <v>-345</v>
      </c>
      <c r="B474" s="51">
        <v>512.16009619446208</v>
      </c>
      <c r="C474" s="51">
        <v>-73.898058110345815</v>
      </c>
      <c r="D474" s="50">
        <f t="shared" si="39"/>
        <v>351.78962591454797</v>
      </c>
    </row>
    <row r="475" spans="1:4" x14ac:dyDescent="0.2">
      <c r="A475" s="38">
        <v>-346</v>
      </c>
      <c r="B475" s="51">
        <v>513.18462595672531</v>
      </c>
      <c r="C475" s="51">
        <v>-69.103412747623665</v>
      </c>
      <c r="D475" s="50">
        <f t="shared" si="39"/>
        <v>352.33090747473955</v>
      </c>
    </row>
    <row r="476" spans="1:4" x14ac:dyDescent="0.2">
      <c r="A476" s="37">
        <v>-347</v>
      </c>
      <c r="B476" s="51">
        <v>514.127774719527</v>
      </c>
      <c r="C476" s="51">
        <v>-64.302385530584388</v>
      </c>
      <c r="D476" s="50">
        <f t="shared" si="39"/>
        <v>352.8709880778639</v>
      </c>
    </row>
    <row r="477" spans="1:4" x14ac:dyDescent="0.2">
      <c r="A477" s="37">
        <v>-348</v>
      </c>
      <c r="B477" s="51">
        <v>514.99186427930579</v>
      </c>
      <c r="C477" s="51">
        <v>-59.488539327488169</v>
      </c>
      <c r="D477" s="50">
        <f t="shared" si="39"/>
        <v>353.41076500865046</v>
      </c>
    </row>
    <row r="478" spans="1:4" x14ac:dyDescent="0.2">
      <c r="A478" s="38">
        <v>-349</v>
      </c>
      <c r="B478" s="51">
        <v>515.77877920974458</v>
      </c>
      <c r="C478" s="51">
        <v>-54.655086434753379</v>
      </c>
      <c r="D478" s="50">
        <f t="shared" si="39"/>
        <v>353.95116044639241</v>
      </c>
    </row>
    <row r="479" spans="1:4" x14ac:dyDescent="0.2">
      <c r="A479" s="38">
        <v>-350</v>
      </c>
      <c r="B479" s="51">
        <v>516.49134040267825</v>
      </c>
      <c r="C479" s="51">
        <v>-49.794778789735915</v>
      </c>
      <c r="D479" s="50">
        <f t="shared" si="39"/>
        <v>354.49315034730301</v>
      </c>
    </row>
    <row r="480" spans="1:4" x14ac:dyDescent="0.2">
      <c r="A480" s="37">
        <v>-351</v>
      </c>
      <c r="B480" s="51">
        <v>517.1307241008501</v>
      </c>
      <c r="C480" s="51">
        <v>-44.899882831084682</v>
      </c>
      <c r="D480" s="50">
        <f t="shared" si="39"/>
        <v>355.03773759670366</v>
      </c>
    </row>
    <row r="481" spans="1:4" x14ac:dyDescent="0.2">
      <c r="A481" s="37">
        <v>-352</v>
      </c>
      <c r="B481" s="51">
        <v>517.69872009748565</v>
      </c>
      <c r="C481" s="51">
        <v>-39.962018348158459</v>
      </c>
      <c r="D481" s="50">
        <f t="shared" si="39"/>
        <v>355.58599738049861</v>
      </c>
    </row>
    <row r="482" spans="1:4" x14ac:dyDescent="0.2">
      <c r="A482" s="38">
        <v>-353</v>
      </c>
      <c r="B482" s="51">
        <v>518.19691629628608</v>
      </c>
      <c r="C482" s="51">
        <v>-34.972054193116335</v>
      </c>
      <c r="D482" s="50">
        <f t="shared" si="39"/>
        <v>356.1390791453988</v>
      </c>
    </row>
    <row r="483" spans="1:4" x14ac:dyDescent="0.2">
      <c r="A483" s="38">
        <v>-354</v>
      </c>
      <c r="B483" s="51">
        <v>518.62654560490444</v>
      </c>
      <c r="C483" s="51">
        <v>-29.91996051068136</v>
      </c>
      <c r="D483" s="50">
        <f t="shared" si="39"/>
        <v>356.69822260429464</v>
      </c>
    </row>
    <row r="484" spans="1:4" x14ac:dyDescent="0.2">
      <c r="A484" s="37">
        <v>-355</v>
      </c>
      <c r="B484" s="51">
        <v>518.9885568433989</v>
      </c>
      <c r="C484" s="51">
        <v>-24.794623698299493</v>
      </c>
      <c r="D484" s="50">
        <f t="shared" si="39"/>
        <v>357.26477988944953</v>
      </c>
    </row>
    <row r="485" spans="1:4" x14ac:dyDescent="0.2">
      <c r="A485" s="37">
        <v>-356</v>
      </c>
      <c r="B485" s="51">
        <v>519.28369124932624</v>
      </c>
      <c r="C485" s="51">
        <v>-19.583620949274476</v>
      </c>
      <c r="D485" s="50">
        <f t="shared" si="39"/>
        <v>357.84024156711632</v>
      </c>
    </row>
    <row r="486" spans="1:4" x14ac:dyDescent="0.2">
      <c r="A486" s="38">
        <v>-357</v>
      </c>
      <c r="B486" s="51">
        <v>519.51301432788932</v>
      </c>
      <c r="C486" s="51">
        <v>-14.272938558607189</v>
      </c>
      <c r="D486" s="50">
        <f t="shared" si="39"/>
        <v>358.42626949268953</v>
      </c>
    </row>
    <row r="487" spans="1:4" x14ac:dyDescent="0.2">
      <c r="A487" s="38">
        <v>-358</v>
      </c>
      <c r="B487" s="51">
        <v>519.6768955234229</v>
      </c>
      <c r="C487" s="51">
        <v>-8.8466430801256166</v>
      </c>
      <c r="D487" s="50">
        <f t="shared" si="39"/>
        <v>359.02472793961891</v>
      </c>
    </row>
    <row r="488" spans="1:4" x14ac:dyDescent="0.2">
      <c r="A488" s="37">
        <v>-359</v>
      </c>
      <c r="B488" s="51">
        <v>519.74277096735045</v>
      </c>
      <c r="C488" s="51">
        <v>-5.6982588493087416</v>
      </c>
      <c r="D488" s="50">
        <f t="shared" si="39"/>
        <v>359.37185638643547</v>
      </c>
    </row>
    <row r="489" spans="1:4" x14ac:dyDescent="0.2">
      <c r="A489" s="37">
        <v>-360</v>
      </c>
      <c r="B489" s="51">
        <v>519.77806722348532</v>
      </c>
      <c r="C489" s="51">
        <v>-1.209210555446875E-13</v>
      </c>
      <c r="D489" s="50">
        <f t="shared" si="39"/>
        <v>360</v>
      </c>
    </row>
    <row r="490" spans="1:4" x14ac:dyDescent="0.2">
      <c r="A490" s="39"/>
      <c r="B490" s="51">
        <f>B129</f>
        <v>519.77806722348544</v>
      </c>
      <c r="C490" s="51">
        <f>C129</f>
        <v>0</v>
      </c>
      <c r="D490" s="50">
        <f t="shared" si="39"/>
        <v>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interaction_button" altText="Attempt to Find_x000a_Interaction point for Goal_x000a_(Form Button)">
                <anchor moveWithCells="1" sizeWithCells="1">
                  <from>
                    <xdr:col>0</xdr:col>
                    <xdr:colOff>774700</xdr:colOff>
                    <xdr:row>121</xdr:row>
                    <xdr:rowOff>63500</xdr:rowOff>
                  </from>
                  <to>
                    <xdr:col>2</xdr:col>
                    <xdr:colOff>889000</xdr:colOff>
                    <xdr:row>126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mx_my">
                <anchor moveWithCells="1" sizeWithCells="1">
                  <from>
                    <xdr:col>3</xdr:col>
                    <xdr:colOff>76200</xdr:colOff>
                    <xdr:row>121</xdr:row>
                    <xdr:rowOff>50800</xdr:rowOff>
                  </from>
                  <to>
                    <xdr:col>5</xdr:col>
                    <xdr:colOff>1155700</xdr:colOff>
                    <xdr:row>126</xdr:row>
                    <xdr:rowOff>50800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p_m_curve">
                <anchor moveWithCells="1" sizeWithCells="1">
                  <from>
                    <xdr:col>9</xdr:col>
                    <xdr:colOff>546100</xdr:colOff>
                    <xdr:row>121</xdr:row>
                    <xdr:rowOff>152400</xdr:rowOff>
                  </from>
                  <to>
                    <xdr:col>13</xdr:col>
                    <xdr:colOff>342900</xdr:colOff>
                    <xdr:row>125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4438B661-79DD-4D10-A44E-D95D17099999}">
          <x14:formula1>
            <xm:f>Reference!$A$1:$A$12</xm:f>
          </x14:formula1>
          <xm:sqref>B13:B24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C239C7-1FB1-47D1-ABA5-3A9CFB83700E}">
  <sheetPr codeName="Sheet2"/>
  <dimension ref="A1:C12"/>
  <sheetViews>
    <sheetView workbookViewId="0">
      <selection activeCell="B9" sqref="B9"/>
    </sheetView>
  </sheetViews>
  <sheetFormatPr baseColWidth="10" defaultColWidth="8.83203125" defaultRowHeight="15" x14ac:dyDescent="0.2"/>
  <sheetData>
    <row r="1" spans="1:3" x14ac:dyDescent="0.2">
      <c r="A1">
        <v>0</v>
      </c>
      <c r="B1">
        <v>0</v>
      </c>
      <c r="C1">
        <v>0</v>
      </c>
    </row>
    <row r="2" spans="1:3" x14ac:dyDescent="0.2">
      <c r="A2">
        <v>3</v>
      </c>
      <c r="B2">
        <v>0.375</v>
      </c>
      <c r="C2">
        <v>0.11</v>
      </c>
    </row>
    <row r="3" spans="1:3" x14ac:dyDescent="0.2">
      <c r="A3">
        <v>4</v>
      </c>
      <c r="B3">
        <v>0.5</v>
      </c>
      <c r="C3">
        <v>0.2</v>
      </c>
    </row>
    <row r="4" spans="1:3" x14ac:dyDescent="0.2">
      <c r="A4">
        <v>5</v>
      </c>
      <c r="B4">
        <v>0.625</v>
      </c>
      <c r="C4">
        <v>0.31</v>
      </c>
    </row>
    <row r="5" spans="1:3" x14ac:dyDescent="0.2">
      <c r="A5">
        <v>6</v>
      </c>
      <c r="B5">
        <v>0.75</v>
      </c>
      <c r="C5">
        <v>0.44</v>
      </c>
    </row>
    <row r="6" spans="1:3" x14ac:dyDescent="0.2">
      <c r="A6">
        <v>7</v>
      </c>
      <c r="B6">
        <v>0.875</v>
      </c>
      <c r="C6">
        <v>0.6</v>
      </c>
    </row>
    <row r="7" spans="1:3" x14ac:dyDescent="0.2">
      <c r="A7">
        <v>8</v>
      </c>
      <c r="B7">
        <v>1</v>
      </c>
      <c r="C7">
        <v>0.79</v>
      </c>
    </row>
    <row r="8" spans="1:3" x14ac:dyDescent="0.2">
      <c r="A8">
        <v>9</v>
      </c>
      <c r="B8">
        <v>1.1279999999999999</v>
      </c>
      <c r="C8">
        <v>1</v>
      </c>
    </row>
    <row r="9" spans="1:3" x14ac:dyDescent="0.2">
      <c r="A9">
        <v>10</v>
      </c>
      <c r="B9">
        <v>1.27</v>
      </c>
      <c r="C9">
        <v>1.27</v>
      </c>
    </row>
    <row r="10" spans="1:3" x14ac:dyDescent="0.2">
      <c r="A10">
        <v>11</v>
      </c>
      <c r="B10">
        <v>1.41</v>
      </c>
      <c r="C10">
        <v>1.56</v>
      </c>
    </row>
    <row r="11" spans="1:3" x14ac:dyDescent="0.2">
      <c r="A11">
        <v>14</v>
      </c>
      <c r="B11">
        <v>1.6930000000000001</v>
      </c>
      <c r="C11">
        <v>2.25</v>
      </c>
    </row>
    <row r="12" spans="1:3" x14ac:dyDescent="0.2">
      <c r="A12">
        <v>18</v>
      </c>
      <c r="B12">
        <v>2.2570000000000001</v>
      </c>
      <c r="C12">
        <v>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02293755B0C1C458CEABDE3487C809F" ma:contentTypeVersion="11" ma:contentTypeDescription="Create a new document." ma:contentTypeScope="" ma:versionID="17b1a2cd11f8f5d6d4f3bb7988a2da44">
  <xsd:schema xmlns:xsd="http://www.w3.org/2001/XMLSchema" xmlns:xs="http://www.w3.org/2001/XMLSchema" xmlns:p="http://schemas.microsoft.com/office/2006/metadata/properties" xmlns:ns2="e084eb51-e41f-419d-868e-d827d41fdf42" xmlns:ns3="a54a5347-8adb-4f47-b158-08c1baf179b6" targetNamespace="http://schemas.microsoft.com/office/2006/metadata/properties" ma:root="true" ma:fieldsID="747251f9c5377854abca8fc51c5615ab" ns2:_="" ns3:_="">
    <xsd:import namespace="e084eb51-e41f-419d-868e-d827d41fdf42"/>
    <xsd:import namespace="a54a5347-8adb-4f47-b158-08c1baf179b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84eb51-e41f-419d-868e-d827d41fdf4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54a5347-8adb-4f47-b158-08c1baf179b6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A6B3A5-42BC-4C96-82C2-CE544D769DC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4D90F7A-FC30-45D5-8F55-850AABE4945A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13D28E3-3597-4BD9-87AD-5985392E30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84eb51-e41f-419d-868e-d827d41fdf42"/>
    <ds:schemaRef ds:uri="a54a5347-8adb-4f47-b158-08c1baf17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Cross Section Analysis</vt:lpstr>
      <vt:lpstr>Reference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 Bockoven</dc:creator>
  <cp:lastModifiedBy>Donald Bockoven</cp:lastModifiedBy>
  <dcterms:created xsi:type="dcterms:W3CDTF">2020-01-14T22:46:38Z</dcterms:created>
  <dcterms:modified xsi:type="dcterms:W3CDTF">2020-01-21T03:05:46Z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0x010100D02293755B0C1C458CEABDE3487C809F</vt:lpwstr>
  </property>
</Properties>
</file>