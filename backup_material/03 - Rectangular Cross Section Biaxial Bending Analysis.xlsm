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A7FE8524-4666-4E36-B5DD-71C90C67F6A1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" l="1"/>
  <c r="S6" i="1"/>
  <c r="S13" i="1" s="1"/>
  <c r="S4" i="1"/>
  <c r="S14" i="1" s="1"/>
  <c r="S11" i="1"/>
  <c r="S15" i="1" l="1"/>
  <c r="S16" i="1" s="1"/>
  <c r="V131" i="1"/>
  <c r="S19" i="1" l="1"/>
  <c r="S20" i="1"/>
  <c r="S17" i="1"/>
  <c r="S18" i="1"/>
  <c r="F53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C35" i="1" l="1"/>
  <c r="C36" i="1"/>
  <c r="C37" i="1"/>
  <c r="C38" i="1"/>
  <c r="C39" i="1"/>
  <c r="C40" i="1"/>
  <c r="C41" i="1"/>
  <c r="C42" i="1"/>
  <c r="C43" i="1"/>
  <c r="C44" i="1"/>
  <c r="C45" i="1"/>
  <c r="C34" i="1"/>
  <c r="B121" i="1" l="1"/>
  <c r="D120" i="1" l="1"/>
  <c r="V130" i="1" l="1"/>
  <c r="E120" i="1"/>
  <c r="W130" i="1" l="1"/>
  <c r="O119" i="1"/>
  <c r="O120" i="1" s="1"/>
  <c r="P119" i="1"/>
  <c r="P120" i="1" s="1"/>
  <c r="C490" i="1"/>
  <c r="B490" i="1"/>
  <c r="D490" i="1" l="1"/>
  <c r="Q120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C25" i="1" l="1"/>
  <c r="D25" i="1" s="1"/>
  <c r="J117" i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103" i="1"/>
  <c r="B104" i="1"/>
  <c r="B105" i="1"/>
  <c r="C72" i="1"/>
  <c r="B107" i="1"/>
  <c r="C74" i="1"/>
  <c r="C75" i="1"/>
  <c r="B34" i="1"/>
  <c r="B30" i="1" l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E6" i="1"/>
  <c r="E5" i="1"/>
  <c r="D5" i="1"/>
  <c r="D4" i="1"/>
  <c r="B31" i="1" l="1"/>
  <c r="G3" i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F75" i="1" l="1"/>
  <c r="C109" i="1" s="1"/>
  <c r="G75" i="1"/>
  <c r="D109" i="1" s="1"/>
  <c r="F74" i="1"/>
  <c r="C108" i="1" s="1"/>
  <c r="G74" i="1"/>
  <c r="D108" i="1" s="1"/>
  <c r="G67" i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E103" i="1" l="1"/>
  <c r="F103" i="1" s="1"/>
  <c r="E98" i="1"/>
  <c r="U59" i="1"/>
  <c r="U60" i="1" s="1"/>
  <c r="T60" i="1"/>
  <c r="F90" i="1"/>
  <c r="F89" i="1"/>
  <c r="F88" i="1"/>
  <c r="I88" i="1" s="1"/>
  <c r="H91" i="1"/>
  <c r="G88" i="1"/>
  <c r="G90" i="1"/>
  <c r="E108" i="1"/>
  <c r="F108" i="1" s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F109" i="1" s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G103" i="1" l="1"/>
  <c r="H103" i="1" s="1"/>
  <c r="J103" i="1" s="1"/>
  <c r="P115" i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 l="1"/>
  <c r="J89" i="1"/>
  <c r="F110" i="1"/>
  <c r="J113" i="1" s="1"/>
  <c r="I98" i="1"/>
  <c r="J110" i="1"/>
  <c r="I104" i="1"/>
  <c r="I108" i="1"/>
  <c r="J90" i="1"/>
  <c r="K90" i="1"/>
  <c r="L90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U117" i="1" s="1"/>
  <c r="B114" i="1"/>
  <c r="D115" i="1"/>
  <c r="B115" i="1"/>
  <c r="L119" i="1" l="1"/>
  <c r="F114" i="1"/>
  <c r="H114" i="1" s="1"/>
  <c r="J114" i="1" s="1"/>
  <c r="F115" i="1"/>
  <c r="H115" i="1" s="1"/>
  <c r="J115" i="1" s="1"/>
  <c r="W131" i="1" l="1"/>
  <c r="M113" i="1"/>
  <c r="N115" i="1"/>
  <c r="M117" i="1"/>
  <c r="I125" i="1"/>
  <c r="H125" i="1"/>
  <c r="M119" i="1" l="1"/>
  <c r="U118" i="1"/>
  <c r="O117" i="1"/>
  <c r="O121" i="1" s="1"/>
  <c r="O113" i="1"/>
  <c r="P113" i="1"/>
  <c r="N113" i="1"/>
  <c r="P117" i="1"/>
  <c r="Q113" i="1" l="1"/>
  <c r="P118" i="1"/>
  <c r="P121" i="1"/>
  <c r="O118" i="1"/>
  <c r="Q118" i="1" l="1"/>
</calcChain>
</file>

<file path=xl/sharedStrings.xml><?xml version="1.0" encoding="utf-8"?>
<sst xmlns="http://schemas.openxmlformats.org/spreadsheetml/2006/main" count="173" uniqueCount="125">
  <si>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</si>
  <si>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</si>
  <si>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</si>
  <si>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</si>
  <si>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</si>
  <si>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</si>
  <si>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</si>
  <si>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</si>
  <si>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</si>
  <si>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</si>
  <si>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</si>
  <si>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</si>
  <si>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</si>
  <si>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</si>
  <si>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</si>
  <si>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</si>
  <si>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</si>
  <si>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</si>
  <si>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</si>
  <si>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</si>
  <si>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</si>
  <si>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</si>
  <si>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</si>
  <si>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</si>
  <si>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</si>
  <si>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</si>
  <si>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</si>
  <si>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</si>
  <si>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</si>
  <si>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</si>
  <si>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</si>
  <si>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</si>
  <si>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</si>
  <si>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</si>
  <si>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</si>
  <si>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</si>
  <si>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</si>
  <si>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</si>
  <si>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</si>
  <si>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</si>
  <si>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</si>
  <si>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</si>
  <si>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</si>
  <si>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</si>
  <si>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</si>
  <si>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</si>
  <si>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</si>
  <si>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</si>
  <si>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</si>
  <si>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</si>
  <si>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</si>
  <si>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</si>
  <si>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</si>
  <si>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</si>
  <si>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</si>
  <si>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</si>
  <si>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</si>
  <si>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</si>
  <si>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</si>
  <si>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</si>
  <si>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</si>
  <si>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</si>
  <si>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</si>
  <si>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</si>
  <si>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</si>
  <si>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</si>
  <si>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</si>
  <si>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</si>
  <si>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</si>
  <si>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</si>
  <si>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</si>
  <si>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</si>
  <si>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</si>
  <si>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</si>
  <si>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</si>
  <si>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</si>
  <si>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</si>
  <si>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</si>
  <si>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</si>
  <si>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</si>
  <si>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</si>
  <si>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</si>
  <si>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</si>
  <si>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</si>
  <si>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</si>
  <si>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</si>
  <si>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</si>
  <si>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</si>
  <si>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</si>
  <si>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</si>
  <si>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</si>
  <si>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</si>
  <si>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</si>
  <si>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</si>
  <si>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Unit Vector:</t>
  </si>
  <si>
    <t>3D 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</si>
  <si>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</si>
  <si>
    <t>P-phiPn</t>
  </si>
  <si>
    <t>Coord. To plot goal</t>
  </si>
  <si>
    <t>phiTheta-theta</t>
  </si>
  <si>
    <t>Bar Layout Generator:</t>
  </si>
  <si>
    <t>XH:XB</t>
  </si>
  <si>
    <t>H</t>
  </si>
  <si>
    <t>B (inclusive of H bars)</t>
  </si>
  <si>
    <t>Bar Size</t>
  </si>
  <si>
    <t>Tie Bar</t>
  </si>
  <si>
    <t>1/2 Bar Ø</t>
  </si>
  <si>
    <t>Bar Ø (in)</t>
  </si>
  <si>
    <t>Total Bar Count (&lt;= 12)</t>
  </si>
  <si>
    <t>Tie Bar Ø (in) = C</t>
  </si>
  <si>
    <t>Cover to tie (in) = D</t>
  </si>
  <si>
    <t>E = max of two above</t>
  </si>
  <si>
    <t>XJ = B - X0 = End X coord</t>
  </si>
  <si>
    <t>X0, Y0= C+D+E= Bar Start X,Y coord</t>
  </si>
  <si>
    <t>YJ = H - Y0 = End Y Coord</t>
  </si>
  <si>
    <t>X Spacing</t>
  </si>
  <si>
    <t>Y Spacing</t>
  </si>
  <si>
    <t>Layout Calcs:</t>
  </si>
  <si>
    <t>Table A-3 in ACI SP-17(14)</t>
  </si>
  <si>
    <t>Pattern: (2:2 Min - 12 Total Bars Max)</t>
  </si>
  <si>
    <t>I.P. Total Iterations:</t>
  </si>
  <si>
    <t>I.P. Found:</t>
  </si>
  <si>
    <t>Global Tolerance</t>
  </si>
  <si>
    <t>NA_depth</t>
  </si>
  <si>
    <t>2*tie Ø  -Tie Bend 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</si>
</sst>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0" fontId="0" fillId="0" borderId="8" xfId="0" applyBorder="1"/>
    <xf numFmtId="0" fontId="0" fillId="0" borderId="7" xfId="0" applyBorder="1"/>
    <xf numFmtId="0" fontId="0" fillId="0" borderId="0" xfId="0" applyBorder="1"/>
    <xf numFmtId="0" fontId="0" fillId="0" borderId="2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9" xfId="0" applyNumberFormat="1" applyBorder="1"/>
    <xf numFmtId="0" fontId="0" fillId="2" borderId="0" xfId="0" applyFill="1" applyAlignment="1">
      <alignment horizontal="center"/>
    </xf>
    <xf numFmtId="0" fontId="8" fillId="0" borderId="3" xfId="0" applyFont="1" applyBorder="1" applyAlignment="1">
      <alignment horizontal="left"/>
    </xf>
    <xf numFmtId="0" fontId="0" fillId="2" borderId="7" xfId="0" applyFill="1" applyBorder="1"/>
    <xf numFmtId="0" fontId="0" fillId="0" borderId="0" xfId="0" applyFill="1" applyBorder="1"/>
    <xf numFmtId="0" fontId="0" fillId="0" borderId="10" xfId="0" applyBorder="1"/>
    <xf numFmtId="0" fontId="0" fillId="2" borderId="7" xfId="0" applyFill="1" applyBorder="1" applyProtection="1">
      <protection locked="0"/>
    </xf>
    <xf numFmtId="2" fontId="0" fillId="0" borderId="7" xfId="0" applyNumberFormat="1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3.125</c:v>
                </c:pt>
                <c:pt idx="1">
                  <c:v>14.875</c:v>
                </c:pt>
                <c:pt idx="2">
                  <c:v>3.125</c:v>
                </c:pt>
                <c:pt idx="3">
                  <c:v>14.875</c:v>
                </c:pt>
                <c:pt idx="4">
                  <c:v>3.125</c:v>
                </c:pt>
                <c:pt idx="5">
                  <c:v>14.875</c:v>
                </c:pt>
                <c:pt idx="6">
                  <c:v>3.125</c:v>
                </c:pt>
                <c:pt idx="7">
                  <c:v>14.875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3.125</c:v>
                </c:pt>
                <c:pt idx="1">
                  <c:v>3.125</c:v>
                </c:pt>
                <c:pt idx="2">
                  <c:v>9.0416666666666679</c:v>
                </c:pt>
                <c:pt idx="3">
                  <c:v>9.0416666666666679</c:v>
                </c:pt>
                <c:pt idx="4">
                  <c:v>14.958333333333334</c:v>
                </c:pt>
                <c:pt idx="5">
                  <c:v>14.958333333333334</c:v>
                </c:pt>
                <c:pt idx="6">
                  <c:v>20.875</c:v>
                </c:pt>
                <c:pt idx="7">
                  <c:v>20.875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9.0000000000000018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-14.896276024692611</c:v>
                </c:pt>
                <c:pt idx="1">
                  <c:v>-5.8614735646907841</c:v>
                </c:pt>
                <c:pt idx="2">
                  <c:v>14.896276024692611</c:v>
                </c:pt>
                <c:pt idx="3">
                  <c:v>5.8614735646907823</c:v>
                </c:pt>
                <c:pt idx="4">
                  <c:v>-14.896276024692611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1.7609544560175561</c:v>
                </c:pt>
                <c:pt idx="1">
                  <c:v>-13.807357736019991</c:v>
                </c:pt>
                <c:pt idx="2">
                  <c:v>-1.7609544560175534</c:v>
                </c:pt>
                <c:pt idx="3">
                  <c:v>13.807357736019993</c:v>
                </c:pt>
                <c:pt idx="4">
                  <c:v>1.7609544560175561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-10.624901953157998</c:v>
                </c:pt>
                <c:pt idx="1">
                  <c:v>-4.7271836806568057</c:v>
                </c:pt>
                <c:pt idx="2">
                  <c:v>-5.5075400752197297</c:v>
                </c:pt>
                <c:pt idx="3">
                  <c:v>0.3901781972814633</c:v>
                </c:pt>
                <c:pt idx="4">
                  <c:v>-0.3901781972814633</c:v>
                </c:pt>
                <c:pt idx="5">
                  <c:v>5.5075400752197297</c:v>
                </c:pt>
                <c:pt idx="6">
                  <c:v>4.7271836806568039</c:v>
                </c:pt>
                <c:pt idx="7">
                  <c:v>10.624901953157996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0.62666457198357683</c:v>
                </c:pt>
                <c:pt idx="1">
                  <c:v>-9.5359836644853768</c:v>
                </c:pt>
                <c:pt idx="2">
                  <c:v>3.5964376028175122</c:v>
                </c:pt>
                <c:pt idx="3">
                  <c:v>-6.5662106336514414</c:v>
                </c:pt>
                <c:pt idx="4">
                  <c:v>6.5662106336514459</c:v>
                </c:pt>
                <c:pt idx="5">
                  <c:v>-3.5964376028175078</c:v>
                </c:pt>
                <c:pt idx="6">
                  <c:v>9.5359836644853804</c:v>
                </c:pt>
                <c:pt idx="7">
                  <c:v>-0.62666457198357328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-14.896276024692611</c:v>
                </c:pt>
                <c:pt idx="1">
                  <c:v>14.896276024692611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-9.7705060410586579</c:v>
                </c:pt>
                <c:pt idx="1">
                  <c:v>-9.7705060410586579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-14.896276024692611</c:v>
                </c:pt>
                <c:pt idx="1">
                  <c:v>14.896276024692611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-5.0549332856429263</c:v>
                </c:pt>
                <c:pt idx="1">
                  <c:v>-5.0549332856429263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-10.940792695745381</c:v>
                </c:pt>
                <c:pt idx="1">
                  <c:v>9.2202591996872449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-5.0549332856429263</c:v>
                </c:pt>
                <c:pt idx="1">
                  <c:v>-5.0549332856429263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14.896276024692611</c:v>
                </c:pt>
                <c:pt idx="1">
                  <c:v>-14.896276024692611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14.896276024692611</c:v>
                </c:pt>
                <c:pt idx="1">
                  <c:v>-14.896276024692611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244.14108563867407</c:v>
                </c:pt>
                <c:pt idx="1">
                  <c:v>243.83535182640767</c:v>
                </c:pt>
                <c:pt idx="2">
                  <c:v>243.49990621901819</c:v>
                </c:pt>
                <c:pt idx="3">
                  <c:v>243.13443974964923</c:v>
                </c:pt>
                <c:pt idx="4">
                  <c:v>242.73837358766872</c:v>
                </c:pt>
                <c:pt idx="5">
                  <c:v>242.31132685885586</c:v>
                </c:pt>
                <c:pt idx="6">
                  <c:v>241.85250989279174</c:v>
                </c:pt>
                <c:pt idx="7">
                  <c:v>241.36129974539031</c:v>
                </c:pt>
                <c:pt idx="8">
                  <c:v>240.83682587132728</c:v>
                </c:pt>
                <c:pt idx="9">
                  <c:v>240.2783622475242</c:v>
                </c:pt>
                <c:pt idx="10">
                  <c:v>239.68490352039919</c:v>
                </c:pt>
                <c:pt idx="11">
                  <c:v>239.05535267362146</c:v>
                </c:pt>
                <c:pt idx="12">
                  <c:v>238.38861454416991</c:v>
                </c:pt>
                <c:pt idx="13">
                  <c:v>237.68347800466054</c:v>
                </c:pt>
                <c:pt idx="14">
                  <c:v>236.93838025793954</c:v>
                </c:pt>
                <c:pt idx="15">
                  <c:v>236.15204759037337</c:v>
                </c:pt>
                <c:pt idx="16">
                  <c:v>235.32271430319562</c:v>
                </c:pt>
                <c:pt idx="17">
                  <c:v>234.44877048860567</c:v>
                </c:pt>
                <c:pt idx="18">
                  <c:v>233.52818633724726</c:v>
                </c:pt>
                <c:pt idx="19">
                  <c:v>232.9864218057983</c:v>
                </c:pt>
                <c:pt idx="20">
                  <c:v>231.96542610501217</c:v>
                </c:pt>
                <c:pt idx="21">
                  <c:v>230.5766813941149</c:v>
                </c:pt>
                <c:pt idx="22">
                  <c:v>228.99068558930981</c:v>
                </c:pt>
                <c:pt idx="23">
                  <c:v>227.34670388699809</c:v>
                </c:pt>
                <c:pt idx="24">
                  <c:v>225.64159298134209</c:v>
                </c:pt>
                <c:pt idx="25">
                  <c:v>223.87155813641087</c:v>
                </c:pt>
                <c:pt idx="26">
                  <c:v>222.03278981972636</c:v>
                </c:pt>
                <c:pt idx="27">
                  <c:v>220.12107033135558</c:v>
                </c:pt>
                <c:pt idx="28">
                  <c:v>218.13199095017328</c:v>
                </c:pt>
                <c:pt idx="29">
                  <c:v>216.06055224423335</c:v>
                </c:pt>
                <c:pt idx="30">
                  <c:v>213.95908955745207</c:v>
                </c:pt>
                <c:pt idx="31">
                  <c:v>211.87558471929697</c:v>
                </c:pt>
                <c:pt idx="32">
                  <c:v>209.80721625604096</c:v>
                </c:pt>
                <c:pt idx="33">
                  <c:v>207.7512435611338</c:v>
                </c:pt>
                <c:pt idx="34">
                  <c:v>205.7051117902781</c:v>
                </c:pt>
                <c:pt idx="35">
                  <c:v>203.66609558259051</c:v>
                </c:pt>
                <c:pt idx="36">
                  <c:v>202.14543053443569</c:v>
                </c:pt>
                <c:pt idx="37">
                  <c:v>200.09599861556583</c:v>
                </c:pt>
                <c:pt idx="38">
                  <c:v>198.04599874952501</c:v>
                </c:pt>
                <c:pt idx="39">
                  <c:v>195.99302187322243</c:v>
                </c:pt>
                <c:pt idx="40">
                  <c:v>193.93451332802806</c:v>
                </c:pt>
                <c:pt idx="41">
                  <c:v>191.86775703271141</c:v>
                </c:pt>
                <c:pt idx="42">
                  <c:v>189.79025404463053</c:v>
                </c:pt>
                <c:pt idx="43">
                  <c:v>187.6991919983015</c:v>
                </c:pt>
                <c:pt idx="44">
                  <c:v>185.59182272670768</c:v>
                </c:pt>
                <c:pt idx="45">
                  <c:v>183.46524206689895</c:v>
                </c:pt>
                <c:pt idx="46">
                  <c:v>181.31646383360001</c:v>
                </c:pt>
                <c:pt idx="47">
                  <c:v>179.14222013187484</c:v>
                </c:pt>
                <c:pt idx="48">
                  <c:v>176.93929611287166</c:v>
                </c:pt>
                <c:pt idx="49">
                  <c:v>174.70402619408404</c:v>
                </c:pt>
                <c:pt idx="50">
                  <c:v>172.43274544554751</c:v>
                </c:pt>
                <c:pt idx="51">
                  <c:v>170.12126539048194</c:v>
                </c:pt>
                <c:pt idx="52">
                  <c:v>167.76541474017984</c:v>
                </c:pt>
                <c:pt idx="53">
                  <c:v>165.36048438611923</c:v>
                </c:pt>
                <c:pt idx="54">
                  <c:v>162.90125450982376</c:v>
                </c:pt>
                <c:pt idx="55">
                  <c:v>160.38231969259897</c:v>
                </c:pt>
                <c:pt idx="56">
                  <c:v>157.79759817160686</c:v>
                </c:pt>
                <c:pt idx="57">
                  <c:v>155.14042939514636</c:v>
                </c:pt>
                <c:pt idx="58">
                  <c:v>152.40341144307752</c:v>
                </c:pt>
                <c:pt idx="59">
                  <c:v>149.55727533159805</c:v>
                </c:pt>
                <c:pt idx="60">
                  <c:v>146.57638722358334</c:v>
                </c:pt>
                <c:pt idx="61">
                  <c:v>143.4895972646348</c:v>
                </c:pt>
                <c:pt idx="62">
                  <c:v>140.28574354026702</c:v>
                </c:pt>
                <c:pt idx="63">
                  <c:v>136.95233616805498</c:v>
                </c:pt>
                <c:pt idx="64">
                  <c:v>133.47504385528154</c:v>
                </c:pt>
                <c:pt idx="65">
                  <c:v>129.83764202610183</c:v>
                </c:pt>
                <c:pt idx="66">
                  <c:v>126.02137347674972</c:v>
                </c:pt>
                <c:pt idx="67">
                  <c:v>122.00471810183154</c:v>
                </c:pt>
                <c:pt idx="68">
                  <c:v>117.7626504409712</c:v>
                </c:pt>
                <c:pt idx="69">
                  <c:v>113.26578898853317</c:v>
                </c:pt>
                <c:pt idx="70">
                  <c:v>108.47966677364367</c:v>
                </c:pt>
                <c:pt idx="71">
                  <c:v>103.36325062255295</c:v>
                </c:pt>
                <c:pt idx="72">
                  <c:v>97.867362952902525</c:v>
                </c:pt>
                <c:pt idx="73">
                  <c:v>91.966152095873042</c:v>
                </c:pt>
                <c:pt idx="74">
                  <c:v>85.998485631783609</c:v>
                </c:pt>
                <c:pt idx="75">
                  <c:v>80.06543506656125</c:v>
                </c:pt>
                <c:pt idx="76">
                  <c:v>74.162231889970954</c:v>
                </c:pt>
                <c:pt idx="77">
                  <c:v>68.286472869939757</c:v>
                </c:pt>
                <c:pt idx="78">
                  <c:v>63.089898677824721</c:v>
                </c:pt>
                <c:pt idx="79">
                  <c:v>57.340389695633199</c:v>
                </c:pt>
                <c:pt idx="80">
                  <c:v>51.604482471185392</c:v>
                </c:pt>
                <c:pt idx="81">
                  <c:v>45.877746237894577</c:v>
                </c:pt>
                <c:pt idx="82">
                  <c:v>40.28721182699234</c:v>
                </c:pt>
                <c:pt idx="83">
                  <c:v>35.048196926736061</c:v>
                </c:pt>
                <c:pt idx="84">
                  <c:v>29.817093545426332</c:v>
                </c:pt>
                <c:pt idx="85">
                  <c:v>24.590166137687515</c:v>
                </c:pt>
                <c:pt idx="86">
                  <c:v>20.982368476420852</c:v>
                </c:pt>
                <c:pt idx="87">
                  <c:v>15.751457158113581</c:v>
                </c:pt>
                <c:pt idx="88">
                  <c:v>10.513342095583775</c:v>
                </c:pt>
                <c:pt idx="89">
                  <c:v>5.2641643060363492</c:v>
                </c:pt>
                <c:pt idx="90">
                  <c:v>1.6481237748596868E-14</c:v>
                </c:pt>
                <c:pt idx="91">
                  <c:v>-5.2641643060362906</c:v>
                </c:pt>
                <c:pt idx="92">
                  <c:v>-10.513342095583715</c:v>
                </c:pt>
                <c:pt idx="93">
                  <c:v>-15.751457158113439</c:v>
                </c:pt>
                <c:pt idx="94">
                  <c:v>-20.982368476420898</c:v>
                </c:pt>
                <c:pt idx="95">
                  <c:v>-24.590166137687355</c:v>
                </c:pt>
                <c:pt idx="96">
                  <c:v>-29.817093545426392</c:v>
                </c:pt>
                <c:pt idx="97">
                  <c:v>-35.048196926736061</c:v>
                </c:pt>
                <c:pt idx="98">
                  <c:v>-40.287211826992213</c:v>
                </c:pt>
                <c:pt idx="99">
                  <c:v>-45.87774623789457</c:v>
                </c:pt>
                <c:pt idx="100">
                  <c:v>-51.604482471185491</c:v>
                </c:pt>
                <c:pt idx="101">
                  <c:v>-57.340389695633192</c:v>
                </c:pt>
                <c:pt idx="102">
                  <c:v>-63.089898677824721</c:v>
                </c:pt>
                <c:pt idx="103">
                  <c:v>-68.286472869939686</c:v>
                </c:pt>
                <c:pt idx="104">
                  <c:v>-74.162231889971054</c:v>
                </c:pt>
                <c:pt idx="105">
                  <c:v>-80.065435066561363</c:v>
                </c:pt>
                <c:pt idx="106">
                  <c:v>-85.998485631783723</c:v>
                </c:pt>
                <c:pt idx="107">
                  <c:v>-91.966152095873056</c:v>
                </c:pt>
                <c:pt idx="108">
                  <c:v>-97.867362952902511</c:v>
                </c:pt>
                <c:pt idx="109">
                  <c:v>-103.36325062255288</c:v>
                </c:pt>
                <c:pt idx="110">
                  <c:v>-108.47966677364381</c:v>
                </c:pt>
                <c:pt idx="111">
                  <c:v>-113.26578898853312</c:v>
                </c:pt>
                <c:pt idx="112">
                  <c:v>-117.7626504409711</c:v>
                </c:pt>
                <c:pt idx="113">
                  <c:v>-122.00471810183144</c:v>
                </c:pt>
                <c:pt idx="114">
                  <c:v>-126.02137347674969</c:v>
                </c:pt>
                <c:pt idx="115">
                  <c:v>-129.83764202610186</c:v>
                </c:pt>
                <c:pt idx="116">
                  <c:v>-133.47504385528151</c:v>
                </c:pt>
                <c:pt idx="117">
                  <c:v>-136.95233616805498</c:v>
                </c:pt>
                <c:pt idx="118">
                  <c:v>-140.28574354026702</c:v>
                </c:pt>
                <c:pt idx="119">
                  <c:v>-143.4895972646348</c:v>
                </c:pt>
                <c:pt idx="120">
                  <c:v>-146.57638722358325</c:v>
                </c:pt>
                <c:pt idx="121">
                  <c:v>-149.55727533159794</c:v>
                </c:pt>
                <c:pt idx="122">
                  <c:v>-152.40341144307743</c:v>
                </c:pt>
                <c:pt idx="123">
                  <c:v>-155.1404293951463</c:v>
                </c:pt>
                <c:pt idx="124">
                  <c:v>-157.79759817160681</c:v>
                </c:pt>
                <c:pt idx="125">
                  <c:v>-160.38231969259891</c:v>
                </c:pt>
                <c:pt idx="126">
                  <c:v>-162.90125450982384</c:v>
                </c:pt>
                <c:pt idx="127">
                  <c:v>-165.36048438611905</c:v>
                </c:pt>
                <c:pt idx="128">
                  <c:v>-167.76541474017984</c:v>
                </c:pt>
                <c:pt idx="129">
                  <c:v>-170.12126539048188</c:v>
                </c:pt>
                <c:pt idx="130">
                  <c:v>-172.43274544554748</c:v>
                </c:pt>
                <c:pt idx="131">
                  <c:v>-174.70402619408392</c:v>
                </c:pt>
                <c:pt idx="132">
                  <c:v>-176.93929611287163</c:v>
                </c:pt>
                <c:pt idx="133">
                  <c:v>-179.14222013187481</c:v>
                </c:pt>
                <c:pt idx="134">
                  <c:v>-181.31646383360015</c:v>
                </c:pt>
                <c:pt idx="135">
                  <c:v>-183.46524206689881</c:v>
                </c:pt>
                <c:pt idx="136">
                  <c:v>-185.59182272670765</c:v>
                </c:pt>
                <c:pt idx="137">
                  <c:v>-187.6991919983015</c:v>
                </c:pt>
                <c:pt idx="138">
                  <c:v>-189.79025404463039</c:v>
                </c:pt>
                <c:pt idx="139">
                  <c:v>-191.86775703271138</c:v>
                </c:pt>
                <c:pt idx="140">
                  <c:v>-193.93451332802806</c:v>
                </c:pt>
                <c:pt idx="141">
                  <c:v>-195.99302187322243</c:v>
                </c:pt>
                <c:pt idx="142">
                  <c:v>-198.04599874952484</c:v>
                </c:pt>
                <c:pt idx="143">
                  <c:v>-200.09599861556589</c:v>
                </c:pt>
                <c:pt idx="144">
                  <c:v>-202.14543053443572</c:v>
                </c:pt>
                <c:pt idx="145">
                  <c:v>-203.66609558259063</c:v>
                </c:pt>
                <c:pt idx="146">
                  <c:v>-205.70511179027804</c:v>
                </c:pt>
                <c:pt idx="147">
                  <c:v>-207.75124356113386</c:v>
                </c:pt>
                <c:pt idx="148">
                  <c:v>-209.80721625604096</c:v>
                </c:pt>
                <c:pt idx="149">
                  <c:v>-211.8755847192968</c:v>
                </c:pt>
                <c:pt idx="150">
                  <c:v>-213.95908955745207</c:v>
                </c:pt>
                <c:pt idx="151">
                  <c:v>-216.06055224423335</c:v>
                </c:pt>
                <c:pt idx="152">
                  <c:v>-218.13199095017328</c:v>
                </c:pt>
                <c:pt idx="153">
                  <c:v>-220.12107033135555</c:v>
                </c:pt>
                <c:pt idx="154">
                  <c:v>-222.03278981972622</c:v>
                </c:pt>
                <c:pt idx="155">
                  <c:v>-223.87155813641075</c:v>
                </c:pt>
                <c:pt idx="156">
                  <c:v>-225.64159298134192</c:v>
                </c:pt>
                <c:pt idx="157">
                  <c:v>-227.34670388699809</c:v>
                </c:pt>
                <c:pt idx="158">
                  <c:v>-228.99068558930955</c:v>
                </c:pt>
                <c:pt idx="159">
                  <c:v>-230.5766813941149</c:v>
                </c:pt>
                <c:pt idx="160">
                  <c:v>-231.96542610501226</c:v>
                </c:pt>
                <c:pt idx="161">
                  <c:v>-232.9864218057983</c:v>
                </c:pt>
                <c:pt idx="162">
                  <c:v>-233.52818633724715</c:v>
                </c:pt>
                <c:pt idx="163">
                  <c:v>-234.44877048860582</c:v>
                </c:pt>
                <c:pt idx="164">
                  <c:v>-235.32271430319557</c:v>
                </c:pt>
                <c:pt idx="165">
                  <c:v>-236.1520475903732</c:v>
                </c:pt>
                <c:pt idx="166">
                  <c:v>-236.93838025793954</c:v>
                </c:pt>
                <c:pt idx="167">
                  <c:v>-237.68347800466043</c:v>
                </c:pt>
                <c:pt idx="168">
                  <c:v>-238.38861454416985</c:v>
                </c:pt>
                <c:pt idx="169">
                  <c:v>-239.05535267362151</c:v>
                </c:pt>
                <c:pt idx="170">
                  <c:v>-239.68490352039925</c:v>
                </c:pt>
                <c:pt idx="171">
                  <c:v>-240.27836224752392</c:v>
                </c:pt>
                <c:pt idx="172">
                  <c:v>-240.83682587132731</c:v>
                </c:pt>
                <c:pt idx="173">
                  <c:v>-241.36129974539031</c:v>
                </c:pt>
                <c:pt idx="174">
                  <c:v>-241.85250989279149</c:v>
                </c:pt>
                <c:pt idx="175">
                  <c:v>-242.31132685885586</c:v>
                </c:pt>
                <c:pt idx="176">
                  <c:v>-242.73837358766878</c:v>
                </c:pt>
                <c:pt idx="177">
                  <c:v>-243.13443974964909</c:v>
                </c:pt>
                <c:pt idx="178">
                  <c:v>-243.49990621901819</c:v>
                </c:pt>
                <c:pt idx="179">
                  <c:v>-243.83535182640765</c:v>
                </c:pt>
                <c:pt idx="180">
                  <c:v>-244.14108563867413</c:v>
                </c:pt>
                <c:pt idx="181">
                  <c:v>-243.83535182640767</c:v>
                </c:pt>
                <c:pt idx="182">
                  <c:v>-243.49990621901819</c:v>
                </c:pt>
                <c:pt idx="183">
                  <c:v>-243.13443974964926</c:v>
                </c:pt>
                <c:pt idx="184">
                  <c:v>-242.73837358766872</c:v>
                </c:pt>
                <c:pt idx="185">
                  <c:v>-242.31132685885584</c:v>
                </c:pt>
                <c:pt idx="186">
                  <c:v>-241.85250989279174</c:v>
                </c:pt>
                <c:pt idx="187">
                  <c:v>-241.36129974539043</c:v>
                </c:pt>
                <c:pt idx="188">
                  <c:v>-240.83682587132728</c:v>
                </c:pt>
                <c:pt idx="189">
                  <c:v>-240.27836224752409</c:v>
                </c:pt>
                <c:pt idx="190">
                  <c:v>-239.6849035203993</c:v>
                </c:pt>
                <c:pt idx="191">
                  <c:v>-239.05535267362146</c:v>
                </c:pt>
                <c:pt idx="192">
                  <c:v>-238.38861454416966</c:v>
                </c:pt>
                <c:pt idx="193">
                  <c:v>-237.68347800466043</c:v>
                </c:pt>
                <c:pt idx="194">
                  <c:v>-236.93838025793963</c:v>
                </c:pt>
                <c:pt idx="195">
                  <c:v>-236.15204759037334</c:v>
                </c:pt>
                <c:pt idx="196">
                  <c:v>-235.32271430319565</c:v>
                </c:pt>
                <c:pt idx="197">
                  <c:v>-234.44877048860559</c:v>
                </c:pt>
                <c:pt idx="198">
                  <c:v>-233.52818633724729</c:v>
                </c:pt>
                <c:pt idx="199">
                  <c:v>-232.98642180579833</c:v>
                </c:pt>
                <c:pt idx="200">
                  <c:v>-231.96542610501231</c:v>
                </c:pt>
                <c:pt idx="201">
                  <c:v>-230.57668139411501</c:v>
                </c:pt>
                <c:pt idx="202">
                  <c:v>-228.99068558930958</c:v>
                </c:pt>
                <c:pt idx="203">
                  <c:v>-227.34670388699797</c:v>
                </c:pt>
                <c:pt idx="204">
                  <c:v>-225.64159298134209</c:v>
                </c:pt>
                <c:pt idx="205">
                  <c:v>-223.87155813641087</c:v>
                </c:pt>
                <c:pt idx="206">
                  <c:v>-222.03278981972616</c:v>
                </c:pt>
                <c:pt idx="207">
                  <c:v>-220.12107033135575</c:v>
                </c:pt>
                <c:pt idx="208">
                  <c:v>-218.13199095017316</c:v>
                </c:pt>
                <c:pt idx="209">
                  <c:v>-216.06055224423343</c:v>
                </c:pt>
                <c:pt idx="210">
                  <c:v>-213.95908955745202</c:v>
                </c:pt>
                <c:pt idx="211">
                  <c:v>-211.87558471929697</c:v>
                </c:pt>
                <c:pt idx="212">
                  <c:v>-209.80721625604076</c:v>
                </c:pt>
                <c:pt idx="213">
                  <c:v>-207.75124356113378</c:v>
                </c:pt>
                <c:pt idx="214">
                  <c:v>-205.70511179027812</c:v>
                </c:pt>
                <c:pt idx="215">
                  <c:v>-203.66609558259054</c:v>
                </c:pt>
                <c:pt idx="216">
                  <c:v>-202.14543053443586</c:v>
                </c:pt>
                <c:pt idx="217">
                  <c:v>-200.09599861556592</c:v>
                </c:pt>
                <c:pt idx="218">
                  <c:v>-198.04599874952484</c:v>
                </c:pt>
                <c:pt idx="219">
                  <c:v>-195.9930218732224</c:v>
                </c:pt>
                <c:pt idx="220">
                  <c:v>-193.93451332802806</c:v>
                </c:pt>
                <c:pt idx="221">
                  <c:v>-191.86775703271144</c:v>
                </c:pt>
                <c:pt idx="222">
                  <c:v>-189.79025404463053</c:v>
                </c:pt>
                <c:pt idx="223">
                  <c:v>-187.6991919983015</c:v>
                </c:pt>
                <c:pt idx="224">
                  <c:v>-185.59182272670768</c:v>
                </c:pt>
                <c:pt idx="225">
                  <c:v>-183.46524206689895</c:v>
                </c:pt>
                <c:pt idx="226">
                  <c:v>-181.31646383360024</c:v>
                </c:pt>
                <c:pt idx="227">
                  <c:v>-179.14222013187504</c:v>
                </c:pt>
                <c:pt idx="228">
                  <c:v>-176.93929611287155</c:v>
                </c:pt>
                <c:pt idx="229">
                  <c:v>-174.70402619408404</c:v>
                </c:pt>
                <c:pt idx="230">
                  <c:v>-172.43274544554751</c:v>
                </c:pt>
                <c:pt idx="231">
                  <c:v>-170.12126539048211</c:v>
                </c:pt>
                <c:pt idx="232">
                  <c:v>-167.76541474017984</c:v>
                </c:pt>
                <c:pt idx="233">
                  <c:v>-165.36048438611917</c:v>
                </c:pt>
                <c:pt idx="234">
                  <c:v>-162.90125450982381</c:v>
                </c:pt>
                <c:pt idx="235">
                  <c:v>-160.38231969259911</c:v>
                </c:pt>
                <c:pt idx="236">
                  <c:v>-157.79759817160678</c:v>
                </c:pt>
                <c:pt idx="237">
                  <c:v>-155.14042939514644</c:v>
                </c:pt>
                <c:pt idx="238">
                  <c:v>-152.40341144307757</c:v>
                </c:pt>
                <c:pt idx="239">
                  <c:v>-149.55727533159813</c:v>
                </c:pt>
                <c:pt idx="240">
                  <c:v>-146.57638722358331</c:v>
                </c:pt>
                <c:pt idx="241">
                  <c:v>-143.48959726463488</c:v>
                </c:pt>
                <c:pt idx="242">
                  <c:v>-140.28574354026688</c:v>
                </c:pt>
                <c:pt idx="243">
                  <c:v>-136.95233616805498</c:v>
                </c:pt>
                <c:pt idx="244">
                  <c:v>-133.47504385528154</c:v>
                </c:pt>
                <c:pt idx="245">
                  <c:v>-129.83764202610163</c:v>
                </c:pt>
                <c:pt idx="246">
                  <c:v>-126.02137347674967</c:v>
                </c:pt>
                <c:pt idx="247">
                  <c:v>-122.00471810183154</c:v>
                </c:pt>
                <c:pt idx="248">
                  <c:v>-117.76265044097114</c:v>
                </c:pt>
                <c:pt idx="249">
                  <c:v>-113.26578898853312</c:v>
                </c:pt>
                <c:pt idx="250">
                  <c:v>-108.47966677364369</c:v>
                </c:pt>
                <c:pt idx="251">
                  <c:v>-103.36325062255281</c:v>
                </c:pt>
                <c:pt idx="252">
                  <c:v>-97.867362952902539</c:v>
                </c:pt>
                <c:pt idx="253">
                  <c:v>-91.966152095873113</c:v>
                </c:pt>
                <c:pt idx="254">
                  <c:v>-85.998485631783637</c:v>
                </c:pt>
                <c:pt idx="255">
                  <c:v>-80.065435066561207</c:v>
                </c:pt>
                <c:pt idx="256">
                  <c:v>-74.162231889970982</c:v>
                </c:pt>
                <c:pt idx="257">
                  <c:v>-68.286472869939828</c:v>
                </c:pt>
                <c:pt idx="258">
                  <c:v>-63.089898677824792</c:v>
                </c:pt>
                <c:pt idx="259">
                  <c:v>-57.340389695633093</c:v>
                </c:pt>
                <c:pt idx="260">
                  <c:v>-51.604482471185456</c:v>
                </c:pt>
                <c:pt idx="261">
                  <c:v>-45.877746237894598</c:v>
                </c:pt>
                <c:pt idx="262">
                  <c:v>-40.28721182699244</c:v>
                </c:pt>
                <c:pt idx="263">
                  <c:v>-35.048196926735898</c:v>
                </c:pt>
                <c:pt idx="264">
                  <c:v>-29.817093545426275</c:v>
                </c:pt>
                <c:pt idx="265">
                  <c:v>-24.590166137687596</c:v>
                </c:pt>
                <c:pt idx="266">
                  <c:v>-20.982368476420977</c:v>
                </c:pt>
                <c:pt idx="267">
                  <c:v>-15.751457158113633</c:v>
                </c:pt>
                <c:pt idx="268">
                  <c:v>-10.513342095583596</c:v>
                </c:pt>
                <c:pt idx="269">
                  <c:v>-5.2641643060363021</c:v>
                </c:pt>
                <c:pt idx="270">
                  <c:v>2.9071259055700544E-14</c:v>
                </c:pt>
                <c:pt idx="271">
                  <c:v>5.264164306036184</c:v>
                </c:pt>
                <c:pt idx="272">
                  <c:v>10.51334209558385</c:v>
                </c:pt>
                <c:pt idx="273">
                  <c:v>15.75145715811348</c:v>
                </c:pt>
                <c:pt idx="274">
                  <c:v>20.982368476420934</c:v>
                </c:pt>
                <c:pt idx="275">
                  <c:v>24.590166137687394</c:v>
                </c:pt>
                <c:pt idx="276">
                  <c:v>29.817093545426328</c:v>
                </c:pt>
                <c:pt idx="277">
                  <c:v>35.048196926736075</c:v>
                </c:pt>
                <c:pt idx="278">
                  <c:v>40.287211826992255</c:v>
                </c:pt>
                <c:pt idx="279">
                  <c:v>45.877746237894456</c:v>
                </c:pt>
                <c:pt idx="280">
                  <c:v>51.604482471185371</c:v>
                </c:pt>
                <c:pt idx="281">
                  <c:v>57.340389695633199</c:v>
                </c:pt>
                <c:pt idx="282">
                  <c:v>63.089898677824678</c:v>
                </c:pt>
                <c:pt idx="283">
                  <c:v>68.286472869939686</c:v>
                </c:pt>
                <c:pt idx="284">
                  <c:v>74.162231889971011</c:v>
                </c:pt>
                <c:pt idx="285">
                  <c:v>80.065435066561065</c:v>
                </c:pt>
                <c:pt idx="286">
                  <c:v>85.998485631783723</c:v>
                </c:pt>
                <c:pt idx="287">
                  <c:v>91.966152095872914</c:v>
                </c:pt>
                <c:pt idx="288">
                  <c:v>97.867362952902454</c:v>
                </c:pt>
                <c:pt idx="289">
                  <c:v>103.36325062255285</c:v>
                </c:pt>
                <c:pt idx="290">
                  <c:v>108.47966677364386</c:v>
                </c:pt>
                <c:pt idx="291">
                  <c:v>113.26578898853312</c:v>
                </c:pt>
                <c:pt idx="292">
                  <c:v>117.76265044097117</c:v>
                </c:pt>
                <c:pt idx="293">
                  <c:v>122.00471810183144</c:v>
                </c:pt>
                <c:pt idx="294">
                  <c:v>126.02137347674972</c:v>
                </c:pt>
                <c:pt idx="295">
                  <c:v>129.83764202610192</c:v>
                </c:pt>
                <c:pt idx="296">
                  <c:v>133.47504385528154</c:v>
                </c:pt>
                <c:pt idx="297">
                  <c:v>136.95233616805498</c:v>
                </c:pt>
                <c:pt idx="298">
                  <c:v>140.28574354026699</c:v>
                </c:pt>
                <c:pt idx="299">
                  <c:v>143.48959726463488</c:v>
                </c:pt>
                <c:pt idx="300">
                  <c:v>146.57638722358331</c:v>
                </c:pt>
                <c:pt idx="301">
                  <c:v>149.55727533159802</c:v>
                </c:pt>
                <c:pt idx="302">
                  <c:v>152.40341144307752</c:v>
                </c:pt>
                <c:pt idx="303">
                  <c:v>155.14042939514621</c:v>
                </c:pt>
                <c:pt idx="304">
                  <c:v>157.79759817160686</c:v>
                </c:pt>
                <c:pt idx="305">
                  <c:v>160.38231969259888</c:v>
                </c:pt>
                <c:pt idx="306">
                  <c:v>162.90125450982381</c:v>
                </c:pt>
                <c:pt idx="307">
                  <c:v>165.36048438611911</c:v>
                </c:pt>
                <c:pt idx="308">
                  <c:v>167.76541474017984</c:v>
                </c:pt>
                <c:pt idx="309">
                  <c:v>170.12126539048191</c:v>
                </c:pt>
                <c:pt idx="310">
                  <c:v>172.43274544554745</c:v>
                </c:pt>
                <c:pt idx="311">
                  <c:v>174.70402619408401</c:v>
                </c:pt>
                <c:pt idx="312">
                  <c:v>176.93929611287155</c:v>
                </c:pt>
                <c:pt idx="313">
                  <c:v>179.14222013187486</c:v>
                </c:pt>
                <c:pt idx="314">
                  <c:v>181.31646383360024</c:v>
                </c:pt>
                <c:pt idx="315">
                  <c:v>183.46524206689872</c:v>
                </c:pt>
                <c:pt idx="316">
                  <c:v>185.59182272670759</c:v>
                </c:pt>
                <c:pt idx="317">
                  <c:v>187.69919199830167</c:v>
                </c:pt>
                <c:pt idx="318">
                  <c:v>189.7902540446305</c:v>
                </c:pt>
                <c:pt idx="319">
                  <c:v>191.86775703271144</c:v>
                </c:pt>
                <c:pt idx="320">
                  <c:v>193.93451332802795</c:v>
                </c:pt>
                <c:pt idx="321">
                  <c:v>195.99302187322232</c:v>
                </c:pt>
                <c:pt idx="322">
                  <c:v>198.0459987495249</c:v>
                </c:pt>
                <c:pt idx="323">
                  <c:v>200.09599861556583</c:v>
                </c:pt>
                <c:pt idx="324">
                  <c:v>202.14543053443575</c:v>
                </c:pt>
                <c:pt idx="325">
                  <c:v>203.66609558259051</c:v>
                </c:pt>
                <c:pt idx="326">
                  <c:v>205.70511179027801</c:v>
                </c:pt>
                <c:pt idx="327">
                  <c:v>207.75124356113386</c:v>
                </c:pt>
                <c:pt idx="328">
                  <c:v>209.80721625604082</c:v>
                </c:pt>
                <c:pt idx="329">
                  <c:v>211.875584719297</c:v>
                </c:pt>
                <c:pt idx="330">
                  <c:v>213.95908955745182</c:v>
                </c:pt>
                <c:pt idx="331">
                  <c:v>216.06055224423352</c:v>
                </c:pt>
                <c:pt idx="332">
                  <c:v>218.13199095017305</c:v>
                </c:pt>
                <c:pt idx="333">
                  <c:v>220.12107033135564</c:v>
                </c:pt>
                <c:pt idx="334">
                  <c:v>222.03278981972605</c:v>
                </c:pt>
                <c:pt idx="335">
                  <c:v>223.87155813641087</c:v>
                </c:pt>
                <c:pt idx="336">
                  <c:v>225.64159298134209</c:v>
                </c:pt>
                <c:pt idx="337">
                  <c:v>227.34670388699786</c:v>
                </c:pt>
                <c:pt idx="338">
                  <c:v>228.99068558930955</c:v>
                </c:pt>
                <c:pt idx="339">
                  <c:v>230.57668139411487</c:v>
                </c:pt>
                <c:pt idx="340">
                  <c:v>231.96542610501231</c:v>
                </c:pt>
                <c:pt idx="341">
                  <c:v>232.98642180579839</c:v>
                </c:pt>
                <c:pt idx="342">
                  <c:v>233.52818633724726</c:v>
                </c:pt>
                <c:pt idx="343">
                  <c:v>234.44877048860567</c:v>
                </c:pt>
                <c:pt idx="344">
                  <c:v>235.32271430319574</c:v>
                </c:pt>
                <c:pt idx="345">
                  <c:v>236.15204759037348</c:v>
                </c:pt>
                <c:pt idx="346">
                  <c:v>236.93838025793957</c:v>
                </c:pt>
                <c:pt idx="347">
                  <c:v>237.68347800466054</c:v>
                </c:pt>
                <c:pt idx="348">
                  <c:v>238.38861454416985</c:v>
                </c:pt>
                <c:pt idx="349">
                  <c:v>239.05535267362146</c:v>
                </c:pt>
                <c:pt idx="350">
                  <c:v>239.68490352039919</c:v>
                </c:pt>
                <c:pt idx="351">
                  <c:v>240.27836224752409</c:v>
                </c:pt>
                <c:pt idx="352">
                  <c:v>240.83682587132728</c:v>
                </c:pt>
                <c:pt idx="353">
                  <c:v>241.36129974539031</c:v>
                </c:pt>
                <c:pt idx="354">
                  <c:v>241.85250989279172</c:v>
                </c:pt>
                <c:pt idx="355">
                  <c:v>242.31132685885598</c:v>
                </c:pt>
                <c:pt idx="356">
                  <c:v>242.7383735876686</c:v>
                </c:pt>
                <c:pt idx="357">
                  <c:v>243.13443974964912</c:v>
                </c:pt>
                <c:pt idx="358">
                  <c:v>243.49990621901816</c:v>
                </c:pt>
                <c:pt idx="359">
                  <c:v>243.83535182640767</c:v>
                </c:pt>
                <c:pt idx="360">
                  <c:v>244.14108563867393</c:v>
                </c:pt>
                <c:pt idx="361">
                  <c:v>244.14108563867407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-1.3505639689418181E-13</c:v>
                </c:pt>
                <c:pt idx="1">
                  <c:v>2.5216599957264929</c:v>
                </c:pt>
                <c:pt idx="2">
                  <c:v>5.0351272760080263</c:v>
                </c:pt>
                <c:pt idx="3">
                  <c:v>7.5421658079621041</c:v>
                </c:pt>
                <c:pt idx="4">
                  <c:v>10.044516122432961</c:v>
                </c:pt>
                <c:pt idx="5">
                  <c:v>12.543901872274265</c:v>
                </c:pt>
                <c:pt idx="6">
                  <c:v>15.042032929508665</c:v>
                </c:pt>
                <c:pt idx="7">
                  <c:v>17.540612599127346</c:v>
                </c:pt>
                <c:pt idx="8">
                  <c:v>20.041340757775213</c:v>
                </c:pt>
                <c:pt idx="9">
                  <c:v>22.545921154411499</c:v>
                </c:pt>
                <c:pt idx="10">
                  <c:v>25.056063688164656</c:v>
                </c:pt>
                <c:pt idx="11">
                  <c:v>27.573490385054178</c:v>
                </c:pt>
                <c:pt idx="12">
                  <c:v>30.099941365892075</c:v>
                </c:pt>
                <c:pt idx="13">
                  <c:v>32.637179105559163</c:v>
                </c:pt>
                <c:pt idx="14">
                  <c:v>35.186991052483251</c:v>
                </c:pt>
                <c:pt idx="15">
                  <c:v>37.75120176170811</c:v>
                </c:pt>
                <c:pt idx="16">
                  <c:v>40.33167022324281</c:v>
                </c:pt>
                <c:pt idx="17">
                  <c:v>42.930302943047081</c:v>
                </c:pt>
                <c:pt idx="18">
                  <c:v>45.549053217549726</c:v>
                </c:pt>
                <c:pt idx="19">
                  <c:v>47.1048777122624</c:v>
                </c:pt>
                <c:pt idx="20">
                  <c:v>49.769285621554374</c:v>
                </c:pt>
                <c:pt idx="21">
                  <c:v>52.577810735915392</c:v>
                </c:pt>
                <c:pt idx="22">
                  <c:v>55.467526693098669</c:v>
                </c:pt>
                <c:pt idx="23">
                  <c:v>58.387454673016173</c:v>
                </c:pt>
                <c:pt idx="24">
                  <c:v>61.340118302022674</c:v>
                </c:pt>
                <c:pt idx="25">
                  <c:v>64.328132827978266</c:v>
                </c:pt>
                <c:pt idx="26">
                  <c:v>67.354232965569551</c:v>
                </c:pt>
                <c:pt idx="27">
                  <c:v>70.421274194802834</c:v>
                </c:pt>
                <c:pt idx="28">
                  <c:v>73.532251799767465</c:v>
                </c:pt>
                <c:pt idx="29">
                  <c:v>76.690240042707615</c:v>
                </c:pt>
                <c:pt idx="30">
                  <c:v>79.805731699989337</c:v>
                </c:pt>
                <c:pt idx="31">
                  <c:v>82.804190613410029</c:v>
                </c:pt>
                <c:pt idx="32">
                  <c:v>85.696493410716187</c:v>
                </c:pt>
                <c:pt idx="33">
                  <c:v>88.492375367352864</c:v>
                </c:pt>
                <c:pt idx="34">
                  <c:v>91.200606303184273</c:v>
                </c:pt>
                <c:pt idx="35">
                  <c:v>93.829072717551583</c:v>
                </c:pt>
                <c:pt idx="36">
                  <c:v>95.543625366598008</c:v>
                </c:pt>
                <c:pt idx="37">
                  <c:v>98.05716957706224</c:v>
                </c:pt>
                <c:pt idx="38">
                  <c:v>100.50984869477384</c:v>
                </c:pt>
                <c:pt idx="39">
                  <c:v>102.90723354442662</c:v>
                </c:pt>
                <c:pt idx="40">
                  <c:v>105.25443561861223</c:v>
                </c:pt>
                <c:pt idx="41">
                  <c:v>107.55614367679034</c:v>
                </c:pt>
                <c:pt idx="42">
                  <c:v>109.81680202825342</c:v>
                </c:pt>
                <c:pt idx="43">
                  <c:v>112.04048089101609</c:v>
                </c:pt>
                <c:pt idx="44">
                  <c:v>114.23105005767698</c:v>
                </c:pt>
                <c:pt idx="45">
                  <c:v>116.39213948258944</c:v>
                </c:pt>
                <c:pt idx="46">
                  <c:v>118.52720781408104</c:v>
                </c:pt>
                <c:pt idx="47">
                  <c:v>120.63948137090362</c:v>
                </c:pt>
                <c:pt idx="48">
                  <c:v>122.73215891822242</c:v>
                </c:pt>
                <c:pt idx="49">
                  <c:v>124.80818563306546</c:v>
                </c:pt>
                <c:pt idx="50">
                  <c:v>126.87053629961963</c:v>
                </c:pt>
                <c:pt idx="51">
                  <c:v>128.92194489118299</c:v>
                </c:pt>
                <c:pt idx="52">
                  <c:v>130.96528808633465</c:v>
                </c:pt>
                <c:pt idx="53">
                  <c:v>133.00327885517501</c:v>
                </c:pt>
                <c:pt idx="54">
                  <c:v>135.03850533817894</c:v>
                </c:pt>
                <c:pt idx="55">
                  <c:v>137.07374923637812</c:v>
                </c:pt>
                <c:pt idx="56">
                  <c:v>139.11168204864379</c:v>
                </c:pt>
                <c:pt idx="57">
                  <c:v>141.15501403046471</c:v>
                </c:pt>
                <c:pt idx="58">
                  <c:v>143.20644383430374</c:v>
                </c:pt>
                <c:pt idx="59">
                  <c:v>145.23623186503355</c:v>
                </c:pt>
                <c:pt idx="60">
                  <c:v>147.2174043474038</c:v>
                </c:pt>
                <c:pt idx="61">
                  <c:v>149.21052657134342</c:v>
                </c:pt>
                <c:pt idx="62">
                  <c:v>151.21842376737831</c:v>
                </c:pt>
                <c:pt idx="63">
                  <c:v>153.24419913827992</c:v>
                </c:pt>
                <c:pt idx="64">
                  <c:v>155.29089903606646</c:v>
                </c:pt>
                <c:pt idx="65">
                  <c:v>157.36193328737957</c:v>
                </c:pt>
                <c:pt idx="66">
                  <c:v>159.46068643565334</c:v>
                </c:pt>
                <c:pt idx="67">
                  <c:v>161.59101002611803</c:v>
                </c:pt>
                <c:pt idx="68">
                  <c:v>163.75705452373086</c:v>
                </c:pt>
                <c:pt idx="69">
                  <c:v>165.96302497213347</c:v>
                </c:pt>
                <c:pt idx="70">
                  <c:v>168.21394663006731</c:v>
                </c:pt>
                <c:pt idx="71">
                  <c:v>170.51514011757044</c:v>
                </c:pt>
                <c:pt idx="72">
                  <c:v>172.87236801555323</c:v>
                </c:pt>
                <c:pt idx="73">
                  <c:v>175.2816463929733</c:v>
                </c:pt>
                <c:pt idx="74">
                  <c:v>177.62554587744123</c:v>
                </c:pt>
                <c:pt idx="75">
                  <c:v>179.87393819416752</c:v>
                </c:pt>
                <c:pt idx="76">
                  <c:v>182.03150681024286</c:v>
                </c:pt>
                <c:pt idx="77">
                  <c:v>184.09338159749186</c:v>
                </c:pt>
                <c:pt idx="78">
                  <c:v>185.58422891451326</c:v>
                </c:pt>
                <c:pt idx="79">
                  <c:v>187.12690212327249</c:v>
                </c:pt>
                <c:pt idx="80">
                  <c:v>188.58743138204235</c:v>
                </c:pt>
                <c:pt idx="81">
                  <c:v>189.96890491332886</c:v>
                </c:pt>
                <c:pt idx="82">
                  <c:v>191.10868579237393</c:v>
                </c:pt>
                <c:pt idx="83">
                  <c:v>191.73357739796495</c:v>
                </c:pt>
                <c:pt idx="84">
                  <c:v>192.27279107452628</c:v>
                </c:pt>
                <c:pt idx="85">
                  <c:v>192.72770732484796</c:v>
                </c:pt>
                <c:pt idx="86">
                  <c:v>192.98150592225267</c:v>
                </c:pt>
                <c:pt idx="87">
                  <c:v>193.27143108522625</c:v>
                </c:pt>
                <c:pt idx="88">
                  <c:v>193.47969823604535</c:v>
                </c:pt>
                <c:pt idx="89">
                  <c:v>193.6069466004185</c:v>
                </c:pt>
                <c:pt idx="90">
                  <c:v>193.65342899674982</c:v>
                </c:pt>
                <c:pt idx="91">
                  <c:v>193.6069466004185</c:v>
                </c:pt>
                <c:pt idx="92">
                  <c:v>193.47969823604532</c:v>
                </c:pt>
                <c:pt idx="93">
                  <c:v>193.27143108522648</c:v>
                </c:pt>
                <c:pt idx="94">
                  <c:v>192.98150592225269</c:v>
                </c:pt>
                <c:pt idx="95">
                  <c:v>192.72770732484787</c:v>
                </c:pt>
                <c:pt idx="96">
                  <c:v>192.27279107452637</c:v>
                </c:pt>
                <c:pt idx="97">
                  <c:v>191.73357739796515</c:v>
                </c:pt>
                <c:pt idx="98">
                  <c:v>191.10868579237385</c:v>
                </c:pt>
                <c:pt idx="99">
                  <c:v>189.96890491332877</c:v>
                </c:pt>
                <c:pt idx="100">
                  <c:v>188.58743138204252</c:v>
                </c:pt>
                <c:pt idx="101">
                  <c:v>187.12690212327246</c:v>
                </c:pt>
                <c:pt idx="102">
                  <c:v>185.58422891451343</c:v>
                </c:pt>
                <c:pt idx="103">
                  <c:v>184.0933815974918</c:v>
                </c:pt>
                <c:pt idx="104">
                  <c:v>182.03150681024294</c:v>
                </c:pt>
                <c:pt idx="105">
                  <c:v>179.87393819416758</c:v>
                </c:pt>
                <c:pt idx="106">
                  <c:v>177.62554587744123</c:v>
                </c:pt>
                <c:pt idx="107">
                  <c:v>175.28164639297341</c:v>
                </c:pt>
                <c:pt idx="108">
                  <c:v>172.87236801555335</c:v>
                </c:pt>
                <c:pt idx="109">
                  <c:v>170.5151401175707</c:v>
                </c:pt>
                <c:pt idx="110">
                  <c:v>168.21394663006745</c:v>
                </c:pt>
                <c:pt idx="111">
                  <c:v>165.96302497213352</c:v>
                </c:pt>
                <c:pt idx="112">
                  <c:v>163.75705452373055</c:v>
                </c:pt>
                <c:pt idx="113">
                  <c:v>161.59101002611803</c:v>
                </c:pt>
                <c:pt idx="114">
                  <c:v>159.4606864356534</c:v>
                </c:pt>
                <c:pt idx="115">
                  <c:v>157.3619332873796</c:v>
                </c:pt>
                <c:pt idx="116">
                  <c:v>155.29089903606638</c:v>
                </c:pt>
                <c:pt idx="117">
                  <c:v>153.24419913828001</c:v>
                </c:pt>
                <c:pt idx="118">
                  <c:v>151.21842376737831</c:v>
                </c:pt>
                <c:pt idx="119">
                  <c:v>149.21052657134337</c:v>
                </c:pt>
                <c:pt idx="120">
                  <c:v>147.217404347404</c:v>
                </c:pt>
                <c:pt idx="121">
                  <c:v>145.23623186503355</c:v>
                </c:pt>
                <c:pt idx="122">
                  <c:v>143.20644383430377</c:v>
                </c:pt>
                <c:pt idx="123">
                  <c:v>141.15501403046466</c:v>
                </c:pt>
                <c:pt idx="124">
                  <c:v>139.11168204864384</c:v>
                </c:pt>
                <c:pt idx="125">
                  <c:v>137.07374923637795</c:v>
                </c:pt>
                <c:pt idx="126">
                  <c:v>135.03850533817899</c:v>
                </c:pt>
                <c:pt idx="127">
                  <c:v>133.00327885517501</c:v>
                </c:pt>
                <c:pt idx="128">
                  <c:v>130.96528808633465</c:v>
                </c:pt>
                <c:pt idx="129">
                  <c:v>128.9219448911829</c:v>
                </c:pt>
                <c:pt idx="130">
                  <c:v>126.87053629961964</c:v>
                </c:pt>
                <c:pt idx="131">
                  <c:v>124.80818563306548</c:v>
                </c:pt>
                <c:pt idx="132">
                  <c:v>122.73215891822242</c:v>
                </c:pt>
                <c:pt idx="133">
                  <c:v>120.63948137090371</c:v>
                </c:pt>
                <c:pt idx="134">
                  <c:v>118.52720781408102</c:v>
                </c:pt>
                <c:pt idx="135">
                  <c:v>116.39213948258943</c:v>
                </c:pt>
                <c:pt idx="136">
                  <c:v>114.23105005767705</c:v>
                </c:pt>
                <c:pt idx="137">
                  <c:v>112.04048089101607</c:v>
                </c:pt>
                <c:pt idx="138">
                  <c:v>109.81680202825339</c:v>
                </c:pt>
                <c:pt idx="139">
                  <c:v>107.55614367679034</c:v>
                </c:pt>
                <c:pt idx="140">
                  <c:v>105.25443561861226</c:v>
                </c:pt>
                <c:pt idx="141">
                  <c:v>102.9072335444266</c:v>
                </c:pt>
                <c:pt idx="142">
                  <c:v>100.50984869477379</c:v>
                </c:pt>
                <c:pt idx="143">
                  <c:v>98.057169577062226</c:v>
                </c:pt>
                <c:pt idx="144">
                  <c:v>95.543625366598079</c:v>
                </c:pt>
                <c:pt idx="145">
                  <c:v>93.829072717551611</c:v>
                </c:pt>
                <c:pt idx="146">
                  <c:v>91.200606303184301</c:v>
                </c:pt>
                <c:pt idx="147">
                  <c:v>88.492375367352878</c:v>
                </c:pt>
                <c:pt idx="148">
                  <c:v>85.696493410716187</c:v>
                </c:pt>
                <c:pt idx="149">
                  <c:v>82.804190613410057</c:v>
                </c:pt>
                <c:pt idx="150">
                  <c:v>79.805731699989295</c:v>
                </c:pt>
                <c:pt idx="151">
                  <c:v>76.690240042707714</c:v>
                </c:pt>
                <c:pt idx="152">
                  <c:v>73.532251799767465</c:v>
                </c:pt>
                <c:pt idx="153">
                  <c:v>70.421274194802891</c:v>
                </c:pt>
                <c:pt idx="154">
                  <c:v>67.35423296556948</c:v>
                </c:pt>
                <c:pt idx="155">
                  <c:v>64.328132827978322</c:v>
                </c:pt>
                <c:pt idx="156">
                  <c:v>61.340118302022738</c:v>
                </c:pt>
                <c:pt idx="157">
                  <c:v>58.387454673016173</c:v>
                </c:pt>
                <c:pt idx="158">
                  <c:v>55.467526693098932</c:v>
                </c:pt>
                <c:pt idx="159">
                  <c:v>52.577810735915349</c:v>
                </c:pt>
                <c:pt idx="160">
                  <c:v>49.769285621554474</c:v>
                </c:pt>
                <c:pt idx="161">
                  <c:v>47.104877712262308</c:v>
                </c:pt>
                <c:pt idx="162">
                  <c:v>45.549053217549712</c:v>
                </c:pt>
                <c:pt idx="163">
                  <c:v>42.930302943047018</c:v>
                </c:pt>
                <c:pt idx="164">
                  <c:v>40.331670223242803</c:v>
                </c:pt>
                <c:pt idx="165">
                  <c:v>37.751201761708188</c:v>
                </c:pt>
                <c:pt idx="166">
                  <c:v>35.186991052483265</c:v>
                </c:pt>
                <c:pt idx="167">
                  <c:v>32.637179105559234</c:v>
                </c:pt>
                <c:pt idx="168">
                  <c:v>30.099941365891979</c:v>
                </c:pt>
                <c:pt idx="169">
                  <c:v>27.573490385054171</c:v>
                </c:pt>
                <c:pt idx="170">
                  <c:v>25.056063688164677</c:v>
                </c:pt>
                <c:pt idx="171">
                  <c:v>22.545921154411591</c:v>
                </c:pt>
                <c:pt idx="172">
                  <c:v>20.041340757775238</c:v>
                </c:pt>
                <c:pt idx="173">
                  <c:v>17.540612599127368</c:v>
                </c:pt>
                <c:pt idx="174">
                  <c:v>15.042032929508625</c:v>
                </c:pt>
                <c:pt idx="175">
                  <c:v>12.543901872274253</c:v>
                </c:pt>
                <c:pt idx="176">
                  <c:v>10.044516122433018</c:v>
                </c:pt>
                <c:pt idx="177">
                  <c:v>7.5421658079620988</c:v>
                </c:pt>
                <c:pt idx="178">
                  <c:v>5.035127276007997</c:v>
                </c:pt>
                <c:pt idx="179">
                  <c:v>2.5216599957265209</c:v>
                </c:pt>
                <c:pt idx="180">
                  <c:v>-1.1091864923723916E-13</c:v>
                </c:pt>
                <c:pt idx="181">
                  <c:v>-2.5216599957265768</c:v>
                </c:pt>
                <c:pt idx="182">
                  <c:v>-5.0351272760079659</c:v>
                </c:pt>
                <c:pt idx="183">
                  <c:v>-7.5421658079621263</c:v>
                </c:pt>
                <c:pt idx="184">
                  <c:v>-10.044516122432983</c:v>
                </c:pt>
                <c:pt idx="185">
                  <c:v>-12.543901872274215</c:v>
                </c:pt>
                <c:pt idx="186">
                  <c:v>-15.042032929508625</c:v>
                </c:pt>
                <c:pt idx="187">
                  <c:v>-17.540612599127307</c:v>
                </c:pt>
                <c:pt idx="188">
                  <c:v>-20.041340757775341</c:v>
                </c:pt>
                <c:pt idx="189">
                  <c:v>-22.545921154411502</c:v>
                </c:pt>
                <c:pt idx="190">
                  <c:v>-25.056063688164745</c:v>
                </c:pt>
                <c:pt idx="191">
                  <c:v>-27.573490385054193</c:v>
                </c:pt>
                <c:pt idx="192">
                  <c:v>-30.099941365892072</c:v>
                </c:pt>
                <c:pt idx="193">
                  <c:v>-32.637179105559156</c:v>
                </c:pt>
                <c:pt idx="194">
                  <c:v>-35.186991052483187</c:v>
                </c:pt>
                <c:pt idx="195">
                  <c:v>-37.751201761708153</c:v>
                </c:pt>
                <c:pt idx="196">
                  <c:v>-40.331670223242774</c:v>
                </c:pt>
                <c:pt idx="197">
                  <c:v>-42.930302943047018</c:v>
                </c:pt>
                <c:pt idx="198">
                  <c:v>-45.549053217549698</c:v>
                </c:pt>
                <c:pt idx="199">
                  <c:v>-47.104877712262365</c:v>
                </c:pt>
                <c:pt idx="200">
                  <c:v>-49.769285621554388</c:v>
                </c:pt>
                <c:pt idx="201">
                  <c:v>-52.577810735915413</c:v>
                </c:pt>
                <c:pt idx="202">
                  <c:v>-55.467526693098876</c:v>
                </c:pt>
                <c:pt idx="203">
                  <c:v>-58.387454673016229</c:v>
                </c:pt>
                <c:pt idx="204">
                  <c:v>-61.340118302022667</c:v>
                </c:pt>
                <c:pt idx="205">
                  <c:v>-64.328132827978294</c:v>
                </c:pt>
                <c:pt idx="206">
                  <c:v>-67.354232965569452</c:v>
                </c:pt>
                <c:pt idx="207">
                  <c:v>-70.421274194802876</c:v>
                </c:pt>
                <c:pt idx="208">
                  <c:v>-73.532251799767494</c:v>
                </c:pt>
                <c:pt idx="209">
                  <c:v>-76.690240042707572</c:v>
                </c:pt>
                <c:pt idx="210">
                  <c:v>-79.80573169998938</c:v>
                </c:pt>
                <c:pt idx="211">
                  <c:v>-82.804190613410057</c:v>
                </c:pt>
                <c:pt idx="212">
                  <c:v>-85.696493410716215</c:v>
                </c:pt>
                <c:pt idx="213">
                  <c:v>-88.492375367352921</c:v>
                </c:pt>
                <c:pt idx="214">
                  <c:v>-91.200606303184301</c:v>
                </c:pt>
                <c:pt idx="215">
                  <c:v>-93.829072717551583</c:v>
                </c:pt>
                <c:pt idx="216">
                  <c:v>-95.543625366597965</c:v>
                </c:pt>
                <c:pt idx="217">
                  <c:v>-98.057169577062325</c:v>
                </c:pt>
                <c:pt idx="218">
                  <c:v>-100.50984869477384</c:v>
                </c:pt>
                <c:pt idx="219">
                  <c:v>-102.90723354442662</c:v>
                </c:pt>
                <c:pt idx="220">
                  <c:v>-105.25443561861213</c:v>
                </c:pt>
                <c:pt idx="221">
                  <c:v>-107.55614367679034</c:v>
                </c:pt>
                <c:pt idx="222">
                  <c:v>-109.81680202825348</c:v>
                </c:pt>
                <c:pt idx="223">
                  <c:v>-112.04048089101606</c:v>
                </c:pt>
                <c:pt idx="224">
                  <c:v>-114.23105005767704</c:v>
                </c:pt>
                <c:pt idx="225">
                  <c:v>-116.39213948258936</c:v>
                </c:pt>
                <c:pt idx="226">
                  <c:v>-118.52720781408119</c:v>
                </c:pt>
                <c:pt idx="227">
                  <c:v>-120.6394813709037</c:v>
                </c:pt>
                <c:pt idx="228">
                  <c:v>-122.73215891822228</c:v>
                </c:pt>
                <c:pt idx="229">
                  <c:v>-124.80818563306548</c:v>
                </c:pt>
                <c:pt idx="230">
                  <c:v>-126.87053629961946</c:v>
                </c:pt>
                <c:pt idx="231">
                  <c:v>-128.92194489118285</c:v>
                </c:pt>
                <c:pt idx="232">
                  <c:v>-130.96528808633465</c:v>
                </c:pt>
                <c:pt idx="233">
                  <c:v>-133.00327885517495</c:v>
                </c:pt>
                <c:pt idx="234">
                  <c:v>-135.03850533817894</c:v>
                </c:pt>
                <c:pt idx="235">
                  <c:v>-137.07374923637792</c:v>
                </c:pt>
                <c:pt idx="236">
                  <c:v>-139.11168204864387</c:v>
                </c:pt>
                <c:pt idx="237">
                  <c:v>-141.15501403046477</c:v>
                </c:pt>
                <c:pt idx="238">
                  <c:v>-143.2064438343038</c:v>
                </c:pt>
                <c:pt idx="239">
                  <c:v>-145.23623186503346</c:v>
                </c:pt>
                <c:pt idx="240">
                  <c:v>-147.21740434740369</c:v>
                </c:pt>
                <c:pt idx="241">
                  <c:v>-149.21052657134342</c:v>
                </c:pt>
                <c:pt idx="242">
                  <c:v>-151.21842376737825</c:v>
                </c:pt>
                <c:pt idx="243">
                  <c:v>-153.24419913828001</c:v>
                </c:pt>
                <c:pt idx="244">
                  <c:v>-155.29089903606646</c:v>
                </c:pt>
                <c:pt idx="245">
                  <c:v>-157.36193328737957</c:v>
                </c:pt>
                <c:pt idx="246">
                  <c:v>-159.46068643565334</c:v>
                </c:pt>
                <c:pt idx="247">
                  <c:v>-161.59101002611808</c:v>
                </c:pt>
                <c:pt idx="248">
                  <c:v>-163.75705452373055</c:v>
                </c:pt>
                <c:pt idx="249">
                  <c:v>-165.96302497213321</c:v>
                </c:pt>
                <c:pt idx="250">
                  <c:v>-168.21394663006734</c:v>
                </c:pt>
                <c:pt idx="251">
                  <c:v>-170.51514011757058</c:v>
                </c:pt>
                <c:pt idx="252">
                  <c:v>-172.87236801555329</c:v>
                </c:pt>
                <c:pt idx="253">
                  <c:v>-175.28164639297316</c:v>
                </c:pt>
                <c:pt idx="254">
                  <c:v>-177.62554587744134</c:v>
                </c:pt>
                <c:pt idx="255">
                  <c:v>-179.87393819416766</c:v>
                </c:pt>
                <c:pt idx="256">
                  <c:v>-182.03150681024292</c:v>
                </c:pt>
                <c:pt idx="257">
                  <c:v>-184.09338159749174</c:v>
                </c:pt>
                <c:pt idx="258">
                  <c:v>-185.58422891451326</c:v>
                </c:pt>
                <c:pt idx="259">
                  <c:v>-187.12690212327246</c:v>
                </c:pt>
                <c:pt idx="260">
                  <c:v>-188.58743138204247</c:v>
                </c:pt>
                <c:pt idx="261">
                  <c:v>-189.96890491332869</c:v>
                </c:pt>
                <c:pt idx="262">
                  <c:v>-191.10868579237362</c:v>
                </c:pt>
                <c:pt idx="263">
                  <c:v>-191.73357739796523</c:v>
                </c:pt>
                <c:pt idx="264">
                  <c:v>-192.2727910745264</c:v>
                </c:pt>
                <c:pt idx="265">
                  <c:v>-192.72770732484778</c:v>
                </c:pt>
                <c:pt idx="266">
                  <c:v>-192.98150592225258</c:v>
                </c:pt>
                <c:pt idx="267">
                  <c:v>-193.27143108522645</c:v>
                </c:pt>
                <c:pt idx="268">
                  <c:v>-193.47969823604538</c:v>
                </c:pt>
                <c:pt idx="269">
                  <c:v>-193.6069466004185</c:v>
                </c:pt>
                <c:pt idx="270">
                  <c:v>-193.65342899674968</c:v>
                </c:pt>
                <c:pt idx="271">
                  <c:v>-193.6069466004185</c:v>
                </c:pt>
                <c:pt idx="272">
                  <c:v>-193.47969823604524</c:v>
                </c:pt>
                <c:pt idx="273">
                  <c:v>-193.27143108522645</c:v>
                </c:pt>
                <c:pt idx="274">
                  <c:v>-192.98150592225278</c:v>
                </c:pt>
                <c:pt idx="275">
                  <c:v>-192.72770732484778</c:v>
                </c:pt>
                <c:pt idx="276">
                  <c:v>-192.27279107452645</c:v>
                </c:pt>
                <c:pt idx="277">
                  <c:v>-191.73357739796501</c:v>
                </c:pt>
                <c:pt idx="278">
                  <c:v>-191.10868579237388</c:v>
                </c:pt>
                <c:pt idx="279">
                  <c:v>-189.96890491332894</c:v>
                </c:pt>
                <c:pt idx="280">
                  <c:v>-188.5874313820425</c:v>
                </c:pt>
                <c:pt idx="281">
                  <c:v>-187.12690212327249</c:v>
                </c:pt>
                <c:pt idx="282">
                  <c:v>-185.58422891451326</c:v>
                </c:pt>
                <c:pt idx="283">
                  <c:v>-184.09338159749186</c:v>
                </c:pt>
                <c:pt idx="284">
                  <c:v>-182.03150681024294</c:v>
                </c:pt>
                <c:pt idx="285">
                  <c:v>-179.87393819416778</c:v>
                </c:pt>
                <c:pt idx="286">
                  <c:v>-177.625545877441</c:v>
                </c:pt>
                <c:pt idx="287">
                  <c:v>-175.28164639297324</c:v>
                </c:pt>
                <c:pt idx="288">
                  <c:v>-172.87236801555332</c:v>
                </c:pt>
                <c:pt idx="289">
                  <c:v>-170.51514011757075</c:v>
                </c:pt>
                <c:pt idx="290">
                  <c:v>-168.2139466300674</c:v>
                </c:pt>
                <c:pt idx="291">
                  <c:v>-165.96302497213341</c:v>
                </c:pt>
                <c:pt idx="292">
                  <c:v>-163.757054523731</c:v>
                </c:pt>
                <c:pt idx="293">
                  <c:v>-161.59101002611803</c:v>
                </c:pt>
                <c:pt idx="294">
                  <c:v>-159.46068643565363</c:v>
                </c:pt>
                <c:pt idx="295">
                  <c:v>-157.3619332873796</c:v>
                </c:pt>
                <c:pt idx="296">
                  <c:v>-155.29089903606646</c:v>
                </c:pt>
                <c:pt idx="297">
                  <c:v>-153.24419913827998</c:v>
                </c:pt>
                <c:pt idx="298">
                  <c:v>-151.21842376737825</c:v>
                </c:pt>
                <c:pt idx="299">
                  <c:v>-149.21052657134331</c:v>
                </c:pt>
                <c:pt idx="300">
                  <c:v>-147.21740434740386</c:v>
                </c:pt>
                <c:pt idx="301">
                  <c:v>-145.23623186503349</c:v>
                </c:pt>
                <c:pt idx="302">
                  <c:v>-143.2064438343038</c:v>
                </c:pt>
                <c:pt idx="303">
                  <c:v>-141.15501403046477</c:v>
                </c:pt>
                <c:pt idx="304">
                  <c:v>-139.11168204864381</c:v>
                </c:pt>
                <c:pt idx="305">
                  <c:v>-137.07374923637795</c:v>
                </c:pt>
                <c:pt idx="306">
                  <c:v>-135.03850533817894</c:v>
                </c:pt>
                <c:pt idx="307">
                  <c:v>-133.00327885517507</c:v>
                </c:pt>
                <c:pt idx="308">
                  <c:v>-130.96528808633451</c:v>
                </c:pt>
                <c:pt idx="309">
                  <c:v>-128.92194489118285</c:v>
                </c:pt>
                <c:pt idx="310">
                  <c:v>-126.87053629961957</c:v>
                </c:pt>
                <c:pt idx="311">
                  <c:v>-124.80818563306553</c:v>
                </c:pt>
                <c:pt idx="312">
                  <c:v>-122.73215891822237</c:v>
                </c:pt>
                <c:pt idx="313">
                  <c:v>-120.63948137090362</c:v>
                </c:pt>
                <c:pt idx="314">
                  <c:v>-118.52720781408114</c:v>
                </c:pt>
                <c:pt idx="315">
                  <c:v>-116.39213948258943</c:v>
                </c:pt>
                <c:pt idx="316">
                  <c:v>-114.23105005767705</c:v>
                </c:pt>
                <c:pt idx="317">
                  <c:v>-112.04048089101606</c:v>
                </c:pt>
                <c:pt idx="318">
                  <c:v>-109.81680202825348</c:v>
                </c:pt>
                <c:pt idx="319">
                  <c:v>-107.55614367679041</c:v>
                </c:pt>
                <c:pt idx="320">
                  <c:v>-105.25443561861223</c:v>
                </c:pt>
                <c:pt idx="321">
                  <c:v>-102.90723354442673</c:v>
                </c:pt>
                <c:pt idx="322">
                  <c:v>-100.50984869477384</c:v>
                </c:pt>
                <c:pt idx="323">
                  <c:v>-98.057169577062297</c:v>
                </c:pt>
                <c:pt idx="324">
                  <c:v>-95.54362536659815</c:v>
                </c:pt>
                <c:pt idx="325">
                  <c:v>-93.829072717551711</c:v>
                </c:pt>
                <c:pt idx="326">
                  <c:v>-91.200606303184273</c:v>
                </c:pt>
                <c:pt idx="327">
                  <c:v>-88.492375367352864</c:v>
                </c:pt>
                <c:pt idx="328">
                  <c:v>-85.696493410716272</c:v>
                </c:pt>
                <c:pt idx="329">
                  <c:v>-82.804190613410128</c:v>
                </c:pt>
                <c:pt idx="330">
                  <c:v>-79.80573169998938</c:v>
                </c:pt>
                <c:pt idx="331">
                  <c:v>-76.690240042707586</c:v>
                </c:pt>
                <c:pt idx="332">
                  <c:v>-73.532251799767394</c:v>
                </c:pt>
                <c:pt idx="333">
                  <c:v>-70.421274194802862</c:v>
                </c:pt>
                <c:pt idx="334">
                  <c:v>-67.354232965569608</c:v>
                </c:pt>
                <c:pt idx="335">
                  <c:v>-64.328132827978322</c:v>
                </c:pt>
                <c:pt idx="336">
                  <c:v>-61.34011830202261</c:v>
                </c:pt>
                <c:pt idx="337">
                  <c:v>-58.387454673016229</c:v>
                </c:pt>
                <c:pt idx="338">
                  <c:v>-55.467526693098819</c:v>
                </c:pt>
                <c:pt idx="339">
                  <c:v>-52.577810735915413</c:v>
                </c:pt>
                <c:pt idx="340">
                  <c:v>-49.769285621554381</c:v>
                </c:pt>
                <c:pt idx="341">
                  <c:v>-47.1048777122624</c:v>
                </c:pt>
                <c:pt idx="342">
                  <c:v>-45.549053217549833</c:v>
                </c:pt>
                <c:pt idx="343">
                  <c:v>-42.93030294304706</c:v>
                </c:pt>
                <c:pt idx="344">
                  <c:v>-40.331670223242782</c:v>
                </c:pt>
                <c:pt idx="345">
                  <c:v>-37.751201761708153</c:v>
                </c:pt>
                <c:pt idx="346">
                  <c:v>-35.186991052483251</c:v>
                </c:pt>
                <c:pt idx="347">
                  <c:v>-32.637179105559177</c:v>
                </c:pt>
                <c:pt idx="348">
                  <c:v>-30.099941365892072</c:v>
                </c:pt>
                <c:pt idx="349">
                  <c:v>-27.573490385054178</c:v>
                </c:pt>
                <c:pt idx="350">
                  <c:v>-25.056063688164706</c:v>
                </c:pt>
                <c:pt idx="351">
                  <c:v>-22.545921154411676</c:v>
                </c:pt>
                <c:pt idx="352">
                  <c:v>-20.041340757775341</c:v>
                </c:pt>
                <c:pt idx="353">
                  <c:v>-17.5406125991273</c:v>
                </c:pt>
                <c:pt idx="354">
                  <c:v>-15.042032929508657</c:v>
                </c:pt>
                <c:pt idx="355">
                  <c:v>-12.54390187227432</c:v>
                </c:pt>
                <c:pt idx="356">
                  <c:v>-10.044516122433064</c:v>
                </c:pt>
                <c:pt idx="357">
                  <c:v>-7.5421658079622089</c:v>
                </c:pt>
                <c:pt idx="358">
                  <c:v>-5.0351272760079961</c:v>
                </c:pt>
                <c:pt idx="359">
                  <c:v>-2.5216599957264849</c:v>
                </c:pt>
                <c:pt idx="360">
                  <c:v>-2.0411526722905001E-13</c:v>
                </c:pt>
                <c:pt idx="361">
                  <c:v>-1.3505639689418181E-13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200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146.96362792128872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146.96320147461125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54.951583970441597</c:v>
                </c:pt>
                <c:pt idx="3">
                  <c:v>100.77657794955587</c:v>
                </c:pt>
                <c:pt idx="4">
                  <c:v>143.59971701911172</c:v>
                </c:pt>
                <c:pt idx="5">
                  <c:v>184.22664701600578</c:v>
                </c:pt>
                <c:pt idx="6">
                  <c:v>222.66314000833239</c:v>
                </c:pt>
                <c:pt idx="7">
                  <c:v>255.70706131245987</c:v>
                </c:pt>
                <c:pt idx="8">
                  <c:v>273.04132058172593</c:v>
                </c:pt>
                <c:pt idx="9">
                  <c:v>281.80489955212187</c:v>
                </c:pt>
                <c:pt idx="10">
                  <c:v>288.82962056067828</c:v>
                </c:pt>
                <c:pt idx="11">
                  <c:v>294.58090903132165</c:v>
                </c:pt>
                <c:pt idx="12">
                  <c:v>296.63234687086123</c:v>
                </c:pt>
                <c:pt idx="13">
                  <c:v>295.59790670813567</c:v>
                </c:pt>
                <c:pt idx="14">
                  <c:v>295.88211276113486</c:v>
                </c:pt>
                <c:pt idx="15">
                  <c:v>298.89044712827621</c:v>
                </c:pt>
                <c:pt idx="16">
                  <c:v>300.35408029646163</c:v>
                </c:pt>
                <c:pt idx="17">
                  <c:v>300.05597806078151</c:v>
                </c:pt>
                <c:pt idx="18">
                  <c:v>297.52935959129206</c:v>
                </c:pt>
                <c:pt idx="19">
                  <c:v>292.92997015399789</c:v>
                </c:pt>
                <c:pt idx="20">
                  <c:v>285.98602954975536</c:v>
                </c:pt>
                <c:pt idx="21">
                  <c:v>276.45578900306242</c:v>
                </c:pt>
                <c:pt idx="22">
                  <c:v>264.13954808739715</c:v>
                </c:pt>
                <c:pt idx="23">
                  <c:v>248.83207748274128</c:v>
                </c:pt>
                <c:pt idx="24">
                  <c:v>230.13866145841249</c:v>
                </c:pt>
                <c:pt idx="25">
                  <c:v>207.83423283657311</c:v>
                </c:pt>
                <c:pt idx="26">
                  <c:v>181.06940912437278</c:v>
                </c:pt>
                <c:pt idx="27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-341.28000000000003</c:v>
                </c:pt>
                <c:pt idx="1">
                  <c:v>-341.27900000000005</c:v>
                </c:pt>
                <c:pt idx="2">
                  <c:v>-282.11036800000005</c:v>
                </c:pt>
                <c:pt idx="3">
                  <c:v>-222.94173600000005</c:v>
                </c:pt>
                <c:pt idx="4">
                  <c:v>-163.77310400000005</c:v>
                </c:pt>
                <c:pt idx="5">
                  <c:v>-104.60447200000004</c:v>
                </c:pt>
                <c:pt idx="6">
                  <c:v>-45.435840000000034</c:v>
                </c:pt>
                <c:pt idx="7">
                  <c:v>13.732791999999975</c:v>
                </c:pt>
                <c:pt idx="8">
                  <c:v>72.901423999999992</c:v>
                </c:pt>
                <c:pt idx="9">
                  <c:v>132.07005599999999</c:v>
                </c:pt>
                <c:pt idx="10">
                  <c:v>191.238688</c:v>
                </c:pt>
                <c:pt idx="11">
                  <c:v>250.40732</c:v>
                </c:pt>
                <c:pt idx="12">
                  <c:v>309.57595200000003</c:v>
                </c:pt>
                <c:pt idx="13">
                  <c:v>368.74458400000003</c:v>
                </c:pt>
                <c:pt idx="14">
                  <c:v>427.91321600000003</c:v>
                </c:pt>
                <c:pt idx="15">
                  <c:v>487.08184800000004</c:v>
                </c:pt>
                <c:pt idx="16">
                  <c:v>546.25048000000004</c:v>
                </c:pt>
                <c:pt idx="17">
                  <c:v>605.41911200000004</c:v>
                </c:pt>
                <c:pt idx="18">
                  <c:v>664.58774400000004</c:v>
                </c:pt>
                <c:pt idx="19">
                  <c:v>723.75637600000005</c:v>
                </c:pt>
                <c:pt idx="20">
                  <c:v>782.92500800000005</c:v>
                </c:pt>
                <c:pt idx="21">
                  <c:v>842.09364000000005</c:v>
                </c:pt>
                <c:pt idx="22">
                  <c:v>901.26227200000005</c:v>
                </c:pt>
                <c:pt idx="23">
                  <c:v>960.43090400000006</c:v>
                </c:pt>
                <c:pt idx="24">
                  <c:v>1019.5995360000001</c:v>
                </c:pt>
                <c:pt idx="25">
                  <c:v>1078.7681680000001</c:v>
                </c:pt>
                <c:pt idx="26">
                  <c:v>1137.9368000000002</c:v>
                </c:pt>
                <c:pt idx="27">
                  <c:v>1137.9368000000002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282.84271247461902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1078.76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Analysis'!$W$130:$W$131</c:f>
              <c:numCache>
                <c:formatCode>General</c:formatCode>
                <c:ptCount val="2"/>
                <c:pt idx="0">
                  <c:v>282.84271247461902</c:v>
                </c:pt>
                <c:pt idx="1">
                  <c:v>207.83765423872109</c:v>
                </c:pt>
              </c:numCache>
            </c:numRef>
          </c:xVal>
          <c:yVal>
            <c:numRef>
              <c:f>'Cross Section Analysis'!$V$130:$V$131</c:f>
              <c:numCache>
                <c:formatCode>General</c:formatCode>
                <c:ptCount val="2"/>
                <c:pt idx="0">
                  <c:v>1078.76</c:v>
                </c:pt>
                <c:pt idx="1">
                  <c:v>1078.76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'Cross Section Analysis'!$D$129:$D$489</c:f>
              <c:numCache>
                <c:formatCode>0.000</c:formatCode>
                <c:ptCount val="361"/>
                <c:pt idx="0">
                  <c:v>359.99999999999994</c:v>
                </c:pt>
                <c:pt idx="1">
                  <c:v>0.59251180624229738</c:v>
                </c:pt>
                <c:pt idx="2">
                  <c:v>1.1846018298412855</c:v>
                </c:pt>
                <c:pt idx="3">
                  <c:v>1.7767772387118415</c:v>
                </c:pt>
                <c:pt idx="4">
                  <c:v>2.369548034948902</c:v>
                </c:pt>
                <c:pt idx="5">
                  <c:v>2.9634258152638981</c:v>
                </c:pt>
                <c:pt idx="6">
                  <c:v>3.558930623139831</c:v>
                </c:pt>
                <c:pt idx="7">
                  <c:v>4.1565875024886241</c:v>
                </c:pt>
                <c:pt idx="8">
                  <c:v>4.7569330238148986</c:v>
                </c:pt>
                <c:pt idx="9">
                  <c:v>5.3605111343040983</c:v>
                </c:pt>
                <c:pt idx="10">
                  <c:v>5.9678820925886091</c:v>
                </c:pt>
                <c:pt idx="11">
                  <c:v>6.5796220606036799</c:v>
                </c:pt>
                <c:pt idx="12">
                  <c:v>7.1963226830821654</c:v>
                </c:pt>
                <c:pt idx="13">
                  <c:v>7.8185956859978569</c:v>
                </c:pt>
                <c:pt idx="14">
                  <c:v>8.4470830801415175</c:v>
                </c:pt>
                <c:pt idx="15">
                  <c:v>9.0824402884652891</c:v>
                </c:pt>
                <c:pt idx="16">
                  <c:v>9.7253631079394633</c:v>
                </c:pt>
                <c:pt idx="17">
                  <c:v>10.376569253910368</c:v>
                </c:pt>
                <c:pt idx="18">
                  <c:v>11.036822393797975</c:v>
                </c:pt>
                <c:pt idx="19">
                  <c:v>11.429907831780097</c:v>
                </c:pt>
                <c:pt idx="20">
                  <c:v>12.10949451767673</c:v>
                </c:pt>
                <c:pt idx="21">
                  <c:v>12.845377427392339</c:v>
                </c:pt>
                <c:pt idx="22">
                  <c:v>13.616273223651611</c:v>
                </c:pt>
                <c:pt idx="23">
                  <c:v>14.403485542842384</c:v>
                </c:pt>
                <c:pt idx="24">
                  <c:v>15.208194333194147</c:v>
                </c:pt>
                <c:pt idx="25">
                  <c:v>16.03168338846783</c:v>
                </c:pt>
                <c:pt idx="26">
                  <c:v>16.875312519640637</c:v>
                </c:pt>
                <c:pt idx="27">
                  <c:v>17.740547016516761</c:v>
                </c:pt>
                <c:pt idx="28">
                  <c:v>18.628951550049258</c:v>
                </c:pt>
                <c:pt idx="29">
                  <c:v>19.542211444061564</c:v>
                </c:pt>
                <c:pt idx="30">
                  <c:v>20.455278259773955</c:v>
                </c:pt>
                <c:pt idx="31">
                  <c:v>21.346311657697427</c:v>
                </c:pt>
                <c:pt idx="32">
                  <c:v>22.217731928088337</c:v>
                </c:pt>
                <c:pt idx="33">
                  <c:v>23.071750925722956</c:v>
                </c:pt>
                <c:pt idx="34">
                  <c:v>23.910393900939315</c:v>
                </c:pt>
                <c:pt idx="35">
                  <c:v>24.735547758570842</c:v>
                </c:pt>
                <c:pt idx="36">
                  <c:v>25.297664256070096</c:v>
                </c:pt>
                <c:pt idx="37">
                  <c:v>26.107193057611873</c:v>
                </c:pt>
                <c:pt idx="38">
                  <c:v>26.908139601956353</c:v>
                </c:pt>
                <c:pt idx="39">
                  <c:v>27.701970037486795</c:v>
                </c:pt>
                <c:pt idx="40">
                  <c:v>28.490093218172422</c:v>
                </c:pt>
                <c:pt idx="41">
                  <c:v>29.273871951838689</c:v>
                </c:pt>
                <c:pt idx="42">
                  <c:v>30.054615267487293</c:v>
                </c:pt>
                <c:pt idx="43">
                  <c:v>30.833614871857016</c:v>
                </c:pt>
                <c:pt idx="44">
                  <c:v>31.61213664255617</c:v>
                </c:pt>
                <c:pt idx="45">
                  <c:v>32.391440351565443</c:v>
                </c:pt>
                <c:pt idx="46">
                  <c:v>33.172785802763734</c:v>
                </c:pt>
                <c:pt idx="47">
                  <c:v>33.957449146971619</c:v>
                </c:pt>
                <c:pt idx="48">
                  <c:v>34.74672107636983</c:v>
                </c:pt>
                <c:pt idx="49">
                  <c:v>35.541932965402189</c:v>
                </c:pt>
                <c:pt idx="50">
                  <c:v>36.344453894086364</c:v>
                </c:pt>
                <c:pt idx="51">
                  <c:v>37.155715394425542</c:v>
                </c:pt>
                <c:pt idx="52">
                  <c:v>37.977212283880569</c:v>
                </c:pt>
                <c:pt idx="53">
                  <c:v>38.810528353127047</c:v>
                </c:pt>
                <c:pt idx="54">
                  <c:v>39.657348483169933</c:v>
                </c:pt>
                <c:pt idx="55">
                  <c:v>40.519475032881864</c:v>
                </c:pt>
                <c:pt idx="56">
                  <c:v>41.398852958922873</c:v>
                </c:pt>
                <c:pt idx="57">
                  <c:v>42.297592642337584</c:v>
                </c:pt>
                <c:pt idx="58">
                  <c:v>43.217997476939139</c:v>
                </c:pt>
                <c:pt idx="59">
                  <c:v>44.160226331174101</c:v>
                </c:pt>
                <c:pt idx="60">
                  <c:v>45.125011210460116</c:v>
                </c:pt>
                <c:pt idx="61">
                  <c:v>46.119724068310497</c:v>
                </c:pt>
                <c:pt idx="62">
                  <c:v>47.147835474883323</c:v>
                </c:pt>
                <c:pt idx="63">
                  <c:v>48.213257366417672</c:v>
                </c:pt>
                <c:pt idx="64">
                  <c:v>49.320407206862832</c:v>
                </c:pt>
                <c:pt idx="65">
                  <c:v>50.474325611751389</c:v>
                </c:pt>
                <c:pt idx="66">
                  <c:v>51.680772452775074</c:v>
                </c:pt>
                <c:pt idx="67">
                  <c:v>52.946403781613526</c:v>
                </c:pt>
                <c:pt idx="68">
                  <c:v>54.278945958749418</c:v>
                </c:pt>
                <c:pt idx="69">
                  <c:v>55.687399839871908</c:v>
                </c:pt>
                <c:pt idx="70">
                  <c:v>57.182392977210114</c:v>
                </c:pt>
                <c:pt idx="71">
                  <c:v>58.776500304314403</c:v>
                </c:pt>
                <c:pt idx="72">
                  <c:v>60.484716553717256</c:v>
                </c:pt>
                <c:pt idx="73">
                  <c:v>62.315061620112218</c:v>
                </c:pt>
                <c:pt idx="74">
                  <c:v>64.165773500707573</c:v>
                </c:pt>
                <c:pt idx="75">
                  <c:v>66.005211127857407</c:v>
                </c:pt>
                <c:pt idx="76">
                  <c:v>67.833317378901882</c:v>
                </c:pt>
                <c:pt idx="77">
                  <c:v>69.648476167166393</c:v>
                </c:pt>
                <c:pt idx="78">
                  <c:v>71.224385291750139</c:v>
                </c:pt>
                <c:pt idx="79">
                  <c:v>72.963618080078518</c:v>
                </c:pt>
                <c:pt idx="80">
                  <c:v>74.696382189502813</c:v>
                </c:pt>
                <c:pt idx="81">
                  <c:v>76.422958629731937</c:v>
                </c:pt>
                <c:pt idx="82">
                  <c:v>78.095896519164356</c:v>
                </c:pt>
                <c:pt idx="83">
                  <c:v>79.640911759515248</c:v>
                </c:pt>
                <c:pt idx="84">
                  <c:v>81.184957071534654</c:v>
                </c:pt>
                <c:pt idx="85">
                  <c:v>82.728906372198267</c:v>
                </c:pt>
                <c:pt idx="86">
                  <c:v>83.794756942888654</c:v>
                </c:pt>
                <c:pt idx="87">
                  <c:v>85.34074029431018</c:v>
                </c:pt>
                <c:pt idx="88">
                  <c:v>86.889708206476826</c:v>
                </c:pt>
                <c:pt idx="89">
                  <c:v>88.44251402938113</c:v>
                </c:pt>
                <c:pt idx="90">
                  <c:v>90</c:v>
                </c:pt>
                <c:pt idx="91">
                  <c:v>91.557485970618856</c:v>
                </c:pt>
                <c:pt idx="92">
                  <c:v>93.110291793523146</c:v>
                </c:pt>
                <c:pt idx="93">
                  <c:v>94.659259705689763</c:v>
                </c:pt>
                <c:pt idx="94">
                  <c:v>96.20524305711136</c:v>
                </c:pt>
                <c:pt idx="95">
                  <c:v>97.27109362780169</c:v>
                </c:pt>
                <c:pt idx="96">
                  <c:v>98.81504292846536</c:v>
                </c:pt>
                <c:pt idx="97">
                  <c:v>100.35908824048474</c:v>
                </c:pt>
                <c:pt idx="98">
                  <c:v>101.90410348083562</c:v>
                </c:pt>
                <c:pt idx="99">
                  <c:v>103.57704137026808</c:v>
                </c:pt>
                <c:pt idx="100">
                  <c:v>105.3036178104972</c:v>
                </c:pt>
                <c:pt idx="101">
                  <c:v>107.03638191992148</c:v>
                </c:pt>
                <c:pt idx="102">
                  <c:v>108.77561470824985</c:v>
                </c:pt>
                <c:pt idx="103">
                  <c:v>110.35152383283359</c:v>
                </c:pt>
                <c:pt idx="104">
                  <c:v>112.16668262109813</c:v>
                </c:pt>
                <c:pt idx="105">
                  <c:v>113.99478887214262</c:v>
                </c:pt>
                <c:pt idx="106">
                  <c:v>115.83422649929247</c:v>
                </c:pt>
                <c:pt idx="107">
                  <c:v>117.68493837988778</c:v>
                </c:pt>
                <c:pt idx="108">
                  <c:v>119.51528344628271</c:v>
                </c:pt>
                <c:pt idx="109">
                  <c:v>121.22349969568553</c:v>
                </c:pt>
                <c:pt idx="110">
                  <c:v>122.81760702278989</c:v>
                </c:pt>
                <c:pt idx="111">
                  <c:v>124.31260016012806</c:v>
                </c:pt>
                <c:pt idx="112">
                  <c:v>125.72105404125061</c:v>
                </c:pt>
                <c:pt idx="113">
                  <c:v>127.05359621838646</c:v>
                </c:pt>
                <c:pt idx="114">
                  <c:v>128.31922754722493</c:v>
                </c:pt>
                <c:pt idx="115">
                  <c:v>129.5256743882486</c:v>
                </c:pt>
                <c:pt idx="116">
                  <c:v>130.67959279313718</c:v>
                </c:pt>
                <c:pt idx="117">
                  <c:v>131.78674263358232</c:v>
                </c:pt>
                <c:pt idx="118">
                  <c:v>132.85216452511668</c:v>
                </c:pt>
                <c:pt idx="119">
                  <c:v>133.88027593168951</c:v>
                </c:pt>
                <c:pt idx="120">
                  <c:v>134.8749887895398</c:v>
                </c:pt>
                <c:pt idx="121">
                  <c:v>135.83977366882587</c:v>
                </c:pt>
                <c:pt idx="122">
                  <c:v>136.78200252306084</c:v>
                </c:pt>
                <c:pt idx="123">
                  <c:v>137.70240735766242</c:v>
                </c:pt>
                <c:pt idx="124">
                  <c:v>138.6011470410771</c:v>
                </c:pt>
                <c:pt idx="125">
                  <c:v>139.48052496711816</c:v>
                </c:pt>
                <c:pt idx="126">
                  <c:v>140.34265151683005</c:v>
                </c:pt>
                <c:pt idx="127">
                  <c:v>141.18947164687293</c:v>
                </c:pt>
                <c:pt idx="128">
                  <c:v>142.02278771611941</c:v>
                </c:pt>
                <c:pt idx="129">
                  <c:v>142.84428460557447</c:v>
                </c:pt>
                <c:pt idx="130">
                  <c:v>143.6555461059136</c:v>
                </c:pt>
                <c:pt idx="131">
                  <c:v>144.45806703459778</c:v>
                </c:pt>
                <c:pt idx="132">
                  <c:v>145.25327892363015</c:v>
                </c:pt>
                <c:pt idx="133">
                  <c:v>146.04255085302836</c:v>
                </c:pt>
                <c:pt idx="134">
                  <c:v>146.82721419723629</c:v>
                </c:pt>
                <c:pt idx="135">
                  <c:v>147.60855964843455</c:v>
                </c:pt>
                <c:pt idx="136">
                  <c:v>148.38786335744382</c:v>
                </c:pt>
                <c:pt idx="137">
                  <c:v>149.16638512814299</c:v>
                </c:pt>
                <c:pt idx="138">
                  <c:v>149.94538473251268</c:v>
                </c:pt>
                <c:pt idx="139">
                  <c:v>150.72612804816131</c:v>
                </c:pt>
                <c:pt idx="140">
                  <c:v>151.50990678182757</c:v>
                </c:pt>
                <c:pt idx="141">
                  <c:v>152.2980299625132</c:v>
                </c:pt>
                <c:pt idx="142">
                  <c:v>153.09186039804365</c:v>
                </c:pt>
                <c:pt idx="143">
                  <c:v>153.89280694238815</c:v>
                </c:pt>
                <c:pt idx="144">
                  <c:v>154.70233574392989</c:v>
                </c:pt>
                <c:pt idx="145">
                  <c:v>155.26445224142918</c:v>
                </c:pt>
                <c:pt idx="146">
                  <c:v>156.08960609906066</c:v>
                </c:pt>
                <c:pt idx="147">
                  <c:v>156.92824907427706</c:v>
                </c:pt>
                <c:pt idx="148">
                  <c:v>157.78226807191166</c:v>
                </c:pt>
                <c:pt idx="149">
                  <c:v>158.65368834230256</c:v>
                </c:pt>
                <c:pt idx="150">
                  <c:v>159.54472174022607</c:v>
                </c:pt>
                <c:pt idx="151">
                  <c:v>160.45778855593841</c:v>
                </c:pt>
                <c:pt idx="152">
                  <c:v>161.37104844995073</c:v>
                </c:pt>
                <c:pt idx="153">
                  <c:v>162.25945298348324</c:v>
                </c:pt>
                <c:pt idx="154">
                  <c:v>163.12468748035937</c:v>
                </c:pt>
                <c:pt idx="155">
                  <c:v>163.96831661153215</c:v>
                </c:pt>
                <c:pt idx="156">
                  <c:v>164.79180566680583</c:v>
                </c:pt>
                <c:pt idx="157">
                  <c:v>165.59651445715761</c:v>
                </c:pt>
                <c:pt idx="158">
                  <c:v>166.38372677634831</c:v>
                </c:pt>
                <c:pt idx="159">
                  <c:v>167.15462257260768</c:v>
                </c:pt>
                <c:pt idx="160">
                  <c:v>167.89050548232325</c:v>
                </c:pt>
                <c:pt idx="161">
                  <c:v>168.57009216821993</c:v>
                </c:pt>
                <c:pt idx="162">
                  <c:v>168.96317760620204</c:v>
                </c:pt>
                <c:pt idx="163">
                  <c:v>169.62343074608964</c:v>
                </c:pt>
                <c:pt idx="164">
                  <c:v>170.27463689206053</c:v>
                </c:pt>
                <c:pt idx="165">
                  <c:v>170.91755971153469</c:v>
                </c:pt>
                <c:pt idx="166">
                  <c:v>171.55291691985846</c:v>
                </c:pt>
                <c:pt idx="167">
                  <c:v>172.18140431400212</c:v>
                </c:pt>
                <c:pt idx="168">
                  <c:v>172.80367731691786</c:v>
                </c:pt>
                <c:pt idx="169">
                  <c:v>173.42037793939633</c:v>
                </c:pt>
                <c:pt idx="170">
                  <c:v>174.03211790741136</c:v>
                </c:pt>
                <c:pt idx="171">
                  <c:v>174.63948886569588</c:v>
                </c:pt>
                <c:pt idx="172">
                  <c:v>175.2430669761851</c:v>
                </c:pt>
                <c:pt idx="173">
                  <c:v>175.84341249751137</c:v>
                </c:pt>
                <c:pt idx="174">
                  <c:v>176.44106937686018</c:v>
                </c:pt>
                <c:pt idx="175">
                  <c:v>177.03657418473611</c:v>
                </c:pt>
                <c:pt idx="176">
                  <c:v>177.63045196505107</c:v>
                </c:pt>
                <c:pt idx="177">
                  <c:v>178.22322276128816</c:v>
                </c:pt>
                <c:pt idx="178">
                  <c:v>178.81539817015872</c:v>
                </c:pt>
                <c:pt idx="179">
                  <c:v>179.4074881937577</c:v>
                </c:pt>
                <c:pt idx="180">
                  <c:v>180.00000000000003</c:v>
                </c:pt>
                <c:pt idx="181">
                  <c:v>180.5925118062423</c:v>
                </c:pt>
                <c:pt idx="182">
                  <c:v>181.18460182984128</c:v>
                </c:pt>
                <c:pt idx="183">
                  <c:v>181.77677723871184</c:v>
                </c:pt>
                <c:pt idx="184">
                  <c:v>182.36954803494891</c:v>
                </c:pt>
                <c:pt idx="185">
                  <c:v>182.96342581526389</c:v>
                </c:pt>
                <c:pt idx="186">
                  <c:v>183.55893062313982</c:v>
                </c:pt>
                <c:pt idx="187">
                  <c:v>184.15658750248863</c:v>
                </c:pt>
                <c:pt idx="188">
                  <c:v>184.75693302381492</c:v>
                </c:pt>
                <c:pt idx="189">
                  <c:v>185.36051113430409</c:v>
                </c:pt>
                <c:pt idx="190">
                  <c:v>185.96788209258864</c:v>
                </c:pt>
                <c:pt idx="191">
                  <c:v>186.5796220606037</c:v>
                </c:pt>
                <c:pt idx="192">
                  <c:v>187.19632268308217</c:v>
                </c:pt>
                <c:pt idx="193">
                  <c:v>187.81859568599785</c:v>
                </c:pt>
                <c:pt idx="194">
                  <c:v>188.44708308014151</c:v>
                </c:pt>
                <c:pt idx="195">
                  <c:v>189.08244028846528</c:v>
                </c:pt>
                <c:pt idx="196">
                  <c:v>189.72536310793947</c:v>
                </c:pt>
                <c:pt idx="197">
                  <c:v>190.37656925391036</c:v>
                </c:pt>
                <c:pt idx="198">
                  <c:v>191.03682239379796</c:v>
                </c:pt>
                <c:pt idx="199">
                  <c:v>191.42990783178007</c:v>
                </c:pt>
                <c:pt idx="200">
                  <c:v>192.10949451767672</c:v>
                </c:pt>
                <c:pt idx="201">
                  <c:v>192.84537742739232</c:v>
                </c:pt>
                <c:pt idx="202">
                  <c:v>193.61627322365169</c:v>
                </c:pt>
                <c:pt idx="203">
                  <c:v>194.40348554284239</c:v>
                </c:pt>
                <c:pt idx="204">
                  <c:v>195.20819433319414</c:v>
                </c:pt>
                <c:pt idx="205">
                  <c:v>196.03168338846785</c:v>
                </c:pt>
                <c:pt idx="206">
                  <c:v>196.87531251964063</c:v>
                </c:pt>
                <c:pt idx="207">
                  <c:v>197.74054701651676</c:v>
                </c:pt>
                <c:pt idx="208">
                  <c:v>198.62895155004929</c:v>
                </c:pt>
                <c:pt idx="209">
                  <c:v>199.54221144406156</c:v>
                </c:pt>
                <c:pt idx="210">
                  <c:v>200.45527825977396</c:v>
                </c:pt>
                <c:pt idx="211">
                  <c:v>201.34631165769741</c:v>
                </c:pt>
                <c:pt idx="212">
                  <c:v>202.21773192808834</c:v>
                </c:pt>
                <c:pt idx="213">
                  <c:v>203.07175092572297</c:v>
                </c:pt>
                <c:pt idx="214">
                  <c:v>203.91039390093934</c:v>
                </c:pt>
                <c:pt idx="215">
                  <c:v>204.73554775857085</c:v>
                </c:pt>
                <c:pt idx="216">
                  <c:v>205.29766425607008</c:v>
                </c:pt>
                <c:pt idx="217">
                  <c:v>206.10719305761188</c:v>
                </c:pt>
                <c:pt idx="218">
                  <c:v>206.90813960195638</c:v>
                </c:pt>
                <c:pt idx="219">
                  <c:v>207.7019700374868</c:v>
                </c:pt>
                <c:pt idx="220">
                  <c:v>208.4900932181724</c:v>
                </c:pt>
                <c:pt idx="221">
                  <c:v>209.27387195183869</c:v>
                </c:pt>
                <c:pt idx="222">
                  <c:v>210.05461526748732</c:v>
                </c:pt>
                <c:pt idx="223">
                  <c:v>210.83361487185701</c:v>
                </c:pt>
                <c:pt idx="224">
                  <c:v>211.61213664255618</c:v>
                </c:pt>
                <c:pt idx="225">
                  <c:v>212.39144035156542</c:v>
                </c:pt>
                <c:pt idx="226">
                  <c:v>213.17278580276371</c:v>
                </c:pt>
                <c:pt idx="227">
                  <c:v>213.95744914697161</c:v>
                </c:pt>
                <c:pt idx="228">
                  <c:v>214.74672107636982</c:v>
                </c:pt>
                <c:pt idx="229">
                  <c:v>215.5419329654022</c:v>
                </c:pt>
                <c:pt idx="230">
                  <c:v>216.34445389408634</c:v>
                </c:pt>
                <c:pt idx="231">
                  <c:v>217.15571539442547</c:v>
                </c:pt>
                <c:pt idx="232">
                  <c:v>217.97721228388059</c:v>
                </c:pt>
                <c:pt idx="233">
                  <c:v>218.81052835312704</c:v>
                </c:pt>
                <c:pt idx="234">
                  <c:v>219.65734848316993</c:v>
                </c:pt>
                <c:pt idx="235">
                  <c:v>220.51947503288181</c:v>
                </c:pt>
                <c:pt idx="236">
                  <c:v>221.3988529589229</c:v>
                </c:pt>
                <c:pt idx="237">
                  <c:v>222.29759264233758</c:v>
                </c:pt>
                <c:pt idx="238">
                  <c:v>223.21799747693913</c:v>
                </c:pt>
                <c:pt idx="239">
                  <c:v>224.16022633117407</c:v>
                </c:pt>
                <c:pt idx="240">
                  <c:v>225.12501121046009</c:v>
                </c:pt>
                <c:pt idx="241">
                  <c:v>226.11972406831049</c:v>
                </c:pt>
                <c:pt idx="242">
                  <c:v>227.14783547488332</c:v>
                </c:pt>
                <c:pt idx="243">
                  <c:v>228.21325736641768</c:v>
                </c:pt>
                <c:pt idx="244">
                  <c:v>229.32040720686282</c:v>
                </c:pt>
                <c:pt idx="245">
                  <c:v>230.47432561175145</c:v>
                </c:pt>
                <c:pt idx="246">
                  <c:v>231.68077245277507</c:v>
                </c:pt>
                <c:pt idx="247">
                  <c:v>232.94640378161353</c:v>
                </c:pt>
                <c:pt idx="248">
                  <c:v>234.27894595874938</c:v>
                </c:pt>
                <c:pt idx="249">
                  <c:v>235.68739983987189</c:v>
                </c:pt>
                <c:pt idx="250">
                  <c:v>237.1823929772101</c:v>
                </c:pt>
                <c:pt idx="251">
                  <c:v>238.77650030431448</c:v>
                </c:pt>
                <c:pt idx="252">
                  <c:v>240.48471655371725</c:v>
                </c:pt>
                <c:pt idx="253">
                  <c:v>242.31506162011215</c:v>
                </c:pt>
                <c:pt idx="254">
                  <c:v>244.16577350070759</c:v>
                </c:pt>
                <c:pt idx="255">
                  <c:v>246.00521112785742</c:v>
                </c:pt>
                <c:pt idx="256">
                  <c:v>247.83331737890188</c:v>
                </c:pt>
                <c:pt idx="257">
                  <c:v>249.64847616716634</c:v>
                </c:pt>
                <c:pt idx="258">
                  <c:v>251.22438529175011</c:v>
                </c:pt>
                <c:pt idx="259">
                  <c:v>252.96361808007856</c:v>
                </c:pt>
                <c:pt idx="260">
                  <c:v>254.6963821895028</c:v>
                </c:pt>
                <c:pt idx="261">
                  <c:v>256.42295862973191</c:v>
                </c:pt>
                <c:pt idx="262">
                  <c:v>258.09589651916428</c:v>
                </c:pt>
                <c:pt idx="263">
                  <c:v>259.64091175951529</c:v>
                </c:pt>
                <c:pt idx="264">
                  <c:v>261.18495707153465</c:v>
                </c:pt>
                <c:pt idx="265">
                  <c:v>262.72890637219825</c:v>
                </c:pt>
                <c:pt idx="266">
                  <c:v>263.79475694288863</c:v>
                </c:pt>
                <c:pt idx="267">
                  <c:v>265.34074029431019</c:v>
                </c:pt>
                <c:pt idx="268">
                  <c:v>266.88970820647688</c:v>
                </c:pt>
                <c:pt idx="269">
                  <c:v>268.44251402938113</c:v>
                </c:pt>
                <c:pt idx="270">
                  <c:v>270</c:v>
                </c:pt>
                <c:pt idx="271">
                  <c:v>271.55748597061881</c:v>
                </c:pt>
                <c:pt idx="272">
                  <c:v>273.11029179352317</c:v>
                </c:pt>
                <c:pt idx="273">
                  <c:v>274.65925970568981</c:v>
                </c:pt>
                <c:pt idx="274">
                  <c:v>276.20524305711137</c:v>
                </c:pt>
                <c:pt idx="275">
                  <c:v>277.27109362780175</c:v>
                </c:pt>
                <c:pt idx="276">
                  <c:v>278.81504292846535</c:v>
                </c:pt>
                <c:pt idx="277">
                  <c:v>280.35908824048477</c:v>
                </c:pt>
                <c:pt idx="278">
                  <c:v>281.9041034808356</c:v>
                </c:pt>
                <c:pt idx="279">
                  <c:v>283.57704137026803</c:v>
                </c:pt>
                <c:pt idx="280">
                  <c:v>285.30361781049714</c:v>
                </c:pt>
                <c:pt idx="281">
                  <c:v>287.0363819199215</c:v>
                </c:pt>
                <c:pt idx="282">
                  <c:v>288.77561470824986</c:v>
                </c:pt>
                <c:pt idx="283">
                  <c:v>290.35152383283361</c:v>
                </c:pt>
                <c:pt idx="284">
                  <c:v>292.16668262109812</c:v>
                </c:pt>
                <c:pt idx="285">
                  <c:v>293.99478887214252</c:v>
                </c:pt>
                <c:pt idx="286">
                  <c:v>295.83422649929253</c:v>
                </c:pt>
                <c:pt idx="287">
                  <c:v>297.68493837988774</c:v>
                </c:pt>
                <c:pt idx="288">
                  <c:v>299.51528344628269</c:v>
                </c:pt>
                <c:pt idx="289">
                  <c:v>301.22349969568552</c:v>
                </c:pt>
                <c:pt idx="290">
                  <c:v>302.81760702278996</c:v>
                </c:pt>
                <c:pt idx="291">
                  <c:v>304.31260016012811</c:v>
                </c:pt>
                <c:pt idx="292">
                  <c:v>305.72105404125057</c:v>
                </c:pt>
                <c:pt idx="293">
                  <c:v>307.05359621838647</c:v>
                </c:pt>
                <c:pt idx="294">
                  <c:v>308.3192275472249</c:v>
                </c:pt>
                <c:pt idx="295">
                  <c:v>309.5256743882486</c:v>
                </c:pt>
                <c:pt idx="296">
                  <c:v>310.67959279313715</c:v>
                </c:pt>
                <c:pt idx="297">
                  <c:v>311.78674263358232</c:v>
                </c:pt>
                <c:pt idx="298">
                  <c:v>312.85216452511668</c:v>
                </c:pt>
                <c:pt idx="299">
                  <c:v>313.88027593168954</c:v>
                </c:pt>
                <c:pt idx="300">
                  <c:v>314.87498878953988</c:v>
                </c:pt>
                <c:pt idx="301">
                  <c:v>315.8397736688259</c:v>
                </c:pt>
                <c:pt idx="302">
                  <c:v>316.78200252306084</c:v>
                </c:pt>
                <c:pt idx="303">
                  <c:v>317.70240735766237</c:v>
                </c:pt>
                <c:pt idx="304">
                  <c:v>318.60114704107713</c:v>
                </c:pt>
                <c:pt idx="305">
                  <c:v>319.48052496711819</c:v>
                </c:pt>
                <c:pt idx="306">
                  <c:v>320.34265151683007</c:v>
                </c:pt>
                <c:pt idx="307">
                  <c:v>321.1894716468729</c:v>
                </c:pt>
                <c:pt idx="308">
                  <c:v>322.02278771611947</c:v>
                </c:pt>
                <c:pt idx="309">
                  <c:v>322.8442846055745</c:v>
                </c:pt>
                <c:pt idx="310">
                  <c:v>323.65554610591363</c:v>
                </c:pt>
                <c:pt idx="311">
                  <c:v>324.45806703459778</c:v>
                </c:pt>
                <c:pt idx="312">
                  <c:v>325.25327892363015</c:v>
                </c:pt>
                <c:pt idx="313">
                  <c:v>326.04255085302839</c:v>
                </c:pt>
                <c:pt idx="314">
                  <c:v>326.82721419723629</c:v>
                </c:pt>
                <c:pt idx="315">
                  <c:v>327.60855964843455</c:v>
                </c:pt>
                <c:pt idx="316">
                  <c:v>328.38786335744379</c:v>
                </c:pt>
                <c:pt idx="317">
                  <c:v>329.16638512814302</c:v>
                </c:pt>
                <c:pt idx="318">
                  <c:v>329.94538473251271</c:v>
                </c:pt>
                <c:pt idx="319">
                  <c:v>330.72612804816129</c:v>
                </c:pt>
                <c:pt idx="320">
                  <c:v>331.50990678182757</c:v>
                </c:pt>
                <c:pt idx="321">
                  <c:v>332.29802996251317</c:v>
                </c:pt>
                <c:pt idx="322">
                  <c:v>333.09186039804365</c:v>
                </c:pt>
                <c:pt idx="323">
                  <c:v>333.89280694238812</c:v>
                </c:pt>
                <c:pt idx="324">
                  <c:v>334.70233574392989</c:v>
                </c:pt>
                <c:pt idx="325">
                  <c:v>335.26445224142913</c:v>
                </c:pt>
                <c:pt idx="326">
                  <c:v>336.08960609906069</c:v>
                </c:pt>
                <c:pt idx="327">
                  <c:v>336.92824907427706</c:v>
                </c:pt>
                <c:pt idx="328">
                  <c:v>337.78226807191163</c:v>
                </c:pt>
                <c:pt idx="329">
                  <c:v>338.65368834230253</c:v>
                </c:pt>
                <c:pt idx="330">
                  <c:v>339.54472174022601</c:v>
                </c:pt>
                <c:pt idx="331">
                  <c:v>340.45778855593846</c:v>
                </c:pt>
                <c:pt idx="332">
                  <c:v>341.37104844995076</c:v>
                </c:pt>
                <c:pt idx="333">
                  <c:v>342.25945298348324</c:v>
                </c:pt>
                <c:pt idx="334">
                  <c:v>343.12468748035934</c:v>
                </c:pt>
                <c:pt idx="335">
                  <c:v>343.96831661153215</c:v>
                </c:pt>
                <c:pt idx="336">
                  <c:v>344.79180566680589</c:v>
                </c:pt>
                <c:pt idx="337">
                  <c:v>345.59651445715758</c:v>
                </c:pt>
                <c:pt idx="338">
                  <c:v>346.38372677634834</c:v>
                </c:pt>
                <c:pt idx="339">
                  <c:v>347.15462257260765</c:v>
                </c:pt>
                <c:pt idx="340">
                  <c:v>347.89050548232325</c:v>
                </c:pt>
                <c:pt idx="341">
                  <c:v>348.5700921682199</c:v>
                </c:pt>
                <c:pt idx="342">
                  <c:v>348.96317760620201</c:v>
                </c:pt>
                <c:pt idx="343">
                  <c:v>349.62343074608964</c:v>
                </c:pt>
                <c:pt idx="344">
                  <c:v>350.27463689206053</c:v>
                </c:pt>
                <c:pt idx="345">
                  <c:v>350.91755971153469</c:v>
                </c:pt>
                <c:pt idx="346">
                  <c:v>351.55291691985849</c:v>
                </c:pt>
                <c:pt idx="347">
                  <c:v>352.18140431400212</c:v>
                </c:pt>
                <c:pt idx="348">
                  <c:v>352.80367731691786</c:v>
                </c:pt>
                <c:pt idx="349">
                  <c:v>353.4203779393963</c:v>
                </c:pt>
                <c:pt idx="350">
                  <c:v>354.03211790741136</c:v>
                </c:pt>
                <c:pt idx="351">
                  <c:v>354.63948886569585</c:v>
                </c:pt>
                <c:pt idx="352">
                  <c:v>355.24306697618505</c:v>
                </c:pt>
                <c:pt idx="353">
                  <c:v>355.84341249751139</c:v>
                </c:pt>
                <c:pt idx="354">
                  <c:v>356.44106937686018</c:v>
                </c:pt>
                <c:pt idx="355">
                  <c:v>357.03657418473608</c:v>
                </c:pt>
                <c:pt idx="356">
                  <c:v>357.63045196505107</c:v>
                </c:pt>
                <c:pt idx="357">
                  <c:v>358.22322276128813</c:v>
                </c:pt>
                <c:pt idx="358">
                  <c:v>358.81539817015874</c:v>
                </c:pt>
                <c:pt idx="359">
                  <c:v>359.40748819375773</c:v>
                </c:pt>
                <c:pt idx="360">
                  <c:v>359.99999999999994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-12</c:v>
                </c:pt>
                <c:pt idx="13">
                  <c:v>-13</c:v>
                </c:pt>
                <c:pt idx="14">
                  <c:v>-14</c:v>
                </c:pt>
                <c:pt idx="15">
                  <c:v>-15</c:v>
                </c:pt>
                <c:pt idx="16">
                  <c:v>-16</c:v>
                </c:pt>
                <c:pt idx="17">
                  <c:v>-17</c:v>
                </c:pt>
                <c:pt idx="18">
                  <c:v>-18</c:v>
                </c:pt>
                <c:pt idx="19">
                  <c:v>-19</c:v>
                </c:pt>
                <c:pt idx="20">
                  <c:v>-20</c:v>
                </c:pt>
                <c:pt idx="21">
                  <c:v>-21</c:v>
                </c:pt>
                <c:pt idx="22">
                  <c:v>-22</c:v>
                </c:pt>
                <c:pt idx="23">
                  <c:v>-23</c:v>
                </c:pt>
                <c:pt idx="24">
                  <c:v>-24</c:v>
                </c:pt>
                <c:pt idx="25">
                  <c:v>-25</c:v>
                </c:pt>
                <c:pt idx="26">
                  <c:v>-26</c:v>
                </c:pt>
                <c:pt idx="27">
                  <c:v>-27</c:v>
                </c:pt>
                <c:pt idx="28">
                  <c:v>-28</c:v>
                </c:pt>
                <c:pt idx="29">
                  <c:v>-29</c:v>
                </c:pt>
                <c:pt idx="30">
                  <c:v>-30</c:v>
                </c:pt>
                <c:pt idx="31">
                  <c:v>-31</c:v>
                </c:pt>
                <c:pt idx="32">
                  <c:v>-32</c:v>
                </c:pt>
                <c:pt idx="33">
                  <c:v>-33</c:v>
                </c:pt>
                <c:pt idx="34">
                  <c:v>-34</c:v>
                </c:pt>
                <c:pt idx="35">
                  <c:v>-35</c:v>
                </c:pt>
                <c:pt idx="36">
                  <c:v>-36</c:v>
                </c:pt>
                <c:pt idx="37">
                  <c:v>-37</c:v>
                </c:pt>
                <c:pt idx="38">
                  <c:v>-38</c:v>
                </c:pt>
                <c:pt idx="39">
                  <c:v>-39</c:v>
                </c:pt>
                <c:pt idx="40">
                  <c:v>-40</c:v>
                </c:pt>
                <c:pt idx="41">
                  <c:v>-41</c:v>
                </c:pt>
                <c:pt idx="42">
                  <c:v>-42</c:v>
                </c:pt>
                <c:pt idx="43">
                  <c:v>-43</c:v>
                </c:pt>
                <c:pt idx="44">
                  <c:v>-44</c:v>
                </c:pt>
                <c:pt idx="45">
                  <c:v>-45</c:v>
                </c:pt>
                <c:pt idx="46">
                  <c:v>-46</c:v>
                </c:pt>
                <c:pt idx="47">
                  <c:v>-47</c:v>
                </c:pt>
                <c:pt idx="48">
                  <c:v>-48</c:v>
                </c:pt>
                <c:pt idx="49">
                  <c:v>-49</c:v>
                </c:pt>
                <c:pt idx="50">
                  <c:v>-50</c:v>
                </c:pt>
                <c:pt idx="51">
                  <c:v>-51</c:v>
                </c:pt>
                <c:pt idx="52">
                  <c:v>-52</c:v>
                </c:pt>
                <c:pt idx="53">
                  <c:v>-53</c:v>
                </c:pt>
                <c:pt idx="54">
                  <c:v>-54</c:v>
                </c:pt>
                <c:pt idx="55">
                  <c:v>-55</c:v>
                </c:pt>
                <c:pt idx="56">
                  <c:v>-56</c:v>
                </c:pt>
                <c:pt idx="57">
                  <c:v>-57</c:v>
                </c:pt>
                <c:pt idx="58">
                  <c:v>-58</c:v>
                </c:pt>
                <c:pt idx="59">
                  <c:v>-59</c:v>
                </c:pt>
                <c:pt idx="60">
                  <c:v>-60</c:v>
                </c:pt>
                <c:pt idx="61">
                  <c:v>-61</c:v>
                </c:pt>
                <c:pt idx="62">
                  <c:v>-62</c:v>
                </c:pt>
                <c:pt idx="63">
                  <c:v>-63</c:v>
                </c:pt>
                <c:pt idx="64">
                  <c:v>-64</c:v>
                </c:pt>
                <c:pt idx="65">
                  <c:v>-65</c:v>
                </c:pt>
                <c:pt idx="66">
                  <c:v>-66</c:v>
                </c:pt>
                <c:pt idx="67">
                  <c:v>-67</c:v>
                </c:pt>
                <c:pt idx="68">
                  <c:v>-68</c:v>
                </c:pt>
                <c:pt idx="69">
                  <c:v>-69</c:v>
                </c:pt>
                <c:pt idx="70">
                  <c:v>-70</c:v>
                </c:pt>
                <c:pt idx="71">
                  <c:v>-71</c:v>
                </c:pt>
                <c:pt idx="72">
                  <c:v>-72</c:v>
                </c:pt>
                <c:pt idx="73">
                  <c:v>-73</c:v>
                </c:pt>
                <c:pt idx="74">
                  <c:v>-74</c:v>
                </c:pt>
                <c:pt idx="75">
                  <c:v>-75</c:v>
                </c:pt>
                <c:pt idx="76">
                  <c:v>-76</c:v>
                </c:pt>
                <c:pt idx="77">
                  <c:v>-77</c:v>
                </c:pt>
                <c:pt idx="78">
                  <c:v>-78</c:v>
                </c:pt>
                <c:pt idx="79">
                  <c:v>-79</c:v>
                </c:pt>
                <c:pt idx="80">
                  <c:v>-80</c:v>
                </c:pt>
                <c:pt idx="81">
                  <c:v>-81</c:v>
                </c:pt>
                <c:pt idx="82">
                  <c:v>-82</c:v>
                </c:pt>
                <c:pt idx="83">
                  <c:v>-83</c:v>
                </c:pt>
                <c:pt idx="84">
                  <c:v>-84</c:v>
                </c:pt>
                <c:pt idx="85">
                  <c:v>-85</c:v>
                </c:pt>
                <c:pt idx="86">
                  <c:v>-86</c:v>
                </c:pt>
                <c:pt idx="87">
                  <c:v>-87</c:v>
                </c:pt>
                <c:pt idx="88">
                  <c:v>-88</c:v>
                </c:pt>
                <c:pt idx="89">
                  <c:v>-89</c:v>
                </c:pt>
                <c:pt idx="90">
                  <c:v>-90</c:v>
                </c:pt>
                <c:pt idx="91">
                  <c:v>-91</c:v>
                </c:pt>
                <c:pt idx="92">
                  <c:v>-92</c:v>
                </c:pt>
                <c:pt idx="93">
                  <c:v>-93</c:v>
                </c:pt>
                <c:pt idx="94">
                  <c:v>-94</c:v>
                </c:pt>
                <c:pt idx="95">
                  <c:v>-95</c:v>
                </c:pt>
                <c:pt idx="96">
                  <c:v>-96</c:v>
                </c:pt>
                <c:pt idx="97">
                  <c:v>-97</c:v>
                </c:pt>
                <c:pt idx="98">
                  <c:v>-98</c:v>
                </c:pt>
                <c:pt idx="99">
                  <c:v>-99</c:v>
                </c:pt>
                <c:pt idx="100">
                  <c:v>-100</c:v>
                </c:pt>
                <c:pt idx="101">
                  <c:v>-101</c:v>
                </c:pt>
                <c:pt idx="102">
                  <c:v>-102</c:v>
                </c:pt>
                <c:pt idx="103">
                  <c:v>-103</c:v>
                </c:pt>
                <c:pt idx="104">
                  <c:v>-104</c:v>
                </c:pt>
                <c:pt idx="105">
                  <c:v>-105</c:v>
                </c:pt>
                <c:pt idx="106">
                  <c:v>-106</c:v>
                </c:pt>
                <c:pt idx="107">
                  <c:v>-107</c:v>
                </c:pt>
                <c:pt idx="108">
                  <c:v>-108</c:v>
                </c:pt>
                <c:pt idx="109">
                  <c:v>-109</c:v>
                </c:pt>
                <c:pt idx="110">
                  <c:v>-110</c:v>
                </c:pt>
                <c:pt idx="111">
                  <c:v>-111</c:v>
                </c:pt>
                <c:pt idx="112">
                  <c:v>-112</c:v>
                </c:pt>
                <c:pt idx="113">
                  <c:v>-113</c:v>
                </c:pt>
                <c:pt idx="114">
                  <c:v>-114</c:v>
                </c:pt>
                <c:pt idx="115">
                  <c:v>-115</c:v>
                </c:pt>
                <c:pt idx="116">
                  <c:v>-116</c:v>
                </c:pt>
                <c:pt idx="117">
                  <c:v>-117</c:v>
                </c:pt>
                <c:pt idx="118">
                  <c:v>-118</c:v>
                </c:pt>
                <c:pt idx="119">
                  <c:v>-119</c:v>
                </c:pt>
                <c:pt idx="120">
                  <c:v>-120</c:v>
                </c:pt>
                <c:pt idx="121">
                  <c:v>-121</c:v>
                </c:pt>
                <c:pt idx="122">
                  <c:v>-122</c:v>
                </c:pt>
                <c:pt idx="123">
                  <c:v>-123</c:v>
                </c:pt>
                <c:pt idx="124">
                  <c:v>-124</c:v>
                </c:pt>
                <c:pt idx="125">
                  <c:v>-125</c:v>
                </c:pt>
                <c:pt idx="126">
                  <c:v>-126</c:v>
                </c:pt>
                <c:pt idx="127">
                  <c:v>-127</c:v>
                </c:pt>
                <c:pt idx="128">
                  <c:v>-128</c:v>
                </c:pt>
                <c:pt idx="129">
                  <c:v>-129</c:v>
                </c:pt>
                <c:pt idx="130">
                  <c:v>-130</c:v>
                </c:pt>
                <c:pt idx="131">
                  <c:v>-131</c:v>
                </c:pt>
                <c:pt idx="132">
                  <c:v>-132</c:v>
                </c:pt>
                <c:pt idx="133">
                  <c:v>-133</c:v>
                </c:pt>
                <c:pt idx="134">
                  <c:v>-134</c:v>
                </c:pt>
                <c:pt idx="135">
                  <c:v>-135</c:v>
                </c:pt>
                <c:pt idx="136">
                  <c:v>-136</c:v>
                </c:pt>
                <c:pt idx="137">
                  <c:v>-137</c:v>
                </c:pt>
                <c:pt idx="138">
                  <c:v>-138</c:v>
                </c:pt>
                <c:pt idx="139">
                  <c:v>-139</c:v>
                </c:pt>
                <c:pt idx="140">
                  <c:v>-140</c:v>
                </c:pt>
                <c:pt idx="141">
                  <c:v>-141</c:v>
                </c:pt>
                <c:pt idx="142">
                  <c:v>-142</c:v>
                </c:pt>
                <c:pt idx="143">
                  <c:v>-143</c:v>
                </c:pt>
                <c:pt idx="144">
                  <c:v>-144</c:v>
                </c:pt>
                <c:pt idx="145">
                  <c:v>-145</c:v>
                </c:pt>
                <c:pt idx="146">
                  <c:v>-146</c:v>
                </c:pt>
                <c:pt idx="147">
                  <c:v>-147</c:v>
                </c:pt>
                <c:pt idx="148">
                  <c:v>-148</c:v>
                </c:pt>
                <c:pt idx="149">
                  <c:v>-149</c:v>
                </c:pt>
                <c:pt idx="150">
                  <c:v>-150</c:v>
                </c:pt>
                <c:pt idx="151">
                  <c:v>-151</c:v>
                </c:pt>
                <c:pt idx="152">
                  <c:v>-152</c:v>
                </c:pt>
                <c:pt idx="153">
                  <c:v>-153</c:v>
                </c:pt>
                <c:pt idx="154">
                  <c:v>-154</c:v>
                </c:pt>
                <c:pt idx="155">
                  <c:v>-155</c:v>
                </c:pt>
                <c:pt idx="156">
                  <c:v>-156</c:v>
                </c:pt>
                <c:pt idx="157">
                  <c:v>-157</c:v>
                </c:pt>
                <c:pt idx="158">
                  <c:v>-158</c:v>
                </c:pt>
                <c:pt idx="159">
                  <c:v>-159</c:v>
                </c:pt>
                <c:pt idx="160">
                  <c:v>-160</c:v>
                </c:pt>
                <c:pt idx="161">
                  <c:v>-161</c:v>
                </c:pt>
                <c:pt idx="162">
                  <c:v>-162</c:v>
                </c:pt>
                <c:pt idx="163">
                  <c:v>-163</c:v>
                </c:pt>
                <c:pt idx="164">
                  <c:v>-164</c:v>
                </c:pt>
                <c:pt idx="165">
                  <c:v>-165</c:v>
                </c:pt>
                <c:pt idx="166">
                  <c:v>-166</c:v>
                </c:pt>
                <c:pt idx="167">
                  <c:v>-167</c:v>
                </c:pt>
                <c:pt idx="168">
                  <c:v>-168</c:v>
                </c:pt>
                <c:pt idx="169">
                  <c:v>-169</c:v>
                </c:pt>
                <c:pt idx="170">
                  <c:v>-170</c:v>
                </c:pt>
                <c:pt idx="171">
                  <c:v>-171</c:v>
                </c:pt>
                <c:pt idx="172">
                  <c:v>-172</c:v>
                </c:pt>
                <c:pt idx="173">
                  <c:v>-173</c:v>
                </c:pt>
                <c:pt idx="174">
                  <c:v>-174</c:v>
                </c:pt>
                <c:pt idx="175">
                  <c:v>-175</c:v>
                </c:pt>
                <c:pt idx="176">
                  <c:v>-176</c:v>
                </c:pt>
                <c:pt idx="177">
                  <c:v>-177</c:v>
                </c:pt>
                <c:pt idx="178">
                  <c:v>-178</c:v>
                </c:pt>
                <c:pt idx="179">
                  <c:v>-179</c:v>
                </c:pt>
                <c:pt idx="180">
                  <c:v>-180</c:v>
                </c:pt>
                <c:pt idx="181">
                  <c:v>-181</c:v>
                </c:pt>
                <c:pt idx="182">
                  <c:v>-182</c:v>
                </c:pt>
                <c:pt idx="183">
                  <c:v>-183</c:v>
                </c:pt>
                <c:pt idx="184">
                  <c:v>-184</c:v>
                </c:pt>
                <c:pt idx="185">
                  <c:v>-185</c:v>
                </c:pt>
                <c:pt idx="186">
                  <c:v>-186</c:v>
                </c:pt>
                <c:pt idx="187">
                  <c:v>-187</c:v>
                </c:pt>
                <c:pt idx="188">
                  <c:v>-188</c:v>
                </c:pt>
                <c:pt idx="189">
                  <c:v>-189</c:v>
                </c:pt>
                <c:pt idx="190">
                  <c:v>-190</c:v>
                </c:pt>
                <c:pt idx="191">
                  <c:v>-191</c:v>
                </c:pt>
                <c:pt idx="192">
                  <c:v>-192</c:v>
                </c:pt>
                <c:pt idx="193">
                  <c:v>-193</c:v>
                </c:pt>
                <c:pt idx="194">
                  <c:v>-194</c:v>
                </c:pt>
                <c:pt idx="195">
                  <c:v>-195</c:v>
                </c:pt>
                <c:pt idx="196">
                  <c:v>-196</c:v>
                </c:pt>
                <c:pt idx="197">
                  <c:v>-197</c:v>
                </c:pt>
                <c:pt idx="198">
                  <c:v>-198</c:v>
                </c:pt>
                <c:pt idx="199">
                  <c:v>-199</c:v>
                </c:pt>
                <c:pt idx="200">
                  <c:v>-200</c:v>
                </c:pt>
                <c:pt idx="201">
                  <c:v>-201</c:v>
                </c:pt>
                <c:pt idx="202">
                  <c:v>-202</c:v>
                </c:pt>
                <c:pt idx="203">
                  <c:v>-203</c:v>
                </c:pt>
                <c:pt idx="204">
                  <c:v>-204</c:v>
                </c:pt>
                <c:pt idx="205">
                  <c:v>-205</c:v>
                </c:pt>
                <c:pt idx="206">
                  <c:v>-206</c:v>
                </c:pt>
                <c:pt idx="207">
                  <c:v>-207</c:v>
                </c:pt>
                <c:pt idx="208">
                  <c:v>-208</c:v>
                </c:pt>
                <c:pt idx="209">
                  <c:v>-209</c:v>
                </c:pt>
                <c:pt idx="210">
                  <c:v>-210</c:v>
                </c:pt>
                <c:pt idx="211">
                  <c:v>-211</c:v>
                </c:pt>
                <c:pt idx="212">
                  <c:v>-212</c:v>
                </c:pt>
                <c:pt idx="213">
                  <c:v>-213</c:v>
                </c:pt>
                <c:pt idx="214">
                  <c:v>-214</c:v>
                </c:pt>
                <c:pt idx="215">
                  <c:v>-215</c:v>
                </c:pt>
                <c:pt idx="216">
                  <c:v>-216</c:v>
                </c:pt>
                <c:pt idx="217">
                  <c:v>-217</c:v>
                </c:pt>
                <c:pt idx="218">
                  <c:v>-218</c:v>
                </c:pt>
                <c:pt idx="219">
                  <c:v>-219</c:v>
                </c:pt>
                <c:pt idx="220">
                  <c:v>-220</c:v>
                </c:pt>
                <c:pt idx="221">
                  <c:v>-221</c:v>
                </c:pt>
                <c:pt idx="222">
                  <c:v>-222</c:v>
                </c:pt>
                <c:pt idx="223">
                  <c:v>-223</c:v>
                </c:pt>
                <c:pt idx="224">
                  <c:v>-224</c:v>
                </c:pt>
                <c:pt idx="225">
                  <c:v>-225</c:v>
                </c:pt>
                <c:pt idx="226">
                  <c:v>-226</c:v>
                </c:pt>
                <c:pt idx="227">
                  <c:v>-227</c:v>
                </c:pt>
                <c:pt idx="228">
                  <c:v>-228</c:v>
                </c:pt>
                <c:pt idx="229">
                  <c:v>-229</c:v>
                </c:pt>
                <c:pt idx="230">
                  <c:v>-230</c:v>
                </c:pt>
                <c:pt idx="231">
                  <c:v>-231</c:v>
                </c:pt>
                <c:pt idx="232">
                  <c:v>-232</c:v>
                </c:pt>
                <c:pt idx="233">
                  <c:v>-233</c:v>
                </c:pt>
                <c:pt idx="234">
                  <c:v>-234</c:v>
                </c:pt>
                <c:pt idx="235">
                  <c:v>-235</c:v>
                </c:pt>
                <c:pt idx="236">
                  <c:v>-236</c:v>
                </c:pt>
                <c:pt idx="237">
                  <c:v>-237</c:v>
                </c:pt>
                <c:pt idx="238">
                  <c:v>-238</c:v>
                </c:pt>
                <c:pt idx="239">
                  <c:v>-239</c:v>
                </c:pt>
                <c:pt idx="240">
                  <c:v>-240</c:v>
                </c:pt>
                <c:pt idx="241">
                  <c:v>-241</c:v>
                </c:pt>
                <c:pt idx="242">
                  <c:v>-242</c:v>
                </c:pt>
                <c:pt idx="243">
                  <c:v>-243</c:v>
                </c:pt>
                <c:pt idx="244">
                  <c:v>-244</c:v>
                </c:pt>
                <c:pt idx="245">
                  <c:v>-245</c:v>
                </c:pt>
                <c:pt idx="246">
                  <c:v>-246</c:v>
                </c:pt>
                <c:pt idx="247">
                  <c:v>-247</c:v>
                </c:pt>
                <c:pt idx="248">
                  <c:v>-248</c:v>
                </c:pt>
                <c:pt idx="249">
                  <c:v>-249</c:v>
                </c:pt>
                <c:pt idx="250">
                  <c:v>-250</c:v>
                </c:pt>
                <c:pt idx="251">
                  <c:v>-251</c:v>
                </c:pt>
                <c:pt idx="252">
                  <c:v>-252</c:v>
                </c:pt>
                <c:pt idx="253">
                  <c:v>-253</c:v>
                </c:pt>
                <c:pt idx="254">
                  <c:v>-254</c:v>
                </c:pt>
                <c:pt idx="255">
                  <c:v>-255</c:v>
                </c:pt>
                <c:pt idx="256">
                  <c:v>-256</c:v>
                </c:pt>
                <c:pt idx="257">
                  <c:v>-257</c:v>
                </c:pt>
                <c:pt idx="258">
                  <c:v>-258</c:v>
                </c:pt>
                <c:pt idx="259">
                  <c:v>-259</c:v>
                </c:pt>
                <c:pt idx="260">
                  <c:v>-260</c:v>
                </c:pt>
                <c:pt idx="261">
                  <c:v>-261</c:v>
                </c:pt>
                <c:pt idx="262">
                  <c:v>-262</c:v>
                </c:pt>
                <c:pt idx="263">
                  <c:v>-263</c:v>
                </c:pt>
                <c:pt idx="264">
                  <c:v>-264</c:v>
                </c:pt>
                <c:pt idx="265">
                  <c:v>-265</c:v>
                </c:pt>
                <c:pt idx="266">
                  <c:v>-266</c:v>
                </c:pt>
                <c:pt idx="267">
                  <c:v>-267</c:v>
                </c:pt>
                <c:pt idx="268">
                  <c:v>-268</c:v>
                </c:pt>
                <c:pt idx="269">
                  <c:v>-269</c:v>
                </c:pt>
                <c:pt idx="270">
                  <c:v>-270</c:v>
                </c:pt>
                <c:pt idx="271">
                  <c:v>-271</c:v>
                </c:pt>
                <c:pt idx="272">
                  <c:v>-272</c:v>
                </c:pt>
                <c:pt idx="273">
                  <c:v>-273</c:v>
                </c:pt>
                <c:pt idx="274">
                  <c:v>-274</c:v>
                </c:pt>
                <c:pt idx="275">
                  <c:v>-275</c:v>
                </c:pt>
                <c:pt idx="276">
                  <c:v>-276</c:v>
                </c:pt>
                <c:pt idx="277">
                  <c:v>-277</c:v>
                </c:pt>
                <c:pt idx="278">
                  <c:v>-278</c:v>
                </c:pt>
                <c:pt idx="279">
                  <c:v>-279</c:v>
                </c:pt>
                <c:pt idx="280">
                  <c:v>-280</c:v>
                </c:pt>
                <c:pt idx="281">
                  <c:v>-281</c:v>
                </c:pt>
                <c:pt idx="282">
                  <c:v>-282</c:v>
                </c:pt>
                <c:pt idx="283">
                  <c:v>-283</c:v>
                </c:pt>
                <c:pt idx="284">
                  <c:v>-284</c:v>
                </c:pt>
                <c:pt idx="285">
                  <c:v>-285</c:v>
                </c:pt>
                <c:pt idx="286">
                  <c:v>-286</c:v>
                </c:pt>
                <c:pt idx="287">
                  <c:v>-287</c:v>
                </c:pt>
                <c:pt idx="288">
                  <c:v>-288</c:v>
                </c:pt>
                <c:pt idx="289">
                  <c:v>-289</c:v>
                </c:pt>
                <c:pt idx="290">
                  <c:v>-290</c:v>
                </c:pt>
                <c:pt idx="291">
                  <c:v>-291</c:v>
                </c:pt>
                <c:pt idx="292">
                  <c:v>-292</c:v>
                </c:pt>
                <c:pt idx="293">
                  <c:v>-293</c:v>
                </c:pt>
                <c:pt idx="294">
                  <c:v>-294</c:v>
                </c:pt>
                <c:pt idx="295">
                  <c:v>-295</c:v>
                </c:pt>
                <c:pt idx="296">
                  <c:v>-296</c:v>
                </c:pt>
                <c:pt idx="297">
                  <c:v>-297</c:v>
                </c:pt>
                <c:pt idx="298">
                  <c:v>-298</c:v>
                </c:pt>
                <c:pt idx="299">
                  <c:v>-299</c:v>
                </c:pt>
                <c:pt idx="300">
                  <c:v>-300</c:v>
                </c:pt>
                <c:pt idx="301">
                  <c:v>-301</c:v>
                </c:pt>
                <c:pt idx="302">
                  <c:v>-302</c:v>
                </c:pt>
                <c:pt idx="303">
                  <c:v>-303</c:v>
                </c:pt>
                <c:pt idx="304">
                  <c:v>-304</c:v>
                </c:pt>
                <c:pt idx="305">
                  <c:v>-305</c:v>
                </c:pt>
                <c:pt idx="306">
                  <c:v>-306</c:v>
                </c:pt>
                <c:pt idx="307">
                  <c:v>-307</c:v>
                </c:pt>
                <c:pt idx="308">
                  <c:v>-308</c:v>
                </c:pt>
                <c:pt idx="309">
                  <c:v>-309</c:v>
                </c:pt>
                <c:pt idx="310">
                  <c:v>-310</c:v>
                </c:pt>
                <c:pt idx="311">
                  <c:v>-311</c:v>
                </c:pt>
                <c:pt idx="312">
                  <c:v>-312</c:v>
                </c:pt>
                <c:pt idx="313">
                  <c:v>-313</c:v>
                </c:pt>
                <c:pt idx="314">
                  <c:v>-314</c:v>
                </c:pt>
                <c:pt idx="315">
                  <c:v>-315</c:v>
                </c:pt>
                <c:pt idx="316">
                  <c:v>-316</c:v>
                </c:pt>
                <c:pt idx="317">
                  <c:v>-317</c:v>
                </c:pt>
                <c:pt idx="318">
                  <c:v>-318</c:v>
                </c:pt>
                <c:pt idx="319">
                  <c:v>-319</c:v>
                </c:pt>
                <c:pt idx="320">
                  <c:v>-320</c:v>
                </c:pt>
                <c:pt idx="321">
                  <c:v>-321</c:v>
                </c:pt>
                <c:pt idx="322">
                  <c:v>-322</c:v>
                </c:pt>
                <c:pt idx="323">
                  <c:v>-323</c:v>
                </c:pt>
                <c:pt idx="324">
                  <c:v>-324</c:v>
                </c:pt>
                <c:pt idx="325">
                  <c:v>-325</c:v>
                </c:pt>
                <c:pt idx="326">
                  <c:v>-326</c:v>
                </c:pt>
                <c:pt idx="327">
                  <c:v>-327</c:v>
                </c:pt>
                <c:pt idx="328">
                  <c:v>-328</c:v>
                </c:pt>
                <c:pt idx="329">
                  <c:v>-329</c:v>
                </c:pt>
                <c:pt idx="330">
                  <c:v>-330</c:v>
                </c:pt>
                <c:pt idx="331">
                  <c:v>-331</c:v>
                </c:pt>
                <c:pt idx="332">
                  <c:v>-332</c:v>
                </c:pt>
                <c:pt idx="333">
                  <c:v>-333</c:v>
                </c:pt>
                <c:pt idx="334">
                  <c:v>-334</c:v>
                </c:pt>
                <c:pt idx="335">
                  <c:v>-335</c:v>
                </c:pt>
                <c:pt idx="336">
                  <c:v>-336</c:v>
                </c:pt>
                <c:pt idx="337">
                  <c:v>-337</c:v>
                </c:pt>
                <c:pt idx="338">
                  <c:v>-338</c:v>
                </c:pt>
                <c:pt idx="339">
                  <c:v>-339</c:v>
                </c:pt>
                <c:pt idx="340">
                  <c:v>-340</c:v>
                </c:pt>
                <c:pt idx="341">
                  <c:v>-341</c:v>
                </c:pt>
                <c:pt idx="342">
                  <c:v>-342</c:v>
                </c:pt>
                <c:pt idx="343">
                  <c:v>-343</c:v>
                </c:pt>
                <c:pt idx="344">
                  <c:v>-344</c:v>
                </c:pt>
                <c:pt idx="345">
                  <c:v>-345</c:v>
                </c:pt>
                <c:pt idx="346">
                  <c:v>-346</c:v>
                </c:pt>
                <c:pt idx="347">
                  <c:v>-347</c:v>
                </c:pt>
                <c:pt idx="348">
                  <c:v>-348</c:v>
                </c:pt>
                <c:pt idx="349">
                  <c:v>-349</c:v>
                </c:pt>
                <c:pt idx="350">
                  <c:v>-350</c:v>
                </c:pt>
                <c:pt idx="351">
                  <c:v>-351</c:v>
                </c:pt>
                <c:pt idx="352">
                  <c:v>-352</c:v>
                </c:pt>
                <c:pt idx="353">
                  <c:v>-353</c:v>
                </c:pt>
                <c:pt idx="354">
                  <c:v>-354</c:v>
                </c:pt>
                <c:pt idx="355">
                  <c:v>-355</c:v>
                </c:pt>
                <c:pt idx="356">
                  <c:v>-356</c:v>
                </c:pt>
                <c:pt idx="357">
                  <c:v>-357</c:v>
                </c:pt>
                <c:pt idx="358">
                  <c:v>-358</c:v>
                </c:pt>
                <c:pt idx="359">
                  <c:v>-359</c:v>
                </c:pt>
                <c:pt idx="360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ser>
          <c:idx val="0"/>
          <c:order val="1"/>
          <c:tx>
            <c:v>goal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Analysis'!$N$115</c:f>
              <c:numCache>
                <c:formatCode>0.00000</c:formatCode>
                <c:ptCount val="1"/>
                <c:pt idx="0">
                  <c:v>44.99991687184577</c:v>
                </c:pt>
              </c:numCache>
            </c:numRef>
          </c:xVal>
          <c:yVal>
            <c:numRef>
              <c:f>'Cross Section Analysis'!$F$53</c:f>
              <c:numCache>
                <c:formatCode>General</c:formatCode>
                <c:ptCount val="1"/>
                <c:pt idx="0">
                  <c:v>-419.87200000000001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E-4471-8631-FA272A06727E}"/>
            </c:ext>
          </c:extLst>
        </c:ser>
        <c:ser>
          <c:idx val="1"/>
          <c:order val="2"/>
          <c:tx>
            <c:v>equal angle 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Analysis'!$F$261:$F$262</c:f>
              <c:numCache>
                <c:formatCode>General</c:formatCode>
                <c:ptCount val="2"/>
                <c:pt idx="0">
                  <c:v>0</c:v>
                </c:pt>
                <c:pt idx="1">
                  <c:v>360</c:v>
                </c:pt>
              </c:numCache>
            </c:numRef>
          </c:xVal>
          <c:yVal>
            <c:numRef>
              <c:f>'Cross Section Analysis'!$G$261:$G$262</c:f>
              <c:numCache>
                <c:formatCode>General</c:formatCode>
                <c:ptCount val="2"/>
                <c:pt idx="0">
                  <c:v>0</c:v>
                </c:pt>
                <c:pt idx="1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E-5949-8F55-96BF063D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36"/>
        <c:minorUnit val="4"/>
      </c:valAx>
      <c:valAx>
        <c:axId val="1892693248"/>
        <c:scaling>
          <c:orientation val="minMax"/>
          <c:max val="0"/>
          <c:min val="-3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36"/>
        <c:minorUnit val="4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Analysis'!$AC$48:$AC$148</c:f>
              <c:numCache>
                <c:formatCode>General</c:formatCode>
                <c:ptCount val="101"/>
                <c:pt idx="0">
                  <c:v>1E-4</c:v>
                </c:pt>
                <c:pt idx="1">
                  <c:v>0.70598135294117648</c:v>
                </c:pt>
                <c:pt idx="2">
                  <c:v>1.411862705882353</c:v>
                </c:pt>
                <c:pt idx="3">
                  <c:v>2.1177440588235297</c:v>
                </c:pt>
                <c:pt idx="4">
                  <c:v>2.8236254117647062</c:v>
                </c:pt>
                <c:pt idx="5">
                  <c:v>3.5295067647058826</c:v>
                </c:pt>
                <c:pt idx="6">
                  <c:v>4.2353881176470587</c:v>
                </c:pt>
                <c:pt idx="7">
                  <c:v>4.9412694705882352</c:v>
                </c:pt>
                <c:pt idx="8">
                  <c:v>5.6471508235294117</c:v>
                </c:pt>
                <c:pt idx="9">
                  <c:v>6.3530321764705882</c:v>
                </c:pt>
                <c:pt idx="10">
                  <c:v>7.0589135294117646</c:v>
                </c:pt>
                <c:pt idx="11">
                  <c:v>7.7647948823529411</c:v>
                </c:pt>
                <c:pt idx="12">
                  <c:v>8.4706762352941176</c:v>
                </c:pt>
                <c:pt idx="13">
                  <c:v>9.1765575882352941</c:v>
                </c:pt>
                <c:pt idx="14">
                  <c:v>9.8824389411764706</c:v>
                </c:pt>
                <c:pt idx="15">
                  <c:v>10.588320294117647</c:v>
                </c:pt>
                <c:pt idx="16">
                  <c:v>11.294201647058824</c:v>
                </c:pt>
                <c:pt idx="17">
                  <c:v>12.000083</c:v>
                </c:pt>
                <c:pt idx="18">
                  <c:v>12.705964352941177</c:v>
                </c:pt>
                <c:pt idx="19">
                  <c:v>13.411845705882353</c:v>
                </c:pt>
                <c:pt idx="20">
                  <c:v>14.11772705882353</c:v>
                </c:pt>
                <c:pt idx="21">
                  <c:v>14.823608411764706</c:v>
                </c:pt>
                <c:pt idx="22">
                  <c:v>15.529489764705882</c:v>
                </c:pt>
                <c:pt idx="23">
                  <c:v>16.235371117647059</c:v>
                </c:pt>
                <c:pt idx="24">
                  <c:v>16.941252470588235</c:v>
                </c:pt>
                <c:pt idx="25">
                  <c:v>17.647133823529412</c:v>
                </c:pt>
                <c:pt idx="26">
                  <c:v>18.353015176470588</c:v>
                </c:pt>
                <c:pt idx="27">
                  <c:v>19.058896529411765</c:v>
                </c:pt>
                <c:pt idx="28">
                  <c:v>19.764777882352941</c:v>
                </c:pt>
                <c:pt idx="29">
                  <c:v>20.470659235294118</c:v>
                </c:pt>
                <c:pt idx="30">
                  <c:v>21.176540588235294</c:v>
                </c:pt>
                <c:pt idx="31">
                  <c:v>21.882421941176471</c:v>
                </c:pt>
                <c:pt idx="32">
                  <c:v>22.588303294117647</c:v>
                </c:pt>
                <c:pt idx="33">
                  <c:v>23.294184647058824</c:v>
                </c:pt>
                <c:pt idx="34">
                  <c:v>24.000066</c:v>
                </c:pt>
                <c:pt idx="35">
                  <c:v>24.705947352941177</c:v>
                </c:pt>
                <c:pt idx="36">
                  <c:v>25.411828705882353</c:v>
                </c:pt>
                <c:pt idx="37">
                  <c:v>26.11771005882353</c:v>
                </c:pt>
                <c:pt idx="38">
                  <c:v>26.823591411764706</c:v>
                </c:pt>
                <c:pt idx="39">
                  <c:v>27.529472764705883</c:v>
                </c:pt>
                <c:pt idx="40">
                  <c:v>28.235354117647059</c:v>
                </c:pt>
                <c:pt idx="41">
                  <c:v>28.941235470588236</c:v>
                </c:pt>
                <c:pt idx="42">
                  <c:v>29.647116823529412</c:v>
                </c:pt>
                <c:pt idx="43">
                  <c:v>30.352998176470589</c:v>
                </c:pt>
                <c:pt idx="44">
                  <c:v>31.058879529411765</c:v>
                </c:pt>
                <c:pt idx="45">
                  <c:v>31.764760882352942</c:v>
                </c:pt>
                <c:pt idx="46">
                  <c:v>32.470642235294122</c:v>
                </c:pt>
                <c:pt idx="47">
                  <c:v>33.176523588235298</c:v>
                </c:pt>
                <c:pt idx="48">
                  <c:v>33.882404941176475</c:v>
                </c:pt>
                <c:pt idx="49">
                  <c:v>34.588286294117651</c:v>
                </c:pt>
                <c:pt idx="50">
                  <c:v>35.294167647058828</c:v>
                </c:pt>
                <c:pt idx="51">
                  <c:v>36.000049000000004</c:v>
                </c:pt>
                <c:pt idx="52">
                  <c:v>36.705930352941181</c:v>
                </c:pt>
                <c:pt idx="53">
                  <c:v>37.411811705882357</c:v>
                </c:pt>
                <c:pt idx="54">
                  <c:v>38.117693058823534</c:v>
                </c:pt>
                <c:pt idx="55">
                  <c:v>38.82357441176471</c:v>
                </c:pt>
                <c:pt idx="56">
                  <c:v>39.529455764705887</c:v>
                </c:pt>
                <c:pt idx="57">
                  <c:v>40.235337117647063</c:v>
                </c:pt>
                <c:pt idx="58">
                  <c:v>40.94121847058824</c:v>
                </c:pt>
                <c:pt idx="59">
                  <c:v>41.647099823529416</c:v>
                </c:pt>
                <c:pt idx="60">
                  <c:v>42.352981176470593</c:v>
                </c:pt>
                <c:pt idx="61">
                  <c:v>43.058862529411769</c:v>
                </c:pt>
                <c:pt idx="62">
                  <c:v>43.764743882352946</c:v>
                </c:pt>
                <c:pt idx="63">
                  <c:v>44.470625235294122</c:v>
                </c:pt>
                <c:pt idx="64">
                  <c:v>45.176506588235299</c:v>
                </c:pt>
                <c:pt idx="65">
                  <c:v>45.882387941176475</c:v>
                </c:pt>
                <c:pt idx="66">
                  <c:v>46.588269294117651</c:v>
                </c:pt>
                <c:pt idx="67">
                  <c:v>47.294150647058828</c:v>
                </c:pt>
                <c:pt idx="68">
                  <c:v>48.000032000000004</c:v>
                </c:pt>
                <c:pt idx="69">
                  <c:v>48.705913352941181</c:v>
                </c:pt>
                <c:pt idx="70">
                  <c:v>49.411794705882357</c:v>
                </c:pt>
                <c:pt idx="71">
                  <c:v>50.117676058823534</c:v>
                </c:pt>
                <c:pt idx="72">
                  <c:v>50.82355741176471</c:v>
                </c:pt>
                <c:pt idx="73">
                  <c:v>51.529438764705887</c:v>
                </c:pt>
                <c:pt idx="74">
                  <c:v>52.235320117647063</c:v>
                </c:pt>
                <c:pt idx="75">
                  <c:v>52.94120147058824</c:v>
                </c:pt>
                <c:pt idx="76">
                  <c:v>53.647082823529416</c:v>
                </c:pt>
                <c:pt idx="77">
                  <c:v>54.352964176470593</c:v>
                </c:pt>
                <c:pt idx="78">
                  <c:v>55.058845529411769</c:v>
                </c:pt>
                <c:pt idx="79">
                  <c:v>55.764726882352946</c:v>
                </c:pt>
                <c:pt idx="80">
                  <c:v>56.470608235294122</c:v>
                </c:pt>
                <c:pt idx="81">
                  <c:v>57.176489588235299</c:v>
                </c:pt>
                <c:pt idx="82">
                  <c:v>57.882370941176475</c:v>
                </c:pt>
                <c:pt idx="83">
                  <c:v>58.588252294117652</c:v>
                </c:pt>
                <c:pt idx="84">
                  <c:v>59.294133647058828</c:v>
                </c:pt>
                <c:pt idx="85">
                  <c:v>60.000015000000005</c:v>
                </c:pt>
                <c:pt idx="86">
                  <c:v>60.705896352941181</c:v>
                </c:pt>
                <c:pt idx="87">
                  <c:v>61.411777705882358</c:v>
                </c:pt>
                <c:pt idx="88">
                  <c:v>62.117659058823534</c:v>
                </c:pt>
                <c:pt idx="89">
                  <c:v>62.823540411764711</c:v>
                </c:pt>
                <c:pt idx="90">
                  <c:v>63.529421764705887</c:v>
                </c:pt>
                <c:pt idx="91">
                  <c:v>64.235303117647064</c:v>
                </c:pt>
                <c:pt idx="92">
                  <c:v>64.94118447058824</c:v>
                </c:pt>
                <c:pt idx="93">
                  <c:v>65.647065823529417</c:v>
                </c:pt>
                <c:pt idx="94">
                  <c:v>66.352947176470593</c:v>
                </c:pt>
                <c:pt idx="95">
                  <c:v>67.05882852941177</c:v>
                </c:pt>
                <c:pt idx="96">
                  <c:v>67.764709882352946</c:v>
                </c:pt>
                <c:pt idx="97">
                  <c:v>68.470591235294123</c:v>
                </c:pt>
                <c:pt idx="98">
                  <c:v>69.176472588235299</c:v>
                </c:pt>
                <c:pt idx="99">
                  <c:v>69.882353941176476</c:v>
                </c:pt>
                <c:pt idx="100">
                  <c:v>70.588235294117652</c:v>
                </c:pt>
              </c:numCache>
            </c:numRef>
          </c:xVal>
          <c:yVal>
            <c:numRef>
              <c:f>'Cross Section Analysis'!$AD$48:$AD$148</c:f>
              <c:numCache>
                <c:formatCode>General</c:formatCode>
                <c:ptCount val="101"/>
                <c:pt idx="0">
                  <c:v>-568.79387999999994</c:v>
                </c:pt>
                <c:pt idx="1">
                  <c:v>-525.59394120000002</c:v>
                </c:pt>
                <c:pt idx="2">
                  <c:v>-482.39400240000003</c:v>
                </c:pt>
                <c:pt idx="3">
                  <c:v>-395.06356432453617</c:v>
                </c:pt>
                <c:pt idx="4">
                  <c:v>-275.80144421613977</c:v>
                </c:pt>
                <c:pt idx="5">
                  <c:v>-186.96333461624971</c:v>
                </c:pt>
                <c:pt idx="6">
                  <c:v>-123.4100894349877</c:v>
                </c:pt>
                <c:pt idx="7">
                  <c:v>-36.596644436657527</c:v>
                </c:pt>
                <c:pt idx="8">
                  <c:v>49.200019549847525</c:v>
                </c:pt>
                <c:pt idx="9">
                  <c:v>125.53089360477435</c:v>
                </c:pt>
                <c:pt idx="10">
                  <c:v>195.23567447850229</c:v>
                </c:pt>
                <c:pt idx="11">
                  <c:v>279.94570836607386</c:v>
                </c:pt>
                <c:pt idx="12">
                  <c:v>358.91999469892198</c:v>
                </c:pt>
                <c:pt idx="13">
                  <c:v>432.39059523363414</c:v>
                </c:pt>
                <c:pt idx="14">
                  <c:v>498.44409450740255</c:v>
                </c:pt>
                <c:pt idx="15">
                  <c:v>576.2374538642141</c:v>
                </c:pt>
                <c:pt idx="16">
                  <c:v>648.6471495442787</c:v>
                </c:pt>
                <c:pt idx="17">
                  <c:v>717.62043187527161</c:v>
                </c:pt>
                <c:pt idx="18">
                  <c:v>793.36445771919716</c:v>
                </c:pt>
                <c:pt idx="19">
                  <c:v>874.89164025499974</c:v>
                </c:pt>
                <c:pt idx="20">
                  <c:v>952.58612556553237</c:v>
                </c:pt>
                <c:pt idx="21">
                  <c:v>1026.9954381322111</c:v>
                </c:pt>
                <c:pt idx="22">
                  <c:v>1091.8525531717776</c:v>
                </c:pt>
                <c:pt idx="23">
                  <c:v>1160.9575376474972</c:v>
                </c:pt>
                <c:pt idx="24">
                  <c:v>1227.9037810594939</c:v>
                </c:pt>
                <c:pt idx="25">
                  <c:v>1292.9503308674764</c:v>
                </c:pt>
                <c:pt idx="26">
                  <c:v>1356.3163812929633</c:v>
                </c:pt>
                <c:pt idx="27">
                  <c:v>1418.1886535098542</c:v>
                </c:pt>
                <c:pt idx="28">
                  <c:v>1478.7271943735939</c:v>
                </c:pt>
                <c:pt idx="29">
                  <c:v>1538.0699754191287</c:v>
                </c:pt>
                <c:pt idx="30">
                  <c:v>1589.6215720636171</c:v>
                </c:pt>
                <c:pt idx="31">
                  <c:v>1646.9161307086413</c:v>
                </c:pt>
                <c:pt idx="32">
                  <c:v>1703.329779513218</c:v>
                </c:pt>
                <c:pt idx="33">
                  <c:v>1758.942600846327</c:v>
                </c:pt>
                <c:pt idx="34">
                  <c:v>1813.8252556610296</c:v>
                </c:pt>
                <c:pt idx="35">
                  <c:v>1867.4568883470156</c:v>
                </c:pt>
                <c:pt idx="36">
                  <c:v>1919.8912238538196</c:v>
                </c:pt>
                <c:pt idx="37">
                  <c:v>1961.7539046930574</c:v>
                </c:pt>
                <c:pt idx="38">
                  <c:v>2013.2293376652574</c:v>
                </c:pt>
                <c:pt idx="39">
                  <c:v>2064.2803878624982</c:v>
                </c:pt>
                <c:pt idx="40">
                  <c:v>2114.9388838801747</c:v>
                </c:pt>
                <c:pt idx="41">
                  <c:v>2165.2335490955929</c:v>
                </c:pt>
                <c:pt idx="42">
                  <c:v>2215.1903713355432</c:v>
                </c:pt>
                <c:pt idx="43">
                  <c:v>2243.2294325625194</c:v>
                </c:pt>
                <c:pt idx="44">
                  <c:v>2249.3791983856877</c:v>
                </c:pt>
                <c:pt idx="45">
                  <c:v>2255.2556421438421</c:v>
                </c:pt>
                <c:pt idx="46">
                  <c:v>2260.8765891341509</c:v>
                </c:pt>
                <c:pt idx="47">
                  <c:v>2266.2583476117888</c:v>
                </c:pt>
                <c:pt idx="48">
                  <c:v>2271.4158668146765</c:v>
                </c:pt>
                <c:pt idx="49">
                  <c:v>2276.3628756383109</c:v>
                </c:pt>
                <c:pt idx="50">
                  <c:v>2281.1120046696601</c:v>
                </c:pt>
                <c:pt idx="51">
                  <c:v>2285.6748938641722</c:v>
                </c:pt>
                <c:pt idx="52">
                  <c:v>2290.062287798547</c:v>
                </c:pt>
                <c:pt idx="53">
                  <c:v>2294.2841201402016</c:v>
                </c:pt>
                <c:pt idx="54">
                  <c:v>2298.3495887312679</c:v>
                </c:pt>
                <c:pt idx="55">
                  <c:v>2302.094809598289</c:v>
                </c:pt>
                <c:pt idx="56">
                  <c:v>2305.113823218066</c:v>
                </c:pt>
                <c:pt idx="57">
                  <c:v>2308.0269067986715</c:v>
                </c:pt>
                <c:pt idx="58">
                  <c:v>2310.8395394666795</c:v>
                </c:pt>
                <c:pt idx="59">
                  <c:v>2313.5568288833479</c:v>
                </c:pt>
                <c:pt idx="60">
                  <c:v>2316.1835421999881</c:v>
                </c:pt>
                <c:pt idx="61">
                  <c:v>2318.7241339685511</c:v>
                </c:pt>
                <c:pt idx="62">
                  <c:v>2321.1827713511962</c:v>
                </c:pt>
                <c:pt idx="63">
                  <c:v>2323.563356928953</c:v>
                </c:pt>
                <c:pt idx="64">
                  <c:v>2325.8695493720779</c:v>
                </c:pt>
                <c:pt idx="65">
                  <c:v>2328.1047822023779</c:v>
                </c:pt>
                <c:pt idx="66">
                  <c:v>2330.2722808498761</c:v>
                </c:pt>
                <c:pt idx="67">
                  <c:v>2332.3750781820163</c:v>
                </c:pt>
                <c:pt idx="68">
                  <c:v>2334.4160286626475</c:v>
                </c:pt>
                <c:pt idx="69">
                  <c:v>2336.3978212797924</c:v>
                </c:pt>
                <c:pt idx="70">
                  <c:v>2338.3229913653267</c:v>
                </c:pt>
                <c:pt idx="71">
                  <c:v>2340.1939314158121</c:v>
                </c:pt>
                <c:pt idx="72">
                  <c:v>2342.0129010115961</c:v>
                </c:pt>
                <c:pt idx="73">
                  <c:v>2343.7820359206457</c:v>
                </c:pt>
                <c:pt idx="74">
                  <c:v>2345.5033564642304</c:v>
                </c:pt>
                <c:pt idx="75">
                  <c:v>2347.1787752133564</c:v>
                </c:pt>
                <c:pt idx="76">
                  <c:v>2348.2679347419767</c:v>
                </c:pt>
                <c:pt idx="77">
                  <c:v>2349.3099076984049</c:v>
                </c:pt>
                <c:pt idx="78">
                  <c:v>2350.3251634480653</c:v>
                </c:pt>
                <c:pt idx="79">
                  <c:v>2351.3147165666101</c:v>
                </c:pt>
                <c:pt idx="80">
                  <c:v>2352.2795309009998</c:v>
                </c:pt>
                <c:pt idx="81">
                  <c:v>2353.2205227008963</c:v>
                </c:pt>
                <c:pt idx="82">
                  <c:v>2354.1385635209344</c:v>
                </c:pt>
                <c:pt idx="83">
                  <c:v>2355.0344829131873</c:v>
                </c:pt>
                <c:pt idx="84">
                  <c:v>2355.9090709273141</c:v>
                </c:pt>
                <c:pt idx="85">
                  <c:v>2356.7630804342298</c:v>
                </c:pt>
                <c:pt idx="86">
                  <c:v>2357.5972292876545</c:v>
                </c:pt>
                <c:pt idx="87">
                  <c:v>2358.4122023365935</c:v>
                </c:pt>
                <c:pt idx="88">
                  <c:v>2359.2086533006013</c:v>
                </c:pt>
                <c:pt idx="89">
                  <c:v>2359.987206518626</c:v>
                </c:pt>
                <c:pt idx="90">
                  <c:v>2360.7484585812613</c:v>
                </c:pt>
                <c:pt idx="91">
                  <c:v>2361.4929798553794</c:v>
                </c:pt>
                <c:pt idx="92">
                  <c:v>2362.2213159093308</c:v>
                </c:pt>
                <c:pt idx="93">
                  <c:v>2362.9339888461968</c:v>
                </c:pt>
                <c:pt idx="94">
                  <c:v>2363.6314985519393</c:v>
                </c:pt>
                <c:pt idx="95">
                  <c:v>2364.3143238647217</c:v>
                </c:pt>
                <c:pt idx="96">
                  <c:v>2364.5100000000002</c:v>
                </c:pt>
                <c:pt idx="97">
                  <c:v>2364.5100000000002</c:v>
                </c:pt>
                <c:pt idx="98">
                  <c:v>2364.5100000000002</c:v>
                </c:pt>
                <c:pt idx="99">
                  <c:v>2364.5100000000002</c:v>
                </c:pt>
                <c:pt idx="100">
                  <c:v>2364.5100000000002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2B-4D23-8828-3B2517DC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50384"/>
        <c:axId val="1211906656"/>
      </c:scatterChart>
      <c:valAx>
        <c:axId val="121445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906656"/>
        <c:crosses val="autoZero"/>
        <c:crossBetween val="midCat"/>
      </c:valAx>
      <c:valAx>
        <c:axId val="1211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5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119</xdr:row>
      <xdr:rowOff>168275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(Interaction Point only does not update the plots below)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15875</xdr:colOff>
      <xdr:row>127</xdr:row>
      <xdr:rowOff>69850</xdr:rowOff>
    </xdr:from>
    <xdr:to>
      <xdr:col>14</xdr:col>
      <xdr:colOff>571500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(recommend running this prior to P-M curve)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(Can take several seconds up to minutes)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20</xdr:row>
          <xdr:rowOff>95250</xdr:rowOff>
        </xdr:from>
        <xdr:to>
          <xdr:col>19</xdr:col>
          <xdr:colOff>819150</xdr:colOff>
          <xdr:row>23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Bars From Pattern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123265</xdr:colOff>
      <xdr:row>47</xdr:row>
      <xdr:rowOff>1118</xdr:rowOff>
    </xdr:from>
    <xdr:to>
      <xdr:col>43</xdr:col>
      <xdr:colOff>112059</xdr:colOff>
      <xdr:row>80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D490"/>
  <sheetViews>
    <sheetView tabSelected="1" topLeftCell="A105" zoomScale="85" zoomScaleNormal="85" workbookViewId="0">
      <selection activeCell="R122" sqref="R122"/>
    </sheetView>
  </sheetViews>
  <sheetFormatPr defaultColWidth="8.85546875" defaultRowHeight="15" x14ac:dyDescent="0.25"/>
  <cols>
    <col min="1" max="1" width="16.42578125" customWidth="1"/>
    <col min="2" max="2" width="18.710937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20.28515625" bestFit="1" customWidth="1"/>
    <col min="8" max="8" width="14.7109375" bestFit="1" customWidth="1"/>
    <col min="9" max="9" width="13.7109375" bestFit="1" customWidth="1"/>
    <col min="10" max="10" width="10.140625" customWidth="1"/>
    <col min="11" max="11" width="11.7109375" customWidth="1"/>
    <col min="12" max="12" width="12.28515625" bestFit="1" customWidth="1"/>
    <col min="13" max="13" width="9.42578125" bestFit="1" customWidth="1"/>
    <col min="14" max="14" width="12.42578125" customWidth="1"/>
    <col min="16" max="16" width="12.28515625" bestFit="1" customWidth="1"/>
    <col min="17" max="18" width="9" bestFit="1" customWidth="1"/>
    <col min="19" max="19" width="21.28515625" customWidth="1"/>
    <col min="20" max="20" width="20.28515625" bestFit="1" customWidth="1"/>
    <col min="21" max="21" width="11.42578125" customWidth="1"/>
    <col min="22" max="22" width="11.85546875" customWidth="1"/>
    <col min="23" max="23" width="11.140625" bestFit="1" customWidth="1"/>
    <col min="24" max="24" width="9" bestFit="1" customWidth="1"/>
    <col min="25" max="25" width="12.140625" bestFit="1" customWidth="1"/>
    <col min="26" max="26" width="9" bestFit="1" customWidth="1"/>
    <col min="29" max="29" width="12.28515625" bestFit="1" customWidth="1"/>
    <col min="30" max="30" width="12.85546875" bestFit="1" customWidth="1"/>
  </cols>
  <sheetData>
    <row r="1" spans="1:21" ht="15.75" thickBot="1" x14ac:dyDescent="0.3">
      <c r="D1" t="s">
        <v>7</v>
      </c>
      <c r="G1" t="s">
        <v>14</v>
      </c>
    </row>
    <row r="2" spans="1:21" x14ac:dyDescent="0.25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  <c r="S2" s="58" t="s">
        <v>100</v>
      </c>
      <c r="T2" s="61" t="s">
        <v>101</v>
      </c>
      <c r="U2" s="41"/>
    </row>
    <row r="3" spans="1:21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25</v>
      </c>
      <c r="H3" s="6">
        <f>G3</f>
        <v>25</v>
      </c>
      <c r="S3" s="62">
        <v>8</v>
      </c>
      <c r="T3" s="47" t="s">
        <v>104</v>
      </c>
      <c r="U3" s="45"/>
    </row>
    <row r="4" spans="1:21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18</v>
      </c>
      <c r="E4" s="5">
        <v>0</v>
      </c>
      <c r="G4">
        <v>-1</v>
      </c>
      <c r="H4">
        <v>-1</v>
      </c>
      <c r="S4" s="46">
        <f ca="1">OFFSET(Reference!A$1,MATCH('Cross Section Analysis'!S3,Reference!A$1:A$12,0)-1,1)</f>
        <v>1</v>
      </c>
      <c r="T4" s="47" t="s">
        <v>107</v>
      </c>
      <c r="U4" s="45"/>
    </row>
    <row r="5" spans="1:21" x14ac:dyDescent="0.25">
      <c r="A5" s="2" t="s">
        <v>2</v>
      </c>
      <c r="B5" s="36">
        <v>18</v>
      </c>
      <c r="C5" t="s">
        <v>6</v>
      </c>
      <c r="D5" s="5">
        <f>B5</f>
        <v>18</v>
      </c>
      <c r="E5" s="5">
        <f>B6</f>
        <v>24</v>
      </c>
      <c r="G5" t="s">
        <v>33</v>
      </c>
      <c r="S5" s="62">
        <v>3</v>
      </c>
      <c r="T5" s="47" t="s">
        <v>105</v>
      </c>
      <c r="U5" s="45"/>
    </row>
    <row r="6" spans="1:21" x14ac:dyDescent="0.25">
      <c r="A6" s="2" t="s">
        <v>3</v>
      </c>
      <c r="B6" s="36">
        <v>24</v>
      </c>
      <c r="C6" t="s">
        <v>6</v>
      </c>
      <c r="D6" s="5">
        <v>0</v>
      </c>
      <c r="E6" s="5">
        <f>B6</f>
        <v>24</v>
      </c>
      <c r="G6" t="s">
        <v>0</v>
      </c>
      <c r="H6" t="s">
        <v>1</v>
      </c>
      <c r="S6" s="46">
        <f ca="1">OFFSET(Reference!A$1,MATCH('Cross Section Analysis'!S5,Reference!A$1:A$12,0)-1,1)</f>
        <v>0.375</v>
      </c>
      <c r="T6" s="47" t="s">
        <v>109</v>
      </c>
      <c r="U6" s="45"/>
    </row>
    <row r="7" spans="1:21" x14ac:dyDescent="0.25">
      <c r="D7" s="5">
        <v>0</v>
      </c>
      <c r="E7" s="5">
        <v>0</v>
      </c>
      <c r="G7">
        <f>B5/2</f>
        <v>9</v>
      </c>
      <c r="H7">
        <f>B6/2</f>
        <v>12</v>
      </c>
      <c r="S7" s="59">
        <v>2</v>
      </c>
      <c r="T7" s="47" t="s">
        <v>110</v>
      </c>
      <c r="U7" s="45"/>
    </row>
    <row r="8" spans="1:21" x14ac:dyDescent="0.25">
      <c r="S8" s="46" t="s">
        <v>119</v>
      </c>
      <c r="T8" s="47"/>
      <c r="U8" s="45"/>
    </row>
    <row r="9" spans="1:21" x14ac:dyDescent="0.25">
      <c r="A9" t="s">
        <v>8</v>
      </c>
      <c r="S9" s="59">
        <v>4</v>
      </c>
      <c r="T9" s="47" t="s">
        <v>102</v>
      </c>
      <c r="U9" s="45"/>
    </row>
    <row r="10" spans="1:21" x14ac:dyDescent="0.25">
      <c r="A10" t="s">
        <v>9</v>
      </c>
      <c r="B10" s="36">
        <v>60</v>
      </c>
      <c r="C10" t="s">
        <v>5</v>
      </c>
      <c r="F10" s="27" t="s">
        <v>88</v>
      </c>
      <c r="S10" s="59">
        <v>2</v>
      </c>
      <c r="T10" s="47" t="s">
        <v>103</v>
      </c>
      <c r="U10" s="45"/>
    </row>
    <row r="11" spans="1:21" x14ac:dyDescent="0.25">
      <c r="A11" t="s">
        <v>12</v>
      </c>
      <c r="B11" s="3">
        <v>29000</v>
      </c>
      <c r="C11" t="s">
        <v>5</v>
      </c>
      <c r="F11" s="27" t="s">
        <v>89</v>
      </c>
      <c r="S11" s="46">
        <f>(2*S9)+((2*S10)-4)</f>
        <v>8</v>
      </c>
      <c r="T11" s="47" t="s">
        <v>108</v>
      </c>
      <c r="U11" s="45"/>
    </row>
    <row r="12" spans="1:21" x14ac:dyDescent="0.25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  <c r="S12" s="46" t="s">
        <v>117</v>
      </c>
      <c r="T12" s="60" t="s">
        <v>118</v>
      </c>
      <c r="U12" s="45"/>
    </row>
    <row r="13" spans="1:21" x14ac:dyDescent="0.25">
      <c r="A13">
        <v>1</v>
      </c>
      <c r="B13" s="35">
        <v>8</v>
      </c>
      <c r="C13" s="4">
        <f ca="1">OFFSET(Reference!A$1,MATCH('Cross Section Analysis'!B13,Reference!A$1:A$12,0)-1,2)</f>
        <v>0.79</v>
      </c>
      <c r="D13" s="36">
        <v>3.125</v>
      </c>
      <c r="E13" s="36">
        <v>3.125</v>
      </c>
      <c r="F13" s="27" t="s">
        <v>91</v>
      </c>
      <c r="S13" s="46">
        <f ca="1">2*S6</f>
        <v>0.75</v>
      </c>
      <c r="T13" s="60" t="s">
        <v>124</v>
      </c>
      <c r="U13" s="45"/>
    </row>
    <row r="14" spans="1:21" x14ac:dyDescent="0.25">
      <c r="A14">
        <v>2</v>
      </c>
      <c r="B14" s="35">
        <v>8</v>
      </c>
      <c r="C14" s="4">
        <f ca="1">OFFSET(Reference!A$1,MATCH('Cross Section Analysis'!B14,Reference!A$1:A$12,0)-1,2)</f>
        <v>0.79</v>
      </c>
      <c r="D14" s="36">
        <v>14.875</v>
      </c>
      <c r="E14" s="36">
        <v>3.125</v>
      </c>
      <c r="F14" s="27" t="s">
        <v>92</v>
      </c>
      <c r="S14" s="46">
        <f ca="1">0.5*S4</f>
        <v>0.5</v>
      </c>
      <c r="T14" s="60" t="s">
        <v>106</v>
      </c>
      <c r="U14" s="45"/>
    </row>
    <row r="15" spans="1:21" x14ac:dyDescent="0.25">
      <c r="A15">
        <v>3</v>
      </c>
      <c r="B15" s="35">
        <v>8</v>
      </c>
      <c r="C15" s="4">
        <f ca="1">OFFSET(Reference!A$1,MATCH('Cross Section Analysis'!B15,Reference!A$1:A$12,0)-1,2)</f>
        <v>0.79</v>
      </c>
      <c r="D15" s="36">
        <v>3.125</v>
      </c>
      <c r="E15" s="36">
        <v>9.0416666666666679</v>
      </c>
      <c r="S15" s="46">
        <f ca="1">MAX(S13:S14)</f>
        <v>0.75</v>
      </c>
      <c r="T15" s="60" t="s">
        <v>111</v>
      </c>
      <c r="U15" s="45"/>
    </row>
    <row r="16" spans="1:21" x14ac:dyDescent="0.25">
      <c r="A16">
        <v>4</v>
      </c>
      <c r="B16" s="35">
        <v>8</v>
      </c>
      <c r="C16" s="4">
        <f ca="1">OFFSET(Reference!A$1,MATCH('Cross Section Analysis'!B16,Reference!A$1:A$12,0)-1,2)</f>
        <v>0.79</v>
      </c>
      <c r="D16" s="36">
        <v>14.875</v>
      </c>
      <c r="E16" s="36">
        <v>9.0416666666666679</v>
      </c>
      <c r="S16" s="46">
        <f ca="1">S7+S6+S15</f>
        <v>3.125</v>
      </c>
      <c r="T16" s="60" t="s">
        <v>113</v>
      </c>
      <c r="U16" s="45"/>
    </row>
    <row r="17" spans="1:21" x14ac:dyDescent="0.25">
      <c r="A17">
        <v>5</v>
      </c>
      <c r="B17" s="35">
        <v>8</v>
      </c>
      <c r="C17" s="4">
        <f ca="1">OFFSET(Reference!A$1,MATCH('Cross Section Analysis'!B17,Reference!A$1:A$12,0)-1,2)</f>
        <v>0.79</v>
      </c>
      <c r="D17" s="36">
        <v>3.125</v>
      </c>
      <c r="E17" s="36">
        <v>14.958333333333334</v>
      </c>
      <c r="S17" s="63">
        <f ca="1">B5-S16</f>
        <v>14.875</v>
      </c>
      <c r="T17" s="60" t="s">
        <v>112</v>
      </c>
      <c r="U17" s="45"/>
    </row>
    <row r="18" spans="1:21" x14ac:dyDescent="0.25">
      <c r="A18">
        <v>6</v>
      </c>
      <c r="B18" s="35">
        <v>8</v>
      </c>
      <c r="C18" s="4">
        <f ca="1">OFFSET(Reference!A$1,MATCH('Cross Section Analysis'!B18,Reference!A$1:A$12,0)-1,2)</f>
        <v>0.79</v>
      </c>
      <c r="D18" s="36">
        <v>14.875</v>
      </c>
      <c r="E18" s="36">
        <v>14.958333333333334</v>
      </c>
      <c r="S18" s="63">
        <f ca="1">B6-S16</f>
        <v>20.875</v>
      </c>
      <c r="T18" s="60" t="s">
        <v>114</v>
      </c>
      <c r="U18" s="45"/>
    </row>
    <row r="19" spans="1:21" x14ac:dyDescent="0.25">
      <c r="A19">
        <v>7</v>
      </c>
      <c r="B19" s="35">
        <v>8</v>
      </c>
      <c r="C19" s="4">
        <f ca="1">OFFSET(Reference!A$1,MATCH('Cross Section Analysis'!B19,Reference!A$1:A$12,0)-1,2)</f>
        <v>0.79</v>
      </c>
      <c r="D19" s="36">
        <v>3.125</v>
      </c>
      <c r="E19" s="36">
        <v>20.875</v>
      </c>
      <c r="S19" s="46">
        <f ca="1">(B5-(2*S16))/(S10-1)</f>
        <v>11.75</v>
      </c>
      <c r="T19" s="60" t="s">
        <v>115</v>
      </c>
      <c r="U19" s="45"/>
    </row>
    <row r="20" spans="1:21" x14ac:dyDescent="0.25">
      <c r="A20">
        <v>8</v>
      </c>
      <c r="B20" s="35">
        <v>8</v>
      </c>
      <c r="C20" s="4">
        <f ca="1">OFFSET(Reference!A$1,MATCH('Cross Section Analysis'!B20,Reference!A$1:A$12,0)-1,2)</f>
        <v>0.79</v>
      </c>
      <c r="D20" s="36">
        <v>14.875</v>
      </c>
      <c r="E20" s="36">
        <v>20.875</v>
      </c>
      <c r="S20" s="46">
        <f ca="1">(B6 - (2*S16))/(S9-1)</f>
        <v>5.916666666666667</v>
      </c>
      <c r="T20" s="60" t="s">
        <v>116</v>
      </c>
      <c r="U20" s="45"/>
    </row>
    <row r="21" spans="1:21" x14ac:dyDescent="0.25">
      <c r="A21">
        <v>9</v>
      </c>
      <c r="B21" s="35">
        <v>0</v>
      </c>
      <c r="C21" s="4">
        <f ca="1">OFFSET(Reference!A$1,MATCH('Cross Section Analysis'!B21,Reference!A$1:A$12,0)-1,2)</f>
        <v>0</v>
      </c>
      <c r="D21" s="36">
        <v>0</v>
      </c>
      <c r="E21" s="36">
        <v>0</v>
      </c>
      <c r="S21" s="46"/>
      <c r="T21" s="47"/>
      <c r="U21" s="45"/>
    </row>
    <row r="22" spans="1:21" x14ac:dyDescent="0.25">
      <c r="A22">
        <v>10</v>
      </c>
      <c r="B22" s="35">
        <v>0</v>
      </c>
      <c r="C22" s="4">
        <f ca="1">OFFSET(Reference!A$1,MATCH('Cross Section Analysis'!B22,Reference!A$1:A$12,0)-1,2)</f>
        <v>0</v>
      </c>
      <c r="D22" s="36">
        <v>0</v>
      </c>
      <c r="E22" s="36">
        <v>0</v>
      </c>
      <c r="S22" s="46"/>
      <c r="T22" s="47"/>
      <c r="U22" s="45"/>
    </row>
    <row r="23" spans="1:21" x14ac:dyDescent="0.25">
      <c r="A23">
        <v>11</v>
      </c>
      <c r="B23" s="35">
        <v>0</v>
      </c>
      <c r="C23" s="4">
        <f ca="1">OFFSET(Reference!A$1,MATCH('Cross Section Analysis'!B23,Reference!A$1:A$12,0)-1,2)</f>
        <v>0</v>
      </c>
      <c r="D23" s="36">
        <v>0</v>
      </c>
      <c r="E23" s="36">
        <v>0</v>
      </c>
      <c r="S23" s="46"/>
      <c r="T23" s="47"/>
      <c r="U23" s="45"/>
    </row>
    <row r="24" spans="1:21" x14ac:dyDescent="0.25">
      <c r="A24">
        <v>12</v>
      </c>
      <c r="B24" s="35">
        <v>0</v>
      </c>
      <c r="C24" s="4">
        <f ca="1">OFFSET(Reference!A$1,MATCH('Cross Section Analysis'!B24,Reference!A$1:A$12,0)-1,2)</f>
        <v>0</v>
      </c>
      <c r="D24" s="36">
        <v>0</v>
      </c>
      <c r="E24" s="36">
        <v>0</v>
      </c>
      <c r="S24" s="46"/>
      <c r="T24" s="47"/>
      <c r="U24" s="45"/>
    </row>
    <row r="25" spans="1:21" ht="15.75" thickBot="1" x14ac:dyDescent="0.3">
      <c r="C25" s="4">
        <f ca="1">SUM(C13:C24)</f>
        <v>6.32</v>
      </c>
      <c r="D25" s="4">
        <f ca="1">(C25/(B5*B6))*100</f>
        <v>1.462962962962963</v>
      </c>
      <c r="E25" t="str">
        <f>"=%As"</f>
        <v>=%As</v>
      </c>
      <c r="S25" s="42"/>
      <c r="T25" s="64"/>
      <c r="U25" s="43"/>
    </row>
    <row r="26" spans="1:21" x14ac:dyDescent="0.25">
      <c r="A26" s="26" t="s">
        <v>15</v>
      </c>
    </row>
    <row r="27" spans="1:21" x14ac:dyDescent="0.25">
      <c r="A27" s="2" t="s">
        <v>16</v>
      </c>
    </row>
    <row r="28" spans="1:21" x14ac:dyDescent="0.25">
      <c r="A28" s="2" t="s">
        <v>17</v>
      </c>
      <c r="B28">
        <f>B5*B6</f>
        <v>432</v>
      </c>
      <c r="C28" t="s">
        <v>18</v>
      </c>
      <c r="D28">
        <v>1</v>
      </c>
    </row>
    <row r="29" spans="1:21" x14ac:dyDescent="0.25">
      <c r="A29" s="2" t="s">
        <v>19</v>
      </c>
      <c r="B29">
        <f>B28*B2*D28</f>
        <v>2160</v>
      </c>
      <c r="C29" t="s">
        <v>20</v>
      </c>
    </row>
    <row r="30" spans="1:21" x14ac:dyDescent="0.25">
      <c r="A30" s="2" t="s">
        <v>21</v>
      </c>
      <c r="B30">
        <f>B29*(B6/2)</f>
        <v>25920</v>
      </c>
      <c r="C30" t="s">
        <v>23</v>
      </c>
    </row>
    <row r="31" spans="1:21" x14ac:dyDescent="0.25">
      <c r="A31" s="2" t="s">
        <v>22</v>
      </c>
      <c r="B31">
        <f>B29*(B5/2)</f>
        <v>19440</v>
      </c>
      <c r="C31" t="s">
        <v>23</v>
      </c>
    </row>
    <row r="33" spans="1:30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30" x14ac:dyDescent="0.25">
      <c r="A34">
        <f>A13</f>
        <v>1</v>
      </c>
      <c r="B34" s="7">
        <f ca="1">C13</f>
        <v>0.79</v>
      </c>
      <c r="C34" s="6">
        <f>($B$10-($B$2*$D$28))</f>
        <v>55</v>
      </c>
      <c r="D34" s="6">
        <f ca="1">B34*C34</f>
        <v>43.45</v>
      </c>
      <c r="E34" s="6">
        <f ca="1">D34*E13</f>
        <v>135.78125</v>
      </c>
      <c r="F34" s="6">
        <f ca="1">D34*D13</f>
        <v>135.78125</v>
      </c>
    </row>
    <row r="35" spans="1:30" x14ac:dyDescent="0.25">
      <c r="A35">
        <f t="shared" ref="A35:A45" si="0">A14</f>
        <v>2</v>
      </c>
      <c r="B35" s="7">
        <f t="shared" ref="B35:B45" ca="1" si="1">C14</f>
        <v>0.79</v>
      </c>
      <c r="C35" s="6">
        <f t="shared" ref="C35:C45" si="2">($B$10-($B$2*$D$28))</f>
        <v>55</v>
      </c>
      <c r="D35" s="6">
        <f t="shared" ref="D35:D45" ca="1" si="3">B35*C35</f>
        <v>43.45</v>
      </c>
      <c r="E35" s="6">
        <f t="shared" ref="E35:E45" ca="1" si="4">D35*E14</f>
        <v>135.78125</v>
      </c>
      <c r="F35" s="6">
        <f t="shared" ref="F35:F45" ca="1" si="5">D35*D14</f>
        <v>646.31875000000002</v>
      </c>
    </row>
    <row r="36" spans="1:30" x14ac:dyDescent="0.25">
      <c r="A36">
        <f t="shared" si="0"/>
        <v>3</v>
      </c>
      <c r="B36" s="7">
        <f t="shared" ca="1" si="1"/>
        <v>0.79</v>
      </c>
      <c r="C36" s="6">
        <f t="shared" si="2"/>
        <v>55</v>
      </c>
      <c r="D36" s="6">
        <f t="shared" ca="1" si="3"/>
        <v>43.45</v>
      </c>
      <c r="E36" s="6">
        <f t="shared" ca="1" si="4"/>
        <v>392.86041666666677</v>
      </c>
      <c r="F36" s="6">
        <f t="shared" ca="1" si="5"/>
        <v>135.78125</v>
      </c>
    </row>
    <row r="37" spans="1:30" x14ac:dyDescent="0.25">
      <c r="A37">
        <f t="shared" si="0"/>
        <v>4</v>
      </c>
      <c r="B37" s="7">
        <f t="shared" ca="1" si="1"/>
        <v>0.79</v>
      </c>
      <c r="C37" s="6">
        <f t="shared" si="2"/>
        <v>55</v>
      </c>
      <c r="D37" s="6">
        <f t="shared" ca="1" si="3"/>
        <v>43.45</v>
      </c>
      <c r="E37" s="6">
        <f t="shared" ca="1" si="4"/>
        <v>392.86041666666677</v>
      </c>
      <c r="F37" s="6">
        <f t="shared" ca="1" si="5"/>
        <v>646.31875000000002</v>
      </c>
    </row>
    <row r="38" spans="1:30" x14ac:dyDescent="0.25">
      <c r="A38">
        <f t="shared" si="0"/>
        <v>5</v>
      </c>
      <c r="B38" s="7">
        <f t="shared" ca="1" si="1"/>
        <v>0.79</v>
      </c>
      <c r="C38" s="6">
        <f t="shared" si="2"/>
        <v>55</v>
      </c>
      <c r="D38" s="6">
        <f t="shared" ca="1" si="3"/>
        <v>43.45</v>
      </c>
      <c r="E38" s="6">
        <f t="shared" ca="1" si="4"/>
        <v>649.93958333333342</v>
      </c>
      <c r="F38" s="6">
        <f t="shared" ca="1" si="5"/>
        <v>135.78125</v>
      </c>
    </row>
    <row r="39" spans="1:30" x14ac:dyDescent="0.25">
      <c r="A39">
        <f t="shared" si="0"/>
        <v>6</v>
      </c>
      <c r="B39" s="7">
        <f t="shared" ca="1" si="1"/>
        <v>0.79</v>
      </c>
      <c r="C39" s="6">
        <f t="shared" si="2"/>
        <v>55</v>
      </c>
      <c r="D39" s="6">
        <f t="shared" ca="1" si="3"/>
        <v>43.45</v>
      </c>
      <c r="E39" s="6">
        <f t="shared" ca="1" si="4"/>
        <v>649.93958333333342</v>
      </c>
      <c r="F39" s="6">
        <f t="shared" ca="1" si="5"/>
        <v>646.31875000000002</v>
      </c>
    </row>
    <row r="40" spans="1:30" x14ac:dyDescent="0.25">
      <c r="A40">
        <f t="shared" si="0"/>
        <v>7</v>
      </c>
      <c r="B40" s="7">
        <f t="shared" ca="1" si="1"/>
        <v>0.79</v>
      </c>
      <c r="C40" s="6">
        <f t="shared" si="2"/>
        <v>55</v>
      </c>
      <c r="D40" s="6">
        <f t="shared" ca="1" si="3"/>
        <v>43.45</v>
      </c>
      <c r="E40" s="6">
        <f ca="1">D40*E19</f>
        <v>907.01875000000007</v>
      </c>
      <c r="F40" s="6">
        <f t="shared" ca="1" si="5"/>
        <v>135.78125</v>
      </c>
    </row>
    <row r="41" spans="1:30" x14ac:dyDescent="0.25">
      <c r="A41">
        <f t="shared" si="0"/>
        <v>8</v>
      </c>
      <c r="B41" s="7">
        <f t="shared" ca="1" si="1"/>
        <v>0.79</v>
      </c>
      <c r="C41" s="6">
        <f t="shared" si="2"/>
        <v>55</v>
      </c>
      <c r="D41" s="6">
        <f t="shared" ca="1" si="3"/>
        <v>43.45</v>
      </c>
      <c r="E41" s="6">
        <f t="shared" ca="1" si="4"/>
        <v>907.01875000000007</v>
      </c>
      <c r="F41" s="6">
        <f t="shared" ca="1" si="5"/>
        <v>646.31875000000002</v>
      </c>
    </row>
    <row r="42" spans="1:30" x14ac:dyDescent="0.25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30" x14ac:dyDescent="0.25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30" x14ac:dyDescent="0.25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30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55</v>
      </c>
      <c r="D45" s="25">
        <f t="shared" ca="1" si="3"/>
        <v>0</v>
      </c>
      <c r="E45" s="25">
        <f t="shared" ca="1" si="4"/>
        <v>0</v>
      </c>
      <c r="F45" s="25">
        <f t="shared" ca="1" si="5"/>
        <v>0</v>
      </c>
    </row>
    <row r="46" spans="1:30" ht="15.75" thickTop="1" x14ac:dyDescent="0.25">
      <c r="C46" s="6"/>
      <c r="D46" s="6">
        <f ca="1">SUM(D34:D45)</f>
        <v>347.59999999999997</v>
      </c>
      <c r="E46" s="6">
        <f t="shared" ref="E46:F46" ca="1" si="6">SUM(E34:E45)</f>
        <v>4171.2000000000007</v>
      </c>
      <c r="F46" s="6">
        <f t="shared" ca="1" si="6"/>
        <v>3128.4</v>
      </c>
    </row>
    <row r="47" spans="1:30" x14ac:dyDescent="0.25">
      <c r="AC47" s="1" t="s">
        <v>123</v>
      </c>
      <c r="AD47" s="1" t="s">
        <v>75</v>
      </c>
    </row>
    <row r="48" spans="1:30" x14ac:dyDescent="0.25">
      <c r="A48" s="2" t="s">
        <v>28</v>
      </c>
      <c r="B48" s="6">
        <f ca="1">B29+D46</f>
        <v>2507.6</v>
      </c>
      <c r="D48" t="s">
        <v>31</v>
      </c>
      <c r="E48" t="s">
        <v>32</v>
      </c>
      <c r="AC48">
        <v>1E-4</v>
      </c>
      <c r="AD48">
        <v>-568.79387999999994</v>
      </c>
    </row>
    <row r="49" spans="1:30" x14ac:dyDescent="0.25">
      <c r="A49" s="2" t="s">
        <v>29</v>
      </c>
      <c r="B49" s="6">
        <f ca="1">E46+B30</f>
        <v>30091.200000000001</v>
      </c>
      <c r="D49" s="1">
        <f ca="1">B50/B48</f>
        <v>9.0000000000000018</v>
      </c>
      <c r="E49" s="4">
        <f ca="1">B49/B48</f>
        <v>12</v>
      </c>
      <c r="AC49">
        <v>0.70598135294117648</v>
      </c>
      <c r="AD49">
        <v>-525.59394120000002</v>
      </c>
    </row>
    <row r="50" spans="1:30" x14ac:dyDescent="0.25">
      <c r="A50" s="2" t="s">
        <v>30</v>
      </c>
      <c r="B50" s="6">
        <f ca="1">F46+B31</f>
        <v>22568.400000000001</v>
      </c>
      <c r="AC50">
        <v>1.411862705882353</v>
      </c>
      <c r="AD50">
        <v>-482.39400240000003</v>
      </c>
    </row>
    <row r="51" spans="1:30" x14ac:dyDescent="0.25">
      <c r="AC51">
        <v>2.1177440588235297</v>
      </c>
      <c r="AD51">
        <v>-395.06356432453617</v>
      </c>
    </row>
    <row r="52" spans="1:30" x14ac:dyDescent="0.25">
      <c r="A52" s="27" t="s">
        <v>34</v>
      </c>
      <c r="AC52">
        <v>2.8236254117647062</v>
      </c>
      <c r="AD52">
        <v>-275.80144421613977</v>
      </c>
    </row>
    <row r="53" spans="1:30" x14ac:dyDescent="0.25">
      <c r="A53" s="2" t="s">
        <v>36</v>
      </c>
      <c r="B53" s="34">
        <v>-59.872</v>
      </c>
      <c r="C53" t="s">
        <v>39</v>
      </c>
      <c r="F53">
        <f>B53-360</f>
        <v>-419.87200000000001</v>
      </c>
      <c r="AC53">
        <v>3.5295067647058826</v>
      </c>
      <c r="AD53">
        <v>-186.96333461624971</v>
      </c>
    </row>
    <row r="54" spans="1:30" x14ac:dyDescent="0.25">
      <c r="AC54">
        <v>4.2353881176470587</v>
      </c>
      <c r="AD54">
        <v>-123.4100894349877</v>
      </c>
    </row>
    <row r="55" spans="1:30" x14ac:dyDescent="0.25">
      <c r="A55" s="2" t="s">
        <v>16</v>
      </c>
      <c r="AC55">
        <v>4.9412694705882352</v>
      </c>
      <c r="AD55">
        <v>-36.596644436657527</v>
      </c>
    </row>
    <row r="56" spans="1:30" x14ac:dyDescent="0.25">
      <c r="A56" s="1" t="s">
        <v>0</v>
      </c>
      <c r="B56" s="1" t="s">
        <v>1</v>
      </c>
      <c r="C56" s="1" t="s">
        <v>37</v>
      </c>
      <c r="D56" s="1" t="s">
        <v>38</v>
      </c>
      <c r="AC56">
        <v>5.6471508235294117</v>
      </c>
      <c r="AD56">
        <v>49.200019549847525</v>
      </c>
    </row>
    <row r="57" spans="1:30" x14ac:dyDescent="0.25">
      <c r="A57" s="6">
        <f ca="1">D3-$D$49</f>
        <v>-9.0000000000000018</v>
      </c>
      <c r="B57" s="7">
        <f ca="1">E3-$E$49</f>
        <v>-12</v>
      </c>
      <c r="C57" s="4">
        <f ca="1">A57*COS(RADIANS(-1*$B$53))+B57*SIN(RADIANS(-1*$B$53))</f>
        <v>-14.896276024692611</v>
      </c>
      <c r="D57" s="4">
        <f ca="1">-1*A57*SIN(RADIANS(-1*$B$53))+B57*COS(RADIANS(-1*$B$53))</f>
        <v>1.7609544560175561</v>
      </c>
      <c r="F57" t="s">
        <v>40</v>
      </c>
      <c r="G57">
        <f ca="1">MAX(D57:D61)-MIN(D57:D61)</f>
        <v>27.614715472039983</v>
      </c>
      <c r="H57" t="s">
        <v>6</v>
      </c>
      <c r="T57" t="s">
        <v>82</v>
      </c>
      <c r="AC57">
        <v>6.3530321764705882</v>
      </c>
      <c r="AD57">
        <v>125.53089360477435</v>
      </c>
    </row>
    <row r="58" spans="1:30" x14ac:dyDescent="0.25">
      <c r="A58" s="6">
        <f ca="1">D4-$D$49</f>
        <v>8.9999999999999982</v>
      </c>
      <c r="B58" s="7">
        <f t="shared" ref="B58:B61" ca="1" si="7">E4-$E$49</f>
        <v>-12</v>
      </c>
      <c r="C58" s="4">
        <f t="shared" ref="C58:C61" ca="1" si="8">A58*COS(RADIANS(-1*$B$53))+B58*SIN(RADIANS(-1*$B$53))</f>
        <v>-5.8614735646907841</v>
      </c>
      <c r="D58" s="4">
        <f t="shared" ref="D58:D61" ca="1" si="9">-1*A58*SIN(RADIANS(-1*$B$53))+B58*COS(RADIANS(-1*$B$53))</f>
        <v>-13.807357736019991</v>
      </c>
      <c r="F58" t="s">
        <v>62</v>
      </c>
      <c r="G58" s="7">
        <f ca="1">MAX(D57:D61)</f>
        <v>13.807357736019993</v>
      </c>
      <c r="T58" t="s">
        <v>0</v>
      </c>
      <c r="U58" t="s">
        <v>1</v>
      </c>
      <c r="AC58">
        <v>7.0589135294117646</v>
      </c>
      <c r="AD58">
        <v>195.23567447850229</v>
      </c>
    </row>
    <row r="59" spans="1:30" x14ac:dyDescent="0.25">
      <c r="A59" s="6">
        <f ca="1">D5-$D$49</f>
        <v>8.9999999999999982</v>
      </c>
      <c r="B59" s="7">
        <f t="shared" ca="1" si="7"/>
        <v>12</v>
      </c>
      <c r="C59" s="4">
        <f t="shared" ca="1" si="8"/>
        <v>14.896276024692611</v>
      </c>
      <c r="D59" s="4">
        <f t="shared" ca="1" si="9"/>
        <v>-1.7609544560175534</v>
      </c>
      <c r="T59">
        <f ca="1">MAX(MAX(C57:C61),MAX(D57:D61))</f>
        <v>14.896276024692611</v>
      </c>
      <c r="U59">
        <f ca="1">T59</f>
        <v>14.896276024692611</v>
      </c>
      <c r="AC59">
        <v>7.7647948823529411</v>
      </c>
      <c r="AD59">
        <v>279.94570836607386</v>
      </c>
    </row>
    <row r="60" spans="1:30" x14ac:dyDescent="0.25">
      <c r="A60" s="6">
        <f ca="1">D6-$D$49</f>
        <v>-9.0000000000000018</v>
      </c>
      <c r="B60" s="7">
        <f t="shared" ca="1" si="7"/>
        <v>12</v>
      </c>
      <c r="C60" s="4">
        <f t="shared" ca="1" si="8"/>
        <v>5.8614735646907823</v>
      </c>
      <c r="D60" s="4">
        <f t="shared" ca="1" si="9"/>
        <v>13.807357736019993</v>
      </c>
      <c r="T60">
        <f ca="1">-1*T59</f>
        <v>-14.896276024692611</v>
      </c>
      <c r="U60">
        <f ca="1">-1*U59</f>
        <v>-14.896276024692611</v>
      </c>
      <c r="AC60">
        <v>8.4706762352941176</v>
      </c>
      <c r="AD60">
        <v>358.91999469892198</v>
      </c>
    </row>
    <row r="61" spans="1:30" x14ac:dyDescent="0.25">
      <c r="A61" s="6">
        <f ca="1">D7-$D$49</f>
        <v>-9.0000000000000018</v>
      </c>
      <c r="B61" s="7">
        <f t="shared" ca="1" si="7"/>
        <v>-12</v>
      </c>
      <c r="C61" s="4">
        <f t="shared" ca="1" si="8"/>
        <v>-14.896276024692611</v>
      </c>
      <c r="D61" s="4">
        <f t="shared" ca="1" si="9"/>
        <v>1.7609544560175561</v>
      </c>
      <c r="AC61">
        <v>9.1765575882352941</v>
      </c>
      <c r="AD61">
        <v>432.39059523363414</v>
      </c>
    </row>
    <row r="62" spans="1:30" x14ac:dyDescent="0.25">
      <c r="A62" s="6"/>
      <c r="AC62">
        <v>9.8824389411764706</v>
      </c>
      <c r="AD62">
        <v>498.44409450740255</v>
      </c>
    </row>
    <row r="63" spans="1:30" x14ac:dyDescent="0.25">
      <c r="A63" s="28" t="s">
        <v>24</v>
      </c>
      <c r="F63" s="1" t="s">
        <v>37</v>
      </c>
      <c r="G63" s="1" t="s">
        <v>38</v>
      </c>
      <c r="AC63">
        <v>10.588320294117647</v>
      </c>
      <c r="AD63">
        <v>576.2374538642141</v>
      </c>
    </row>
    <row r="64" spans="1:30" x14ac:dyDescent="0.25">
      <c r="A64" s="8">
        <f t="shared" ref="A64:C75" si="10">A13</f>
        <v>1</v>
      </c>
      <c r="B64" s="6">
        <f t="shared" si="10"/>
        <v>8</v>
      </c>
      <c r="C64" s="6">
        <f t="shared" ca="1" si="10"/>
        <v>0.79</v>
      </c>
      <c r="D64" s="6">
        <f ca="1">D13-$D$49</f>
        <v>-5.8750000000000018</v>
      </c>
      <c r="E64" s="6">
        <f ca="1">E13-$E$49</f>
        <v>-8.875</v>
      </c>
      <c r="F64" s="4">
        <f ca="1">IF(C64&gt;0,D64*COS(RADIANS(-1*$B$53))+E64*SIN(RADIANS(-1*$B$53)),0)</f>
        <v>-10.624901953157998</v>
      </c>
      <c r="G64" s="4">
        <f ca="1">IF(C64&gt;0,-1*D64*SIN(RADIANS(-1*$B$53))+E64*COS(RADIANS(-1*$B$53)),0)</f>
        <v>0.62666457198357683</v>
      </c>
      <c r="AC64">
        <v>11.294201647058824</v>
      </c>
      <c r="AD64">
        <v>648.6471495442787</v>
      </c>
    </row>
    <row r="65" spans="1:30" x14ac:dyDescent="0.25">
      <c r="A65" s="8">
        <f t="shared" si="10"/>
        <v>2</v>
      </c>
      <c r="B65" s="6">
        <f t="shared" si="10"/>
        <v>8</v>
      </c>
      <c r="C65" s="6">
        <f t="shared" ca="1" si="10"/>
        <v>0.79</v>
      </c>
      <c r="D65" s="6">
        <f t="shared" ref="D65:D75" ca="1" si="11">D14-$D$49</f>
        <v>5.8749999999999982</v>
      </c>
      <c r="E65" s="6">
        <f t="shared" ref="E65:E75" ca="1" si="12">E14-$E$49</f>
        <v>-8.875</v>
      </c>
      <c r="F65" s="4">
        <f t="shared" ref="F65:F75" ca="1" si="13">IF(C65&gt;0,D65*COS(RADIANS(-1*$B$53))+E65*SIN(RADIANS(-1*$B$53)),0)</f>
        <v>-4.7271836806568057</v>
      </c>
      <c r="G65" s="4">
        <f t="shared" ref="G65:G75" ca="1" si="14">IF(C65&gt;0,-1*D65*SIN(RADIANS(-1*$B$53))+E65*COS(RADIANS(-1*$B$53)),0)</f>
        <v>-9.5359836644853768</v>
      </c>
      <c r="AC65">
        <v>12.000083</v>
      </c>
      <c r="AD65">
        <v>717.62043187527161</v>
      </c>
    </row>
    <row r="66" spans="1:30" x14ac:dyDescent="0.25">
      <c r="A66" s="8">
        <f t="shared" si="10"/>
        <v>3</v>
      </c>
      <c r="B66" s="6">
        <f t="shared" si="10"/>
        <v>8</v>
      </c>
      <c r="C66" s="6">
        <f t="shared" ca="1" si="10"/>
        <v>0.79</v>
      </c>
      <c r="D66" s="6">
        <f t="shared" ca="1" si="11"/>
        <v>-5.8750000000000018</v>
      </c>
      <c r="E66" s="6">
        <f t="shared" ca="1" si="12"/>
        <v>-2.9583333333333321</v>
      </c>
      <c r="F66" s="4">
        <f t="shared" ca="1" si="13"/>
        <v>-5.5075400752197297</v>
      </c>
      <c r="G66" s="4">
        <f t="shared" ca="1" si="14"/>
        <v>3.5964376028175122</v>
      </c>
      <c r="AC66">
        <v>12.705964352941177</v>
      </c>
      <c r="AD66">
        <v>793.36445771919716</v>
      </c>
    </row>
    <row r="67" spans="1:30" x14ac:dyDescent="0.25">
      <c r="A67" s="8">
        <f t="shared" si="10"/>
        <v>4</v>
      </c>
      <c r="B67" s="6">
        <f t="shared" si="10"/>
        <v>8</v>
      </c>
      <c r="C67" s="6">
        <f t="shared" ca="1" si="10"/>
        <v>0.79</v>
      </c>
      <c r="D67" s="6">
        <f t="shared" ca="1" si="11"/>
        <v>5.8749999999999982</v>
      </c>
      <c r="E67" s="6">
        <f t="shared" ca="1" si="12"/>
        <v>-2.9583333333333321</v>
      </c>
      <c r="F67" s="4">
        <f t="shared" ca="1" si="13"/>
        <v>0.3901781972814633</v>
      </c>
      <c r="G67" s="4">
        <f t="shared" ca="1" si="14"/>
        <v>-6.5662106336514414</v>
      </c>
      <c r="AC67">
        <v>13.411845705882353</v>
      </c>
      <c r="AD67">
        <v>874.89164025499974</v>
      </c>
    </row>
    <row r="68" spans="1:30" x14ac:dyDescent="0.25">
      <c r="A68" s="8">
        <f t="shared" si="10"/>
        <v>5</v>
      </c>
      <c r="B68" s="6">
        <f t="shared" si="10"/>
        <v>8</v>
      </c>
      <c r="C68" s="6">
        <f t="shared" ca="1" si="10"/>
        <v>0.79</v>
      </c>
      <c r="D68" s="6">
        <f t="shared" ca="1" si="11"/>
        <v>-5.8750000000000018</v>
      </c>
      <c r="E68" s="6">
        <f t="shared" ca="1" si="12"/>
        <v>2.9583333333333339</v>
      </c>
      <c r="F68" s="4">
        <f t="shared" ca="1" si="13"/>
        <v>-0.3901781972814633</v>
      </c>
      <c r="G68" s="4">
        <f t="shared" ca="1" si="14"/>
        <v>6.5662106336514459</v>
      </c>
      <c r="AC68">
        <v>14.11772705882353</v>
      </c>
      <c r="AD68">
        <v>952.58612556553237</v>
      </c>
    </row>
    <row r="69" spans="1:30" x14ac:dyDescent="0.25">
      <c r="A69" s="8">
        <f t="shared" si="10"/>
        <v>6</v>
      </c>
      <c r="B69" s="6">
        <f t="shared" si="10"/>
        <v>8</v>
      </c>
      <c r="C69" s="6">
        <f t="shared" ca="1" si="10"/>
        <v>0.79</v>
      </c>
      <c r="D69" s="6">
        <f t="shared" ca="1" si="11"/>
        <v>5.8749999999999982</v>
      </c>
      <c r="E69" s="6">
        <f t="shared" ca="1" si="12"/>
        <v>2.9583333333333339</v>
      </c>
      <c r="F69" s="4">
        <f t="shared" ca="1" si="13"/>
        <v>5.5075400752197297</v>
      </c>
      <c r="G69" s="4">
        <f t="shared" ca="1" si="14"/>
        <v>-3.5964376028175078</v>
      </c>
      <c r="AC69">
        <v>14.823608411764706</v>
      </c>
      <c r="AD69">
        <v>1026.9954381322111</v>
      </c>
    </row>
    <row r="70" spans="1:30" x14ac:dyDescent="0.25">
      <c r="A70" s="8">
        <f t="shared" si="10"/>
        <v>7</v>
      </c>
      <c r="B70" s="6">
        <f t="shared" si="10"/>
        <v>8</v>
      </c>
      <c r="C70" s="6">
        <f t="shared" ca="1" si="10"/>
        <v>0.79</v>
      </c>
      <c r="D70" s="6">
        <f t="shared" ca="1" si="11"/>
        <v>-5.8750000000000018</v>
      </c>
      <c r="E70" s="6">
        <f t="shared" ca="1" si="12"/>
        <v>8.875</v>
      </c>
      <c r="F70" s="4">
        <f t="shared" ca="1" si="13"/>
        <v>4.7271836806568039</v>
      </c>
      <c r="G70" s="4">
        <f t="shared" ca="1" si="14"/>
        <v>9.5359836644853804</v>
      </c>
      <c r="AC70">
        <v>15.529489764705882</v>
      </c>
      <c r="AD70">
        <v>1091.8525531717776</v>
      </c>
    </row>
    <row r="71" spans="1:30" x14ac:dyDescent="0.25">
      <c r="A71" s="8">
        <f t="shared" si="10"/>
        <v>8</v>
      </c>
      <c r="B71" s="6">
        <f t="shared" si="10"/>
        <v>8</v>
      </c>
      <c r="C71" s="6">
        <f t="shared" ca="1" si="10"/>
        <v>0.79</v>
      </c>
      <c r="D71" s="6">
        <f t="shared" ca="1" si="11"/>
        <v>5.8749999999999982</v>
      </c>
      <c r="E71" s="6">
        <f t="shared" ca="1" si="12"/>
        <v>8.875</v>
      </c>
      <c r="F71" s="4">
        <f t="shared" ca="1" si="13"/>
        <v>10.624901953157996</v>
      </c>
      <c r="G71" s="4">
        <f t="shared" ca="1" si="14"/>
        <v>-0.62666457198357328</v>
      </c>
      <c r="AC71">
        <v>16.235371117647059</v>
      </c>
      <c r="AD71">
        <v>1160.9575376474972</v>
      </c>
    </row>
    <row r="72" spans="1:30" x14ac:dyDescent="0.25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-9.0000000000000018</v>
      </c>
      <c r="E72" s="6">
        <f t="shared" ca="1" si="12"/>
        <v>-12</v>
      </c>
      <c r="F72" s="4">
        <f t="shared" ca="1" si="13"/>
        <v>0</v>
      </c>
      <c r="G72" s="4">
        <f t="shared" ca="1" si="14"/>
        <v>0</v>
      </c>
      <c r="AC72">
        <v>16.941252470588235</v>
      </c>
      <c r="AD72">
        <v>1227.9037810594939</v>
      </c>
    </row>
    <row r="73" spans="1:30" x14ac:dyDescent="0.25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-9.0000000000000018</v>
      </c>
      <c r="E73" s="6">
        <f t="shared" ca="1" si="12"/>
        <v>-12</v>
      </c>
      <c r="F73" s="4">
        <f t="shared" ca="1" si="13"/>
        <v>0</v>
      </c>
      <c r="G73" s="4">
        <f t="shared" ca="1" si="14"/>
        <v>0</v>
      </c>
      <c r="AC73">
        <v>17.647133823529412</v>
      </c>
      <c r="AD73">
        <v>1292.9503308674764</v>
      </c>
    </row>
    <row r="74" spans="1:30" x14ac:dyDescent="0.25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-9.0000000000000018</v>
      </c>
      <c r="E74" s="6">
        <f t="shared" ca="1" si="12"/>
        <v>-12</v>
      </c>
      <c r="F74" s="4">
        <f t="shared" ca="1" si="13"/>
        <v>0</v>
      </c>
      <c r="G74" s="4">
        <f t="shared" ca="1" si="14"/>
        <v>0</v>
      </c>
      <c r="AC74">
        <v>18.353015176470588</v>
      </c>
      <c r="AD74">
        <v>1356.3163812929633</v>
      </c>
    </row>
    <row r="75" spans="1:30" x14ac:dyDescent="0.25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-9.0000000000000018</v>
      </c>
      <c r="E75" s="6">
        <f t="shared" ca="1" si="12"/>
        <v>-12</v>
      </c>
      <c r="F75" s="4">
        <f t="shared" ca="1" si="13"/>
        <v>0</v>
      </c>
      <c r="G75" s="4">
        <f t="shared" ca="1" si="14"/>
        <v>0</v>
      </c>
      <c r="AC75">
        <v>19.058896529411765</v>
      </c>
      <c r="AD75">
        <v>1418.1886535098542</v>
      </c>
    </row>
    <row r="76" spans="1:30" x14ac:dyDescent="0.25">
      <c r="G76" s="7">
        <f ca="1">MIN(G64:G75)</f>
        <v>-9.5359836644853768</v>
      </c>
      <c r="AC76">
        <v>19.764777882352941</v>
      </c>
      <c r="AD76">
        <v>1478.7271943735939</v>
      </c>
    </row>
    <row r="77" spans="1:30" x14ac:dyDescent="0.25">
      <c r="D77" t="s">
        <v>0</v>
      </c>
      <c r="E77" t="s">
        <v>1</v>
      </c>
      <c r="AC77">
        <v>20.470659235294118</v>
      </c>
      <c r="AD77">
        <v>1538.0699754191287</v>
      </c>
    </row>
    <row r="78" spans="1:30" x14ac:dyDescent="0.25">
      <c r="A78" s="2" t="s">
        <v>41</v>
      </c>
      <c r="B78" s="34">
        <v>23.577863777078651</v>
      </c>
      <c r="C78" t="s">
        <v>6</v>
      </c>
      <c r="D78" s="4">
        <f ca="1">MIN(C57:C61)</f>
        <v>-14.896276024692611</v>
      </c>
      <c r="E78" s="4">
        <f ca="1">MAX(D57:D61)-B78</f>
        <v>-9.7705060410586579</v>
      </c>
      <c r="AC78">
        <v>21.176540588235294</v>
      </c>
      <c r="AD78">
        <v>1589.6215720636171</v>
      </c>
    </row>
    <row r="79" spans="1:30" x14ac:dyDescent="0.25">
      <c r="A79" s="2"/>
      <c r="D79" s="4">
        <f ca="1">MAX(C57:C61)</f>
        <v>14.896276024692611</v>
      </c>
      <c r="E79" s="4">
        <f ca="1">E78</f>
        <v>-9.7705060410586579</v>
      </c>
      <c r="AC79">
        <v>21.882421941176471</v>
      </c>
      <c r="AD79">
        <v>1646.9161307086413</v>
      </c>
    </row>
    <row r="80" spans="1:30" x14ac:dyDescent="0.25">
      <c r="A80" s="2"/>
      <c r="AC80">
        <v>22.588303294117647</v>
      </c>
      <c r="AD80">
        <v>1703.329779513218</v>
      </c>
    </row>
    <row r="81" spans="1:30" x14ac:dyDescent="0.25">
      <c r="A81" s="2" t="s">
        <v>42</v>
      </c>
      <c r="B81" s="1">
        <f>B78*B4</f>
        <v>18.862291021662919</v>
      </c>
      <c r="C81" t="s">
        <v>6</v>
      </c>
      <c r="D81" t="s">
        <v>0</v>
      </c>
      <c r="E81" t="s">
        <v>1</v>
      </c>
      <c r="AC81">
        <v>23.294184647058824</v>
      </c>
      <c r="AD81">
        <v>1758.942600846327</v>
      </c>
    </row>
    <row r="82" spans="1:30" x14ac:dyDescent="0.25">
      <c r="D82" s="4">
        <f ca="1">MIN(C57:C61)</f>
        <v>-14.896276024692611</v>
      </c>
      <c r="E82" s="4">
        <f ca="1">MAX(D57:D61)-B81</f>
        <v>-5.0549332856429263</v>
      </c>
      <c r="AC82">
        <v>24.000066</v>
      </c>
      <c r="AD82">
        <v>1813.8252556610296</v>
      </c>
    </row>
    <row r="83" spans="1:30" x14ac:dyDescent="0.25">
      <c r="D83" s="4">
        <f ca="1">MAX(C57:C61)</f>
        <v>14.896276024692611</v>
      </c>
      <c r="E83" s="4">
        <f ca="1">E82</f>
        <v>-5.0549332856429263</v>
      </c>
      <c r="AC83">
        <v>24.705947352941177</v>
      </c>
      <c r="AD83">
        <v>1867.4568883470156</v>
      </c>
    </row>
    <row r="84" spans="1:30" x14ac:dyDescent="0.25">
      <c r="A84" t="s">
        <v>47</v>
      </c>
      <c r="AC84">
        <v>25.411828705882353</v>
      </c>
      <c r="AD84">
        <v>1919.8912238538196</v>
      </c>
    </row>
    <row r="85" spans="1:30" x14ac:dyDescent="0.25">
      <c r="A85" s="2" t="s">
        <v>55</v>
      </c>
      <c r="B85" s="1">
        <f>0.85*B2</f>
        <v>4.25</v>
      </c>
      <c r="C85" t="s">
        <v>5</v>
      </c>
      <c r="AC85">
        <v>26.11771005882353</v>
      </c>
      <c r="AD85">
        <v>1961.7539046930574</v>
      </c>
    </row>
    <row r="86" spans="1:30" x14ac:dyDescent="0.25">
      <c r="AC86">
        <v>26.823591411764706</v>
      </c>
      <c r="AD86">
        <v>2013.2293376652574</v>
      </c>
    </row>
    <row r="87" spans="1:30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  <c r="AC87">
        <v>27.529472764705883</v>
      </c>
      <c r="AD87">
        <v>2064.2803878624982</v>
      </c>
    </row>
    <row r="88" spans="1:30" x14ac:dyDescent="0.25">
      <c r="A88">
        <v>1</v>
      </c>
      <c r="B88" s="4">
        <f t="shared" ref="B88:C91" ca="1" si="15">C57</f>
        <v>-14.896276024692611</v>
      </c>
      <c r="C88" s="4">
        <f t="shared" ca="1" si="15"/>
        <v>1.7609544560175561</v>
      </c>
      <c r="D88" s="4">
        <f t="shared" ref="D88:E91" ca="1" si="16">C58</f>
        <v>-5.8614735646907841</v>
      </c>
      <c r="E88" s="4">
        <f t="shared" ca="1" si="16"/>
        <v>-13.807357736019991</v>
      </c>
      <c r="F88" s="1">
        <f ca="1">IF(AND(E88&gt;=E$82,C88&lt;=E$82),1,IF(AND(C88&gt;=E$82,E88&gt;=E$82),3,IF(AND(E88&lt;=E$82,C88&gt;=E$82),2,0)))</f>
        <v>2</v>
      </c>
      <c r="G88" s="1">
        <f ca="1">IF(E88=C88,"H",IF(B88=D88,"V",(E88-C88)/(D88-B88)))</f>
        <v>-1.7231491514020769</v>
      </c>
      <c r="H88" s="4">
        <f ca="1">IF(OR(F88=1,F88=2),IF(G88="V",B88,(E$82-C88+(G88*B88))/G88),NA())</f>
        <v>-10.940792695745381</v>
      </c>
      <c r="I88" s="4">
        <f ca="1">IF(OR(F88=1,F88=2),E$82,NA())</f>
        <v>-5.0549332856429263</v>
      </c>
      <c r="J88" s="5">
        <f ca="1">IF(F88=0,0,IF(F88=1,-0.5*B$85*(H88+D88)*(I88-E88),IF(F88=2,-0.5*B$85*(B88+H88)*(C88-I88),IF(F88=3,-0.5*B$85*(B88+D88)*(C88-E88),0))))</f>
        <v>374.21793994065467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-551.25230317394357</v>
      </c>
      <c r="L88" s="5">
        <f ca="1">IF(F88=1,(1/6)*B$85*(POWER(H88,2)+H88*D88+POWER(D88,2))*(E88-I88),IF(F88=2,(1/6)*B$85*(POWER(B88,2)+B88*H88+POWER(H88,2))*(I88-C88),IF(F88=3,(1/6)*B$85*(POWER(B88,2)+B88*D88+POWER(D88,2))*(E88-C88),0)))</f>
        <v>-2436.0578856190259</v>
      </c>
      <c r="AC88">
        <v>28.235354117647059</v>
      </c>
      <c r="AD88">
        <v>2114.9388838801747</v>
      </c>
    </row>
    <row r="89" spans="1:30" x14ac:dyDescent="0.25">
      <c r="A89">
        <v>2</v>
      </c>
      <c r="B89" s="4">
        <f t="shared" ca="1" si="15"/>
        <v>-5.8614735646907841</v>
      </c>
      <c r="C89" s="4">
        <f t="shared" ca="1" si="15"/>
        <v>-13.807357736019991</v>
      </c>
      <c r="D89" s="4">
        <f t="shared" ca="1" si="16"/>
        <v>14.896276024692611</v>
      </c>
      <c r="E89" s="4">
        <f t="shared" ca="1" si="16"/>
        <v>-1.7609544560175534</v>
      </c>
      <c r="F89" s="1">
        <f t="shared" ref="F89:F91" ca="1" si="17">IF(AND(E89&gt;=E$82,C89&lt;=E$82),1,IF(AND(C89&gt;=E$82,E89&gt;=E$82),3,IF(AND(E89&lt;=E$82,C89&gt;=E$82),2,0)))</f>
        <v>1</v>
      </c>
      <c r="G89" s="1">
        <f t="shared" ref="G89:G91" ca="1" si="18">IF(E89=C89,"H",IF(B89=D89,"V",(E89-C89)/(D89-B89)))</f>
        <v>0.58033281633590961</v>
      </c>
      <c r="H89" s="4">
        <f t="shared" ref="H89:H91" ca="1" si="19">IF(OR(F89=1,F89=2),IF(G89="V",B89,(E$82-C89+(G89*B89))/G89),NA())</f>
        <v>9.2202591996872449</v>
      </c>
      <c r="I89" s="4">
        <f t="shared" ref="I89:I91" ca="1" si="20">IF(OR(F89=1,F89=2),E$82,NA())</f>
        <v>-5.0549332856429263</v>
      </c>
      <c r="J89" s="5">
        <f ca="1">IF(F89=0,0,IF(F89=1,-0.5*B$85*(H89+D89)*(I89-E89),IF(F89=2,-0.5*B$85*(B89+H89)*(C89-I89),IF(F89=3,-0.5*B$85*(B89+D89)*(C89-E89),0))))</f>
        <v>168.8086325051714</v>
      </c>
      <c r="K89" s="5">
        <f t="shared" ref="K89:K91" ca="1" si="21">IF(F89=1,(1/6)*B$85*(E89-I89)*((H89*(2*I89+E89))+(D89*(I89+2*E89))),IF(F89=2,(1/6)*B$85*(I89-C89)*((B89*(2*C89+I89))+(H89*(C89+2*I89))),IF(F89=3,(1/6)*B$85*(E89-C89)*((B89*(2*C89+E89))+(D89*(C89+2*E89))),0)))</f>
        <v>-553.47847123440499</v>
      </c>
      <c r="L89" s="5">
        <f t="shared" ref="L89:L91" ca="1" si="22">IF(F89=1,(1/6)*B$85*(POWER(H89,2)+H89*D89+POWER(D89,2))*(E89-I89),IF(F89=2,(1/6)*B$85*(POWER(B89,2)+B89*H89+POWER(H89,2))*(I89-C89),IF(F89=3,(1/6)*B$85*(POWER(B89,2)+B89*D89+POWER(D89,2))*(E89-C89),0)))</f>
        <v>1036.5623884423637</v>
      </c>
      <c r="AC89">
        <v>28.941235470588236</v>
      </c>
      <c r="AD89">
        <v>2165.2335490955929</v>
      </c>
    </row>
    <row r="90" spans="1:30" x14ac:dyDescent="0.25">
      <c r="A90">
        <v>3</v>
      </c>
      <c r="B90" s="4">
        <f t="shared" ca="1" si="15"/>
        <v>14.896276024692611</v>
      </c>
      <c r="C90" s="4">
        <f t="shared" ca="1" si="15"/>
        <v>-1.7609544560175534</v>
      </c>
      <c r="D90" s="4">
        <f t="shared" ca="1" si="16"/>
        <v>5.8614735646907823</v>
      </c>
      <c r="E90" s="4">
        <f t="shared" ca="1" si="16"/>
        <v>13.807357736019993</v>
      </c>
      <c r="F90" s="1">
        <f t="shared" ca="1" si="17"/>
        <v>3</v>
      </c>
      <c r="G90" s="1">
        <f t="shared" ca="1" si="18"/>
        <v>-1.7231491514020769</v>
      </c>
      <c r="H90" s="4" t="e">
        <f t="shared" ca="1" si="19"/>
        <v>#N/A</v>
      </c>
      <c r="I90" s="4" t="e">
        <f t="shared" ca="1" si="20"/>
        <v>#N/A</v>
      </c>
      <c r="J90" s="5">
        <f t="shared" ref="J90:J91" ca="1" si="23">IF(F90=0,0,IF(F90=1,-0.5*B$85*(H90+D90)*(I90-E90),IF(F90=2,-0.5*B$85*(B90+H90)*(C90-I90),IF(F90=3,-0.5*B$85*(B90+D90)*(C90-E90),0))))</f>
        <v>686.72164277477714</v>
      </c>
      <c r="K90" s="5">
        <f t="shared" ca="1" si="21"/>
        <v>3360.7136265506128</v>
      </c>
      <c r="L90" s="5">
        <f t="shared" ca="1" si="22"/>
        <v>3788.7373288661952</v>
      </c>
      <c r="AC90">
        <v>29.647116823529412</v>
      </c>
      <c r="AD90">
        <v>2215.1903713355432</v>
      </c>
    </row>
    <row r="91" spans="1:30" ht="15.75" thickBot="1" x14ac:dyDescent="0.3">
      <c r="A91">
        <v>4</v>
      </c>
      <c r="B91" s="4">
        <f t="shared" ca="1" si="15"/>
        <v>5.8614735646907823</v>
      </c>
      <c r="C91" s="4">
        <f t="shared" ca="1" si="15"/>
        <v>13.807357736019993</v>
      </c>
      <c r="D91" s="4">
        <f t="shared" ca="1" si="16"/>
        <v>-14.896276024692611</v>
      </c>
      <c r="E91" s="4">
        <f t="shared" ca="1" si="16"/>
        <v>1.7609544560175561</v>
      </c>
      <c r="F91" s="1">
        <f t="shared" ca="1" si="17"/>
        <v>3</v>
      </c>
      <c r="G91" s="1">
        <f t="shared" ca="1" si="18"/>
        <v>0.58033281633590961</v>
      </c>
      <c r="H91" s="4" t="e">
        <f t="shared" ca="1" si="19"/>
        <v>#N/A</v>
      </c>
      <c r="I91" s="4" t="e">
        <f t="shared" ca="1" si="20"/>
        <v>#N/A</v>
      </c>
      <c r="J91" s="24">
        <f t="shared" ca="1" si="23"/>
        <v>231.27835722522272</v>
      </c>
      <c r="K91" s="24">
        <f t="shared" ca="1" si="21"/>
        <v>733.45833988856236</v>
      </c>
      <c r="L91" s="24">
        <f t="shared" ca="1" si="22"/>
        <v>-1441.5581065865433</v>
      </c>
      <c r="AC91">
        <v>30.352998176470589</v>
      </c>
      <c r="AD91">
        <v>2243.2294325625194</v>
      </c>
    </row>
    <row r="92" spans="1:30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1461.0265724458259</v>
      </c>
      <c r="K92" s="5">
        <f ca="1">SUM(K88:K91)</f>
        <v>2989.4411920308266</v>
      </c>
      <c r="L92" s="5">
        <f ca="1">SUM(L88:L91)*-1</f>
        <v>-947.68372510298946</v>
      </c>
      <c r="AC92">
        <v>31.058879529411765</v>
      </c>
      <c r="AD92">
        <v>2249.3791983856877</v>
      </c>
    </row>
    <row r="93" spans="1:30" x14ac:dyDescent="0.25">
      <c r="AC93">
        <v>31.764760882352942</v>
      </c>
      <c r="AD93">
        <v>2255.2556421438421</v>
      </c>
    </row>
    <row r="94" spans="1:30" x14ac:dyDescent="0.25">
      <c r="AC94">
        <v>32.470642235294122</v>
      </c>
      <c r="AD94">
        <v>2260.8765891341509</v>
      </c>
    </row>
    <row r="95" spans="1:30" x14ac:dyDescent="0.25">
      <c r="A95" t="s">
        <v>56</v>
      </c>
      <c r="AC95">
        <v>33.176523588235298</v>
      </c>
      <c r="AD95">
        <v>2266.2583476117888</v>
      </c>
    </row>
    <row r="96" spans="1:30" x14ac:dyDescent="0.25">
      <c r="A96" s="2" t="s">
        <v>58</v>
      </c>
      <c r="B96" s="1">
        <v>3.0000000000000001E-3</v>
      </c>
      <c r="AC96">
        <v>33.882404941176475</v>
      </c>
      <c r="AD96">
        <v>2271.4158668146765</v>
      </c>
    </row>
    <row r="97" spans="1:3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  <c r="AC97">
        <v>34.588286294117651</v>
      </c>
      <c r="AD97">
        <v>2276.3628756383109</v>
      </c>
    </row>
    <row r="98" spans="1:30" x14ac:dyDescent="0.25">
      <c r="A98" s="8">
        <f>A64</f>
        <v>1</v>
      </c>
      <c r="B98" s="7">
        <f ca="1">C13</f>
        <v>0.79</v>
      </c>
      <c r="C98">
        <f t="shared" ca="1" si="24"/>
        <v>-10.624901953157998</v>
      </c>
      <c r="D98">
        <f t="shared" ca="1" si="25"/>
        <v>0.62666457198357683</v>
      </c>
      <c r="E98" s="7">
        <f ca="1">G$58-D98</f>
        <v>13.180693164036416</v>
      </c>
      <c r="F98" s="11">
        <f ca="1">IF(B98=0,0,((B$78-E98)/B$78)*B$96)</f>
        <v>1.3229150924796548E-3</v>
      </c>
      <c r="G98" s="4">
        <f ca="1">IF(AND(F98&gt;0,E98&lt;=B$81),MIN((F98*B$11),B$10)-B$85,MAX(F98*B$11,-1*B$10))</f>
        <v>34.114537681909987</v>
      </c>
      <c r="H98" s="4">
        <f ca="1">G98*B98</f>
        <v>26.95048476870889</v>
      </c>
      <c r="I98" s="4">
        <f ca="1">H98*D98</f>
        <v>16.888914002332864</v>
      </c>
      <c r="J98" s="4">
        <f ca="1">H98*C98</f>
        <v>-286.34625825760997</v>
      </c>
      <c r="AC98">
        <v>35.294167647058828</v>
      </c>
      <c r="AD98">
        <v>2281.1120046696601</v>
      </c>
    </row>
    <row r="99" spans="1:30" x14ac:dyDescent="0.25">
      <c r="A99" s="8">
        <f t="shared" ref="A99:A108" si="26">A65</f>
        <v>2</v>
      </c>
      <c r="B99" s="7">
        <f t="shared" ref="B99:B109" ca="1" si="27">C14</f>
        <v>0.79</v>
      </c>
      <c r="C99">
        <f t="shared" ca="1" si="24"/>
        <v>-4.7271836806568057</v>
      </c>
      <c r="D99">
        <f t="shared" ca="1" si="25"/>
        <v>-9.5359836644853768</v>
      </c>
      <c r="E99" s="7">
        <f t="shared" ref="E99:E109" ca="1" si="28">G$58-D99</f>
        <v>23.34334140050537</v>
      </c>
      <c r="F99" s="11">
        <f t="shared" ref="F99:F109" ca="1" si="29">IF(B99=0,0,((B$78-E99)/B$78)*B$96)</f>
        <v>2.9840155850074086E-5</v>
      </c>
      <c r="G99" s="4">
        <f t="shared" ref="G99:G109" ca="1" si="30">IF(AND(F99&gt;0,E99&lt;=B$81),MIN((F99*B$11),B$10)-B$85,MAX(F99*B$11,-1*B$10))</f>
        <v>0.86536451965214856</v>
      </c>
      <c r="H99" s="4">
        <f t="shared" ref="H99:H109" ca="1" si="31">G99*B99</f>
        <v>0.68363797052519737</v>
      </c>
      <c r="I99" s="4">
        <f t="shared" ref="I99:I109" ca="1" si="32">H99*D99</f>
        <v>-6.5191605193502173</v>
      </c>
      <c r="J99" s="4">
        <f t="shared" ref="J99:J109" ca="1" si="33">H99*C99</f>
        <v>-3.2316822577440512</v>
      </c>
      <c r="AC99">
        <v>36.000049000000004</v>
      </c>
      <c r="AD99">
        <v>2285.6748938641722</v>
      </c>
    </row>
    <row r="100" spans="1:30" x14ac:dyDescent="0.25">
      <c r="A100" s="8">
        <f t="shared" si="26"/>
        <v>3</v>
      </c>
      <c r="B100" s="7">
        <f t="shared" ca="1" si="27"/>
        <v>0.79</v>
      </c>
      <c r="C100">
        <f t="shared" ca="1" si="24"/>
        <v>-5.5075400752197297</v>
      </c>
      <c r="D100">
        <f t="shared" ca="1" si="25"/>
        <v>3.5964376028175122</v>
      </c>
      <c r="E100" s="7">
        <f t="shared" ca="1" si="28"/>
        <v>10.210920133202482</v>
      </c>
      <c r="F100" s="11">
        <f t="shared" ca="1" si="29"/>
        <v>1.7007830442473226E-3</v>
      </c>
      <c r="G100" s="4">
        <f t="shared" ca="1" si="30"/>
        <v>45.072708283172354</v>
      </c>
      <c r="H100" s="4">
        <f t="shared" ca="1" si="31"/>
        <v>35.607439543706164</v>
      </c>
      <c r="I100" s="4">
        <f t="shared" ca="1" si="32"/>
        <v>128.05993451503608</v>
      </c>
      <c r="J100" s="4">
        <f t="shared" ca="1" si="33"/>
        <v>-196.10940026292542</v>
      </c>
      <c r="AC100">
        <v>36.705930352941181</v>
      </c>
      <c r="AD100">
        <v>2290.062287798547</v>
      </c>
    </row>
    <row r="101" spans="1:30" x14ac:dyDescent="0.25">
      <c r="A101" s="8">
        <f t="shared" si="26"/>
        <v>4</v>
      </c>
      <c r="B101" s="7">
        <f t="shared" ca="1" si="27"/>
        <v>0.79</v>
      </c>
      <c r="C101">
        <f t="shared" ca="1" si="24"/>
        <v>0.3901781972814633</v>
      </c>
      <c r="D101">
        <f t="shared" ca="1" si="25"/>
        <v>-6.5662106336514414</v>
      </c>
      <c r="E101" s="7">
        <f t="shared" ca="1" si="28"/>
        <v>20.373568369671435</v>
      </c>
      <c r="F101" s="11">
        <f t="shared" ca="1" si="29"/>
        <v>4.0770810761774214E-4</v>
      </c>
      <c r="G101" s="4">
        <f t="shared" ca="1" si="30"/>
        <v>11.823535120914523</v>
      </c>
      <c r="H101" s="4">
        <f t="shared" ca="1" si="31"/>
        <v>9.3405927455224731</v>
      </c>
      <c r="I101" s="4">
        <f t="shared" ca="1" si="32"/>
        <v>-61.332299410257178</v>
      </c>
      <c r="J101" s="4">
        <f t="shared" ca="1" si="33"/>
        <v>3.6444956389882726</v>
      </c>
      <c r="AC101">
        <v>37.411811705882357</v>
      </c>
      <c r="AD101">
        <v>2294.2841201402016</v>
      </c>
    </row>
    <row r="102" spans="1:30" x14ac:dyDescent="0.25">
      <c r="A102" s="8">
        <f t="shared" si="26"/>
        <v>5</v>
      </c>
      <c r="B102" s="7">
        <f t="shared" ca="1" si="27"/>
        <v>0.79</v>
      </c>
      <c r="C102">
        <f t="shared" ca="1" si="24"/>
        <v>-0.3901781972814633</v>
      </c>
      <c r="D102">
        <f t="shared" ca="1" si="25"/>
        <v>6.5662106336514459</v>
      </c>
      <c r="E102" s="7">
        <f t="shared" ca="1" si="28"/>
        <v>7.2411471023685472</v>
      </c>
      <c r="F102" s="11">
        <f t="shared" ca="1" si="29"/>
        <v>2.0786509960149906E-3</v>
      </c>
      <c r="G102" s="4">
        <f t="shared" ca="1" si="30"/>
        <v>55.75</v>
      </c>
      <c r="H102" s="4">
        <f t="shared" ca="1" si="31"/>
        <v>44.042500000000004</v>
      </c>
      <c r="I102" s="4">
        <f t="shared" ca="1" si="32"/>
        <v>289.19233183259382</v>
      </c>
      <c r="J102" s="4">
        <f t="shared" ca="1" si="33"/>
        <v>-17.184423253768848</v>
      </c>
      <c r="AC102">
        <v>38.117693058823534</v>
      </c>
      <c r="AD102">
        <v>2298.3495887312679</v>
      </c>
    </row>
    <row r="103" spans="1:30" x14ac:dyDescent="0.25">
      <c r="A103" s="8">
        <f t="shared" si="26"/>
        <v>6</v>
      </c>
      <c r="B103" s="7">
        <f t="shared" ca="1" si="27"/>
        <v>0.79</v>
      </c>
      <c r="C103">
        <f t="shared" ca="1" si="24"/>
        <v>5.5075400752197297</v>
      </c>
      <c r="D103">
        <f t="shared" ca="1" si="25"/>
        <v>-3.5964376028175078</v>
      </c>
      <c r="E103" s="7">
        <f t="shared" ca="1" si="28"/>
        <v>17.403795338837501</v>
      </c>
      <c r="F103" s="11">
        <f t="shared" ca="1" si="29"/>
        <v>7.8557605938541018E-4</v>
      </c>
      <c r="G103" s="4">
        <f t="shared" ca="1" si="30"/>
        <v>18.531705722176895</v>
      </c>
      <c r="H103" s="4">
        <f t="shared" ca="1" si="31"/>
        <v>14.640047520519747</v>
      </c>
      <c r="I103" s="4">
        <f t="shared" ca="1" si="32"/>
        <v>-52.652017409832439</v>
      </c>
      <c r="J103" s="4">
        <f t="shared" ca="1" si="33"/>
        <v>80.630648422383743</v>
      </c>
      <c r="AC103">
        <v>38.82357441176471</v>
      </c>
      <c r="AD103">
        <v>2302.094809598289</v>
      </c>
    </row>
    <row r="104" spans="1:30" x14ac:dyDescent="0.25">
      <c r="A104" s="8">
        <f t="shared" si="26"/>
        <v>7</v>
      </c>
      <c r="B104" s="7">
        <f t="shared" ca="1" si="27"/>
        <v>0.79</v>
      </c>
      <c r="C104">
        <f t="shared" ca="1" si="24"/>
        <v>4.7271836806568039</v>
      </c>
      <c r="D104">
        <f t="shared" ca="1" si="25"/>
        <v>9.5359836644853804</v>
      </c>
      <c r="E104" s="7">
        <f t="shared" ca="1" si="28"/>
        <v>4.2713740715346127</v>
      </c>
      <c r="F104" s="11">
        <f t="shared" ca="1" si="29"/>
        <v>2.4565189477826588E-3</v>
      </c>
      <c r="G104" s="4">
        <f t="shared" ca="1" si="30"/>
        <v>55.75</v>
      </c>
      <c r="H104" s="4">
        <f t="shared" ca="1" si="31"/>
        <v>44.042500000000004</v>
      </c>
      <c r="I104" s="4">
        <f t="shared" ca="1" si="32"/>
        <v>419.98856054309738</v>
      </c>
      <c r="J104" s="4">
        <f t="shared" ca="1" si="33"/>
        <v>208.19698725532731</v>
      </c>
      <c r="AC104">
        <v>39.529455764705887</v>
      </c>
      <c r="AD104">
        <v>2305.113823218066</v>
      </c>
    </row>
    <row r="105" spans="1:30" x14ac:dyDescent="0.25">
      <c r="A105" s="8">
        <f t="shared" si="26"/>
        <v>8</v>
      </c>
      <c r="B105" s="7">
        <f t="shared" ca="1" si="27"/>
        <v>0.79</v>
      </c>
      <c r="C105">
        <f t="shared" ca="1" si="24"/>
        <v>10.624901953157996</v>
      </c>
      <c r="D105">
        <f t="shared" ca="1" si="25"/>
        <v>-0.62666457198357328</v>
      </c>
      <c r="E105" s="7">
        <f t="shared" ca="1" si="28"/>
        <v>14.434022308003566</v>
      </c>
      <c r="F105" s="11">
        <f t="shared" ca="1" si="29"/>
        <v>1.1634440111530783E-3</v>
      </c>
      <c r="G105" s="4">
        <f t="shared" ca="1" si="30"/>
        <v>29.489876323439269</v>
      </c>
      <c r="H105" s="4">
        <f t="shared" ca="1" si="31"/>
        <v>23.297002295517025</v>
      </c>
      <c r="I105" s="4">
        <f t="shared" ca="1" si="32"/>
        <v>-14.5994059720205</v>
      </c>
      <c r="J105" s="4">
        <f t="shared" ca="1" si="33"/>
        <v>247.52836519236516</v>
      </c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C105">
        <v>40.235337117647063</v>
      </c>
      <c r="AD105">
        <v>2308.0269067986715</v>
      </c>
    </row>
    <row r="106" spans="1:30" x14ac:dyDescent="0.25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13.807357736019993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C106">
        <v>40.94121847058824</v>
      </c>
      <c r="AD106">
        <v>2310.8395394666795</v>
      </c>
    </row>
    <row r="107" spans="1:30" x14ac:dyDescent="0.25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13.807357736019993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C107">
        <v>41.647099823529416</v>
      </c>
      <c r="AD107">
        <v>2313.5568288833479</v>
      </c>
    </row>
    <row r="108" spans="1:30" x14ac:dyDescent="0.25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13.807357736019993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C108">
        <v>42.352981176470593</v>
      </c>
      <c r="AD108">
        <v>2316.1835421999881</v>
      </c>
    </row>
    <row r="109" spans="1:30" ht="15.75" thickBot="1" x14ac:dyDescent="0.3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13.807357736019993</v>
      </c>
      <c r="F109" s="23">
        <f t="shared" ca="1" si="29"/>
        <v>0</v>
      </c>
      <c r="G109" s="4">
        <f t="shared" ca="1" si="30"/>
        <v>0</v>
      </c>
      <c r="H109" s="22">
        <f t="shared" ca="1" si="31"/>
        <v>0</v>
      </c>
      <c r="I109" s="22">
        <f t="shared" ca="1" si="32"/>
        <v>0</v>
      </c>
      <c r="J109" s="22">
        <f t="shared" ca="1" si="33"/>
        <v>0</v>
      </c>
      <c r="AC109">
        <v>43.058862529411769</v>
      </c>
      <c r="AD109">
        <v>2318.7241339685511</v>
      </c>
    </row>
    <row r="110" spans="1:30" ht="15.75" thickTop="1" x14ac:dyDescent="0.25">
      <c r="F110" s="11">
        <f ca="1">MIN(F98:F109)</f>
        <v>0</v>
      </c>
      <c r="H110" s="4">
        <f ca="1">SUM(H98:H109)</f>
        <v>198.60420484449952</v>
      </c>
      <c r="I110" s="4">
        <f ca="1">SUM(I98:I109)</f>
        <v>719.02685758159987</v>
      </c>
      <c r="J110" s="4">
        <f ca="1">SUM(J98:J109)*-1</f>
        <v>-37.128732477016143</v>
      </c>
      <c r="AC110">
        <v>43.764743882352946</v>
      </c>
      <c r="AD110">
        <v>2321.1827713511962</v>
      </c>
    </row>
    <row r="111" spans="1:30" x14ac:dyDescent="0.25">
      <c r="AC111">
        <v>44.470625235294122</v>
      </c>
      <c r="AD111">
        <v>2323.563356928953</v>
      </c>
    </row>
    <row r="112" spans="1:30" x14ac:dyDescent="0.25">
      <c r="M112" t="s">
        <v>95</v>
      </c>
      <c r="AC112">
        <v>45.176506588235299</v>
      </c>
      <c r="AD112">
        <v>2325.8695493720779</v>
      </c>
    </row>
    <row r="113" spans="1:30" x14ac:dyDescent="0.25">
      <c r="A113" s="2" t="s">
        <v>67</v>
      </c>
      <c r="B113" s="31">
        <f ca="1">J92+H110</f>
        <v>1659.6307772903253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0.65</v>
      </c>
      <c r="M113">
        <f ca="1">SQRT((J114*J114)+(J115*J115)+(J116*J116))</f>
        <v>1098.5989438471527</v>
      </c>
      <c r="N113" s="48">
        <f ca="1">J114/M113</f>
        <v>0.13377368396754591</v>
      </c>
      <c r="O113" s="48">
        <f ca="1">J115/M113</f>
        <v>0.13377329579433689</v>
      </c>
      <c r="P113" s="48">
        <f ca="1">J116/M113</f>
        <v>0.98194160050894663</v>
      </c>
      <c r="Q113">
        <f ca="1">SQRT((N113*N113)+(O113*O113)+(P113*P113))</f>
        <v>0.99999999999999989</v>
      </c>
      <c r="AC113">
        <v>45.882387941176475</v>
      </c>
      <c r="AD113">
        <v>2328.1047822023779</v>
      </c>
    </row>
    <row r="114" spans="1:30" x14ac:dyDescent="0.25">
      <c r="A114" s="2" t="s">
        <v>69</v>
      </c>
      <c r="B114" s="4">
        <f ca="1">(((K92+I110)*COS(RADIANS(B53)))+((L92+J110)*SIN(RADIANS(B53))))</f>
        <v>2713.1746693160994</v>
      </c>
      <c r="C114" t="s">
        <v>23</v>
      </c>
      <c r="D114" s="4">
        <f ca="1">(B113*(E49-H7))</f>
        <v>0</v>
      </c>
      <c r="E114" t="s">
        <v>23</v>
      </c>
      <c r="F114" s="4">
        <f ca="1">B114+D114</f>
        <v>2713.1746693160994</v>
      </c>
      <c r="G114" s="10" t="str">
        <f>"= Mnx,gc"</f>
        <v>= Mnx,gc</v>
      </c>
      <c r="H114" s="4">
        <f ca="1">F114/12</f>
        <v>226.09788910967495</v>
      </c>
      <c r="I114" t="s">
        <v>72</v>
      </c>
      <c r="J114" s="29">
        <f ca="1">H114*J113</f>
        <v>146.96362792128872</v>
      </c>
      <c r="K114" t="s">
        <v>72</v>
      </c>
      <c r="P114" t="s">
        <v>87</v>
      </c>
      <c r="V114">
        <v>-5.5079816399095189E-3</v>
      </c>
      <c r="W114" s="6"/>
      <c r="AC114">
        <v>46.588269294117651</v>
      </c>
      <c r="AD114">
        <v>2330.2722808498761</v>
      </c>
    </row>
    <row r="115" spans="1:30" ht="15.75" thickBot="1" x14ac:dyDescent="0.3">
      <c r="A115" s="2" t="s">
        <v>70</v>
      </c>
      <c r="B115" s="4">
        <f ca="1">(-1*(K92+I110)*SIN(RADIANS(B53)))+((L92+J110)*COS(RADIANS(B53)))</f>
        <v>2713.1667964543644</v>
      </c>
      <c r="C115" t="s">
        <v>23</v>
      </c>
      <c r="D115" s="1">
        <f ca="1">-1*B113*(D49-G7)</f>
        <v>-2.9480964821188233E-12</v>
      </c>
      <c r="E115" t="s">
        <v>23</v>
      </c>
      <c r="F115" s="4">
        <f ca="1">B115+D115</f>
        <v>2713.1667964543617</v>
      </c>
      <c r="G115" s="10" t="str">
        <f>"= Mny,gc"</f>
        <v>= Mny,gc</v>
      </c>
      <c r="H115" s="4">
        <f ca="1">F115/12</f>
        <v>226.09723303786348</v>
      </c>
      <c r="I115" t="s">
        <v>72</v>
      </c>
      <c r="J115" s="29">
        <f ca="1">H115*J113</f>
        <v>146.96320147461125</v>
      </c>
      <c r="K115" t="s">
        <v>72</v>
      </c>
      <c r="M115" t="s">
        <v>79</v>
      </c>
      <c r="N115" s="9">
        <f ca="1">IF(DEGREES(ATAN2(J114,J115))&lt;0,DEGREES(ATAN2(J114,J115))+360,DEGREES(ATAN2(J114,J115)))</f>
        <v>44.99991687184577</v>
      </c>
      <c r="P115">
        <f ca="1">(-1*0.003*MAX(E98:E109))/(0.002-0.003)</f>
        <v>70.030024201516099</v>
      </c>
      <c r="V115">
        <v>3.1214853650496751E-14</v>
      </c>
      <c r="W115" s="6"/>
      <c r="X115" s="6"/>
      <c r="AC115">
        <v>47.294150647058828</v>
      </c>
      <c r="AD115">
        <v>2332.3750781820163</v>
      </c>
    </row>
    <row r="116" spans="1:30" ht="15.75" thickBot="1" x14ac:dyDescent="0.3">
      <c r="J116" s="30">
        <f ca="1">B113*J113</f>
        <v>1078.7600052387115</v>
      </c>
      <c r="K116" t="s">
        <v>20</v>
      </c>
      <c r="T116" s="2" t="s">
        <v>122</v>
      </c>
      <c r="U116" s="53">
        <v>1E-4</v>
      </c>
      <c r="AC116">
        <v>48.000032000000004</v>
      </c>
      <c r="AD116">
        <v>2334.4160286626475</v>
      </c>
    </row>
    <row r="117" spans="1:30" ht="15.75" thickBot="1" x14ac:dyDescent="0.3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1137.9368000000002</v>
      </c>
      <c r="K117" t="s">
        <v>20</v>
      </c>
      <c r="M117">
        <f ca="1">SQRT((J114*J114)+(J115*J115))</f>
        <v>207.83765423872109</v>
      </c>
      <c r="N117" t="s">
        <v>94</v>
      </c>
      <c r="O117">
        <f ca="1">J114/M117</f>
        <v>0.70710780709874244</v>
      </c>
      <c r="P117">
        <f ca="1">J115/M117</f>
        <v>0.70710575527286412</v>
      </c>
      <c r="T117" s="2" t="s">
        <v>97</v>
      </c>
      <c r="U117" s="53">
        <f ca="1">B118-J116</f>
        <v>-5.2387115374585846E-6</v>
      </c>
      <c r="AC117">
        <v>48.705913352941181</v>
      </c>
      <c r="AD117">
        <v>2336.3978212797924</v>
      </c>
    </row>
    <row r="118" spans="1:30" ht="15.75" thickBot="1" x14ac:dyDescent="0.3">
      <c r="A118" s="2" t="s">
        <v>75</v>
      </c>
      <c r="B118" s="34">
        <v>1078.76</v>
      </c>
      <c r="C118" t="s">
        <v>20</v>
      </c>
      <c r="I118" t="s">
        <v>84</v>
      </c>
      <c r="J118" s="1">
        <f ca="1">-1*0.9*B10*SUM(C13:C24)</f>
        <v>-341.28000000000003</v>
      </c>
      <c r="K118" t="s">
        <v>20</v>
      </c>
      <c r="O118">
        <f ca="1">ABS(O117)/O117</f>
        <v>1</v>
      </c>
      <c r="P118">
        <f ca="1">ABS(P117)/P117</f>
        <v>1</v>
      </c>
      <c r="Q118">
        <f ca="1">P118*O118</f>
        <v>1</v>
      </c>
      <c r="T118" s="2" t="s">
        <v>99</v>
      </c>
      <c r="U118" s="56">
        <f ca="1">B121-N115</f>
        <v>8.3128154230394102E-5</v>
      </c>
      <c r="AC118">
        <v>49.411794705882357</v>
      </c>
      <c r="AD118">
        <v>2338.3229913653267</v>
      </c>
    </row>
    <row r="119" spans="1:30" x14ac:dyDescent="0.25">
      <c r="A119" s="2" t="s">
        <v>76</v>
      </c>
      <c r="B119" s="34">
        <v>200</v>
      </c>
      <c r="C119" t="s">
        <v>72</v>
      </c>
      <c r="G119" s="2" t="s">
        <v>80</v>
      </c>
      <c r="H119" s="33">
        <v>50</v>
      </c>
      <c r="L119">
        <f ca="1">B118-J116</f>
        <v>-5.2387115374585846E-6</v>
      </c>
      <c r="M119" s="44">
        <f ca="1">N115-B121</f>
        <v>-8.3128154230394102E-5</v>
      </c>
      <c r="O119">
        <f>B119/E120</f>
        <v>0.70710678118654746</v>
      </c>
      <c r="P119">
        <f>B120/E120</f>
        <v>0.70710678118654746</v>
      </c>
      <c r="AC119">
        <v>50.117676058823534</v>
      </c>
      <c r="AD119">
        <v>2340.1939314158121</v>
      </c>
    </row>
    <row r="120" spans="1:30" x14ac:dyDescent="0.25">
      <c r="A120" s="2" t="s">
        <v>77</v>
      </c>
      <c r="B120" s="34">
        <v>200</v>
      </c>
      <c r="C120" t="s">
        <v>72</v>
      </c>
      <c r="D120">
        <f>B118</f>
        <v>1078.76</v>
      </c>
      <c r="E120">
        <f>SQRT((B119*B119)+(B120*B120))</f>
        <v>282.84271247461902</v>
      </c>
      <c r="G120" s="2" t="s">
        <v>81</v>
      </c>
      <c r="H120" s="52">
        <v>8</v>
      </c>
      <c r="I120" s="52">
        <v>19</v>
      </c>
      <c r="O120">
        <f>ABS(O119)/O119</f>
        <v>1</v>
      </c>
      <c r="P120">
        <f>ABS(P119)/P119</f>
        <v>1</v>
      </c>
      <c r="Q120">
        <f>P120*O120</f>
        <v>1</v>
      </c>
      <c r="AC120">
        <v>50.82355741176471</v>
      </c>
      <c r="AD120">
        <v>2342.0129010115961</v>
      </c>
    </row>
    <row r="121" spans="1:30" x14ac:dyDescent="0.25">
      <c r="A121" s="2" t="s">
        <v>78</v>
      </c>
      <c r="B121" s="12">
        <f>IF(DEGREES(ATAN2(B119,B120))&lt;0,DEGREES(ATAN2(B119,B120))+360,DEGREES(ATAN2(B119,B120)))</f>
        <v>45</v>
      </c>
      <c r="G121" s="2" t="s">
        <v>121</v>
      </c>
      <c r="H121" s="1">
        <v>1</v>
      </c>
      <c r="O121">
        <f ca="1">O117-O119</f>
        <v>1.0259121949740546E-6</v>
      </c>
      <c r="P121">
        <f ca="1">P117-P119</f>
        <v>-1.0259136833390414E-6</v>
      </c>
      <c r="AC121">
        <v>51.529438764705887</v>
      </c>
      <c r="AD121">
        <v>2343.7820359206457</v>
      </c>
    </row>
    <row r="122" spans="1:30" x14ac:dyDescent="0.25">
      <c r="G122" s="2" t="s">
        <v>120</v>
      </c>
      <c r="H122" s="1">
        <v>177</v>
      </c>
      <c r="AC122">
        <v>52.235320117647063</v>
      </c>
      <c r="AD122">
        <v>2345.5033564642304</v>
      </c>
    </row>
    <row r="123" spans="1:30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AC123">
        <v>52.94120147058824</v>
      </c>
      <c r="AD123">
        <v>2347.1787752133564</v>
      </c>
    </row>
    <row r="124" spans="1:30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  <c r="AC124">
        <v>53.647082823529416</v>
      </c>
      <c r="AD124">
        <v>2348.2679347419767</v>
      </c>
    </row>
    <row r="125" spans="1:30" x14ac:dyDescent="0.25">
      <c r="A125" s="16"/>
      <c r="B125" s="20"/>
      <c r="C125" s="15"/>
      <c r="D125" s="16"/>
      <c r="E125" s="17"/>
      <c r="F125" s="17"/>
      <c r="G125" s="16"/>
      <c r="H125" s="20">
        <f ca="1">J114</f>
        <v>146.96362792128872</v>
      </c>
      <c r="I125" s="3">
        <f ca="1">J115</f>
        <v>146.96320147461125</v>
      </c>
      <c r="J125" s="16"/>
      <c r="K125" s="17"/>
      <c r="L125" s="13"/>
      <c r="M125" s="16"/>
      <c r="N125" s="17"/>
      <c r="AC125">
        <v>54.352964176470593</v>
      </c>
      <c r="AD125">
        <v>2349.3099076984049</v>
      </c>
    </row>
    <row r="126" spans="1:30" x14ac:dyDescent="0.25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AC126">
        <v>55.058845529411769</v>
      </c>
      <c r="AD126">
        <v>2350.3251634480653</v>
      </c>
    </row>
    <row r="127" spans="1:30" ht="15.75" thickBot="1" x14ac:dyDescent="0.3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 s="57">
        <v>25</v>
      </c>
      <c r="AC127">
        <v>55.764726882352946</v>
      </c>
      <c r="AD127">
        <v>2351.3147165666101</v>
      </c>
    </row>
    <row r="128" spans="1:30" ht="17.25" x14ac:dyDescent="0.25">
      <c r="A128" s="16" t="s">
        <v>85</v>
      </c>
      <c r="B128" s="17" t="s">
        <v>76</v>
      </c>
      <c r="C128" s="18" t="s">
        <v>77</v>
      </c>
      <c r="D128" s="16" t="s">
        <v>96</v>
      </c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40" t="s">
        <v>98</v>
      </c>
      <c r="W128" s="41"/>
      <c r="AC128">
        <v>56.470608235294122</v>
      </c>
      <c r="AD128">
        <v>2352.2795309009998</v>
      </c>
    </row>
    <row r="129" spans="1:30" x14ac:dyDescent="0.25">
      <c r="A129" s="37">
        <v>0</v>
      </c>
      <c r="B129" s="49">
        <v>244.14108563867407</v>
      </c>
      <c r="C129" s="49">
        <v>-1.3505639689418181E-13</v>
      </c>
      <c r="D129" s="50">
        <f>IF(DEGREES(ATAN2(B129,C129))&lt;0,DEGREES(ATAN2(B129,C129))+360,DEGREES(ATAN2(B129,C129)))</f>
        <v>359.99999999999994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39"/>
      <c r="Q129" s="39">
        <f ca="1">J118</f>
        <v>-341.28000000000003</v>
      </c>
      <c r="R129" s="39" t="e">
        <v>#N/A</v>
      </c>
      <c r="S129" s="39">
        <v>36.869927290002195</v>
      </c>
      <c r="V129" s="54" t="s">
        <v>75</v>
      </c>
      <c r="W129" s="55" t="s">
        <v>49</v>
      </c>
      <c r="AC129">
        <v>57.176489588235299</v>
      </c>
      <c r="AD129">
        <v>2353.2205227008963</v>
      </c>
    </row>
    <row r="130" spans="1:30" x14ac:dyDescent="0.25">
      <c r="A130" s="38">
        <v>-1</v>
      </c>
      <c r="B130" s="49">
        <v>243.83535182640767</v>
      </c>
      <c r="C130" s="49">
        <v>2.5216599957264929</v>
      </c>
      <c r="D130" s="50">
        <f t="shared" ref="D130:D193" si="34">IF(DEGREES(ATAN2(B130,C130))&lt;0,DEGREES(ATAN2(B130,C130))+360,DEGREES(ATAN2(B130,C130)))</f>
        <v>0.59251180624229738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39">
        <v>1</v>
      </c>
      <c r="Q130">
        <v>-341.27900000000005</v>
      </c>
      <c r="R130" t="e">
        <v>#N/A</v>
      </c>
      <c r="S130" s="39">
        <v>36.872688612843895</v>
      </c>
      <c r="V130" s="46">
        <f>D120</f>
        <v>1078.76</v>
      </c>
      <c r="W130" s="45">
        <f>E120</f>
        <v>282.84271247461902</v>
      </c>
      <c r="AC130">
        <v>57.882370941176475</v>
      </c>
      <c r="AD130">
        <v>2354.1385635209344</v>
      </c>
    </row>
    <row r="131" spans="1:30" ht="15.75" thickBot="1" x14ac:dyDescent="0.3">
      <c r="A131" s="38">
        <v>-2</v>
      </c>
      <c r="B131" s="49">
        <v>243.49990621901819</v>
      </c>
      <c r="C131" s="49">
        <v>5.0351272760080263</v>
      </c>
      <c r="D131" s="50">
        <f t="shared" si="34"/>
        <v>1.1846018298412855</v>
      </c>
      <c r="E131" s="15"/>
      <c r="F131" s="15"/>
      <c r="G131" s="15"/>
      <c r="H131" s="15"/>
      <c r="I131" s="15"/>
      <c r="P131" s="39">
        <v>2</v>
      </c>
      <c r="Q131">
        <v>-282.11036800000005</v>
      </c>
      <c r="R131">
        <v>54.951583970441597</v>
      </c>
      <c r="S131" s="39">
        <v>44.999963011101258</v>
      </c>
      <c r="V131" s="42">
        <f>B118</f>
        <v>1078.76</v>
      </c>
      <c r="W131" s="43">
        <f ca="1">SQRT((J114*J114)+(J115*J115))</f>
        <v>207.83765423872109</v>
      </c>
      <c r="AC131">
        <v>58.588252294117652</v>
      </c>
      <c r="AD131">
        <v>2355.0344829131873</v>
      </c>
    </row>
    <row r="132" spans="1:30" x14ac:dyDescent="0.25">
      <c r="A132" s="37">
        <v>-3</v>
      </c>
      <c r="B132" s="49">
        <v>243.13443974964923</v>
      </c>
      <c r="C132" s="49">
        <v>7.5421658079621041</v>
      </c>
      <c r="D132" s="50">
        <f t="shared" si="34"/>
        <v>1.7767772387118415</v>
      </c>
      <c r="E132" s="15"/>
      <c r="F132" s="15"/>
      <c r="G132" s="15"/>
      <c r="H132" s="15"/>
      <c r="I132" s="15"/>
      <c r="P132" s="39">
        <v>3</v>
      </c>
      <c r="Q132">
        <v>-222.94173600000005</v>
      </c>
      <c r="R132">
        <v>100.77657794955587</v>
      </c>
      <c r="S132" s="39">
        <v>44.999983719763826</v>
      </c>
      <c r="AC132">
        <v>59.294133647058828</v>
      </c>
      <c r="AD132">
        <v>2355.9090709273141</v>
      </c>
    </row>
    <row r="133" spans="1:30" x14ac:dyDescent="0.25">
      <c r="A133" s="37">
        <v>-4</v>
      </c>
      <c r="B133" s="49">
        <v>242.73837358766872</v>
      </c>
      <c r="C133" s="49">
        <v>10.044516122432961</v>
      </c>
      <c r="D133" s="50">
        <f t="shared" si="34"/>
        <v>2.369548034948902</v>
      </c>
      <c r="E133" s="15"/>
      <c r="F133" s="15"/>
      <c r="G133" s="15"/>
      <c r="H133" s="15"/>
      <c r="I133" s="15"/>
      <c r="P133" s="39">
        <v>4</v>
      </c>
      <c r="Q133">
        <v>-163.77310400000005</v>
      </c>
      <c r="R133">
        <v>143.59971701911172</v>
      </c>
      <c r="S133" s="39">
        <v>44.999957152406274</v>
      </c>
      <c r="AC133">
        <v>60.000015000000005</v>
      </c>
      <c r="AD133">
        <v>2356.7630804342298</v>
      </c>
    </row>
    <row r="134" spans="1:30" x14ac:dyDescent="0.25">
      <c r="A134" s="38">
        <v>-5</v>
      </c>
      <c r="B134" s="49">
        <v>242.31132685885586</v>
      </c>
      <c r="C134" s="49">
        <v>12.543901872274265</v>
      </c>
      <c r="D134" s="50">
        <f t="shared" si="34"/>
        <v>2.9634258152638981</v>
      </c>
      <c r="E134" s="15"/>
      <c r="F134" s="15"/>
      <c r="G134" s="15"/>
      <c r="H134" s="15"/>
      <c r="I134" s="15"/>
      <c r="P134" s="39">
        <v>5</v>
      </c>
      <c r="Q134">
        <v>-104.60447200000004</v>
      </c>
      <c r="R134">
        <v>184.22664701600578</v>
      </c>
      <c r="S134" s="39">
        <v>44.999985508819876</v>
      </c>
      <c r="AC134">
        <v>60.705896352941181</v>
      </c>
      <c r="AD134">
        <v>2357.5972292876545</v>
      </c>
    </row>
    <row r="135" spans="1:30" x14ac:dyDescent="0.25">
      <c r="A135" s="38">
        <v>-6</v>
      </c>
      <c r="B135" s="49">
        <v>241.85250989279174</v>
      </c>
      <c r="C135" s="49">
        <v>15.042032929508665</v>
      </c>
      <c r="D135" s="50">
        <f t="shared" si="34"/>
        <v>3.558930623139831</v>
      </c>
      <c r="E135" s="15"/>
      <c r="F135" s="15"/>
      <c r="G135" s="15"/>
      <c r="H135" s="15"/>
      <c r="I135" s="15"/>
      <c r="P135" s="39">
        <v>6</v>
      </c>
      <c r="Q135">
        <v>-45.435840000000034</v>
      </c>
      <c r="R135">
        <v>222.66314000833239</v>
      </c>
      <c r="S135" s="39">
        <v>44.999985608730199</v>
      </c>
      <c r="AC135">
        <v>61.411777705882358</v>
      </c>
      <c r="AD135">
        <v>2358.4122023365935</v>
      </c>
    </row>
    <row r="136" spans="1:30" x14ac:dyDescent="0.25">
      <c r="A136" s="37">
        <v>-7</v>
      </c>
      <c r="B136" s="49">
        <v>241.36129974539031</v>
      </c>
      <c r="C136" s="49">
        <v>17.540612599127346</v>
      </c>
      <c r="D136" s="50">
        <f t="shared" si="34"/>
        <v>4.1565875024886241</v>
      </c>
      <c r="E136" s="15"/>
      <c r="F136" s="15"/>
      <c r="G136" s="15"/>
      <c r="H136" s="15"/>
      <c r="I136" s="15"/>
      <c r="P136" s="39">
        <v>7</v>
      </c>
      <c r="Q136">
        <v>13.732791999999975</v>
      </c>
      <c r="R136">
        <v>255.70706131245987</v>
      </c>
      <c r="S136" s="39">
        <v>44.999952607484182</v>
      </c>
      <c r="AC136">
        <v>62.117659058823534</v>
      </c>
      <c r="AD136">
        <v>2359.2086533006013</v>
      </c>
    </row>
    <row r="137" spans="1:30" x14ac:dyDescent="0.25">
      <c r="A137" s="37">
        <v>-8</v>
      </c>
      <c r="B137" s="49">
        <v>240.83682587132728</v>
      </c>
      <c r="C137" s="49">
        <v>20.041340757775213</v>
      </c>
      <c r="D137" s="50">
        <f t="shared" si="34"/>
        <v>4.7569330238148986</v>
      </c>
      <c r="E137" s="15"/>
      <c r="F137" s="15"/>
      <c r="G137" s="15"/>
      <c r="H137" s="15"/>
      <c r="I137" s="15"/>
      <c r="P137" s="39">
        <v>8</v>
      </c>
      <c r="Q137">
        <v>72.901423999999992</v>
      </c>
      <c r="R137">
        <v>273.04132058172593</v>
      </c>
      <c r="S137" s="39">
        <v>44.999981666837797</v>
      </c>
      <c r="AC137">
        <v>62.823540411764711</v>
      </c>
      <c r="AD137">
        <v>2359.987206518626</v>
      </c>
    </row>
    <row r="138" spans="1:30" x14ac:dyDescent="0.25">
      <c r="A138" s="38">
        <v>-9</v>
      </c>
      <c r="B138" s="49">
        <v>240.2783622475242</v>
      </c>
      <c r="C138" s="49">
        <v>22.545921154411499</v>
      </c>
      <c r="D138" s="50">
        <f t="shared" si="34"/>
        <v>5.3605111343040983</v>
      </c>
      <c r="E138" s="15"/>
      <c r="F138" s="15"/>
      <c r="G138" s="15"/>
      <c r="H138" s="15"/>
      <c r="I138" s="15"/>
      <c r="P138" s="39">
        <v>9</v>
      </c>
      <c r="Q138">
        <v>132.07005599999999</v>
      </c>
      <c r="R138">
        <v>281.80489955212187</v>
      </c>
      <c r="S138" s="39">
        <v>45.000016585111126</v>
      </c>
      <c r="AC138">
        <v>63.529421764705887</v>
      </c>
      <c r="AD138">
        <v>2360.7484585812613</v>
      </c>
    </row>
    <row r="139" spans="1:30" x14ac:dyDescent="0.25">
      <c r="A139" s="38">
        <v>-10</v>
      </c>
      <c r="B139" s="49">
        <v>239.68490352039919</v>
      </c>
      <c r="C139" s="49">
        <v>25.056063688164656</v>
      </c>
      <c r="D139" s="50">
        <f t="shared" si="34"/>
        <v>5.9678820925886091</v>
      </c>
      <c r="E139" s="15"/>
      <c r="F139" s="15"/>
      <c r="G139" s="15"/>
      <c r="H139" s="15"/>
      <c r="I139" s="15"/>
      <c r="P139" s="39">
        <v>10</v>
      </c>
      <c r="Q139">
        <v>191.238688</v>
      </c>
      <c r="R139">
        <v>288.82962056067828</v>
      </c>
      <c r="S139" s="39">
        <v>45.000035006552892</v>
      </c>
      <c r="AC139">
        <v>64.235303117647064</v>
      </c>
      <c r="AD139">
        <v>2361.4929798553794</v>
      </c>
    </row>
    <row r="140" spans="1:30" x14ac:dyDescent="0.25">
      <c r="A140" s="37">
        <v>-11</v>
      </c>
      <c r="B140" s="49">
        <v>239.05535267362146</v>
      </c>
      <c r="C140" s="49">
        <v>27.573490385054178</v>
      </c>
      <c r="D140" s="50">
        <f t="shared" si="34"/>
        <v>6.5796220606036799</v>
      </c>
      <c r="E140" s="15"/>
      <c r="F140" s="15"/>
      <c r="G140" s="15"/>
      <c r="H140" s="15"/>
      <c r="I140" s="15"/>
      <c r="P140" s="39">
        <v>11</v>
      </c>
      <c r="Q140">
        <v>250.40732</v>
      </c>
      <c r="R140">
        <v>294.58090903132165</v>
      </c>
      <c r="S140" s="39">
        <v>44.99996066495946</v>
      </c>
      <c r="AC140">
        <v>64.94118447058824</v>
      </c>
      <c r="AD140">
        <v>2362.2213159093308</v>
      </c>
    </row>
    <row r="141" spans="1:30" x14ac:dyDescent="0.25">
      <c r="A141" s="37">
        <v>-12</v>
      </c>
      <c r="B141" s="49">
        <v>238.38861454416991</v>
      </c>
      <c r="C141" s="49">
        <v>30.099941365892075</v>
      </c>
      <c r="D141" s="50">
        <f t="shared" si="34"/>
        <v>7.1963226830821654</v>
      </c>
      <c r="E141" s="15"/>
      <c r="F141" s="15"/>
      <c r="G141" s="15"/>
      <c r="H141" s="15"/>
      <c r="I141" s="15"/>
      <c r="P141" s="39">
        <v>12</v>
      </c>
      <c r="Q141">
        <v>309.57595200000003</v>
      </c>
      <c r="R141">
        <v>296.63234687086123</v>
      </c>
      <c r="S141" s="39">
        <v>45.000052897540883</v>
      </c>
      <c r="AC141">
        <v>65.647065823529417</v>
      </c>
      <c r="AD141">
        <v>2362.9339888461968</v>
      </c>
    </row>
    <row r="142" spans="1:30" x14ac:dyDescent="0.25">
      <c r="A142" s="38">
        <v>-13</v>
      </c>
      <c r="B142" s="49">
        <v>237.68347800466054</v>
      </c>
      <c r="C142" s="49">
        <v>32.637179105559163</v>
      </c>
      <c r="D142" s="50">
        <f t="shared" si="34"/>
        <v>7.8185956859978569</v>
      </c>
      <c r="E142" s="15"/>
      <c r="F142" s="15"/>
      <c r="G142" s="15"/>
      <c r="H142" s="15"/>
      <c r="I142" s="15"/>
      <c r="P142" s="39">
        <v>13</v>
      </c>
      <c r="Q142">
        <v>368.74458400000003</v>
      </c>
      <c r="R142">
        <v>295.59790670813567</v>
      </c>
      <c r="S142" s="39">
        <v>45.000001464106504</v>
      </c>
      <c r="AC142">
        <v>66.352947176470593</v>
      </c>
      <c r="AD142">
        <v>2363.6314985519393</v>
      </c>
    </row>
    <row r="143" spans="1:30" x14ac:dyDescent="0.25">
      <c r="A143" s="38">
        <v>-14</v>
      </c>
      <c r="B143" s="49">
        <v>236.93838025793954</v>
      </c>
      <c r="C143" s="49">
        <v>35.186991052483251</v>
      </c>
      <c r="D143" s="50">
        <f t="shared" si="34"/>
        <v>8.4470830801415175</v>
      </c>
      <c r="E143" s="15"/>
      <c r="F143" s="15"/>
      <c r="G143" s="15"/>
      <c r="H143" s="15"/>
      <c r="I143" s="15"/>
      <c r="P143" s="39">
        <v>14</v>
      </c>
      <c r="Q143">
        <v>427.91321600000003</v>
      </c>
      <c r="R143">
        <v>295.88211276113486</v>
      </c>
      <c r="S143" s="39">
        <v>45.000024759826871</v>
      </c>
      <c r="AC143">
        <v>67.05882852941177</v>
      </c>
      <c r="AD143">
        <v>2364.3143238647217</v>
      </c>
    </row>
    <row r="144" spans="1:30" x14ac:dyDescent="0.25">
      <c r="A144" s="37">
        <v>-15</v>
      </c>
      <c r="B144" s="49">
        <v>236.15204759037337</v>
      </c>
      <c r="C144" s="49">
        <v>37.75120176170811</v>
      </c>
      <c r="D144" s="50">
        <f t="shared" si="34"/>
        <v>9.0824402884652891</v>
      </c>
      <c r="E144" s="15"/>
      <c r="F144" s="15"/>
      <c r="G144" s="15"/>
      <c r="H144" s="16"/>
      <c r="I144" s="19"/>
      <c r="P144" s="39">
        <v>15</v>
      </c>
      <c r="Q144">
        <v>487.08184800000004</v>
      </c>
      <c r="R144">
        <v>298.89044712827621</v>
      </c>
      <c r="S144" s="39">
        <v>45.000042011016106</v>
      </c>
      <c r="AC144">
        <v>67.764709882352946</v>
      </c>
      <c r="AD144">
        <v>2364.5100000000002</v>
      </c>
    </row>
    <row r="145" spans="1:30" x14ac:dyDescent="0.25">
      <c r="A145" s="37">
        <v>-16</v>
      </c>
      <c r="B145" s="49">
        <v>235.32271430319562</v>
      </c>
      <c r="C145" s="49">
        <v>40.33167022324281</v>
      </c>
      <c r="D145" s="50">
        <f t="shared" si="34"/>
        <v>9.7253631079394633</v>
      </c>
      <c r="E145" s="15"/>
      <c r="F145" s="15"/>
      <c r="G145" s="15"/>
      <c r="H145" s="16"/>
      <c r="I145" s="19"/>
      <c r="P145" s="39">
        <v>16</v>
      </c>
      <c r="Q145">
        <v>546.25048000000004</v>
      </c>
      <c r="R145">
        <v>300.35408029646163</v>
      </c>
      <c r="S145" s="39">
        <v>45.000064252518399</v>
      </c>
      <c r="AC145">
        <v>68.470591235294123</v>
      </c>
      <c r="AD145">
        <v>2364.5100000000002</v>
      </c>
    </row>
    <row r="146" spans="1:30" x14ac:dyDescent="0.25">
      <c r="A146" s="38">
        <v>-17</v>
      </c>
      <c r="B146" s="49">
        <v>234.44877048860567</v>
      </c>
      <c r="C146" s="49">
        <v>42.930302943047081</v>
      </c>
      <c r="D146" s="50">
        <f t="shared" si="34"/>
        <v>10.376569253910368</v>
      </c>
      <c r="E146" s="15"/>
      <c r="F146" s="15"/>
      <c r="G146" s="15"/>
      <c r="H146" s="15"/>
      <c r="I146" s="15"/>
      <c r="P146" s="39">
        <v>17</v>
      </c>
      <c r="Q146">
        <v>605.41911200000004</v>
      </c>
      <c r="R146">
        <v>300.05597806078151</v>
      </c>
      <c r="S146" s="39">
        <v>45.000011262138472</v>
      </c>
      <c r="AC146">
        <v>69.176472588235299</v>
      </c>
      <c r="AD146">
        <v>2364.5100000000002</v>
      </c>
    </row>
    <row r="147" spans="1:30" x14ac:dyDescent="0.25">
      <c r="A147" s="38">
        <v>-18</v>
      </c>
      <c r="B147" s="51">
        <v>233.52818633724726</v>
      </c>
      <c r="C147" s="51">
        <v>45.549053217549726</v>
      </c>
      <c r="D147" s="50">
        <f t="shared" si="34"/>
        <v>11.036822393797975</v>
      </c>
      <c r="P147" s="39">
        <v>18</v>
      </c>
      <c r="Q147">
        <v>664.58774400000004</v>
      </c>
      <c r="R147">
        <v>297.52935959129206</v>
      </c>
      <c r="S147" s="39">
        <v>45.000038966030132</v>
      </c>
      <c r="AC147">
        <v>69.882353941176476</v>
      </c>
      <c r="AD147">
        <v>2364.5100000000002</v>
      </c>
    </row>
    <row r="148" spans="1:30" x14ac:dyDescent="0.25">
      <c r="A148" s="37">
        <v>-19</v>
      </c>
      <c r="B148" s="51">
        <v>232.9864218057983</v>
      </c>
      <c r="C148" s="51">
        <v>47.1048777122624</v>
      </c>
      <c r="D148" s="50">
        <f t="shared" si="34"/>
        <v>11.429907831780097</v>
      </c>
      <c r="P148" s="39">
        <v>19</v>
      </c>
      <c r="Q148">
        <v>723.75637600000005</v>
      </c>
      <c r="R148">
        <v>292.92997015399789</v>
      </c>
      <c r="S148" s="39">
        <v>44.999934332083676</v>
      </c>
      <c r="AC148">
        <v>70.588235294117652</v>
      </c>
      <c r="AD148">
        <v>2364.5100000000002</v>
      </c>
    </row>
    <row r="149" spans="1:30" x14ac:dyDescent="0.25">
      <c r="A149" s="37">
        <v>-20</v>
      </c>
      <c r="B149" s="51">
        <v>231.96542610501217</v>
      </c>
      <c r="C149" s="51">
        <v>49.769285621554374</v>
      </c>
      <c r="D149" s="50">
        <f t="shared" si="34"/>
        <v>12.10949451767673</v>
      </c>
      <c r="P149" s="39">
        <v>20</v>
      </c>
      <c r="Q149">
        <v>782.92500800000005</v>
      </c>
      <c r="R149">
        <v>285.98602954975536</v>
      </c>
      <c r="S149" s="39">
        <v>44.999933635557092</v>
      </c>
    </row>
    <row r="150" spans="1:30" x14ac:dyDescent="0.25">
      <c r="A150" s="38">
        <v>-21</v>
      </c>
      <c r="B150" s="51">
        <v>230.5766813941149</v>
      </c>
      <c r="C150" s="51">
        <v>52.577810735915392</v>
      </c>
      <c r="D150" s="50">
        <f t="shared" si="34"/>
        <v>12.845377427392339</v>
      </c>
      <c r="P150" s="39">
        <v>21</v>
      </c>
      <c r="Q150">
        <v>842.09364000000005</v>
      </c>
      <c r="R150">
        <v>276.45578900306242</v>
      </c>
      <c r="S150" s="39">
        <v>44.999972353176986</v>
      </c>
    </row>
    <row r="151" spans="1:30" x14ac:dyDescent="0.25">
      <c r="A151" s="38">
        <v>-22</v>
      </c>
      <c r="B151" s="51">
        <v>228.99068558930981</v>
      </c>
      <c r="C151" s="51">
        <v>55.467526693098669</v>
      </c>
      <c r="D151" s="50">
        <f t="shared" si="34"/>
        <v>13.616273223651611</v>
      </c>
      <c r="P151" s="39">
        <v>22</v>
      </c>
      <c r="Q151">
        <v>901.26227200000005</v>
      </c>
      <c r="R151">
        <v>264.13954808739715</v>
      </c>
      <c r="S151" s="39">
        <v>45.000019064187811</v>
      </c>
    </row>
    <row r="152" spans="1:30" x14ac:dyDescent="0.25">
      <c r="A152" s="37">
        <v>-23</v>
      </c>
      <c r="B152" s="51">
        <v>227.34670388699809</v>
      </c>
      <c r="C152" s="51">
        <v>58.387454673016173</v>
      </c>
      <c r="D152" s="50">
        <f t="shared" si="34"/>
        <v>14.403485542842384</v>
      </c>
      <c r="P152" s="39">
        <v>23</v>
      </c>
      <c r="Q152">
        <v>960.43090400000006</v>
      </c>
      <c r="R152">
        <v>248.83207748274128</v>
      </c>
      <c r="S152" s="39">
        <v>44.999999698850331</v>
      </c>
    </row>
    <row r="153" spans="1:30" x14ac:dyDescent="0.25">
      <c r="A153" s="37">
        <v>-24</v>
      </c>
      <c r="B153" s="51">
        <v>225.64159298134209</v>
      </c>
      <c r="C153" s="51">
        <v>61.340118302022674</v>
      </c>
      <c r="D153" s="50">
        <f t="shared" si="34"/>
        <v>15.208194333194147</v>
      </c>
      <c r="P153" s="39">
        <v>24</v>
      </c>
      <c r="Q153">
        <v>1019.5995360000001</v>
      </c>
      <c r="R153">
        <v>230.13866145841249</v>
      </c>
      <c r="S153" s="39">
        <v>45.000018131396928</v>
      </c>
    </row>
    <row r="154" spans="1:30" x14ac:dyDescent="0.25">
      <c r="A154" s="38">
        <v>-25</v>
      </c>
      <c r="B154" s="51">
        <v>223.87155813641087</v>
      </c>
      <c r="C154" s="51">
        <v>64.328132827978266</v>
      </c>
      <c r="D154" s="50">
        <f t="shared" si="34"/>
        <v>16.03168338846783</v>
      </c>
      <c r="P154" s="39">
        <v>25</v>
      </c>
      <c r="Q154">
        <v>1078.7681680000001</v>
      </c>
      <c r="R154">
        <v>207.83423283657311</v>
      </c>
      <c r="S154" s="39">
        <v>44.999925715607738</v>
      </c>
    </row>
    <row r="155" spans="1:30" x14ac:dyDescent="0.25">
      <c r="A155" s="38">
        <v>-26</v>
      </c>
      <c r="B155" s="51">
        <v>222.03278981972636</v>
      </c>
      <c r="C155" s="51">
        <v>67.354232965569551</v>
      </c>
      <c r="D155" s="50">
        <f t="shared" si="34"/>
        <v>16.875312519640637</v>
      </c>
      <c r="P155" s="39">
        <v>26</v>
      </c>
      <c r="Q155">
        <v>1137.9368000000002</v>
      </c>
      <c r="R155">
        <v>181.06940912437278</v>
      </c>
      <c r="S155" s="39">
        <v>44.999925126738006</v>
      </c>
    </row>
    <row r="156" spans="1:30" x14ac:dyDescent="0.25">
      <c r="A156" s="37">
        <v>-27</v>
      </c>
      <c r="B156" s="51">
        <v>220.12107033135558</v>
      </c>
      <c r="C156" s="51">
        <v>70.421274194802834</v>
      </c>
      <c r="D156" s="50">
        <f t="shared" si="34"/>
        <v>17.740547016516761</v>
      </c>
      <c r="P156" s="39">
        <v>27</v>
      </c>
      <c r="Q156">
        <v>1137.9368000000002</v>
      </c>
      <c r="R156">
        <v>0</v>
      </c>
      <c r="S156" s="39">
        <v>44.999999996766405</v>
      </c>
    </row>
    <row r="157" spans="1:30" x14ac:dyDescent="0.25">
      <c r="A157" s="37">
        <v>-28</v>
      </c>
      <c r="B157" s="51">
        <v>218.13199095017328</v>
      </c>
      <c r="C157" s="51">
        <v>73.532251799767465</v>
      </c>
      <c r="D157" s="50">
        <f t="shared" si="34"/>
        <v>18.628951550049258</v>
      </c>
      <c r="P157" s="39">
        <v>28</v>
      </c>
      <c r="S157" s="39">
        <v>44.999999996600764</v>
      </c>
    </row>
    <row r="158" spans="1:30" x14ac:dyDescent="0.25">
      <c r="A158" s="38">
        <v>-29</v>
      </c>
      <c r="B158" s="51">
        <v>216.06055224423335</v>
      </c>
      <c r="C158" s="51">
        <v>76.690240042707615</v>
      </c>
      <c r="D158" s="50">
        <f t="shared" si="34"/>
        <v>19.542211444061564</v>
      </c>
      <c r="P158" s="39">
        <v>29</v>
      </c>
      <c r="S158" s="39">
        <v>45.000000008817594</v>
      </c>
    </row>
    <row r="159" spans="1:30" x14ac:dyDescent="0.25">
      <c r="A159" s="38">
        <v>-30</v>
      </c>
      <c r="B159" s="51">
        <v>213.95908955745207</v>
      </c>
      <c r="C159" s="51">
        <v>79.805731699989337</v>
      </c>
      <c r="D159" s="50">
        <f t="shared" si="34"/>
        <v>20.455278259773955</v>
      </c>
      <c r="P159" s="39">
        <v>30</v>
      </c>
      <c r="S159" s="39">
        <v>44.99999999902542</v>
      </c>
    </row>
    <row r="160" spans="1:30" x14ac:dyDescent="0.25">
      <c r="A160" s="37">
        <v>-31</v>
      </c>
      <c r="B160" s="51">
        <v>211.87558471929697</v>
      </c>
      <c r="C160" s="51">
        <v>82.804190613410029</v>
      </c>
      <c r="D160" s="50">
        <f t="shared" si="34"/>
        <v>21.346311657697427</v>
      </c>
      <c r="P160" s="39">
        <v>31</v>
      </c>
      <c r="S160" s="39">
        <v>45.000000005926921</v>
      </c>
    </row>
    <row r="161" spans="1:19" x14ac:dyDescent="0.25">
      <c r="A161" s="37">
        <v>-32</v>
      </c>
      <c r="B161" s="51">
        <v>209.80721625604096</v>
      </c>
      <c r="C161" s="51">
        <v>85.696493410716187</v>
      </c>
      <c r="D161" s="50">
        <f t="shared" si="34"/>
        <v>22.217731928088337</v>
      </c>
      <c r="P161" s="39">
        <v>32</v>
      </c>
      <c r="S161" s="39">
        <v>44.999999993474333</v>
      </c>
    </row>
    <row r="162" spans="1:19" x14ac:dyDescent="0.25">
      <c r="A162" s="38">
        <v>-33</v>
      </c>
      <c r="B162" s="51">
        <v>207.7512435611338</v>
      </c>
      <c r="C162" s="51">
        <v>88.492375367352864</v>
      </c>
      <c r="D162" s="50">
        <f t="shared" si="34"/>
        <v>23.071750925722956</v>
      </c>
      <c r="P162" s="39">
        <v>33</v>
      </c>
      <c r="S162" s="39">
        <v>45.000000002934492</v>
      </c>
    </row>
    <row r="163" spans="1:19" x14ac:dyDescent="0.25">
      <c r="A163" s="38">
        <v>-34</v>
      </c>
      <c r="B163" s="51">
        <v>205.7051117902781</v>
      </c>
      <c r="C163" s="51">
        <v>91.200606303184273</v>
      </c>
      <c r="D163" s="50">
        <f t="shared" si="34"/>
        <v>23.910393900939315</v>
      </c>
      <c r="P163" s="39">
        <v>34</v>
      </c>
      <c r="S163" s="39">
        <v>44.999999993949622</v>
      </c>
    </row>
    <row r="164" spans="1:19" x14ac:dyDescent="0.25">
      <c r="A164" s="37">
        <v>-35</v>
      </c>
      <c r="B164" s="51">
        <v>203.66609558259051</v>
      </c>
      <c r="C164" s="51">
        <v>93.829072717551583</v>
      </c>
      <c r="D164" s="50">
        <f t="shared" si="34"/>
        <v>24.735547758570842</v>
      </c>
      <c r="P164" s="39">
        <v>35</v>
      </c>
      <c r="S164" s="39">
        <v>44.999999996032344</v>
      </c>
    </row>
    <row r="165" spans="1:19" x14ac:dyDescent="0.25">
      <c r="A165" s="37">
        <v>-36</v>
      </c>
      <c r="B165" s="51">
        <v>202.14543053443569</v>
      </c>
      <c r="C165" s="51">
        <v>95.543625366598008</v>
      </c>
      <c r="D165" s="50">
        <f t="shared" si="34"/>
        <v>25.297664256070096</v>
      </c>
      <c r="P165" s="39">
        <v>36</v>
      </c>
      <c r="S165" s="39">
        <v>45.000000003616989</v>
      </c>
    </row>
    <row r="166" spans="1:19" x14ac:dyDescent="0.25">
      <c r="A166" s="38">
        <v>-37</v>
      </c>
      <c r="B166" s="51">
        <v>200.09599861556583</v>
      </c>
      <c r="C166" s="51">
        <v>98.05716957706224</v>
      </c>
      <c r="D166" s="50">
        <f t="shared" si="34"/>
        <v>26.107193057611873</v>
      </c>
      <c r="P166" s="39">
        <v>37</v>
      </c>
      <c r="S166" s="39">
        <v>44.999999993988027</v>
      </c>
    </row>
    <row r="167" spans="1:19" x14ac:dyDescent="0.25">
      <c r="A167" s="38">
        <v>-38</v>
      </c>
      <c r="B167" s="51">
        <v>198.04599874952501</v>
      </c>
      <c r="C167" s="51">
        <v>100.50984869477384</v>
      </c>
      <c r="D167" s="50">
        <f t="shared" si="34"/>
        <v>26.908139601956353</v>
      </c>
      <c r="P167" s="39">
        <v>38</v>
      </c>
      <c r="S167" s="39">
        <v>44.999999992582161</v>
      </c>
    </row>
    <row r="168" spans="1:19" x14ac:dyDescent="0.25">
      <c r="A168" s="37">
        <v>-39</v>
      </c>
      <c r="B168" s="51">
        <v>195.99302187322243</v>
      </c>
      <c r="C168" s="51">
        <v>102.90723354442662</v>
      </c>
      <c r="D168" s="50">
        <f t="shared" si="34"/>
        <v>27.701970037486795</v>
      </c>
      <c r="P168" s="39">
        <v>39</v>
      </c>
      <c r="S168" s="39">
        <v>44.999999996440806</v>
      </c>
    </row>
    <row r="169" spans="1:19" x14ac:dyDescent="0.25">
      <c r="A169" s="37">
        <v>-40</v>
      </c>
      <c r="B169" s="51">
        <v>193.93451332802806</v>
      </c>
      <c r="C169" s="51">
        <v>105.25443561861223</v>
      </c>
      <c r="D169" s="50">
        <f t="shared" si="34"/>
        <v>28.490093218172422</v>
      </c>
      <c r="P169" s="39">
        <v>40</v>
      </c>
      <c r="S169" s="39">
        <v>44.999999992560419</v>
      </c>
    </row>
    <row r="170" spans="1:19" x14ac:dyDescent="0.25">
      <c r="A170" s="38">
        <v>-41</v>
      </c>
      <c r="B170" s="51">
        <v>191.86775703271141</v>
      </c>
      <c r="C170" s="51">
        <v>107.55614367679034</v>
      </c>
      <c r="D170" s="50">
        <f t="shared" si="34"/>
        <v>29.273871951838689</v>
      </c>
      <c r="P170" s="39">
        <v>41</v>
      </c>
      <c r="S170" s="39">
        <v>44.999999993963534</v>
      </c>
    </row>
    <row r="171" spans="1:19" x14ac:dyDescent="0.25">
      <c r="A171" s="38">
        <v>-42</v>
      </c>
      <c r="B171" s="51">
        <v>189.79025404463053</v>
      </c>
      <c r="C171" s="51">
        <v>109.81680202825342</v>
      </c>
      <c r="D171" s="50">
        <f t="shared" si="34"/>
        <v>30.054615267487293</v>
      </c>
      <c r="P171" s="39">
        <v>42</v>
      </c>
      <c r="S171" s="39">
        <v>44.999999997993569</v>
      </c>
    </row>
    <row r="172" spans="1:19" x14ac:dyDescent="0.25">
      <c r="A172" s="37">
        <v>-43</v>
      </c>
      <c r="B172" s="51">
        <v>187.6991919983015</v>
      </c>
      <c r="C172" s="51">
        <v>112.04048089101609</v>
      </c>
      <c r="D172" s="50">
        <f t="shared" si="34"/>
        <v>30.833614871857016</v>
      </c>
      <c r="P172" s="39">
        <v>43</v>
      </c>
      <c r="S172" s="39">
        <v>45.00000000309096</v>
      </c>
    </row>
    <row r="173" spans="1:19" x14ac:dyDescent="0.25">
      <c r="A173" s="37">
        <v>-44</v>
      </c>
      <c r="B173" s="51">
        <v>185.59182272670768</v>
      </c>
      <c r="C173" s="51">
        <v>114.23105005767698</v>
      </c>
      <c r="D173" s="50">
        <f t="shared" si="34"/>
        <v>31.61213664255617</v>
      </c>
      <c r="P173" s="39">
        <v>44</v>
      </c>
      <c r="S173" s="39">
        <v>45.000000002439378</v>
      </c>
    </row>
    <row r="174" spans="1:19" x14ac:dyDescent="0.25">
      <c r="A174" s="38">
        <v>-45</v>
      </c>
      <c r="B174" s="51">
        <v>183.46524206689895</v>
      </c>
      <c r="C174" s="51">
        <v>116.39213948258944</v>
      </c>
      <c r="D174" s="50">
        <f t="shared" si="34"/>
        <v>32.391440351565443</v>
      </c>
      <c r="P174" s="39">
        <v>45</v>
      </c>
      <c r="S174" s="39">
        <v>44.999999991538317</v>
      </c>
    </row>
    <row r="175" spans="1:19" x14ac:dyDescent="0.25">
      <c r="A175" s="38">
        <v>-46</v>
      </c>
      <c r="B175" s="51">
        <v>181.31646383360001</v>
      </c>
      <c r="C175" s="51">
        <v>118.52720781408104</v>
      </c>
      <c r="D175" s="50">
        <f t="shared" si="34"/>
        <v>33.172785802763734</v>
      </c>
      <c r="P175" s="39">
        <v>46</v>
      </c>
      <c r="S175" s="39">
        <v>45.000000001361656</v>
      </c>
    </row>
    <row r="176" spans="1:19" x14ac:dyDescent="0.25">
      <c r="A176" s="37">
        <v>-47</v>
      </c>
      <c r="B176" s="51">
        <v>179.14222013187484</v>
      </c>
      <c r="C176" s="51">
        <v>120.63948137090362</v>
      </c>
      <c r="D176" s="50">
        <f t="shared" si="34"/>
        <v>33.957449146971619</v>
      </c>
      <c r="P176" s="39">
        <v>47</v>
      </c>
      <c r="S176" s="39">
        <v>44.999999994567524</v>
      </c>
    </row>
    <row r="177" spans="1:19" x14ac:dyDescent="0.25">
      <c r="A177" s="37">
        <v>-48</v>
      </c>
      <c r="B177" s="51">
        <v>176.93929611287166</v>
      </c>
      <c r="C177" s="51">
        <v>122.73215891822242</v>
      </c>
      <c r="D177" s="50">
        <f t="shared" si="34"/>
        <v>34.74672107636983</v>
      </c>
      <c r="P177" s="39">
        <v>48</v>
      </c>
      <c r="S177" s="39">
        <v>45.000000006495242</v>
      </c>
    </row>
    <row r="178" spans="1:19" x14ac:dyDescent="0.25">
      <c r="A178" s="38">
        <v>-49</v>
      </c>
      <c r="B178" s="51">
        <v>174.70402619408404</v>
      </c>
      <c r="C178" s="51">
        <v>124.80818563306546</v>
      </c>
      <c r="D178" s="50">
        <f t="shared" si="34"/>
        <v>35.541932965402189</v>
      </c>
      <c r="P178" s="39">
        <v>49</v>
      </c>
      <c r="S178" s="39">
        <v>44.999999995872663</v>
      </c>
    </row>
    <row r="179" spans="1:19" x14ac:dyDescent="0.25">
      <c r="A179" s="38">
        <v>-50</v>
      </c>
      <c r="B179" s="51">
        <v>172.43274544554751</v>
      </c>
      <c r="C179" s="51">
        <v>126.87053629961963</v>
      </c>
      <c r="D179" s="50">
        <f t="shared" si="34"/>
        <v>36.344453894086364</v>
      </c>
      <c r="P179" s="39">
        <v>50</v>
      </c>
      <c r="S179" s="39">
        <v>44.999999999802611</v>
      </c>
    </row>
    <row r="180" spans="1:19" x14ac:dyDescent="0.25">
      <c r="A180" s="37">
        <v>-51</v>
      </c>
      <c r="B180" s="51">
        <v>170.12126539048194</v>
      </c>
      <c r="C180" s="51">
        <v>128.92194489118299</v>
      </c>
      <c r="D180" s="50">
        <f t="shared" si="34"/>
        <v>37.155715394425542</v>
      </c>
      <c r="P180" s="39">
        <v>51</v>
      </c>
      <c r="S180" s="39">
        <v>45.000000003474021</v>
      </c>
    </row>
    <row r="181" spans="1:19" x14ac:dyDescent="0.25">
      <c r="A181" s="37">
        <v>-52</v>
      </c>
      <c r="B181" s="51">
        <v>167.76541474017984</v>
      </c>
      <c r="C181" s="51">
        <v>130.96528808633465</v>
      </c>
      <c r="D181" s="50">
        <f t="shared" si="34"/>
        <v>37.977212283880569</v>
      </c>
      <c r="P181" s="39">
        <v>52</v>
      </c>
      <c r="S181" s="39">
        <v>44.999999992803495</v>
      </c>
    </row>
    <row r="182" spans="1:19" x14ac:dyDescent="0.25">
      <c r="A182" s="38">
        <v>-53</v>
      </c>
      <c r="B182" s="51">
        <v>165.36048438611923</v>
      </c>
      <c r="C182" s="51">
        <v>133.00327885517501</v>
      </c>
      <c r="D182" s="50">
        <f t="shared" si="34"/>
        <v>38.810528353127047</v>
      </c>
      <c r="P182" s="39">
        <v>53</v>
      </c>
      <c r="S182" s="39">
        <v>45.000000007446815</v>
      </c>
    </row>
    <row r="183" spans="1:19" x14ac:dyDescent="0.25">
      <c r="A183" s="38">
        <v>-54</v>
      </c>
      <c r="B183" s="51">
        <v>162.90125450982376</v>
      </c>
      <c r="C183" s="51">
        <v>135.03850533817894</v>
      </c>
      <c r="D183" s="50">
        <f t="shared" si="34"/>
        <v>39.657348483169933</v>
      </c>
      <c r="P183" s="39">
        <v>54</v>
      </c>
      <c r="S183" s="39">
        <v>45.00000000114899</v>
      </c>
    </row>
    <row r="184" spans="1:19" x14ac:dyDescent="0.25">
      <c r="A184" s="37">
        <v>-55</v>
      </c>
      <c r="B184" s="51">
        <v>160.38231969259897</v>
      </c>
      <c r="C184" s="51">
        <v>137.07374923637812</v>
      </c>
      <c r="D184" s="50">
        <f t="shared" si="34"/>
        <v>40.519475032881864</v>
      </c>
      <c r="P184" s="39">
        <v>55</v>
      </c>
      <c r="S184" s="39">
        <v>44.999999995019607</v>
      </c>
    </row>
    <row r="185" spans="1:19" x14ac:dyDescent="0.25">
      <c r="A185" s="37">
        <v>-56</v>
      </c>
      <c r="B185" s="51">
        <v>157.79759817160686</v>
      </c>
      <c r="C185" s="51">
        <v>139.11168204864379</v>
      </c>
      <c r="D185" s="50">
        <f t="shared" si="34"/>
        <v>41.398852958922873</v>
      </c>
      <c r="P185" s="39">
        <v>56</v>
      </c>
      <c r="S185" s="39">
        <v>45.000000002461263</v>
      </c>
    </row>
    <row r="186" spans="1:19" x14ac:dyDescent="0.25">
      <c r="A186" s="38">
        <v>-57</v>
      </c>
      <c r="B186" s="51">
        <v>155.14042939514636</v>
      </c>
      <c r="C186" s="51">
        <v>141.15501403046471</v>
      </c>
      <c r="D186" s="50">
        <f t="shared" si="34"/>
        <v>42.297592642337584</v>
      </c>
      <c r="P186" s="39">
        <v>57</v>
      </c>
      <c r="S186" s="39">
        <v>45.000000000284487</v>
      </c>
    </row>
    <row r="187" spans="1:19" x14ac:dyDescent="0.25">
      <c r="A187" s="38">
        <v>-58</v>
      </c>
      <c r="B187" s="51">
        <v>152.40341144307752</v>
      </c>
      <c r="C187" s="51">
        <v>143.20644383430374</v>
      </c>
      <c r="D187" s="50">
        <f t="shared" si="34"/>
        <v>43.217997476939139</v>
      </c>
      <c r="P187" s="39">
        <v>58</v>
      </c>
      <c r="S187" s="39">
        <v>44.999999994645904</v>
      </c>
    </row>
    <row r="188" spans="1:19" x14ac:dyDescent="0.25">
      <c r="A188" s="37">
        <v>-59</v>
      </c>
      <c r="B188" s="51">
        <v>149.55727533159805</v>
      </c>
      <c r="C188" s="51">
        <v>145.23623186503355</v>
      </c>
      <c r="D188" s="50">
        <f t="shared" si="34"/>
        <v>44.160226331174101</v>
      </c>
      <c r="P188" s="39">
        <v>59</v>
      </c>
      <c r="S188" s="39">
        <v>45.000000007512085</v>
      </c>
    </row>
    <row r="189" spans="1:19" x14ac:dyDescent="0.25">
      <c r="A189" s="37">
        <v>-60</v>
      </c>
      <c r="B189" s="51">
        <v>146.57638722358334</v>
      </c>
      <c r="C189" s="51">
        <v>147.2174043474038</v>
      </c>
      <c r="D189" s="50">
        <f t="shared" si="34"/>
        <v>45.125011210460116</v>
      </c>
      <c r="P189" s="39">
        <v>60</v>
      </c>
      <c r="S189" s="39">
        <v>45.000000002640647</v>
      </c>
    </row>
    <row r="190" spans="1:19" x14ac:dyDescent="0.25">
      <c r="A190" s="38">
        <v>-61</v>
      </c>
      <c r="B190" s="51">
        <v>143.4895972646348</v>
      </c>
      <c r="C190" s="51">
        <v>149.21052657134342</v>
      </c>
      <c r="D190" s="50">
        <f t="shared" si="34"/>
        <v>46.119724068310497</v>
      </c>
      <c r="P190" s="39">
        <v>61</v>
      </c>
      <c r="S190" s="39">
        <v>44.99999999247688</v>
      </c>
    </row>
    <row r="191" spans="1:19" x14ac:dyDescent="0.25">
      <c r="A191" s="38">
        <v>-62</v>
      </c>
      <c r="B191" s="51">
        <v>140.28574354026702</v>
      </c>
      <c r="C191" s="51">
        <v>151.21842376737831</v>
      </c>
      <c r="D191" s="50">
        <f t="shared" si="34"/>
        <v>47.147835474883323</v>
      </c>
      <c r="P191" s="39">
        <v>62</v>
      </c>
      <c r="S191" s="39">
        <v>45.000000009693743</v>
      </c>
    </row>
    <row r="192" spans="1:19" x14ac:dyDescent="0.25">
      <c r="A192" s="37">
        <v>-63</v>
      </c>
      <c r="B192" s="51">
        <v>136.95233616805498</v>
      </c>
      <c r="C192" s="51">
        <v>153.24419913827992</v>
      </c>
      <c r="D192" s="50">
        <f t="shared" si="34"/>
        <v>48.213257366417672</v>
      </c>
      <c r="P192" s="39">
        <v>63</v>
      </c>
      <c r="S192" s="39">
        <v>45.000000000656911</v>
      </c>
    </row>
    <row r="193" spans="1:19" x14ac:dyDescent="0.25">
      <c r="A193" s="37">
        <v>-64</v>
      </c>
      <c r="B193" s="51">
        <v>133.47504385528154</v>
      </c>
      <c r="C193" s="51">
        <v>155.29089903606646</v>
      </c>
      <c r="D193" s="50">
        <f t="shared" si="34"/>
        <v>49.320407206862832</v>
      </c>
      <c r="P193" s="39">
        <v>64</v>
      </c>
      <c r="S193" s="39">
        <v>44.999999995447396</v>
      </c>
    </row>
    <row r="194" spans="1:19" x14ac:dyDescent="0.25">
      <c r="A194" s="38">
        <v>-65</v>
      </c>
      <c r="B194" s="51">
        <v>129.83764202610183</v>
      </c>
      <c r="C194" s="51">
        <v>157.36193328737957</v>
      </c>
      <c r="D194" s="50">
        <f t="shared" ref="D194:D257" si="35">IF(DEGREES(ATAN2(B194,C194))&lt;0,DEGREES(ATAN2(B194,C194))+360,DEGREES(ATAN2(B194,C194)))</f>
        <v>50.474325611751389</v>
      </c>
      <c r="P194" s="39">
        <v>65</v>
      </c>
      <c r="S194" s="39">
        <v>45.000000006248513</v>
      </c>
    </row>
    <row r="195" spans="1:19" x14ac:dyDescent="0.25">
      <c r="A195" s="38">
        <v>-66</v>
      </c>
      <c r="B195" s="51">
        <v>126.02137347674972</v>
      </c>
      <c r="C195" s="51">
        <v>159.46068643565334</v>
      </c>
      <c r="D195" s="50">
        <f t="shared" si="35"/>
        <v>51.680772452775074</v>
      </c>
      <c r="P195" s="39">
        <v>66</v>
      </c>
      <c r="S195" s="39">
        <v>44.999999997244558</v>
      </c>
    </row>
    <row r="196" spans="1:19" x14ac:dyDescent="0.25">
      <c r="A196" s="37">
        <v>-67</v>
      </c>
      <c r="B196" s="51">
        <v>122.00471810183154</v>
      </c>
      <c r="C196" s="51">
        <v>161.59101002611803</v>
      </c>
      <c r="D196" s="50">
        <f t="shared" si="35"/>
        <v>52.946403781613526</v>
      </c>
      <c r="P196" s="39">
        <v>67</v>
      </c>
      <c r="S196" s="39">
        <v>44.999999996882806</v>
      </c>
    </row>
    <row r="197" spans="1:19" x14ac:dyDescent="0.25">
      <c r="A197" s="37">
        <v>-68</v>
      </c>
      <c r="B197" s="51">
        <v>117.7626504409712</v>
      </c>
      <c r="C197" s="51">
        <v>163.75705452373086</v>
      </c>
      <c r="D197" s="50">
        <f t="shared" si="35"/>
        <v>54.278945958749418</v>
      </c>
      <c r="P197" s="39">
        <v>68</v>
      </c>
      <c r="S197" s="39">
        <v>45.000000001369429</v>
      </c>
    </row>
    <row r="198" spans="1:19" x14ac:dyDescent="0.25">
      <c r="A198" s="38">
        <v>-69</v>
      </c>
      <c r="B198" s="51">
        <v>113.26578898853317</v>
      </c>
      <c r="C198" s="51">
        <v>165.96302497213347</v>
      </c>
      <c r="D198" s="50">
        <f t="shared" si="35"/>
        <v>55.687399839871908</v>
      </c>
      <c r="P198" s="39">
        <v>69</v>
      </c>
      <c r="S198" s="39">
        <v>45.000000003327244</v>
      </c>
    </row>
    <row r="199" spans="1:19" x14ac:dyDescent="0.25">
      <c r="A199" s="38">
        <v>-70</v>
      </c>
      <c r="B199" s="51">
        <v>108.47966677364367</v>
      </c>
      <c r="C199" s="51">
        <v>168.21394663006731</v>
      </c>
      <c r="D199" s="50">
        <f t="shared" si="35"/>
        <v>57.182392977210114</v>
      </c>
      <c r="P199" s="39">
        <v>70</v>
      </c>
      <c r="S199" s="39">
        <v>45.000000008671414</v>
      </c>
    </row>
    <row r="200" spans="1:19" x14ac:dyDescent="0.25">
      <c r="A200" s="37">
        <v>-71</v>
      </c>
      <c r="B200" s="51">
        <v>103.36325062255295</v>
      </c>
      <c r="C200" s="51">
        <v>170.51514011757044</v>
      </c>
      <c r="D200" s="50">
        <f t="shared" si="35"/>
        <v>58.776500304314403</v>
      </c>
      <c r="P200" s="39">
        <v>71</v>
      </c>
      <c r="S200" s="39">
        <v>45.000000008746142</v>
      </c>
    </row>
    <row r="201" spans="1:19" x14ac:dyDescent="0.25">
      <c r="A201" s="37">
        <v>-72</v>
      </c>
      <c r="B201" s="51">
        <v>97.867362952902525</v>
      </c>
      <c r="C201" s="51">
        <v>172.87236801555323</v>
      </c>
      <c r="D201" s="50">
        <f t="shared" si="35"/>
        <v>60.484716553717256</v>
      </c>
      <c r="P201" s="39">
        <v>72</v>
      </c>
      <c r="S201" s="39">
        <v>44.999999995355992</v>
      </c>
    </row>
    <row r="202" spans="1:19" x14ac:dyDescent="0.25">
      <c r="A202" s="38">
        <v>-73</v>
      </c>
      <c r="B202" s="51">
        <v>91.966152095873042</v>
      </c>
      <c r="C202" s="51">
        <v>175.2816463929733</v>
      </c>
      <c r="D202" s="50">
        <f t="shared" si="35"/>
        <v>62.315061620112218</v>
      </c>
      <c r="P202" s="39">
        <v>73</v>
      </c>
      <c r="S202" s="39">
        <v>44.999999997986428</v>
      </c>
    </row>
    <row r="203" spans="1:19" x14ac:dyDescent="0.25">
      <c r="A203" s="38">
        <v>-74</v>
      </c>
      <c r="B203" s="51">
        <v>85.998485631783609</v>
      </c>
      <c r="C203" s="51">
        <v>177.62554587744123</v>
      </c>
      <c r="D203" s="50">
        <f t="shared" si="35"/>
        <v>64.165773500707573</v>
      </c>
      <c r="P203" s="39">
        <v>74</v>
      </c>
      <c r="S203" s="39">
        <v>45.000000004981047</v>
      </c>
    </row>
    <row r="204" spans="1:19" x14ac:dyDescent="0.25">
      <c r="A204" s="37">
        <v>-75</v>
      </c>
      <c r="B204" s="51">
        <v>80.06543506656125</v>
      </c>
      <c r="C204" s="51">
        <v>179.87393819416752</v>
      </c>
      <c r="D204" s="50">
        <f t="shared" si="35"/>
        <v>66.005211127857407</v>
      </c>
      <c r="P204" s="39">
        <v>75</v>
      </c>
      <c r="S204" s="39">
        <v>45.00000000107886</v>
      </c>
    </row>
    <row r="205" spans="1:19" x14ac:dyDescent="0.25">
      <c r="A205" s="37">
        <v>-76</v>
      </c>
      <c r="B205" s="51">
        <v>74.162231889970954</v>
      </c>
      <c r="C205" s="51">
        <v>182.03150681024286</v>
      </c>
      <c r="D205" s="50">
        <f t="shared" si="35"/>
        <v>67.833317378901882</v>
      </c>
      <c r="P205" s="39">
        <v>76</v>
      </c>
      <c r="S205" s="39">
        <v>44.999999991552365</v>
      </c>
    </row>
    <row r="206" spans="1:19" x14ac:dyDescent="0.25">
      <c r="A206" s="38">
        <v>-77</v>
      </c>
      <c r="B206" s="51">
        <v>68.286472869939757</v>
      </c>
      <c r="C206" s="51">
        <v>184.09338159749186</v>
      </c>
      <c r="D206" s="50">
        <f t="shared" si="35"/>
        <v>69.648476167166393</v>
      </c>
      <c r="P206" s="39">
        <v>77</v>
      </c>
      <c r="S206" s="39">
        <v>45.000000008498866</v>
      </c>
    </row>
    <row r="207" spans="1:19" x14ac:dyDescent="0.25">
      <c r="A207" s="38">
        <v>-78</v>
      </c>
      <c r="B207" s="51">
        <v>63.089898677824721</v>
      </c>
      <c r="C207" s="51">
        <v>185.58422891451326</v>
      </c>
      <c r="D207" s="50">
        <f t="shared" si="35"/>
        <v>71.224385291750139</v>
      </c>
      <c r="P207">
        <v>78</v>
      </c>
      <c r="S207">
        <v>45.000000007252908</v>
      </c>
    </row>
    <row r="208" spans="1:19" x14ac:dyDescent="0.25">
      <c r="A208" s="37">
        <v>-79</v>
      </c>
      <c r="B208" s="51">
        <v>57.340389695633199</v>
      </c>
      <c r="C208" s="51">
        <v>187.12690212327249</v>
      </c>
      <c r="D208" s="50">
        <f t="shared" si="35"/>
        <v>72.963618080078518</v>
      </c>
      <c r="P208">
        <v>79</v>
      </c>
      <c r="S208">
        <v>45.000000009808083</v>
      </c>
    </row>
    <row r="209" spans="1:19" x14ac:dyDescent="0.25">
      <c r="A209" s="37">
        <v>-80</v>
      </c>
      <c r="B209" s="51">
        <v>51.604482471185392</v>
      </c>
      <c r="C209" s="51">
        <v>188.58743138204235</v>
      </c>
      <c r="D209" s="50">
        <f t="shared" si="35"/>
        <v>74.696382189502813</v>
      </c>
      <c r="P209">
        <v>80</v>
      </c>
      <c r="S209">
        <v>45.000000002539785</v>
      </c>
    </row>
    <row r="210" spans="1:19" x14ac:dyDescent="0.25">
      <c r="A210" s="38">
        <v>-81</v>
      </c>
      <c r="B210" s="51">
        <v>45.877746237894577</v>
      </c>
      <c r="C210" s="51">
        <v>189.96890491332886</v>
      </c>
      <c r="D210" s="50">
        <f t="shared" si="35"/>
        <v>76.422958629731937</v>
      </c>
      <c r="P210">
        <v>81</v>
      </c>
      <c r="S210">
        <v>44.999999995704101</v>
      </c>
    </row>
    <row r="211" spans="1:19" x14ac:dyDescent="0.25">
      <c r="A211" s="38">
        <v>-82</v>
      </c>
      <c r="B211" s="51">
        <v>40.28721182699234</v>
      </c>
      <c r="C211" s="51">
        <v>191.10868579237393</v>
      </c>
      <c r="D211" s="50">
        <f t="shared" si="35"/>
        <v>78.095896519164356</v>
      </c>
      <c r="P211">
        <v>82</v>
      </c>
      <c r="S211">
        <v>44.999999997659856</v>
      </c>
    </row>
    <row r="212" spans="1:19" x14ac:dyDescent="0.25">
      <c r="A212" s="37">
        <v>-83</v>
      </c>
      <c r="B212" s="51">
        <v>35.048196926736061</v>
      </c>
      <c r="C212" s="51">
        <v>191.73357739796495</v>
      </c>
      <c r="D212" s="50">
        <f t="shared" si="35"/>
        <v>79.640911759515248</v>
      </c>
      <c r="P212">
        <v>83</v>
      </c>
      <c r="S212">
        <v>44.999999992893265</v>
      </c>
    </row>
    <row r="213" spans="1:19" x14ac:dyDescent="0.25">
      <c r="A213" s="37">
        <v>-84</v>
      </c>
      <c r="B213" s="51">
        <v>29.817093545426332</v>
      </c>
      <c r="C213" s="51">
        <v>192.27279107452628</v>
      </c>
      <c r="D213" s="50">
        <f t="shared" si="35"/>
        <v>81.184957071534654</v>
      </c>
      <c r="P213">
        <v>84</v>
      </c>
      <c r="S213">
        <v>45.000000004866621</v>
      </c>
    </row>
    <row r="214" spans="1:19" x14ac:dyDescent="0.25">
      <c r="A214" s="38">
        <v>-85</v>
      </c>
      <c r="B214" s="51">
        <v>24.590166137687515</v>
      </c>
      <c r="C214" s="51">
        <v>192.72770732484796</v>
      </c>
      <c r="D214" s="50">
        <f t="shared" si="35"/>
        <v>82.728906372198267</v>
      </c>
      <c r="P214">
        <v>85</v>
      </c>
      <c r="S214">
        <v>44.999999991264495</v>
      </c>
    </row>
    <row r="215" spans="1:19" x14ac:dyDescent="0.25">
      <c r="A215" s="38">
        <v>-86</v>
      </c>
      <c r="B215" s="51">
        <v>20.982368476420852</v>
      </c>
      <c r="C215" s="51">
        <v>192.98150592225267</v>
      </c>
      <c r="D215" s="50">
        <f t="shared" si="35"/>
        <v>83.794756942888654</v>
      </c>
      <c r="P215">
        <v>86</v>
      </c>
      <c r="S215">
        <v>44.999999995703966</v>
      </c>
    </row>
    <row r="216" spans="1:19" x14ac:dyDescent="0.25">
      <c r="A216" s="37">
        <v>-87</v>
      </c>
      <c r="B216" s="51">
        <v>15.751457158113581</v>
      </c>
      <c r="C216" s="51">
        <v>193.27143108522625</v>
      </c>
      <c r="D216" s="50">
        <f t="shared" si="35"/>
        <v>85.34074029431018</v>
      </c>
      <c r="P216">
        <v>87</v>
      </c>
      <c r="S216">
        <v>45.00000000612944</v>
      </c>
    </row>
    <row r="217" spans="1:19" x14ac:dyDescent="0.25">
      <c r="A217" s="37">
        <v>-88</v>
      </c>
      <c r="B217" s="51">
        <v>10.513342095583775</v>
      </c>
      <c r="C217" s="51">
        <v>193.47969823604535</v>
      </c>
      <c r="D217" s="50">
        <f t="shared" si="35"/>
        <v>86.889708206476826</v>
      </c>
      <c r="P217">
        <v>88</v>
      </c>
      <c r="S217">
        <v>44.999999994496306</v>
      </c>
    </row>
    <row r="218" spans="1:19" x14ac:dyDescent="0.25">
      <c r="A218" s="38">
        <v>-89</v>
      </c>
      <c r="B218" s="51">
        <v>5.2641643060363492</v>
      </c>
      <c r="C218" s="51">
        <v>193.6069466004185</v>
      </c>
      <c r="D218" s="50">
        <f t="shared" si="35"/>
        <v>88.44251402938113</v>
      </c>
      <c r="P218">
        <v>89</v>
      </c>
      <c r="S218">
        <v>44.999999995024808</v>
      </c>
    </row>
    <row r="219" spans="1:19" x14ac:dyDescent="0.25">
      <c r="A219" s="38">
        <v>-90</v>
      </c>
      <c r="B219" s="51">
        <v>1.6481237748596868E-14</v>
      </c>
      <c r="C219" s="51">
        <v>193.65342899674982</v>
      </c>
      <c r="D219" s="50">
        <f t="shared" si="35"/>
        <v>90</v>
      </c>
      <c r="P219">
        <v>90</v>
      </c>
      <c r="S219">
        <v>44.999999997511033</v>
      </c>
    </row>
    <row r="220" spans="1:19" x14ac:dyDescent="0.25">
      <c r="A220" s="37">
        <v>-91</v>
      </c>
      <c r="B220" s="51">
        <v>-5.2641643060362906</v>
      </c>
      <c r="C220" s="51">
        <v>193.6069466004185</v>
      </c>
      <c r="D220" s="50">
        <f t="shared" si="35"/>
        <v>91.557485970618856</v>
      </c>
      <c r="P220">
        <v>91</v>
      </c>
      <c r="S220">
        <v>45.000000005994309</v>
      </c>
    </row>
    <row r="221" spans="1:19" x14ac:dyDescent="0.25">
      <c r="A221" s="37">
        <v>-92</v>
      </c>
      <c r="B221" s="51">
        <v>-10.513342095583715</v>
      </c>
      <c r="C221" s="51">
        <v>193.47969823604532</v>
      </c>
      <c r="D221" s="50">
        <f t="shared" si="35"/>
        <v>93.110291793523146</v>
      </c>
      <c r="P221">
        <v>92</v>
      </c>
      <c r="S221">
        <v>44.999999992742765</v>
      </c>
    </row>
    <row r="222" spans="1:19" x14ac:dyDescent="0.25">
      <c r="A222" s="38">
        <v>-93</v>
      </c>
      <c r="B222" s="51">
        <v>-15.751457158113439</v>
      </c>
      <c r="C222" s="51">
        <v>193.27143108522648</v>
      </c>
      <c r="D222" s="50">
        <f t="shared" si="35"/>
        <v>94.659259705689763</v>
      </c>
      <c r="P222">
        <v>93</v>
      </c>
      <c r="S222">
        <v>45.000000006247902</v>
      </c>
    </row>
    <row r="223" spans="1:19" x14ac:dyDescent="0.25">
      <c r="A223" s="38">
        <v>-94</v>
      </c>
      <c r="B223" s="51">
        <v>-20.982368476420898</v>
      </c>
      <c r="C223" s="51">
        <v>192.98150592225269</v>
      </c>
      <c r="D223" s="50">
        <f t="shared" si="35"/>
        <v>96.20524305711136</v>
      </c>
      <c r="P223">
        <v>94</v>
      </c>
      <c r="S223">
        <v>44.999999995830031</v>
      </c>
    </row>
    <row r="224" spans="1:19" x14ac:dyDescent="0.25">
      <c r="A224" s="37">
        <v>-95</v>
      </c>
      <c r="B224" s="51">
        <v>-24.590166137687355</v>
      </c>
      <c r="C224" s="51">
        <v>192.72770732484787</v>
      </c>
      <c r="D224" s="50">
        <f t="shared" si="35"/>
        <v>97.27109362780169</v>
      </c>
      <c r="P224">
        <v>95</v>
      </c>
      <c r="S224">
        <v>44.999999997627441</v>
      </c>
    </row>
    <row r="225" spans="1:19" x14ac:dyDescent="0.25">
      <c r="A225" s="37">
        <v>-96</v>
      </c>
      <c r="B225" s="51">
        <v>-29.817093545426392</v>
      </c>
      <c r="C225" s="51">
        <v>192.27279107452637</v>
      </c>
      <c r="D225" s="50">
        <f t="shared" si="35"/>
        <v>98.81504292846536</v>
      </c>
      <c r="P225">
        <v>96</v>
      </c>
      <c r="S225">
        <v>45.000000000234508</v>
      </c>
    </row>
    <row r="226" spans="1:19" x14ac:dyDescent="0.25">
      <c r="A226" s="38">
        <v>-97</v>
      </c>
      <c r="B226" s="51">
        <v>-35.048196926736061</v>
      </c>
      <c r="C226" s="51">
        <v>191.73357739796515</v>
      </c>
      <c r="D226" s="50">
        <f t="shared" si="35"/>
        <v>100.35908824048474</v>
      </c>
      <c r="P226">
        <v>97</v>
      </c>
      <c r="S226">
        <v>44.999999990039775</v>
      </c>
    </row>
    <row r="227" spans="1:19" x14ac:dyDescent="0.25">
      <c r="A227" s="38">
        <v>-98</v>
      </c>
      <c r="B227" s="51">
        <v>-40.287211826992213</v>
      </c>
      <c r="C227" s="51">
        <v>191.10868579237385</v>
      </c>
      <c r="D227" s="50">
        <f t="shared" si="35"/>
        <v>101.90410348083562</v>
      </c>
      <c r="P227">
        <v>98</v>
      </c>
      <c r="S227">
        <v>45.000000005972097</v>
      </c>
    </row>
    <row r="228" spans="1:19" x14ac:dyDescent="0.25">
      <c r="A228" s="37">
        <v>-99</v>
      </c>
      <c r="B228" s="51">
        <v>-45.87774623789457</v>
      </c>
      <c r="C228" s="51">
        <v>189.96890491332877</v>
      </c>
      <c r="D228" s="50">
        <f t="shared" si="35"/>
        <v>103.57704137026808</v>
      </c>
      <c r="P228">
        <v>99</v>
      </c>
      <c r="S228">
        <v>44.999999997676056</v>
      </c>
    </row>
    <row r="229" spans="1:19" x14ac:dyDescent="0.25">
      <c r="A229" s="37">
        <v>-100</v>
      </c>
      <c r="B229" s="51">
        <v>-51.604482471185491</v>
      </c>
      <c r="C229" s="51">
        <v>188.58743138204252</v>
      </c>
      <c r="D229" s="50">
        <f t="shared" si="35"/>
        <v>105.3036178104972</v>
      </c>
      <c r="P229">
        <v>100</v>
      </c>
      <c r="S229">
        <v>45.000000009666508</v>
      </c>
    </row>
    <row r="230" spans="1:19" x14ac:dyDescent="0.25">
      <c r="A230" s="38">
        <v>-101</v>
      </c>
      <c r="B230" s="51">
        <v>-57.340389695633192</v>
      </c>
      <c r="C230" s="51">
        <v>187.12690212327246</v>
      </c>
      <c r="D230" s="50">
        <f t="shared" si="35"/>
        <v>107.03638191992148</v>
      </c>
      <c r="P230">
        <v>101</v>
      </c>
      <c r="S230">
        <v>45.000000002426589</v>
      </c>
    </row>
    <row r="231" spans="1:19" x14ac:dyDescent="0.25">
      <c r="A231" s="38">
        <v>-102</v>
      </c>
      <c r="B231" s="51">
        <v>-63.089898677824721</v>
      </c>
      <c r="C231" s="51">
        <v>185.58422891451343</v>
      </c>
      <c r="D231" s="50">
        <f t="shared" si="35"/>
        <v>108.77561470824985</v>
      </c>
    </row>
    <row r="232" spans="1:19" x14ac:dyDescent="0.25">
      <c r="A232" s="37">
        <v>-103</v>
      </c>
      <c r="B232" s="51">
        <v>-68.286472869939686</v>
      </c>
      <c r="C232" s="51">
        <v>184.0933815974918</v>
      </c>
      <c r="D232" s="50">
        <f t="shared" si="35"/>
        <v>110.35152383283359</v>
      </c>
    </row>
    <row r="233" spans="1:19" x14ac:dyDescent="0.25">
      <c r="A233" s="37">
        <v>-104</v>
      </c>
      <c r="B233" s="51">
        <v>-74.162231889971054</v>
      </c>
      <c r="C233" s="51">
        <v>182.03150681024294</v>
      </c>
      <c r="D233" s="50">
        <f t="shared" si="35"/>
        <v>112.16668262109813</v>
      </c>
    </row>
    <row r="234" spans="1:19" x14ac:dyDescent="0.25">
      <c r="A234" s="38">
        <v>-105</v>
      </c>
      <c r="B234" s="51">
        <v>-80.065435066561363</v>
      </c>
      <c r="C234" s="51">
        <v>179.87393819416758</v>
      </c>
      <c r="D234" s="50">
        <f t="shared" si="35"/>
        <v>113.99478887214262</v>
      </c>
    </row>
    <row r="235" spans="1:19" x14ac:dyDescent="0.25">
      <c r="A235" s="38">
        <v>-106</v>
      </c>
      <c r="B235" s="51">
        <v>-85.998485631783723</v>
      </c>
      <c r="C235" s="51">
        <v>177.62554587744123</v>
      </c>
      <c r="D235" s="50">
        <f t="shared" si="35"/>
        <v>115.83422649929247</v>
      </c>
    </row>
    <row r="236" spans="1:19" x14ac:dyDescent="0.25">
      <c r="A236" s="37">
        <v>-107</v>
      </c>
      <c r="B236" s="51">
        <v>-91.966152095873056</v>
      </c>
      <c r="C236" s="51">
        <v>175.28164639297341</v>
      </c>
      <c r="D236" s="50">
        <f t="shared" si="35"/>
        <v>117.68493837988778</v>
      </c>
    </row>
    <row r="237" spans="1:19" x14ac:dyDescent="0.25">
      <c r="A237" s="37">
        <v>-108</v>
      </c>
      <c r="B237" s="51">
        <v>-97.867362952902511</v>
      </c>
      <c r="C237" s="51">
        <v>172.87236801555335</v>
      </c>
      <c r="D237" s="50">
        <f t="shared" si="35"/>
        <v>119.51528344628271</v>
      </c>
    </row>
    <row r="238" spans="1:19" x14ac:dyDescent="0.25">
      <c r="A238" s="38">
        <v>-109</v>
      </c>
      <c r="B238" s="51">
        <v>-103.36325062255288</v>
      </c>
      <c r="C238" s="51">
        <v>170.5151401175707</v>
      </c>
      <c r="D238" s="50">
        <f t="shared" si="35"/>
        <v>121.22349969568553</v>
      </c>
    </row>
    <row r="239" spans="1:19" x14ac:dyDescent="0.25">
      <c r="A239" s="38">
        <v>-110</v>
      </c>
      <c r="B239" s="51">
        <v>-108.47966677364381</v>
      </c>
      <c r="C239" s="51">
        <v>168.21394663006745</v>
      </c>
      <c r="D239" s="50">
        <f t="shared" si="35"/>
        <v>122.81760702278989</v>
      </c>
    </row>
    <row r="240" spans="1:19" x14ac:dyDescent="0.25">
      <c r="A240" s="37">
        <v>-111</v>
      </c>
      <c r="B240" s="51">
        <v>-113.26578898853312</v>
      </c>
      <c r="C240" s="51">
        <v>165.96302497213352</v>
      </c>
      <c r="D240" s="50">
        <f t="shared" si="35"/>
        <v>124.31260016012806</v>
      </c>
    </row>
    <row r="241" spans="1:4" x14ac:dyDescent="0.25">
      <c r="A241" s="37">
        <v>-112</v>
      </c>
      <c r="B241" s="51">
        <v>-117.7626504409711</v>
      </c>
      <c r="C241" s="51">
        <v>163.75705452373055</v>
      </c>
      <c r="D241" s="50">
        <f t="shared" si="35"/>
        <v>125.72105404125061</v>
      </c>
    </row>
    <row r="242" spans="1:4" x14ac:dyDescent="0.25">
      <c r="A242" s="38">
        <v>-113</v>
      </c>
      <c r="B242" s="51">
        <v>-122.00471810183144</v>
      </c>
      <c r="C242" s="51">
        <v>161.59101002611803</v>
      </c>
      <c r="D242" s="50">
        <f t="shared" si="35"/>
        <v>127.05359621838646</v>
      </c>
    </row>
    <row r="243" spans="1:4" x14ac:dyDescent="0.25">
      <c r="A243" s="38">
        <v>-114</v>
      </c>
      <c r="B243" s="51">
        <v>-126.02137347674969</v>
      </c>
      <c r="C243" s="51">
        <v>159.4606864356534</v>
      </c>
      <c r="D243" s="50">
        <f t="shared" si="35"/>
        <v>128.31922754722493</v>
      </c>
    </row>
    <row r="244" spans="1:4" x14ac:dyDescent="0.25">
      <c r="A244" s="37">
        <v>-115</v>
      </c>
      <c r="B244" s="51">
        <v>-129.83764202610186</v>
      </c>
      <c r="C244" s="51">
        <v>157.3619332873796</v>
      </c>
      <c r="D244" s="50">
        <f t="shared" si="35"/>
        <v>129.5256743882486</v>
      </c>
    </row>
    <row r="245" spans="1:4" x14ac:dyDescent="0.25">
      <c r="A245" s="37">
        <v>-116</v>
      </c>
      <c r="B245" s="51">
        <v>-133.47504385528151</v>
      </c>
      <c r="C245" s="51">
        <v>155.29089903606638</v>
      </c>
      <c r="D245" s="50">
        <f t="shared" si="35"/>
        <v>130.67959279313718</v>
      </c>
    </row>
    <row r="246" spans="1:4" x14ac:dyDescent="0.25">
      <c r="A246" s="38">
        <v>-117</v>
      </c>
      <c r="B246" s="51">
        <v>-136.95233616805498</v>
      </c>
      <c r="C246" s="51">
        <v>153.24419913828001</v>
      </c>
      <c r="D246" s="50">
        <f t="shared" si="35"/>
        <v>131.78674263358232</v>
      </c>
    </row>
    <row r="247" spans="1:4" x14ac:dyDescent="0.25">
      <c r="A247" s="38">
        <v>-118</v>
      </c>
      <c r="B247" s="51">
        <v>-140.28574354026702</v>
      </c>
      <c r="C247" s="51">
        <v>151.21842376737831</v>
      </c>
      <c r="D247" s="50">
        <f t="shared" si="35"/>
        <v>132.85216452511668</v>
      </c>
    </row>
    <row r="248" spans="1:4" x14ac:dyDescent="0.25">
      <c r="A248" s="37">
        <v>-119</v>
      </c>
      <c r="B248" s="51">
        <v>-143.4895972646348</v>
      </c>
      <c r="C248" s="51">
        <v>149.21052657134337</v>
      </c>
      <c r="D248" s="50">
        <f t="shared" si="35"/>
        <v>133.88027593168951</v>
      </c>
    </row>
    <row r="249" spans="1:4" x14ac:dyDescent="0.25">
      <c r="A249" s="37">
        <v>-120</v>
      </c>
      <c r="B249" s="51">
        <v>-146.57638722358325</v>
      </c>
      <c r="C249" s="51">
        <v>147.217404347404</v>
      </c>
      <c r="D249" s="50">
        <f t="shared" si="35"/>
        <v>134.8749887895398</v>
      </c>
    </row>
    <row r="250" spans="1:4" x14ac:dyDescent="0.25">
      <c r="A250" s="38">
        <v>-121</v>
      </c>
      <c r="B250" s="51">
        <v>-149.55727533159794</v>
      </c>
      <c r="C250" s="51">
        <v>145.23623186503355</v>
      </c>
      <c r="D250" s="50">
        <f t="shared" si="35"/>
        <v>135.83977366882587</v>
      </c>
    </row>
    <row r="251" spans="1:4" x14ac:dyDescent="0.25">
      <c r="A251" s="38">
        <v>-122</v>
      </c>
      <c r="B251" s="51">
        <v>-152.40341144307743</v>
      </c>
      <c r="C251" s="51">
        <v>143.20644383430377</v>
      </c>
      <c r="D251" s="50">
        <f t="shared" si="35"/>
        <v>136.78200252306084</v>
      </c>
    </row>
    <row r="252" spans="1:4" x14ac:dyDescent="0.25">
      <c r="A252" s="37">
        <v>-123</v>
      </c>
      <c r="B252" s="51">
        <v>-155.1404293951463</v>
      </c>
      <c r="C252" s="51">
        <v>141.15501403046466</v>
      </c>
      <c r="D252" s="50">
        <f t="shared" si="35"/>
        <v>137.70240735766242</v>
      </c>
    </row>
    <row r="253" spans="1:4" x14ac:dyDescent="0.25">
      <c r="A253" s="37">
        <v>-124</v>
      </c>
      <c r="B253" s="51">
        <v>-157.79759817160681</v>
      </c>
      <c r="C253" s="51">
        <v>139.11168204864384</v>
      </c>
      <c r="D253" s="50">
        <f t="shared" si="35"/>
        <v>138.6011470410771</v>
      </c>
    </row>
    <row r="254" spans="1:4" x14ac:dyDescent="0.25">
      <c r="A254" s="38">
        <v>-125</v>
      </c>
      <c r="B254" s="51">
        <v>-160.38231969259891</v>
      </c>
      <c r="C254" s="51">
        <v>137.07374923637795</v>
      </c>
      <c r="D254" s="50">
        <f t="shared" si="35"/>
        <v>139.48052496711816</v>
      </c>
    </row>
    <row r="255" spans="1:4" x14ac:dyDescent="0.25">
      <c r="A255" s="38">
        <v>-126</v>
      </c>
      <c r="B255" s="51">
        <v>-162.90125450982384</v>
      </c>
      <c r="C255" s="51">
        <v>135.03850533817899</v>
      </c>
      <c r="D255" s="50">
        <f t="shared" si="35"/>
        <v>140.34265151683005</v>
      </c>
    </row>
    <row r="256" spans="1:4" x14ac:dyDescent="0.25">
      <c r="A256" s="37">
        <v>-127</v>
      </c>
      <c r="B256" s="51">
        <v>-165.36048438611905</v>
      </c>
      <c r="C256" s="51">
        <v>133.00327885517501</v>
      </c>
      <c r="D256" s="50">
        <f t="shared" si="35"/>
        <v>141.18947164687293</v>
      </c>
    </row>
    <row r="257" spans="1:7" x14ac:dyDescent="0.25">
      <c r="A257" s="37">
        <v>-128</v>
      </c>
      <c r="B257" s="51">
        <v>-167.76541474017984</v>
      </c>
      <c r="C257" s="51">
        <v>130.96528808633465</v>
      </c>
      <c r="D257" s="50">
        <f t="shared" si="35"/>
        <v>142.02278771611941</v>
      </c>
    </row>
    <row r="258" spans="1:7" x14ac:dyDescent="0.25">
      <c r="A258" s="38">
        <v>-129</v>
      </c>
      <c r="B258" s="51">
        <v>-170.12126539048188</v>
      </c>
      <c r="C258" s="51">
        <v>128.9219448911829</v>
      </c>
      <c r="D258" s="50">
        <f t="shared" ref="D258:D321" si="36">IF(DEGREES(ATAN2(B258,C258))&lt;0,DEGREES(ATAN2(B258,C258))+360,DEGREES(ATAN2(B258,C258)))</f>
        <v>142.84428460557447</v>
      </c>
    </row>
    <row r="259" spans="1:7" x14ac:dyDescent="0.25">
      <c r="A259" s="38">
        <v>-130</v>
      </c>
      <c r="B259" s="51">
        <v>-172.43274544554748</v>
      </c>
      <c r="C259" s="51">
        <v>126.87053629961964</v>
      </c>
      <c r="D259" s="50">
        <f t="shared" si="36"/>
        <v>143.6555461059136</v>
      </c>
    </row>
    <row r="260" spans="1:7" x14ac:dyDescent="0.25">
      <c r="A260" s="37">
        <v>-131</v>
      </c>
      <c r="B260" s="51">
        <v>-174.70402619408392</v>
      </c>
      <c r="C260" s="51">
        <v>124.80818563306548</v>
      </c>
      <c r="D260" s="50">
        <f t="shared" si="36"/>
        <v>144.45806703459778</v>
      </c>
    </row>
    <row r="261" spans="1:7" x14ac:dyDescent="0.25">
      <c r="A261" s="37">
        <v>-132</v>
      </c>
      <c r="B261" s="51">
        <v>-176.93929611287163</v>
      </c>
      <c r="C261" s="51">
        <v>122.73215891822242</v>
      </c>
      <c r="D261" s="50">
        <f t="shared" si="36"/>
        <v>145.25327892363015</v>
      </c>
      <c r="F261">
        <v>0</v>
      </c>
      <c r="G261">
        <v>0</v>
      </c>
    </row>
    <row r="262" spans="1:7" x14ac:dyDescent="0.25">
      <c r="A262" s="38">
        <v>-133</v>
      </c>
      <c r="B262" s="51">
        <v>-179.14222013187481</v>
      </c>
      <c r="C262" s="51">
        <v>120.63948137090371</v>
      </c>
      <c r="D262" s="50">
        <f t="shared" si="36"/>
        <v>146.04255085302836</v>
      </c>
      <c r="F262">
        <v>360</v>
      </c>
      <c r="G262">
        <v>-360</v>
      </c>
    </row>
    <row r="263" spans="1:7" x14ac:dyDescent="0.25">
      <c r="A263" s="38">
        <v>-134</v>
      </c>
      <c r="B263" s="51">
        <v>-181.31646383360015</v>
      </c>
      <c r="C263" s="51">
        <v>118.52720781408102</v>
      </c>
      <c r="D263" s="50">
        <f t="shared" si="36"/>
        <v>146.82721419723629</v>
      </c>
    </row>
    <row r="264" spans="1:7" x14ac:dyDescent="0.25">
      <c r="A264" s="37">
        <v>-135</v>
      </c>
      <c r="B264" s="51">
        <v>-183.46524206689881</v>
      </c>
      <c r="C264" s="51">
        <v>116.39213948258943</v>
      </c>
      <c r="D264" s="50">
        <f t="shared" si="36"/>
        <v>147.60855964843455</v>
      </c>
    </row>
    <row r="265" spans="1:7" x14ac:dyDescent="0.25">
      <c r="A265" s="37">
        <v>-136</v>
      </c>
      <c r="B265" s="51">
        <v>-185.59182272670765</v>
      </c>
      <c r="C265" s="51">
        <v>114.23105005767705</v>
      </c>
      <c r="D265" s="50">
        <f t="shared" si="36"/>
        <v>148.38786335744382</v>
      </c>
    </row>
    <row r="266" spans="1:7" x14ac:dyDescent="0.25">
      <c r="A266" s="38">
        <v>-137</v>
      </c>
      <c r="B266" s="51">
        <v>-187.6991919983015</v>
      </c>
      <c r="C266" s="51">
        <v>112.04048089101607</v>
      </c>
      <c r="D266" s="50">
        <f t="shared" si="36"/>
        <v>149.16638512814299</v>
      </c>
    </row>
    <row r="267" spans="1:7" x14ac:dyDescent="0.25">
      <c r="A267" s="38">
        <v>-138</v>
      </c>
      <c r="B267" s="51">
        <v>-189.79025404463039</v>
      </c>
      <c r="C267" s="51">
        <v>109.81680202825339</v>
      </c>
      <c r="D267" s="50">
        <f t="shared" si="36"/>
        <v>149.94538473251268</v>
      </c>
    </row>
    <row r="268" spans="1:7" x14ac:dyDescent="0.25">
      <c r="A268" s="37">
        <v>-139</v>
      </c>
      <c r="B268" s="51">
        <v>-191.86775703271138</v>
      </c>
      <c r="C268" s="51">
        <v>107.55614367679034</v>
      </c>
      <c r="D268" s="50">
        <f t="shared" si="36"/>
        <v>150.72612804816131</v>
      </c>
    </row>
    <row r="269" spans="1:7" x14ac:dyDescent="0.25">
      <c r="A269" s="37">
        <v>-140</v>
      </c>
      <c r="B269" s="51">
        <v>-193.93451332802806</v>
      </c>
      <c r="C269" s="51">
        <v>105.25443561861226</v>
      </c>
      <c r="D269" s="50">
        <f t="shared" si="36"/>
        <v>151.50990678182757</v>
      </c>
    </row>
    <row r="270" spans="1:7" x14ac:dyDescent="0.25">
      <c r="A270" s="38">
        <v>-141</v>
      </c>
      <c r="B270" s="51">
        <v>-195.99302187322243</v>
      </c>
      <c r="C270" s="51">
        <v>102.9072335444266</v>
      </c>
      <c r="D270" s="50">
        <f t="shared" si="36"/>
        <v>152.2980299625132</v>
      </c>
    </row>
    <row r="271" spans="1:7" x14ac:dyDescent="0.25">
      <c r="A271" s="38">
        <v>-142</v>
      </c>
      <c r="B271" s="51">
        <v>-198.04599874952484</v>
      </c>
      <c r="C271" s="51">
        <v>100.50984869477379</v>
      </c>
      <c r="D271" s="50">
        <f t="shared" si="36"/>
        <v>153.09186039804365</v>
      </c>
    </row>
    <row r="272" spans="1:7" x14ac:dyDescent="0.25">
      <c r="A272" s="37">
        <v>-143</v>
      </c>
      <c r="B272" s="51">
        <v>-200.09599861556589</v>
      </c>
      <c r="C272" s="51">
        <v>98.057169577062226</v>
      </c>
      <c r="D272" s="50">
        <f t="shared" si="36"/>
        <v>153.89280694238815</v>
      </c>
    </row>
    <row r="273" spans="1:4" x14ac:dyDescent="0.25">
      <c r="A273" s="37">
        <v>-144</v>
      </c>
      <c r="B273" s="51">
        <v>-202.14543053443572</v>
      </c>
      <c r="C273" s="51">
        <v>95.543625366598079</v>
      </c>
      <c r="D273" s="50">
        <f t="shared" si="36"/>
        <v>154.70233574392989</v>
      </c>
    </row>
    <row r="274" spans="1:4" x14ac:dyDescent="0.25">
      <c r="A274" s="38">
        <v>-145</v>
      </c>
      <c r="B274" s="51">
        <v>-203.66609558259063</v>
      </c>
      <c r="C274" s="51">
        <v>93.829072717551611</v>
      </c>
      <c r="D274" s="50">
        <f t="shared" si="36"/>
        <v>155.26445224142918</v>
      </c>
    </row>
    <row r="275" spans="1:4" x14ac:dyDescent="0.25">
      <c r="A275" s="38">
        <v>-146</v>
      </c>
      <c r="B275" s="51">
        <v>-205.70511179027804</v>
      </c>
      <c r="C275" s="51">
        <v>91.200606303184301</v>
      </c>
      <c r="D275" s="50">
        <f t="shared" si="36"/>
        <v>156.08960609906066</v>
      </c>
    </row>
    <row r="276" spans="1:4" x14ac:dyDescent="0.25">
      <c r="A276" s="37">
        <v>-147</v>
      </c>
      <c r="B276" s="51">
        <v>-207.75124356113386</v>
      </c>
      <c r="C276" s="51">
        <v>88.492375367352878</v>
      </c>
      <c r="D276" s="50">
        <f t="shared" si="36"/>
        <v>156.92824907427706</v>
      </c>
    </row>
    <row r="277" spans="1:4" x14ac:dyDescent="0.25">
      <c r="A277" s="37">
        <v>-148</v>
      </c>
      <c r="B277" s="51">
        <v>-209.80721625604096</v>
      </c>
      <c r="C277" s="51">
        <v>85.696493410716187</v>
      </c>
      <c r="D277" s="50">
        <f t="shared" si="36"/>
        <v>157.78226807191166</v>
      </c>
    </row>
    <row r="278" spans="1:4" x14ac:dyDescent="0.25">
      <c r="A278" s="38">
        <v>-149</v>
      </c>
      <c r="B278" s="51">
        <v>-211.8755847192968</v>
      </c>
      <c r="C278" s="51">
        <v>82.804190613410057</v>
      </c>
      <c r="D278" s="50">
        <f t="shared" si="36"/>
        <v>158.65368834230256</v>
      </c>
    </row>
    <row r="279" spans="1:4" x14ac:dyDescent="0.25">
      <c r="A279" s="38">
        <v>-150</v>
      </c>
      <c r="B279" s="51">
        <v>-213.95908955745207</v>
      </c>
      <c r="C279" s="51">
        <v>79.805731699989295</v>
      </c>
      <c r="D279" s="50">
        <f t="shared" si="36"/>
        <v>159.54472174022607</v>
      </c>
    </row>
    <row r="280" spans="1:4" x14ac:dyDescent="0.25">
      <c r="A280" s="37">
        <v>-151</v>
      </c>
      <c r="B280" s="51">
        <v>-216.06055224423335</v>
      </c>
      <c r="C280" s="51">
        <v>76.690240042707714</v>
      </c>
      <c r="D280" s="50">
        <f t="shared" si="36"/>
        <v>160.45778855593841</v>
      </c>
    </row>
    <row r="281" spans="1:4" x14ac:dyDescent="0.25">
      <c r="A281" s="37">
        <v>-152</v>
      </c>
      <c r="B281" s="51">
        <v>-218.13199095017328</v>
      </c>
      <c r="C281" s="51">
        <v>73.532251799767465</v>
      </c>
      <c r="D281" s="50">
        <f t="shared" si="36"/>
        <v>161.37104844995073</v>
      </c>
    </row>
    <row r="282" spans="1:4" x14ac:dyDescent="0.25">
      <c r="A282" s="38">
        <v>-153</v>
      </c>
      <c r="B282" s="51">
        <v>-220.12107033135555</v>
      </c>
      <c r="C282" s="51">
        <v>70.421274194802891</v>
      </c>
      <c r="D282" s="50">
        <f t="shared" si="36"/>
        <v>162.25945298348324</v>
      </c>
    </row>
    <row r="283" spans="1:4" x14ac:dyDescent="0.25">
      <c r="A283" s="38">
        <v>-154</v>
      </c>
      <c r="B283" s="51">
        <v>-222.03278981972622</v>
      </c>
      <c r="C283" s="51">
        <v>67.35423296556948</v>
      </c>
      <c r="D283" s="50">
        <f t="shared" si="36"/>
        <v>163.12468748035937</v>
      </c>
    </row>
    <row r="284" spans="1:4" x14ac:dyDescent="0.25">
      <c r="A284" s="37">
        <v>-155</v>
      </c>
      <c r="B284" s="51">
        <v>-223.87155813641075</v>
      </c>
      <c r="C284" s="51">
        <v>64.328132827978322</v>
      </c>
      <c r="D284" s="50">
        <f t="shared" si="36"/>
        <v>163.96831661153215</v>
      </c>
    </row>
    <row r="285" spans="1:4" x14ac:dyDescent="0.25">
      <c r="A285" s="37">
        <v>-156</v>
      </c>
      <c r="B285" s="51">
        <v>-225.64159298134192</v>
      </c>
      <c r="C285" s="51">
        <v>61.340118302022738</v>
      </c>
      <c r="D285" s="50">
        <f t="shared" si="36"/>
        <v>164.79180566680583</v>
      </c>
    </row>
    <row r="286" spans="1:4" x14ac:dyDescent="0.25">
      <c r="A286" s="38">
        <v>-157</v>
      </c>
      <c r="B286" s="51">
        <v>-227.34670388699809</v>
      </c>
      <c r="C286" s="51">
        <v>58.387454673016173</v>
      </c>
      <c r="D286" s="50">
        <f t="shared" si="36"/>
        <v>165.59651445715761</v>
      </c>
    </row>
    <row r="287" spans="1:4" x14ac:dyDescent="0.25">
      <c r="A287" s="38">
        <v>-158</v>
      </c>
      <c r="B287" s="51">
        <v>-228.99068558930955</v>
      </c>
      <c r="C287" s="51">
        <v>55.467526693098932</v>
      </c>
      <c r="D287" s="50">
        <f t="shared" si="36"/>
        <v>166.38372677634831</v>
      </c>
    </row>
    <row r="288" spans="1:4" x14ac:dyDescent="0.25">
      <c r="A288" s="37">
        <v>-159</v>
      </c>
      <c r="B288" s="51">
        <v>-230.5766813941149</v>
      </c>
      <c r="C288" s="51">
        <v>52.577810735915349</v>
      </c>
      <c r="D288" s="50">
        <f t="shared" si="36"/>
        <v>167.15462257260768</v>
      </c>
    </row>
    <row r="289" spans="1:4" x14ac:dyDescent="0.25">
      <c r="A289" s="37">
        <v>-160</v>
      </c>
      <c r="B289" s="51">
        <v>-231.96542610501226</v>
      </c>
      <c r="C289" s="51">
        <v>49.769285621554474</v>
      </c>
      <c r="D289" s="50">
        <f t="shared" si="36"/>
        <v>167.89050548232325</v>
      </c>
    </row>
    <row r="290" spans="1:4" x14ac:dyDescent="0.25">
      <c r="A290" s="38">
        <v>-161</v>
      </c>
      <c r="B290" s="51">
        <v>-232.9864218057983</v>
      </c>
      <c r="C290" s="51">
        <v>47.104877712262308</v>
      </c>
      <c r="D290" s="50">
        <f t="shared" si="36"/>
        <v>168.57009216821993</v>
      </c>
    </row>
    <row r="291" spans="1:4" x14ac:dyDescent="0.25">
      <c r="A291" s="38">
        <v>-162</v>
      </c>
      <c r="B291" s="51">
        <v>-233.52818633724715</v>
      </c>
      <c r="C291" s="51">
        <v>45.549053217549712</v>
      </c>
      <c r="D291" s="50">
        <f t="shared" si="36"/>
        <v>168.96317760620204</v>
      </c>
    </row>
    <row r="292" spans="1:4" x14ac:dyDescent="0.25">
      <c r="A292" s="37">
        <v>-163</v>
      </c>
      <c r="B292" s="51">
        <v>-234.44877048860582</v>
      </c>
      <c r="C292" s="51">
        <v>42.930302943047018</v>
      </c>
      <c r="D292" s="50">
        <f t="shared" si="36"/>
        <v>169.62343074608964</v>
      </c>
    </row>
    <row r="293" spans="1:4" x14ac:dyDescent="0.25">
      <c r="A293" s="37">
        <v>-164</v>
      </c>
      <c r="B293" s="51">
        <v>-235.32271430319557</v>
      </c>
      <c r="C293" s="51">
        <v>40.331670223242803</v>
      </c>
      <c r="D293" s="50">
        <f t="shared" si="36"/>
        <v>170.27463689206053</v>
      </c>
    </row>
    <row r="294" spans="1:4" x14ac:dyDescent="0.25">
      <c r="A294" s="38">
        <v>-165</v>
      </c>
      <c r="B294" s="51">
        <v>-236.1520475903732</v>
      </c>
      <c r="C294" s="51">
        <v>37.751201761708188</v>
      </c>
      <c r="D294" s="50">
        <f t="shared" si="36"/>
        <v>170.91755971153469</v>
      </c>
    </row>
    <row r="295" spans="1:4" x14ac:dyDescent="0.25">
      <c r="A295" s="38">
        <v>-166</v>
      </c>
      <c r="B295" s="51">
        <v>-236.93838025793954</v>
      </c>
      <c r="C295" s="51">
        <v>35.186991052483265</v>
      </c>
      <c r="D295" s="50">
        <f t="shared" si="36"/>
        <v>171.55291691985846</v>
      </c>
    </row>
    <row r="296" spans="1:4" x14ac:dyDescent="0.25">
      <c r="A296" s="37">
        <v>-167</v>
      </c>
      <c r="B296" s="51">
        <v>-237.68347800466043</v>
      </c>
      <c r="C296" s="51">
        <v>32.637179105559234</v>
      </c>
      <c r="D296" s="50">
        <f t="shared" si="36"/>
        <v>172.18140431400212</v>
      </c>
    </row>
    <row r="297" spans="1:4" x14ac:dyDescent="0.25">
      <c r="A297" s="37">
        <v>-168</v>
      </c>
      <c r="B297" s="51">
        <v>-238.38861454416985</v>
      </c>
      <c r="C297" s="51">
        <v>30.099941365891979</v>
      </c>
      <c r="D297" s="50">
        <f t="shared" si="36"/>
        <v>172.80367731691786</v>
      </c>
    </row>
    <row r="298" spans="1:4" x14ac:dyDescent="0.25">
      <c r="A298" s="38">
        <v>-169</v>
      </c>
      <c r="B298" s="51">
        <v>-239.05535267362151</v>
      </c>
      <c r="C298" s="51">
        <v>27.573490385054171</v>
      </c>
      <c r="D298" s="50">
        <f t="shared" si="36"/>
        <v>173.42037793939633</v>
      </c>
    </row>
    <row r="299" spans="1:4" x14ac:dyDescent="0.25">
      <c r="A299" s="38">
        <v>-170</v>
      </c>
      <c r="B299" s="51">
        <v>-239.68490352039925</v>
      </c>
      <c r="C299" s="51">
        <v>25.056063688164677</v>
      </c>
      <c r="D299" s="50">
        <f t="shared" si="36"/>
        <v>174.03211790741136</v>
      </c>
    </row>
    <row r="300" spans="1:4" x14ac:dyDescent="0.25">
      <c r="A300" s="37">
        <v>-171</v>
      </c>
      <c r="B300" s="51">
        <v>-240.27836224752392</v>
      </c>
      <c r="C300" s="51">
        <v>22.545921154411591</v>
      </c>
      <c r="D300" s="50">
        <f t="shared" si="36"/>
        <v>174.63948886569588</v>
      </c>
    </row>
    <row r="301" spans="1:4" x14ac:dyDescent="0.25">
      <c r="A301" s="37">
        <v>-172</v>
      </c>
      <c r="B301" s="51">
        <v>-240.83682587132731</v>
      </c>
      <c r="C301" s="51">
        <v>20.041340757775238</v>
      </c>
      <c r="D301" s="50">
        <f t="shared" si="36"/>
        <v>175.2430669761851</v>
      </c>
    </row>
    <row r="302" spans="1:4" x14ac:dyDescent="0.25">
      <c r="A302" s="38">
        <v>-173</v>
      </c>
      <c r="B302" s="51">
        <v>-241.36129974539031</v>
      </c>
      <c r="C302" s="51">
        <v>17.540612599127368</v>
      </c>
      <c r="D302" s="50">
        <f t="shared" si="36"/>
        <v>175.84341249751137</v>
      </c>
    </row>
    <row r="303" spans="1:4" x14ac:dyDescent="0.25">
      <c r="A303" s="38">
        <v>-174</v>
      </c>
      <c r="B303" s="51">
        <v>-241.85250989279149</v>
      </c>
      <c r="C303" s="51">
        <v>15.042032929508625</v>
      </c>
      <c r="D303" s="50">
        <f t="shared" si="36"/>
        <v>176.44106937686018</v>
      </c>
    </row>
    <row r="304" spans="1:4" x14ac:dyDescent="0.25">
      <c r="A304" s="37">
        <v>-175</v>
      </c>
      <c r="B304" s="51">
        <v>-242.31132685885586</v>
      </c>
      <c r="C304" s="51">
        <v>12.543901872274253</v>
      </c>
      <c r="D304" s="50">
        <f t="shared" si="36"/>
        <v>177.03657418473611</v>
      </c>
    </row>
    <row r="305" spans="1:4" x14ac:dyDescent="0.25">
      <c r="A305" s="37">
        <v>-176</v>
      </c>
      <c r="B305" s="51">
        <v>-242.73837358766878</v>
      </c>
      <c r="C305" s="51">
        <v>10.044516122433018</v>
      </c>
      <c r="D305" s="50">
        <f t="shared" si="36"/>
        <v>177.63045196505107</v>
      </c>
    </row>
    <row r="306" spans="1:4" x14ac:dyDescent="0.25">
      <c r="A306" s="38">
        <v>-177</v>
      </c>
      <c r="B306" s="51">
        <v>-243.13443974964909</v>
      </c>
      <c r="C306" s="51">
        <v>7.5421658079620988</v>
      </c>
      <c r="D306" s="50">
        <f t="shared" si="36"/>
        <v>178.22322276128816</v>
      </c>
    </row>
    <row r="307" spans="1:4" x14ac:dyDescent="0.25">
      <c r="A307" s="38">
        <v>-178</v>
      </c>
      <c r="B307" s="51">
        <v>-243.49990621901819</v>
      </c>
      <c r="C307" s="51">
        <v>5.035127276007997</v>
      </c>
      <c r="D307" s="50">
        <f t="shared" si="36"/>
        <v>178.81539817015872</v>
      </c>
    </row>
    <row r="308" spans="1:4" x14ac:dyDescent="0.25">
      <c r="A308" s="37">
        <v>-179</v>
      </c>
      <c r="B308" s="51">
        <v>-243.83535182640765</v>
      </c>
      <c r="C308" s="51">
        <v>2.5216599957265209</v>
      </c>
      <c r="D308" s="50">
        <f t="shared" si="36"/>
        <v>179.4074881937577</v>
      </c>
    </row>
    <row r="309" spans="1:4" x14ac:dyDescent="0.25">
      <c r="A309" s="37">
        <v>-180</v>
      </c>
      <c r="B309" s="51">
        <v>-244.14108563867413</v>
      </c>
      <c r="C309" s="51">
        <v>-1.1091864923723916E-13</v>
      </c>
      <c r="D309" s="50">
        <f t="shared" si="36"/>
        <v>180.00000000000003</v>
      </c>
    </row>
    <row r="310" spans="1:4" x14ac:dyDescent="0.25">
      <c r="A310" s="38">
        <v>-181</v>
      </c>
      <c r="B310" s="51">
        <v>-243.83535182640767</v>
      </c>
      <c r="C310" s="51">
        <v>-2.5216599957265768</v>
      </c>
      <c r="D310" s="50">
        <f t="shared" si="36"/>
        <v>180.5925118062423</v>
      </c>
    </row>
    <row r="311" spans="1:4" x14ac:dyDescent="0.25">
      <c r="A311" s="38">
        <v>-182</v>
      </c>
      <c r="B311" s="51">
        <v>-243.49990621901819</v>
      </c>
      <c r="C311" s="51">
        <v>-5.0351272760079659</v>
      </c>
      <c r="D311" s="50">
        <f t="shared" si="36"/>
        <v>181.18460182984128</v>
      </c>
    </row>
    <row r="312" spans="1:4" x14ac:dyDescent="0.25">
      <c r="A312" s="37">
        <v>-183</v>
      </c>
      <c r="B312" s="51">
        <v>-243.13443974964926</v>
      </c>
      <c r="C312" s="51">
        <v>-7.5421658079621263</v>
      </c>
      <c r="D312" s="50">
        <f t="shared" si="36"/>
        <v>181.77677723871184</v>
      </c>
    </row>
    <row r="313" spans="1:4" x14ac:dyDescent="0.25">
      <c r="A313" s="37">
        <v>-184</v>
      </c>
      <c r="B313" s="51">
        <v>-242.73837358766872</v>
      </c>
      <c r="C313" s="51">
        <v>-10.044516122432983</v>
      </c>
      <c r="D313" s="50">
        <f t="shared" si="36"/>
        <v>182.36954803494891</v>
      </c>
    </row>
    <row r="314" spans="1:4" x14ac:dyDescent="0.25">
      <c r="A314" s="38">
        <v>-185</v>
      </c>
      <c r="B314" s="51">
        <v>-242.31132685885584</v>
      </c>
      <c r="C314" s="51">
        <v>-12.543901872274215</v>
      </c>
      <c r="D314" s="50">
        <f t="shared" si="36"/>
        <v>182.96342581526389</v>
      </c>
    </row>
    <row r="315" spans="1:4" x14ac:dyDescent="0.25">
      <c r="A315" s="38">
        <v>-186</v>
      </c>
      <c r="B315" s="51">
        <v>-241.85250989279174</v>
      </c>
      <c r="C315" s="51">
        <v>-15.042032929508625</v>
      </c>
      <c r="D315" s="50">
        <f t="shared" si="36"/>
        <v>183.55893062313982</v>
      </c>
    </row>
    <row r="316" spans="1:4" x14ac:dyDescent="0.25">
      <c r="A316" s="37">
        <v>-187</v>
      </c>
      <c r="B316" s="51">
        <v>-241.36129974539043</v>
      </c>
      <c r="C316" s="51">
        <v>-17.540612599127307</v>
      </c>
      <c r="D316" s="50">
        <f t="shared" si="36"/>
        <v>184.15658750248863</v>
      </c>
    </row>
    <row r="317" spans="1:4" x14ac:dyDescent="0.25">
      <c r="A317" s="37">
        <v>-188</v>
      </c>
      <c r="B317" s="51">
        <v>-240.83682587132728</v>
      </c>
      <c r="C317" s="51">
        <v>-20.041340757775341</v>
      </c>
      <c r="D317" s="50">
        <f t="shared" si="36"/>
        <v>184.75693302381492</v>
      </c>
    </row>
    <row r="318" spans="1:4" x14ac:dyDescent="0.25">
      <c r="A318" s="38">
        <v>-189</v>
      </c>
      <c r="B318" s="51">
        <v>-240.27836224752409</v>
      </c>
      <c r="C318" s="51">
        <v>-22.545921154411502</v>
      </c>
      <c r="D318" s="50">
        <f t="shared" si="36"/>
        <v>185.36051113430409</v>
      </c>
    </row>
    <row r="319" spans="1:4" x14ac:dyDescent="0.25">
      <c r="A319" s="38">
        <v>-190</v>
      </c>
      <c r="B319" s="51">
        <v>-239.6849035203993</v>
      </c>
      <c r="C319" s="51">
        <v>-25.056063688164745</v>
      </c>
      <c r="D319" s="50">
        <f t="shared" si="36"/>
        <v>185.96788209258864</v>
      </c>
    </row>
    <row r="320" spans="1:4" x14ac:dyDescent="0.25">
      <c r="A320" s="37">
        <v>-191</v>
      </c>
      <c r="B320" s="51">
        <v>-239.05535267362146</v>
      </c>
      <c r="C320" s="51">
        <v>-27.573490385054193</v>
      </c>
      <c r="D320" s="50">
        <f t="shared" si="36"/>
        <v>186.5796220606037</v>
      </c>
    </row>
    <row r="321" spans="1:4" x14ac:dyDescent="0.25">
      <c r="A321" s="37">
        <v>-192</v>
      </c>
      <c r="B321" s="51">
        <v>-238.38861454416966</v>
      </c>
      <c r="C321" s="51">
        <v>-30.099941365892072</v>
      </c>
      <c r="D321" s="50">
        <f t="shared" si="36"/>
        <v>187.19632268308217</v>
      </c>
    </row>
    <row r="322" spans="1:4" x14ac:dyDescent="0.25">
      <c r="A322" s="38">
        <v>-193</v>
      </c>
      <c r="B322" s="51">
        <v>-237.68347800466043</v>
      </c>
      <c r="C322" s="51">
        <v>-32.637179105559156</v>
      </c>
      <c r="D322" s="50">
        <f t="shared" ref="D322:D385" si="37">IF(DEGREES(ATAN2(B322,C322))&lt;0,DEGREES(ATAN2(B322,C322))+360,DEGREES(ATAN2(B322,C322)))</f>
        <v>187.81859568599785</v>
      </c>
    </row>
    <row r="323" spans="1:4" x14ac:dyDescent="0.25">
      <c r="A323" s="38">
        <v>-194</v>
      </c>
      <c r="B323" s="51">
        <v>-236.93838025793963</v>
      </c>
      <c r="C323" s="51">
        <v>-35.186991052483187</v>
      </c>
      <c r="D323" s="50">
        <f t="shared" si="37"/>
        <v>188.44708308014151</v>
      </c>
    </row>
    <row r="324" spans="1:4" x14ac:dyDescent="0.25">
      <c r="A324" s="37">
        <v>-195</v>
      </c>
      <c r="B324" s="51">
        <v>-236.15204759037334</v>
      </c>
      <c r="C324" s="51">
        <v>-37.751201761708153</v>
      </c>
      <c r="D324" s="50">
        <f t="shared" si="37"/>
        <v>189.08244028846528</v>
      </c>
    </row>
    <row r="325" spans="1:4" x14ac:dyDescent="0.25">
      <c r="A325" s="37">
        <v>-196</v>
      </c>
      <c r="B325" s="51">
        <v>-235.32271430319565</v>
      </c>
      <c r="C325" s="51">
        <v>-40.331670223242774</v>
      </c>
      <c r="D325" s="50">
        <f t="shared" si="37"/>
        <v>189.72536310793947</v>
      </c>
    </row>
    <row r="326" spans="1:4" x14ac:dyDescent="0.25">
      <c r="A326" s="38">
        <v>-197</v>
      </c>
      <c r="B326" s="51">
        <v>-234.44877048860559</v>
      </c>
      <c r="C326" s="51">
        <v>-42.930302943047018</v>
      </c>
      <c r="D326" s="50">
        <f t="shared" si="37"/>
        <v>190.37656925391036</v>
      </c>
    </row>
    <row r="327" spans="1:4" x14ac:dyDescent="0.25">
      <c r="A327" s="38">
        <v>-198</v>
      </c>
      <c r="B327" s="51">
        <v>-233.52818633724729</v>
      </c>
      <c r="C327" s="51">
        <v>-45.549053217549698</v>
      </c>
      <c r="D327" s="50">
        <f t="shared" si="37"/>
        <v>191.03682239379796</v>
      </c>
    </row>
    <row r="328" spans="1:4" x14ac:dyDescent="0.25">
      <c r="A328" s="37">
        <v>-199</v>
      </c>
      <c r="B328" s="51">
        <v>-232.98642180579833</v>
      </c>
      <c r="C328" s="51">
        <v>-47.104877712262365</v>
      </c>
      <c r="D328" s="50">
        <f t="shared" si="37"/>
        <v>191.42990783178007</v>
      </c>
    </row>
    <row r="329" spans="1:4" x14ac:dyDescent="0.25">
      <c r="A329" s="37">
        <v>-200</v>
      </c>
      <c r="B329" s="51">
        <v>-231.96542610501231</v>
      </c>
      <c r="C329" s="51">
        <v>-49.769285621554388</v>
      </c>
      <c r="D329" s="50">
        <f t="shared" si="37"/>
        <v>192.10949451767672</v>
      </c>
    </row>
    <row r="330" spans="1:4" x14ac:dyDescent="0.25">
      <c r="A330" s="38">
        <v>-201</v>
      </c>
      <c r="B330" s="51">
        <v>-230.57668139411501</v>
      </c>
      <c r="C330" s="51">
        <v>-52.577810735915413</v>
      </c>
      <c r="D330" s="50">
        <f t="shared" si="37"/>
        <v>192.84537742739232</v>
      </c>
    </row>
    <row r="331" spans="1:4" x14ac:dyDescent="0.25">
      <c r="A331" s="38">
        <v>-202</v>
      </c>
      <c r="B331" s="51">
        <v>-228.99068558930958</v>
      </c>
      <c r="C331" s="51">
        <v>-55.467526693098876</v>
      </c>
      <c r="D331" s="50">
        <f t="shared" si="37"/>
        <v>193.61627322365169</v>
      </c>
    </row>
    <row r="332" spans="1:4" x14ac:dyDescent="0.25">
      <c r="A332" s="37">
        <v>-203</v>
      </c>
      <c r="B332" s="51">
        <v>-227.34670388699797</v>
      </c>
      <c r="C332" s="51">
        <v>-58.387454673016229</v>
      </c>
      <c r="D332" s="50">
        <f t="shared" si="37"/>
        <v>194.40348554284239</v>
      </c>
    </row>
    <row r="333" spans="1:4" x14ac:dyDescent="0.25">
      <c r="A333" s="37">
        <v>-204</v>
      </c>
      <c r="B333" s="51">
        <v>-225.64159298134209</v>
      </c>
      <c r="C333" s="51">
        <v>-61.340118302022667</v>
      </c>
      <c r="D333" s="50">
        <f t="shared" si="37"/>
        <v>195.20819433319414</v>
      </c>
    </row>
    <row r="334" spans="1:4" x14ac:dyDescent="0.25">
      <c r="A334" s="38">
        <v>-205</v>
      </c>
      <c r="B334" s="51">
        <v>-223.87155813641087</v>
      </c>
      <c r="C334" s="51">
        <v>-64.328132827978294</v>
      </c>
      <c r="D334" s="50">
        <f t="shared" si="37"/>
        <v>196.03168338846785</v>
      </c>
    </row>
    <row r="335" spans="1:4" x14ac:dyDescent="0.25">
      <c r="A335" s="38">
        <v>-206</v>
      </c>
      <c r="B335" s="51">
        <v>-222.03278981972616</v>
      </c>
      <c r="C335" s="51">
        <v>-67.354232965569452</v>
      </c>
      <c r="D335" s="50">
        <f t="shared" si="37"/>
        <v>196.87531251964063</v>
      </c>
    </row>
    <row r="336" spans="1:4" x14ac:dyDescent="0.25">
      <c r="A336" s="37">
        <v>-207</v>
      </c>
      <c r="B336" s="51">
        <v>-220.12107033135575</v>
      </c>
      <c r="C336" s="51">
        <v>-70.421274194802876</v>
      </c>
      <c r="D336" s="50">
        <f t="shared" si="37"/>
        <v>197.74054701651676</v>
      </c>
    </row>
    <row r="337" spans="1:4" x14ac:dyDescent="0.25">
      <c r="A337" s="37">
        <v>-208</v>
      </c>
      <c r="B337" s="51">
        <v>-218.13199095017316</v>
      </c>
      <c r="C337" s="51">
        <v>-73.532251799767494</v>
      </c>
      <c r="D337" s="50">
        <f t="shared" si="37"/>
        <v>198.62895155004929</v>
      </c>
    </row>
    <row r="338" spans="1:4" x14ac:dyDescent="0.25">
      <c r="A338" s="38">
        <v>-209</v>
      </c>
      <c r="B338" s="51">
        <v>-216.06055224423343</v>
      </c>
      <c r="C338" s="51">
        <v>-76.690240042707572</v>
      </c>
      <c r="D338" s="50">
        <f t="shared" si="37"/>
        <v>199.54221144406156</v>
      </c>
    </row>
    <row r="339" spans="1:4" x14ac:dyDescent="0.25">
      <c r="A339" s="38">
        <v>-210</v>
      </c>
      <c r="B339" s="51">
        <v>-213.95908955745202</v>
      </c>
      <c r="C339" s="51">
        <v>-79.80573169998938</v>
      </c>
      <c r="D339" s="50">
        <f t="shared" si="37"/>
        <v>200.45527825977396</v>
      </c>
    </row>
    <row r="340" spans="1:4" x14ac:dyDescent="0.25">
      <c r="A340" s="37">
        <v>-211</v>
      </c>
      <c r="B340" s="51">
        <v>-211.87558471929697</v>
      </c>
      <c r="C340" s="51">
        <v>-82.804190613410057</v>
      </c>
      <c r="D340" s="50">
        <f t="shared" si="37"/>
        <v>201.34631165769741</v>
      </c>
    </row>
    <row r="341" spans="1:4" x14ac:dyDescent="0.25">
      <c r="A341" s="37">
        <v>-212</v>
      </c>
      <c r="B341" s="51">
        <v>-209.80721625604076</v>
      </c>
      <c r="C341" s="51">
        <v>-85.696493410716215</v>
      </c>
      <c r="D341" s="50">
        <f t="shared" si="37"/>
        <v>202.21773192808834</v>
      </c>
    </row>
    <row r="342" spans="1:4" x14ac:dyDescent="0.25">
      <c r="A342" s="38">
        <v>-213</v>
      </c>
      <c r="B342" s="51">
        <v>-207.75124356113378</v>
      </c>
      <c r="C342" s="51">
        <v>-88.492375367352921</v>
      </c>
      <c r="D342" s="50">
        <f t="shared" si="37"/>
        <v>203.07175092572297</v>
      </c>
    </row>
    <row r="343" spans="1:4" x14ac:dyDescent="0.25">
      <c r="A343" s="38">
        <v>-214</v>
      </c>
      <c r="B343" s="51">
        <v>-205.70511179027812</v>
      </c>
      <c r="C343" s="51">
        <v>-91.200606303184301</v>
      </c>
      <c r="D343" s="50">
        <f t="shared" si="37"/>
        <v>203.91039390093934</v>
      </c>
    </row>
    <row r="344" spans="1:4" x14ac:dyDescent="0.25">
      <c r="A344" s="37">
        <v>-215</v>
      </c>
      <c r="B344" s="51">
        <v>-203.66609558259054</v>
      </c>
      <c r="C344" s="51">
        <v>-93.829072717551583</v>
      </c>
      <c r="D344" s="50">
        <f t="shared" si="37"/>
        <v>204.73554775857085</v>
      </c>
    </row>
    <row r="345" spans="1:4" x14ac:dyDescent="0.25">
      <c r="A345" s="37">
        <v>-216</v>
      </c>
      <c r="B345" s="51">
        <v>-202.14543053443586</v>
      </c>
      <c r="C345" s="51">
        <v>-95.543625366597965</v>
      </c>
      <c r="D345" s="50">
        <f t="shared" si="37"/>
        <v>205.29766425607008</v>
      </c>
    </row>
    <row r="346" spans="1:4" x14ac:dyDescent="0.25">
      <c r="A346" s="38">
        <v>-217</v>
      </c>
      <c r="B346" s="51">
        <v>-200.09599861556592</v>
      </c>
      <c r="C346" s="51">
        <v>-98.057169577062325</v>
      </c>
      <c r="D346" s="50">
        <f t="shared" si="37"/>
        <v>206.10719305761188</v>
      </c>
    </row>
    <row r="347" spans="1:4" x14ac:dyDescent="0.25">
      <c r="A347" s="38">
        <v>-218</v>
      </c>
      <c r="B347" s="51">
        <v>-198.04599874952484</v>
      </c>
      <c r="C347" s="51">
        <v>-100.50984869477384</v>
      </c>
      <c r="D347" s="50">
        <f t="shared" si="37"/>
        <v>206.90813960195638</v>
      </c>
    </row>
    <row r="348" spans="1:4" x14ac:dyDescent="0.25">
      <c r="A348" s="37">
        <v>-219</v>
      </c>
      <c r="B348" s="51">
        <v>-195.9930218732224</v>
      </c>
      <c r="C348" s="51">
        <v>-102.90723354442662</v>
      </c>
      <c r="D348" s="50">
        <f t="shared" si="37"/>
        <v>207.7019700374868</v>
      </c>
    </row>
    <row r="349" spans="1:4" x14ac:dyDescent="0.25">
      <c r="A349" s="37">
        <v>-220</v>
      </c>
      <c r="B349" s="51">
        <v>-193.93451332802806</v>
      </c>
      <c r="C349" s="51">
        <v>-105.25443561861213</v>
      </c>
      <c r="D349" s="50">
        <f t="shared" si="37"/>
        <v>208.4900932181724</v>
      </c>
    </row>
    <row r="350" spans="1:4" x14ac:dyDescent="0.25">
      <c r="A350" s="38">
        <v>-221</v>
      </c>
      <c r="B350" s="51">
        <v>-191.86775703271144</v>
      </c>
      <c r="C350" s="51">
        <v>-107.55614367679034</v>
      </c>
      <c r="D350" s="50">
        <f t="shared" si="37"/>
        <v>209.27387195183869</v>
      </c>
    </row>
    <row r="351" spans="1:4" x14ac:dyDescent="0.25">
      <c r="A351" s="38">
        <v>-222</v>
      </c>
      <c r="B351" s="51">
        <v>-189.79025404463053</v>
      </c>
      <c r="C351" s="51">
        <v>-109.81680202825348</v>
      </c>
      <c r="D351" s="50">
        <f t="shared" si="37"/>
        <v>210.05461526748732</v>
      </c>
    </row>
    <row r="352" spans="1:4" x14ac:dyDescent="0.25">
      <c r="A352" s="37">
        <v>-223</v>
      </c>
      <c r="B352" s="51">
        <v>-187.6991919983015</v>
      </c>
      <c r="C352" s="51">
        <v>-112.04048089101606</v>
      </c>
      <c r="D352" s="50">
        <f t="shared" si="37"/>
        <v>210.83361487185701</v>
      </c>
    </row>
    <row r="353" spans="1:4" x14ac:dyDescent="0.25">
      <c r="A353" s="37">
        <v>-224</v>
      </c>
      <c r="B353" s="51">
        <v>-185.59182272670768</v>
      </c>
      <c r="C353" s="51">
        <v>-114.23105005767704</v>
      </c>
      <c r="D353" s="50">
        <f t="shared" si="37"/>
        <v>211.61213664255618</v>
      </c>
    </row>
    <row r="354" spans="1:4" x14ac:dyDescent="0.25">
      <c r="A354" s="38">
        <v>-225</v>
      </c>
      <c r="B354" s="51">
        <v>-183.46524206689895</v>
      </c>
      <c r="C354" s="51">
        <v>-116.39213948258936</v>
      </c>
      <c r="D354" s="50">
        <f t="shared" si="37"/>
        <v>212.39144035156542</v>
      </c>
    </row>
    <row r="355" spans="1:4" x14ac:dyDescent="0.25">
      <c r="A355" s="38">
        <v>-226</v>
      </c>
      <c r="B355" s="51">
        <v>-181.31646383360024</v>
      </c>
      <c r="C355" s="51">
        <v>-118.52720781408119</v>
      </c>
      <c r="D355" s="50">
        <f t="shared" si="37"/>
        <v>213.17278580276371</v>
      </c>
    </row>
    <row r="356" spans="1:4" x14ac:dyDescent="0.25">
      <c r="A356" s="37">
        <v>-227</v>
      </c>
      <c r="B356" s="51">
        <v>-179.14222013187504</v>
      </c>
      <c r="C356" s="51">
        <v>-120.6394813709037</v>
      </c>
      <c r="D356" s="50">
        <f t="shared" si="37"/>
        <v>213.95744914697161</v>
      </c>
    </row>
    <row r="357" spans="1:4" x14ac:dyDescent="0.25">
      <c r="A357" s="37">
        <v>-228</v>
      </c>
      <c r="B357" s="51">
        <v>-176.93929611287155</v>
      </c>
      <c r="C357" s="51">
        <v>-122.73215891822228</v>
      </c>
      <c r="D357" s="50">
        <f t="shared" si="37"/>
        <v>214.74672107636982</v>
      </c>
    </row>
    <row r="358" spans="1:4" x14ac:dyDescent="0.25">
      <c r="A358" s="38">
        <v>-229</v>
      </c>
      <c r="B358" s="51">
        <v>-174.70402619408404</v>
      </c>
      <c r="C358" s="51">
        <v>-124.80818563306548</v>
      </c>
      <c r="D358" s="50">
        <f t="shared" si="37"/>
        <v>215.5419329654022</v>
      </c>
    </row>
    <row r="359" spans="1:4" x14ac:dyDescent="0.25">
      <c r="A359" s="38">
        <v>-230</v>
      </c>
      <c r="B359" s="51">
        <v>-172.43274544554751</v>
      </c>
      <c r="C359" s="51">
        <v>-126.87053629961946</v>
      </c>
      <c r="D359" s="50">
        <f t="shared" si="37"/>
        <v>216.34445389408634</v>
      </c>
    </row>
    <row r="360" spans="1:4" x14ac:dyDescent="0.25">
      <c r="A360" s="37">
        <v>-231</v>
      </c>
      <c r="B360" s="51">
        <v>-170.12126539048211</v>
      </c>
      <c r="C360" s="51">
        <v>-128.92194489118285</v>
      </c>
      <c r="D360" s="50">
        <f t="shared" si="37"/>
        <v>217.15571539442547</v>
      </c>
    </row>
    <row r="361" spans="1:4" x14ac:dyDescent="0.25">
      <c r="A361" s="37">
        <v>-232</v>
      </c>
      <c r="B361" s="51">
        <v>-167.76541474017984</v>
      </c>
      <c r="C361" s="51">
        <v>-130.96528808633465</v>
      </c>
      <c r="D361" s="50">
        <f t="shared" si="37"/>
        <v>217.97721228388059</v>
      </c>
    </row>
    <row r="362" spans="1:4" x14ac:dyDescent="0.25">
      <c r="A362" s="38">
        <v>-233</v>
      </c>
      <c r="B362" s="51">
        <v>-165.36048438611917</v>
      </c>
      <c r="C362" s="51">
        <v>-133.00327885517495</v>
      </c>
      <c r="D362" s="50">
        <f t="shared" si="37"/>
        <v>218.81052835312704</v>
      </c>
    </row>
    <row r="363" spans="1:4" x14ac:dyDescent="0.25">
      <c r="A363" s="38">
        <v>-234</v>
      </c>
      <c r="B363" s="51">
        <v>-162.90125450982381</v>
      </c>
      <c r="C363" s="51">
        <v>-135.03850533817894</v>
      </c>
      <c r="D363" s="50">
        <f t="shared" si="37"/>
        <v>219.65734848316993</v>
      </c>
    </row>
    <row r="364" spans="1:4" x14ac:dyDescent="0.25">
      <c r="A364" s="37">
        <v>-235</v>
      </c>
      <c r="B364" s="51">
        <v>-160.38231969259911</v>
      </c>
      <c r="C364" s="51">
        <v>-137.07374923637792</v>
      </c>
      <c r="D364" s="50">
        <f t="shared" si="37"/>
        <v>220.51947503288181</v>
      </c>
    </row>
    <row r="365" spans="1:4" x14ac:dyDescent="0.25">
      <c r="A365" s="37">
        <v>-236</v>
      </c>
      <c r="B365" s="51">
        <v>-157.79759817160678</v>
      </c>
      <c r="C365" s="51">
        <v>-139.11168204864387</v>
      </c>
      <c r="D365" s="50">
        <f t="shared" si="37"/>
        <v>221.3988529589229</v>
      </c>
    </row>
    <row r="366" spans="1:4" x14ac:dyDescent="0.25">
      <c r="A366" s="38">
        <v>-237</v>
      </c>
      <c r="B366" s="51">
        <v>-155.14042939514644</v>
      </c>
      <c r="C366" s="51">
        <v>-141.15501403046477</v>
      </c>
      <c r="D366" s="50">
        <f t="shared" si="37"/>
        <v>222.29759264233758</v>
      </c>
    </row>
    <row r="367" spans="1:4" x14ac:dyDescent="0.25">
      <c r="A367" s="38">
        <v>-238</v>
      </c>
      <c r="B367" s="51">
        <v>-152.40341144307757</v>
      </c>
      <c r="C367" s="51">
        <v>-143.2064438343038</v>
      </c>
      <c r="D367" s="50">
        <f t="shared" si="37"/>
        <v>223.21799747693913</v>
      </c>
    </row>
    <row r="368" spans="1:4" x14ac:dyDescent="0.25">
      <c r="A368" s="37">
        <v>-239</v>
      </c>
      <c r="B368" s="51">
        <v>-149.55727533159813</v>
      </c>
      <c r="C368" s="51">
        <v>-145.23623186503346</v>
      </c>
      <c r="D368" s="50">
        <f t="shared" si="37"/>
        <v>224.16022633117407</v>
      </c>
    </row>
    <row r="369" spans="1:4" x14ac:dyDescent="0.25">
      <c r="A369" s="37">
        <v>-240</v>
      </c>
      <c r="B369" s="51">
        <v>-146.57638722358331</v>
      </c>
      <c r="C369" s="51">
        <v>-147.21740434740369</v>
      </c>
      <c r="D369" s="50">
        <f t="shared" si="37"/>
        <v>225.12501121046009</v>
      </c>
    </row>
    <row r="370" spans="1:4" x14ac:dyDescent="0.25">
      <c r="A370" s="38">
        <v>-241</v>
      </c>
      <c r="B370" s="51">
        <v>-143.48959726463488</v>
      </c>
      <c r="C370" s="51">
        <v>-149.21052657134342</v>
      </c>
      <c r="D370" s="50">
        <f t="shared" si="37"/>
        <v>226.11972406831049</v>
      </c>
    </row>
    <row r="371" spans="1:4" x14ac:dyDescent="0.25">
      <c r="A371" s="38">
        <v>-242</v>
      </c>
      <c r="B371" s="51">
        <v>-140.28574354026688</v>
      </c>
      <c r="C371" s="51">
        <v>-151.21842376737825</v>
      </c>
      <c r="D371" s="50">
        <f t="shared" si="37"/>
        <v>227.14783547488332</v>
      </c>
    </row>
    <row r="372" spans="1:4" x14ac:dyDescent="0.25">
      <c r="A372" s="37">
        <v>-243</v>
      </c>
      <c r="B372" s="51">
        <v>-136.95233616805498</v>
      </c>
      <c r="C372" s="51">
        <v>-153.24419913828001</v>
      </c>
      <c r="D372" s="50">
        <f t="shared" si="37"/>
        <v>228.21325736641768</v>
      </c>
    </row>
    <row r="373" spans="1:4" x14ac:dyDescent="0.25">
      <c r="A373" s="37">
        <v>-244</v>
      </c>
      <c r="B373" s="51">
        <v>-133.47504385528154</v>
      </c>
      <c r="C373" s="51">
        <v>-155.29089903606646</v>
      </c>
      <c r="D373" s="50">
        <f t="shared" si="37"/>
        <v>229.32040720686282</v>
      </c>
    </row>
    <row r="374" spans="1:4" x14ac:dyDescent="0.25">
      <c r="A374" s="38">
        <v>-245</v>
      </c>
      <c r="B374" s="51">
        <v>-129.83764202610163</v>
      </c>
      <c r="C374" s="51">
        <v>-157.36193328737957</v>
      </c>
      <c r="D374" s="50">
        <f t="shared" si="37"/>
        <v>230.47432561175145</v>
      </c>
    </row>
    <row r="375" spans="1:4" x14ac:dyDescent="0.25">
      <c r="A375" s="38">
        <v>-246</v>
      </c>
      <c r="B375" s="51">
        <v>-126.02137347674967</v>
      </c>
      <c r="C375" s="51">
        <v>-159.46068643565334</v>
      </c>
      <c r="D375" s="50">
        <f t="shared" si="37"/>
        <v>231.68077245277507</v>
      </c>
    </row>
    <row r="376" spans="1:4" x14ac:dyDescent="0.25">
      <c r="A376" s="37">
        <v>-247</v>
      </c>
      <c r="B376" s="51">
        <v>-122.00471810183154</v>
      </c>
      <c r="C376" s="51">
        <v>-161.59101002611808</v>
      </c>
      <c r="D376" s="50">
        <f t="shared" si="37"/>
        <v>232.94640378161353</v>
      </c>
    </row>
    <row r="377" spans="1:4" x14ac:dyDescent="0.25">
      <c r="A377" s="37">
        <v>-248</v>
      </c>
      <c r="B377" s="51">
        <v>-117.76265044097114</v>
      </c>
      <c r="C377" s="51">
        <v>-163.75705452373055</v>
      </c>
      <c r="D377" s="50">
        <f t="shared" si="37"/>
        <v>234.27894595874938</v>
      </c>
    </row>
    <row r="378" spans="1:4" x14ac:dyDescent="0.25">
      <c r="A378" s="38">
        <v>-249</v>
      </c>
      <c r="B378" s="51">
        <v>-113.26578898853312</v>
      </c>
      <c r="C378" s="51">
        <v>-165.96302497213321</v>
      </c>
      <c r="D378" s="50">
        <f t="shared" si="37"/>
        <v>235.68739983987189</v>
      </c>
    </row>
    <row r="379" spans="1:4" x14ac:dyDescent="0.25">
      <c r="A379" s="38">
        <v>-250</v>
      </c>
      <c r="B379" s="51">
        <v>-108.47966677364369</v>
      </c>
      <c r="C379" s="51">
        <v>-168.21394663006734</v>
      </c>
      <c r="D379" s="50">
        <f t="shared" si="37"/>
        <v>237.1823929772101</v>
      </c>
    </row>
    <row r="380" spans="1:4" x14ac:dyDescent="0.25">
      <c r="A380" s="37">
        <v>-251</v>
      </c>
      <c r="B380" s="51">
        <v>-103.36325062255281</v>
      </c>
      <c r="C380" s="51">
        <v>-170.51514011757058</v>
      </c>
      <c r="D380" s="50">
        <f t="shared" si="37"/>
        <v>238.77650030431448</v>
      </c>
    </row>
    <row r="381" spans="1:4" x14ac:dyDescent="0.25">
      <c r="A381" s="37">
        <v>-252</v>
      </c>
      <c r="B381" s="51">
        <v>-97.867362952902539</v>
      </c>
      <c r="C381" s="51">
        <v>-172.87236801555329</v>
      </c>
      <c r="D381" s="50">
        <f t="shared" si="37"/>
        <v>240.48471655371725</v>
      </c>
    </row>
    <row r="382" spans="1:4" x14ac:dyDescent="0.25">
      <c r="A382" s="38">
        <v>-253</v>
      </c>
      <c r="B382" s="51">
        <v>-91.966152095873113</v>
      </c>
      <c r="C382" s="51">
        <v>-175.28164639297316</v>
      </c>
      <c r="D382" s="50">
        <f t="shared" si="37"/>
        <v>242.31506162011215</v>
      </c>
    </row>
    <row r="383" spans="1:4" x14ac:dyDescent="0.25">
      <c r="A383" s="38">
        <v>-254</v>
      </c>
      <c r="B383" s="51">
        <v>-85.998485631783637</v>
      </c>
      <c r="C383" s="51">
        <v>-177.62554587744134</v>
      </c>
      <c r="D383" s="50">
        <f t="shared" si="37"/>
        <v>244.16577350070759</v>
      </c>
    </row>
    <row r="384" spans="1:4" x14ac:dyDescent="0.25">
      <c r="A384" s="37">
        <v>-255</v>
      </c>
      <c r="B384" s="51">
        <v>-80.065435066561207</v>
      </c>
      <c r="C384" s="51">
        <v>-179.87393819416766</v>
      </c>
      <c r="D384" s="50">
        <f t="shared" si="37"/>
        <v>246.00521112785742</v>
      </c>
    </row>
    <row r="385" spans="1:4" x14ac:dyDescent="0.25">
      <c r="A385" s="37">
        <v>-256</v>
      </c>
      <c r="B385" s="51">
        <v>-74.162231889970982</v>
      </c>
      <c r="C385" s="51">
        <v>-182.03150681024292</v>
      </c>
      <c r="D385" s="50">
        <f t="shared" si="37"/>
        <v>247.83331737890188</v>
      </c>
    </row>
    <row r="386" spans="1:4" x14ac:dyDescent="0.25">
      <c r="A386" s="38">
        <v>-257</v>
      </c>
      <c r="B386" s="51">
        <v>-68.286472869939828</v>
      </c>
      <c r="C386" s="51">
        <v>-184.09338159749174</v>
      </c>
      <c r="D386" s="50">
        <f t="shared" ref="D386:D449" si="38">IF(DEGREES(ATAN2(B386,C386))&lt;0,DEGREES(ATAN2(B386,C386))+360,DEGREES(ATAN2(B386,C386)))</f>
        <v>249.64847616716634</v>
      </c>
    </row>
    <row r="387" spans="1:4" x14ac:dyDescent="0.25">
      <c r="A387" s="38">
        <v>-258</v>
      </c>
      <c r="B387" s="51">
        <v>-63.089898677824792</v>
      </c>
      <c r="C387" s="51">
        <v>-185.58422891451326</v>
      </c>
      <c r="D387" s="50">
        <f t="shared" si="38"/>
        <v>251.22438529175011</v>
      </c>
    </row>
    <row r="388" spans="1:4" x14ac:dyDescent="0.25">
      <c r="A388" s="37">
        <v>-259</v>
      </c>
      <c r="B388" s="51">
        <v>-57.340389695633093</v>
      </c>
      <c r="C388" s="51">
        <v>-187.12690212327246</v>
      </c>
      <c r="D388" s="50">
        <f t="shared" si="38"/>
        <v>252.96361808007856</v>
      </c>
    </row>
    <row r="389" spans="1:4" x14ac:dyDescent="0.25">
      <c r="A389" s="37">
        <v>-260</v>
      </c>
      <c r="B389" s="51">
        <v>-51.604482471185456</v>
      </c>
      <c r="C389" s="51">
        <v>-188.58743138204247</v>
      </c>
      <c r="D389" s="50">
        <f t="shared" si="38"/>
        <v>254.6963821895028</v>
      </c>
    </row>
    <row r="390" spans="1:4" x14ac:dyDescent="0.25">
      <c r="A390" s="38">
        <v>-261</v>
      </c>
      <c r="B390" s="51">
        <v>-45.877746237894598</v>
      </c>
      <c r="C390" s="51">
        <v>-189.96890491332869</v>
      </c>
      <c r="D390" s="50">
        <f t="shared" si="38"/>
        <v>256.42295862973191</v>
      </c>
    </row>
    <row r="391" spans="1:4" x14ac:dyDescent="0.25">
      <c r="A391" s="38">
        <v>-262</v>
      </c>
      <c r="B391" s="51">
        <v>-40.28721182699244</v>
      </c>
      <c r="C391" s="51">
        <v>-191.10868579237362</v>
      </c>
      <c r="D391" s="50">
        <f t="shared" si="38"/>
        <v>258.09589651916428</v>
      </c>
    </row>
    <row r="392" spans="1:4" x14ac:dyDescent="0.25">
      <c r="A392" s="37">
        <v>-263</v>
      </c>
      <c r="B392" s="51">
        <v>-35.048196926735898</v>
      </c>
      <c r="C392" s="51">
        <v>-191.73357739796523</v>
      </c>
      <c r="D392" s="50">
        <f t="shared" si="38"/>
        <v>259.64091175951529</v>
      </c>
    </row>
    <row r="393" spans="1:4" x14ac:dyDescent="0.25">
      <c r="A393" s="37">
        <v>-264</v>
      </c>
      <c r="B393" s="51">
        <v>-29.817093545426275</v>
      </c>
      <c r="C393" s="51">
        <v>-192.2727910745264</v>
      </c>
      <c r="D393" s="50">
        <f t="shared" si="38"/>
        <v>261.18495707153465</v>
      </c>
    </row>
    <row r="394" spans="1:4" x14ac:dyDescent="0.25">
      <c r="A394" s="38">
        <v>-265</v>
      </c>
      <c r="B394" s="51">
        <v>-24.590166137687596</v>
      </c>
      <c r="C394" s="51">
        <v>-192.72770732484778</v>
      </c>
      <c r="D394" s="50">
        <f t="shared" si="38"/>
        <v>262.72890637219825</v>
      </c>
    </row>
    <row r="395" spans="1:4" x14ac:dyDescent="0.25">
      <c r="A395" s="38">
        <v>-266</v>
      </c>
      <c r="B395" s="51">
        <v>-20.982368476420977</v>
      </c>
      <c r="C395" s="51">
        <v>-192.98150592225258</v>
      </c>
      <c r="D395" s="50">
        <f t="shared" si="38"/>
        <v>263.79475694288863</v>
      </c>
    </row>
    <row r="396" spans="1:4" x14ac:dyDescent="0.25">
      <c r="A396" s="37">
        <v>-267</v>
      </c>
      <c r="B396" s="51">
        <v>-15.751457158113633</v>
      </c>
      <c r="C396" s="51">
        <v>-193.27143108522645</v>
      </c>
      <c r="D396" s="50">
        <f t="shared" si="38"/>
        <v>265.34074029431019</v>
      </c>
    </row>
    <row r="397" spans="1:4" x14ac:dyDescent="0.25">
      <c r="A397" s="37">
        <v>-268</v>
      </c>
      <c r="B397" s="51">
        <v>-10.513342095583596</v>
      </c>
      <c r="C397" s="51">
        <v>-193.47969823604538</v>
      </c>
      <c r="D397" s="50">
        <f t="shared" si="38"/>
        <v>266.88970820647688</v>
      </c>
    </row>
    <row r="398" spans="1:4" x14ac:dyDescent="0.25">
      <c r="A398" s="38">
        <v>-269</v>
      </c>
      <c r="B398" s="51">
        <v>-5.2641643060363021</v>
      </c>
      <c r="C398" s="51">
        <v>-193.6069466004185</v>
      </c>
      <c r="D398" s="50">
        <f t="shared" si="38"/>
        <v>268.44251402938113</v>
      </c>
    </row>
    <row r="399" spans="1:4" x14ac:dyDescent="0.25">
      <c r="A399" s="38">
        <v>-270</v>
      </c>
      <c r="B399" s="51">
        <v>2.9071259055700544E-14</v>
      </c>
      <c r="C399" s="51">
        <v>-193.65342899674968</v>
      </c>
      <c r="D399" s="50">
        <f t="shared" si="38"/>
        <v>270</v>
      </c>
    </row>
    <row r="400" spans="1:4" x14ac:dyDescent="0.25">
      <c r="A400" s="37">
        <v>-271</v>
      </c>
      <c r="B400" s="51">
        <v>5.264164306036184</v>
      </c>
      <c r="C400" s="51">
        <v>-193.6069466004185</v>
      </c>
      <c r="D400" s="50">
        <f t="shared" si="38"/>
        <v>271.55748597061881</v>
      </c>
    </row>
    <row r="401" spans="1:4" x14ac:dyDescent="0.25">
      <c r="A401" s="37">
        <v>-272</v>
      </c>
      <c r="B401" s="51">
        <v>10.51334209558385</v>
      </c>
      <c r="C401" s="51">
        <v>-193.47969823604524</v>
      </c>
      <c r="D401" s="50">
        <f t="shared" si="38"/>
        <v>273.11029179352317</v>
      </c>
    </row>
    <row r="402" spans="1:4" x14ac:dyDescent="0.25">
      <c r="A402" s="38">
        <v>-273</v>
      </c>
      <c r="B402" s="51">
        <v>15.75145715811348</v>
      </c>
      <c r="C402" s="51">
        <v>-193.27143108522645</v>
      </c>
      <c r="D402" s="50">
        <f t="shared" si="38"/>
        <v>274.65925970568981</v>
      </c>
    </row>
    <row r="403" spans="1:4" x14ac:dyDescent="0.25">
      <c r="A403" s="38">
        <v>-274</v>
      </c>
      <c r="B403" s="51">
        <v>20.982368476420934</v>
      </c>
      <c r="C403" s="51">
        <v>-192.98150592225278</v>
      </c>
      <c r="D403" s="50">
        <f t="shared" si="38"/>
        <v>276.20524305711137</v>
      </c>
    </row>
    <row r="404" spans="1:4" x14ac:dyDescent="0.25">
      <c r="A404" s="37">
        <v>-275</v>
      </c>
      <c r="B404" s="51">
        <v>24.590166137687394</v>
      </c>
      <c r="C404" s="51">
        <v>-192.72770732484778</v>
      </c>
      <c r="D404" s="50">
        <f t="shared" si="38"/>
        <v>277.27109362780175</v>
      </c>
    </row>
    <row r="405" spans="1:4" x14ac:dyDescent="0.25">
      <c r="A405" s="37">
        <v>-276</v>
      </c>
      <c r="B405" s="51">
        <v>29.817093545426328</v>
      </c>
      <c r="C405" s="51">
        <v>-192.27279107452645</v>
      </c>
      <c r="D405" s="50">
        <f t="shared" si="38"/>
        <v>278.81504292846535</v>
      </c>
    </row>
    <row r="406" spans="1:4" x14ac:dyDescent="0.25">
      <c r="A406" s="38">
        <v>-277</v>
      </c>
      <c r="B406" s="51">
        <v>35.048196926736075</v>
      </c>
      <c r="C406" s="51">
        <v>-191.73357739796501</v>
      </c>
      <c r="D406" s="50">
        <f t="shared" si="38"/>
        <v>280.35908824048477</v>
      </c>
    </row>
    <row r="407" spans="1:4" x14ac:dyDescent="0.25">
      <c r="A407" s="38">
        <v>-278</v>
      </c>
      <c r="B407" s="51">
        <v>40.287211826992255</v>
      </c>
      <c r="C407" s="51">
        <v>-191.10868579237388</v>
      </c>
      <c r="D407" s="50">
        <f t="shared" si="38"/>
        <v>281.9041034808356</v>
      </c>
    </row>
    <row r="408" spans="1:4" x14ac:dyDescent="0.25">
      <c r="A408" s="37">
        <v>-279</v>
      </c>
      <c r="B408" s="51">
        <v>45.877746237894456</v>
      </c>
      <c r="C408" s="51">
        <v>-189.96890491332894</v>
      </c>
      <c r="D408" s="50">
        <f t="shared" si="38"/>
        <v>283.57704137026803</v>
      </c>
    </row>
    <row r="409" spans="1:4" x14ac:dyDescent="0.25">
      <c r="A409" s="37">
        <v>-280</v>
      </c>
      <c r="B409" s="51">
        <v>51.604482471185371</v>
      </c>
      <c r="C409" s="51">
        <v>-188.5874313820425</v>
      </c>
      <c r="D409" s="50">
        <f t="shared" si="38"/>
        <v>285.30361781049714</v>
      </c>
    </row>
    <row r="410" spans="1:4" x14ac:dyDescent="0.25">
      <c r="A410" s="38">
        <v>-281</v>
      </c>
      <c r="B410" s="51">
        <v>57.340389695633199</v>
      </c>
      <c r="C410" s="51">
        <v>-187.12690212327249</v>
      </c>
      <c r="D410" s="50">
        <f t="shared" si="38"/>
        <v>287.0363819199215</v>
      </c>
    </row>
    <row r="411" spans="1:4" x14ac:dyDescent="0.25">
      <c r="A411" s="38">
        <v>-282</v>
      </c>
      <c r="B411" s="51">
        <v>63.089898677824678</v>
      </c>
      <c r="C411" s="51">
        <v>-185.58422891451326</v>
      </c>
      <c r="D411" s="50">
        <f t="shared" si="38"/>
        <v>288.77561470824986</v>
      </c>
    </row>
    <row r="412" spans="1:4" x14ac:dyDescent="0.25">
      <c r="A412" s="37">
        <v>-283</v>
      </c>
      <c r="B412" s="51">
        <v>68.286472869939686</v>
      </c>
      <c r="C412" s="51">
        <v>-184.09338159749186</v>
      </c>
      <c r="D412" s="50">
        <f t="shared" si="38"/>
        <v>290.35152383283361</v>
      </c>
    </row>
    <row r="413" spans="1:4" x14ac:dyDescent="0.25">
      <c r="A413" s="37">
        <v>-284</v>
      </c>
      <c r="B413" s="51">
        <v>74.162231889971011</v>
      </c>
      <c r="C413" s="51">
        <v>-182.03150681024294</v>
      </c>
      <c r="D413" s="50">
        <f t="shared" si="38"/>
        <v>292.16668262109812</v>
      </c>
    </row>
    <row r="414" spans="1:4" x14ac:dyDescent="0.25">
      <c r="A414" s="38">
        <v>-285</v>
      </c>
      <c r="B414" s="51">
        <v>80.065435066561065</v>
      </c>
      <c r="C414" s="51">
        <v>-179.87393819416778</v>
      </c>
      <c r="D414" s="50">
        <f t="shared" si="38"/>
        <v>293.99478887214252</v>
      </c>
    </row>
    <row r="415" spans="1:4" x14ac:dyDescent="0.25">
      <c r="A415" s="38">
        <v>-286</v>
      </c>
      <c r="B415" s="51">
        <v>85.998485631783723</v>
      </c>
      <c r="C415" s="51">
        <v>-177.625545877441</v>
      </c>
      <c r="D415" s="50">
        <f t="shared" si="38"/>
        <v>295.83422649929253</v>
      </c>
    </row>
    <row r="416" spans="1:4" x14ac:dyDescent="0.25">
      <c r="A416" s="37">
        <v>-287</v>
      </c>
      <c r="B416" s="51">
        <v>91.966152095872914</v>
      </c>
      <c r="C416" s="51">
        <v>-175.28164639297324</v>
      </c>
      <c r="D416" s="50">
        <f t="shared" si="38"/>
        <v>297.68493837988774</v>
      </c>
    </row>
    <row r="417" spans="1:4" x14ac:dyDescent="0.25">
      <c r="A417" s="37">
        <v>-288</v>
      </c>
      <c r="B417" s="51">
        <v>97.867362952902454</v>
      </c>
      <c r="C417" s="51">
        <v>-172.87236801555332</v>
      </c>
      <c r="D417" s="50">
        <f t="shared" si="38"/>
        <v>299.51528344628269</v>
      </c>
    </row>
    <row r="418" spans="1:4" x14ac:dyDescent="0.25">
      <c r="A418" s="38">
        <v>-289</v>
      </c>
      <c r="B418" s="51">
        <v>103.36325062255285</v>
      </c>
      <c r="C418" s="51">
        <v>-170.51514011757075</v>
      </c>
      <c r="D418" s="50">
        <f t="shared" si="38"/>
        <v>301.22349969568552</v>
      </c>
    </row>
    <row r="419" spans="1:4" x14ac:dyDescent="0.25">
      <c r="A419" s="38">
        <v>-290</v>
      </c>
      <c r="B419" s="51">
        <v>108.47966677364386</v>
      </c>
      <c r="C419" s="51">
        <v>-168.2139466300674</v>
      </c>
      <c r="D419" s="50">
        <f t="shared" si="38"/>
        <v>302.81760702278996</v>
      </c>
    </row>
    <row r="420" spans="1:4" x14ac:dyDescent="0.25">
      <c r="A420" s="37">
        <v>-291</v>
      </c>
      <c r="B420" s="51">
        <v>113.26578898853312</v>
      </c>
      <c r="C420" s="51">
        <v>-165.96302497213341</v>
      </c>
      <c r="D420" s="50">
        <f t="shared" si="38"/>
        <v>304.31260016012811</v>
      </c>
    </row>
    <row r="421" spans="1:4" x14ac:dyDescent="0.25">
      <c r="A421" s="37">
        <v>-292</v>
      </c>
      <c r="B421" s="51">
        <v>117.76265044097117</v>
      </c>
      <c r="C421" s="51">
        <v>-163.757054523731</v>
      </c>
      <c r="D421" s="50">
        <f t="shared" si="38"/>
        <v>305.72105404125057</v>
      </c>
    </row>
    <row r="422" spans="1:4" x14ac:dyDescent="0.25">
      <c r="A422" s="38">
        <v>-293</v>
      </c>
      <c r="B422" s="51">
        <v>122.00471810183144</v>
      </c>
      <c r="C422" s="51">
        <v>-161.59101002611803</v>
      </c>
      <c r="D422" s="50">
        <f t="shared" si="38"/>
        <v>307.05359621838647</v>
      </c>
    </row>
    <row r="423" spans="1:4" x14ac:dyDescent="0.25">
      <c r="A423" s="38">
        <v>-294</v>
      </c>
      <c r="B423" s="51">
        <v>126.02137347674972</v>
      </c>
      <c r="C423" s="51">
        <v>-159.46068643565363</v>
      </c>
      <c r="D423" s="50">
        <f t="shared" si="38"/>
        <v>308.3192275472249</v>
      </c>
    </row>
    <row r="424" spans="1:4" x14ac:dyDescent="0.25">
      <c r="A424" s="37">
        <v>-295</v>
      </c>
      <c r="B424" s="51">
        <v>129.83764202610192</v>
      </c>
      <c r="C424" s="51">
        <v>-157.3619332873796</v>
      </c>
      <c r="D424" s="50">
        <f t="shared" si="38"/>
        <v>309.5256743882486</v>
      </c>
    </row>
    <row r="425" spans="1:4" x14ac:dyDescent="0.25">
      <c r="A425" s="37">
        <v>-296</v>
      </c>
      <c r="B425" s="51">
        <v>133.47504385528154</v>
      </c>
      <c r="C425" s="51">
        <v>-155.29089903606646</v>
      </c>
      <c r="D425" s="50">
        <f t="shared" si="38"/>
        <v>310.67959279313715</v>
      </c>
    </row>
    <row r="426" spans="1:4" x14ac:dyDescent="0.25">
      <c r="A426" s="38">
        <v>-297</v>
      </c>
      <c r="B426" s="51">
        <v>136.95233616805498</v>
      </c>
      <c r="C426" s="51">
        <v>-153.24419913827998</v>
      </c>
      <c r="D426" s="50">
        <f t="shared" si="38"/>
        <v>311.78674263358232</v>
      </c>
    </row>
    <row r="427" spans="1:4" x14ac:dyDescent="0.25">
      <c r="A427" s="38">
        <v>-298</v>
      </c>
      <c r="B427" s="51">
        <v>140.28574354026699</v>
      </c>
      <c r="C427" s="51">
        <v>-151.21842376737825</v>
      </c>
      <c r="D427" s="50">
        <f t="shared" si="38"/>
        <v>312.85216452511668</v>
      </c>
    </row>
    <row r="428" spans="1:4" x14ac:dyDescent="0.25">
      <c r="A428" s="37">
        <v>-299</v>
      </c>
      <c r="B428" s="51">
        <v>143.48959726463488</v>
      </c>
      <c r="C428" s="51">
        <v>-149.21052657134331</v>
      </c>
      <c r="D428" s="50">
        <f t="shared" si="38"/>
        <v>313.88027593168954</v>
      </c>
    </row>
    <row r="429" spans="1:4" x14ac:dyDescent="0.25">
      <c r="A429" s="37">
        <v>-300</v>
      </c>
      <c r="B429" s="51">
        <v>146.57638722358331</v>
      </c>
      <c r="C429" s="51">
        <v>-147.21740434740386</v>
      </c>
      <c r="D429" s="50">
        <f t="shared" si="38"/>
        <v>314.87498878953988</v>
      </c>
    </row>
    <row r="430" spans="1:4" x14ac:dyDescent="0.25">
      <c r="A430" s="38">
        <v>-301</v>
      </c>
      <c r="B430" s="51">
        <v>149.55727533159802</v>
      </c>
      <c r="C430" s="51">
        <v>-145.23623186503349</v>
      </c>
      <c r="D430" s="50">
        <f t="shared" si="38"/>
        <v>315.8397736688259</v>
      </c>
    </row>
    <row r="431" spans="1:4" x14ac:dyDescent="0.25">
      <c r="A431" s="38">
        <v>-302</v>
      </c>
      <c r="B431" s="51">
        <v>152.40341144307752</v>
      </c>
      <c r="C431" s="51">
        <v>-143.2064438343038</v>
      </c>
      <c r="D431" s="50">
        <f t="shared" si="38"/>
        <v>316.78200252306084</v>
      </c>
    </row>
    <row r="432" spans="1:4" x14ac:dyDescent="0.25">
      <c r="A432" s="37">
        <v>-303</v>
      </c>
      <c r="B432" s="51">
        <v>155.14042939514621</v>
      </c>
      <c r="C432" s="51">
        <v>-141.15501403046477</v>
      </c>
      <c r="D432" s="50">
        <f t="shared" si="38"/>
        <v>317.70240735766237</v>
      </c>
    </row>
    <row r="433" spans="1:4" x14ac:dyDescent="0.25">
      <c r="A433" s="37">
        <v>-304</v>
      </c>
      <c r="B433" s="51">
        <v>157.79759817160686</v>
      </c>
      <c r="C433" s="51">
        <v>-139.11168204864381</v>
      </c>
      <c r="D433" s="50">
        <f t="shared" si="38"/>
        <v>318.60114704107713</v>
      </c>
    </row>
    <row r="434" spans="1:4" x14ac:dyDescent="0.25">
      <c r="A434" s="38">
        <v>-305</v>
      </c>
      <c r="B434" s="51">
        <v>160.38231969259888</v>
      </c>
      <c r="C434" s="51">
        <v>-137.07374923637795</v>
      </c>
      <c r="D434" s="50">
        <f t="shared" si="38"/>
        <v>319.48052496711819</v>
      </c>
    </row>
    <row r="435" spans="1:4" x14ac:dyDescent="0.25">
      <c r="A435" s="38">
        <v>-306</v>
      </c>
      <c r="B435" s="51">
        <v>162.90125450982381</v>
      </c>
      <c r="C435" s="51">
        <v>-135.03850533817894</v>
      </c>
      <c r="D435" s="50">
        <f t="shared" si="38"/>
        <v>320.34265151683007</v>
      </c>
    </row>
    <row r="436" spans="1:4" x14ac:dyDescent="0.25">
      <c r="A436" s="37">
        <v>-307</v>
      </c>
      <c r="B436" s="51">
        <v>165.36048438611911</v>
      </c>
      <c r="C436" s="51">
        <v>-133.00327885517507</v>
      </c>
      <c r="D436" s="50">
        <f t="shared" si="38"/>
        <v>321.1894716468729</v>
      </c>
    </row>
    <row r="437" spans="1:4" x14ac:dyDescent="0.25">
      <c r="A437" s="37">
        <v>-308</v>
      </c>
      <c r="B437" s="51">
        <v>167.76541474017984</v>
      </c>
      <c r="C437" s="51">
        <v>-130.96528808633451</v>
      </c>
      <c r="D437" s="50">
        <f t="shared" si="38"/>
        <v>322.02278771611947</v>
      </c>
    </row>
    <row r="438" spans="1:4" x14ac:dyDescent="0.25">
      <c r="A438" s="38">
        <v>-309</v>
      </c>
      <c r="B438" s="51">
        <v>170.12126539048191</v>
      </c>
      <c r="C438" s="51">
        <v>-128.92194489118285</v>
      </c>
      <c r="D438" s="50">
        <f t="shared" si="38"/>
        <v>322.8442846055745</v>
      </c>
    </row>
    <row r="439" spans="1:4" x14ac:dyDescent="0.25">
      <c r="A439" s="38">
        <v>-310</v>
      </c>
      <c r="B439" s="51">
        <v>172.43274544554745</v>
      </c>
      <c r="C439" s="51">
        <v>-126.87053629961957</v>
      </c>
      <c r="D439" s="50">
        <f t="shared" si="38"/>
        <v>323.65554610591363</v>
      </c>
    </row>
    <row r="440" spans="1:4" x14ac:dyDescent="0.25">
      <c r="A440" s="37">
        <v>-311</v>
      </c>
      <c r="B440" s="51">
        <v>174.70402619408401</v>
      </c>
      <c r="C440" s="51">
        <v>-124.80818563306553</v>
      </c>
      <c r="D440" s="50">
        <f t="shared" si="38"/>
        <v>324.45806703459778</v>
      </c>
    </row>
    <row r="441" spans="1:4" x14ac:dyDescent="0.25">
      <c r="A441" s="37">
        <v>-312</v>
      </c>
      <c r="B441" s="51">
        <v>176.93929611287155</v>
      </c>
      <c r="C441" s="51">
        <v>-122.73215891822237</v>
      </c>
      <c r="D441" s="50">
        <f t="shared" si="38"/>
        <v>325.25327892363015</v>
      </c>
    </row>
    <row r="442" spans="1:4" x14ac:dyDescent="0.25">
      <c r="A442" s="38">
        <v>-313</v>
      </c>
      <c r="B442" s="51">
        <v>179.14222013187486</v>
      </c>
      <c r="C442" s="51">
        <v>-120.63948137090362</v>
      </c>
      <c r="D442" s="50">
        <f t="shared" si="38"/>
        <v>326.04255085302839</v>
      </c>
    </row>
    <row r="443" spans="1:4" x14ac:dyDescent="0.25">
      <c r="A443" s="38">
        <v>-314</v>
      </c>
      <c r="B443" s="51">
        <v>181.31646383360024</v>
      </c>
      <c r="C443" s="51">
        <v>-118.52720781408114</v>
      </c>
      <c r="D443" s="50">
        <f t="shared" si="38"/>
        <v>326.82721419723629</v>
      </c>
    </row>
    <row r="444" spans="1:4" x14ac:dyDescent="0.25">
      <c r="A444" s="37">
        <v>-315</v>
      </c>
      <c r="B444" s="51">
        <v>183.46524206689872</v>
      </c>
      <c r="C444" s="51">
        <v>-116.39213948258943</v>
      </c>
      <c r="D444" s="50">
        <f t="shared" si="38"/>
        <v>327.60855964843455</v>
      </c>
    </row>
    <row r="445" spans="1:4" x14ac:dyDescent="0.25">
      <c r="A445" s="37">
        <v>-316</v>
      </c>
      <c r="B445" s="51">
        <v>185.59182272670759</v>
      </c>
      <c r="C445" s="51">
        <v>-114.23105005767705</v>
      </c>
      <c r="D445" s="50">
        <f t="shared" si="38"/>
        <v>328.38786335744379</v>
      </c>
    </row>
    <row r="446" spans="1:4" x14ac:dyDescent="0.25">
      <c r="A446" s="38">
        <v>-317</v>
      </c>
      <c r="B446" s="51">
        <v>187.69919199830167</v>
      </c>
      <c r="C446" s="51">
        <v>-112.04048089101606</v>
      </c>
      <c r="D446" s="50">
        <f t="shared" si="38"/>
        <v>329.16638512814302</v>
      </c>
    </row>
    <row r="447" spans="1:4" x14ac:dyDescent="0.25">
      <c r="A447" s="38">
        <v>-318</v>
      </c>
      <c r="B447" s="51">
        <v>189.7902540446305</v>
      </c>
      <c r="C447" s="51">
        <v>-109.81680202825348</v>
      </c>
      <c r="D447" s="50">
        <f t="shared" si="38"/>
        <v>329.94538473251271</v>
      </c>
    </row>
    <row r="448" spans="1:4" x14ac:dyDescent="0.25">
      <c r="A448" s="37">
        <v>-319</v>
      </c>
      <c r="B448" s="51">
        <v>191.86775703271144</v>
      </c>
      <c r="C448" s="51">
        <v>-107.55614367679041</v>
      </c>
      <c r="D448" s="50">
        <f t="shared" si="38"/>
        <v>330.72612804816129</v>
      </c>
    </row>
    <row r="449" spans="1:4" x14ac:dyDescent="0.25">
      <c r="A449" s="37">
        <v>-320</v>
      </c>
      <c r="B449" s="51">
        <v>193.93451332802795</v>
      </c>
      <c r="C449" s="51">
        <v>-105.25443561861223</v>
      </c>
      <c r="D449" s="50">
        <f t="shared" si="38"/>
        <v>331.50990678182757</v>
      </c>
    </row>
    <row r="450" spans="1:4" x14ac:dyDescent="0.25">
      <c r="A450" s="38">
        <v>-321</v>
      </c>
      <c r="B450" s="51">
        <v>195.99302187322232</v>
      </c>
      <c r="C450" s="51">
        <v>-102.90723354442673</v>
      </c>
      <c r="D450" s="50">
        <f t="shared" ref="D450:D490" si="39">IF(DEGREES(ATAN2(B450,C450))&lt;0,DEGREES(ATAN2(B450,C450))+360,DEGREES(ATAN2(B450,C450)))</f>
        <v>332.29802996251317</v>
      </c>
    </row>
    <row r="451" spans="1:4" x14ac:dyDescent="0.25">
      <c r="A451" s="38">
        <v>-322</v>
      </c>
      <c r="B451" s="51">
        <v>198.0459987495249</v>
      </c>
      <c r="C451" s="51">
        <v>-100.50984869477384</v>
      </c>
      <c r="D451" s="50">
        <f t="shared" si="39"/>
        <v>333.09186039804365</v>
      </c>
    </row>
    <row r="452" spans="1:4" x14ac:dyDescent="0.25">
      <c r="A452" s="37">
        <v>-323</v>
      </c>
      <c r="B452" s="51">
        <v>200.09599861556583</v>
      </c>
      <c r="C452" s="51">
        <v>-98.057169577062297</v>
      </c>
      <c r="D452" s="50">
        <f t="shared" si="39"/>
        <v>333.89280694238812</v>
      </c>
    </row>
    <row r="453" spans="1:4" x14ac:dyDescent="0.25">
      <c r="A453" s="37">
        <v>-324</v>
      </c>
      <c r="B453" s="51">
        <v>202.14543053443575</v>
      </c>
      <c r="C453" s="51">
        <v>-95.54362536659815</v>
      </c>
      <c r="D453" s="50">
        <f t="shared" si="39"/>
        <v>334.70233574392989</v>
      </c>
    </row>
    <row r="454" spans="1:4" x14ac:dyDescent="0.25">
      <c r="A454" s="38">
        <v>-325</v>
      </c>
      <c r="B454" s="51">
        <v>203.66609558259051</v>
      </c>
      <c r="C454" s="51">
        <v>-93.829072717551711</v>
      </c>
      <c r="D454" s="50">
        <f t="shared" si="39"/>
        <v>335.26445224142913</v>
      </c>
    </row>
    <row r="455" spans="1:4" x14ac:dyDescent="0.25">
      <c r="A455" s="38">
        <v>-326</v>
      </c>
      <c r="B455" s="51">
        <v>205.70511179027801</v>
      </c>
      <c r="C455" s="51">
        <v>-91.200606303184273</v>
      </c>
      <c r="D455" s="50">
        <f t="shared" si="39"/>
        <v>336.08960609906069</v>
      </c>
    </row>
    <row r="456" spans="1:4" x14ac:dyDescent="0.25">
      <c r="A456" s="37">
        <v>-327</v>
      </c>
      <c r="B456" s="51">
        <v>207.75124356113386</v>
      </c>
      <c r="C456" s="51">
        <v>-88.492375367352864</v>
      </c>
      <c r="D456" s="50">
        <f t="shared" si="39"/>
        <v>336.92824907427706</v>
      </c>
    </row>
    <row r="457" spans="1:4" x14ac:dyDescent="0.25">
      <c r="A457" s="37">
        <v>-328</v>
      </c>
      <c r="B457" s="51">
        <v>209.80721625604082</v>
      </c>
      <c r="C457" s="51">
        <v>-85.696493410716272</v>
      </c>
      <c r="D457" s="50">
        <f t="shared" si="39"/>
        <v>337.78226807191163</v>
      </c>
    </row>
    <row r="458" spans="1:4" x14ac:dyDescent="0.25">
      <c r="A458" s="38">
        <v>-329</v>
      </c>
      <c r="B458" s="51">
        <v>211.875584719297</v>
      </c>
      <c r="C458" s="51">
        <v>-82.804190613410128</v>
      </c>
      <c r="D458" s="50">
        <f t="shared" si="39"/>
        <v>338.65368834230253</v>
      </c>
    </row>
    <row r="459" spans="1:4" x14ac:dyDescent="0.25">
      <c r="A459" s="38">
        <v>-330</v>
      </c>
      <c r="B459" s="51">
        <v>213.95908955745182</v>
      </c>
      <c r="C459" s="51">
        <v>-79.80573169998938</v>
      </c>
      <c r="D459" s="50">
        <f t="shared" si="39"/>
        <v>339.54472174022601</v>
      </c>
    </row>
    <row r="460" spans="1:4" x14ac:dyDescent="0.25">
      <c r="A460" s="37">
        <v>-331</v>
      </c>
      <c r="B460" s="51">
        <v>216.06055224423352</v>
      </c>
      <c r="C460" s="51">
        <v>-76.690240042707586</v>
      </c>
      <c r="D460" s="50">
        <f t="shared" si="39"/>
        <v>340.45778855593846</v>
      </c>
    </row>
    <row r="461" spans="1:4" x14ac:dyDescent="0.25">
      <c r="A461" s="37">
        <v>-332</v>
      </c>
      <c r="B461" s="51">
        <v>218.13199095017305</v>
      </c>
      <c r="C461" s="51">
        <v>-73.532251799767394</v>
      </c>
      <c r="D461" s="50">
        <f t="shared" si="39"/>
        <v>341.37104844995076</v>
      </c>
    </row>
    <row r="462" spans="1:4" x14ac:dyDescent="0.25">
      <c r="A462" s="38">
        <v>-333</v>
      </c>
      <c r="B462" s="51">
        <v>220.12107033135564</v>
      </c>
      <c r="C462" s="51">
        <v>-70.421274194802862</v>
      </c>
      <c r="D462" s="50">
        <f t="shared" si="39"/>
        <v>342.25945298348324</v>
      </c>
    </row>
    <row r="463" spans="1:4" x14ac:dyDescent="0.25">
      <c r="A463" s="38">
        <v>-334</v>
      </c>
      <c r="B463" s="51">
        <v>222.03278981972605</v>
      </c>
      <c r="C463" s="51">
        <v>-67.354232965569608</v>
      </c>
      <c r="D463" s="50">
        <f t="shared" si="39"/>
        <v>343.12468748035934</v>
      </c>
    </row>
    <row r="464" spans="1:4" x14ac:dyDescent="0.25">
      <c r="A464" s="37">
        <v>-335</v>
      </c>
      <c r="B464" s="51">
        <v>223.87155813641087</v>
      </c>
      <c r="C464" s="51">
        <v>-64.328132827978322</v>
      </c>
      <c r="D464" s="50">
        <f t="shared" si="39"/>
        <v>343.96831661153215</v>
      </c>
    </row>
    <row r="465" spans="1:4" x14ac:dyDescent="0.25">
      <c r="A465" s="37">
        <v>-336</v>
      </c>
      <c r="B465" s="51">
        <v>225.64159298134209</v>
      </c>
      <c r="C465" s="51">
        <v>-61.34011830202261</v>
      </c>
      <c r="D465" s="50">
        <f t="shared" si="39"/>
        <v>344.79180566680589</v>
      </c>
    </row>
    <row r="466" spans="1:4" x14ac:dyDescent="0.25">
      <c r="A466" s="38">
        <v>-337</v>
      </c>
      <c r="B466" s="51">
        <v>227.34670388699786</v>
      </c>
      <c r="C466" s="51">
        <v>-58.387454673016229</v>
      </c>
      <c r="D466" s="50">
        <f t="shared" si="39"/>
        <v>345.59651445715758</v>
      </c>
    </row>
    <row r="467" spans="1:4" x14ac:dyDescent="0.25">
      <c r="A467" s="38">
        <v>-338</v>
      </c>
      <c r="B467" s="51">
        <v>228.99068558930955</v>
      </c>
      <c r="C467" s="51">
        <v>-55.467526693098819</v>
      </c>
      <c r="D467" s="50">
        <f t="shared" si="39"/>
        <v>346.38372677634834</v>
      </c>
    </row>
    <row r="468" spans="1:4" x14ac:dyDescent="0.25">
      <c r="A468" s="37">
        <v>-339</v>
      </c>
      <c r="B468" s="51">
        <v>230.57668139411487</v>
      </c>
      <c r="C468" s="51">
        <v>-52.577810735915413</v>
      </c>
      <c r="D468" s="50">
        <f t="shared" si="39"/>
        <v>347.15462257260765</v>
      </c>
    </row>
    <row r="469" spans="1:4" x14ac:dyDescent="0.25">
      <c r="A469" s="37">
        <v>-340</v>
      </c>
      <c r="B469" s="51">
        <v>231.96542610501231</v>
      </c>
      <c r="C469" s="51">
        <v>-49.769285621554381</v>
      </c>
      <c r="D469" s="50">
        <f t="shared" si="39"/>
        <v>347.89050548232325</v>
      </c>
    </row>
    <row r="470" spans="1:4" x14ac:dyDescent="0.25">
      <c r="A470" s="38">
        <v>-341</v>
      </c>
      <c r="B470" s="51">
        <v>232.98642180579839</v>
      </c>
      <c r="C470" s="51">
        <v>-47.1048777122624</v>
      </c>
      <c r="D470" s="50">
        <f t="shared" si="39"/>
        <v>348.5700921682199</v>
      </c>
    </row>
    <row r="471" spans="1:4" x14ac:dyDescent="0.25">
      <c r="A471" s="38">
        <v>-342</v>
      </c>
      <c r="B471" s="51">
        <v>233.52818633724726</v>
      </c>
      <c r="C471" s="51">
        <v>-45.549053217549833</v>
      </c>
      <c r="D471" s="50">
        <f t="shared" si="39"/>
        <v>348.96317760620201</v>
      </c>
    </row>
    <row r="472" spans="1:4" x14ac:dyDescent="0.25">
      <c r="A472" s="37">
        <v>-343</v>
      </c>
      <c r="B472" s="51">
        <v>234.44877048860567</v>
      </c>
      <c r="C472" s="51">
        <v>-42.93030294304706</v>
      </c>
      <c r="D472" s="50">
        <f t="shared" si="39"/>
        <v>349.62343074608964</v>
      </c>
    </row>
    <row r="473" spans="1:4" x14ac:dyDescent="0.25">
      <c r="A473" s="37">
        <v>-344</v>
      </c>
      <c r="B473" s="51">
        <v>235.32271430319574</v>
      </c>
      <c r="C473" s="51">
        <v>-40.331670223242782</v>
      </c>
      <c r="D473" s="50">
        <f t="shared" si="39"/>
        <v>350.27463689206053</v>
      </c>
    </row>
    <row r="474" spans="1:4" x14ac:dyDescent="0.25">
      <c r="A474" s="38">
        <v>-345</v>
      </c>
      <c r="B474" s="51">
        <v>236.15204759037348</v>
      </c>
      <c r="C474" s="51">
        <v>-37.751201761708153</v>
      </c>
      <c r="D474" s="50">
        <f t="shared" si="39"/>
        <v>350.91755971153469</v>
      </c>
    </row>
    <row r="475" spans="1:4" x14ac:dyDescent="0.25">
      <c r="A475" s="38">
        <v>-346</v>
      </c>
      <c r="B475" s="51">
        <v>236.93838025793957</v>
      </c>
      <c r="C475" s="51">
        <v>-35.186991052483251</v>
      </c>
      <c r="D475" s="50">
        <f t="shared" si="39"/>
        <v>351.55291691985849</v>
      </c>
    </row>
    <row r="476" spans="1:4" x14ac:dyDescent="0.25">
      <c r="A476" s="37">
        <v>-347</v>
      </c>
      <c r="B476" s="51">
        <v>237.68347800466054</v>
      </c>
      <c r="C476" s="51">
        <v>-32.637179105559177</v>
      </c>
      <c r="D476" s="50">
        <f t="shared" si="39"/>
        <v>352.18140431400212</v>
      </c>
    </row>
    <row r="477" spans="1:4" x14ac:dyDescent="0.25">
      <c r="A477" s="37">
        <v>-348</v>
      </c>
      <c r="B477" s="51">
        <v>238.38861454416985</v>
      </c>
      <c r="C477" s="51">
        <v>-30.099941365892072</v>
      </c>
      <c r="D477" s="50">
        <f t="shared" si="39"/>
        <v>352.80367731691786</v>
      </c>
    </row>
    <row r="478" spans="1:4" x14ac:dyDescent="0.25">
      <c r="A478" s="38">
        <v>-349</v>
      </c>
      <c r="B478" s="51">
        <v>239.05535267362146</v>
      </c>
      <c r="C478" s="51">
        <v>-27.573490385054178</v>
      </c>
      <c r="D478" s="50">
        <f t="shared" si="39"/>
        <v>353.4203779393963</v>
      </c>
    </row>
    <row r="479" spans="1:4" x14ac:dyDescent="0.25">
      <c r="A479" s="38">
        <v>-350</v>
      </c>
      <c r="B479" s="51">
        <v>239.68490352039919</v>
      </c>
      <c r="C479" s="51">
        <v>-25.056063688164706</v>
      </c>
      <c r="D479" s="50">
        <f t="shared" si="39"/>
        <v>354.03211790741136</v>
      </c>
    </row>
    <row r="480" spans="1:4" x14ac:dyDescent="0.25">
      <c r="A480" s="37">
        <v>-351</v>
      </c>
      <c r="B480" s="51">
        <v>240.27836224752409</v>
      </c>
      <c r="C480" s="51">
        <v>-22.545921154411676</v>
      </c>
      <c r="D480" s="50">
        <f t="shared" si="39"/>
        <v>354.63948886569585</v>
      </c>
    </row>
    <row r="481" spans="1:4" x14ac:dyDescent="0.25">
      <c r="A481" s="37">
        <v>-352</v>
      </c>
      <c r="B481" s="51">
        <v>240.83682587132728</v>
      </c>
      <c r="C481" s="51">
        <v>-20.041340757775341</v>
      </c>
      <c r="D481" s="50">
        <f t="shared" si="39"/>
        <v>355.24306697618505</v>
      </c>
    </row>
    <row r="482" spans="1:4" x14ac:dyDescent="0.25">
      <c r="A482" s="38">
        <v>-353</v>
      </c>
      <c r="B482" s="51">
        <v>241.36129974539031</v>
      </c>
      <c r="C482" s="51">
        <v>-17.5406125991273</v>
      </c>
      <c r="D482" s="50">
        <f t="shared" si="39"/>
        <v>355.84341249751139</v>
      </c>
    </row>
    <row r="483" spans="1:4" x14ac:dyDescent="0.25">
      <c r="A483" s="38">
        <v>-354</v>
      </c>
      <c r="B483" s="51">
        <v>241.85250989279172</v>
      </c>
      <c r="C483" s="51">
        <v>-15.042032929508657</v>
      </c>
      <c r="D483" s="50">
        <f t="shared" si="39"/>
        <v>356.44106937686018</v>
      </c>
    </row>
    <row r="484" spans="1:4" x14ac:dyDescent="0.25">
      <c r="A484" s="37">
        <v>-355</v>
      </c>
      <c r="B484" s="51">
        <v>242.31132685885598</v>
      </c>
      <c r="C484" s="51">
        <v>-12.54390187227432</v>
      </c>
      <c r="D484" s="50">
        <f t="shared" si="39"/>
        <v>357.03657418473608</v>
      </c>
    </row>
    <row r="485" spans="1:4" x14ac:dyDescent="0.25">
      <c r="A485" s="37">
        <v>-356</v>
      </c>
      <c r="B485" s="51">
        <v>242.7383735876686</v>
      </c>
      <c r="C485" s="51">
        <v>-10.044516122433064</v>
      </c>
      <c r="D485" s="50">
        <f t="shared" si="39"/>
        <v>357.63045196505107</v>
      </c>
    </row>
    <row r="486" spans="1:4" x14ac:dyDescent="0.25">
      <c r="A486" s="38">
        <v>-357</v>
      </c>
      <c r="B486" s="51">
        <v>243.13443974964912</v>
      </c>
      <c r="C486" s="51">
        <v>-7.5421658079622089</v>
      </c>
      <c r="D486" s="50">
        <f t="shared" si="39"/>
        <v>358.22322276128813</v>
      </c>
    </row>
    <row r="487" spans="1:4" x14ac:dyDescent="0.25">
      <c r="A487" s="38">
        <v>-358</v>
      </c>
      <c r="B487" s="51">
        <v>243.49990621901816</v>
      </c>
      <c r="C487" s="51">
        <v>-5.0351272760079961</v>
      </c>
      <c r="D487" s="50">
        <f t="shared" si="39"/>
        <v>358.81539817015874</v>
      </c>
    </row>
    <row r="488" spans="1:4" x14ac:dyDescent="0.25">
      <c r="A488" s="37">
        <v>-359</v>
      </c>
      <c r="B488" s="51">
        <v>243.83535182640767</v>
      </c>
      <c r="C488" s="51">
        <v>-2.5216599957264849</v>
      </c>
      <c r="D488" s="50">
        <f t="shared" si="39"/>
        <v>359.40748819375773</v>
      </c>
    </row>
    <row r="489" spans="1:4" x14ac:dyDescent="0.25">
      <c r="A489" s="37">
        <v>-360</v>
      </c>
      <c r="B489" s="51">
        <v>244.14108563867393</v>
      </c>
      <c r="C489" s="51">
        <v>-2.0411526722905001E-13</v>
      </c>
      <c r="D489" s="50">
        <f t="shared" si="39"/>
        <v>359.99999999999994</v>
      </c>
    </row>
    <row r="490" spans="1:4" x14ac:dyDescent="0.25">
      <c r="A490" s="39"/>
      <c r="B490" s="51">
        <f>B129</f>
        <v>244.14108563867407</v>
      </c>
      <c r="C490" s="51">
        <f>C129</f>
        <v>-1.3505639689418181E-13</v>
      </c>
      <c r="D490" s="50">
        <f t="shared" si="39"/>
        <v>359.99999999999994</v>
      </c>
    </row>
  </sheetData>
  <dataValidations disablePrompts="1" count="1">
    <dataValidation type="list" allowBlank="1" showInputMessage="1" showErrorMessage="1" sqref="S5" xr:uid="{B4F356A9-89A3-48E9-9DEB-FAC7826A98CE}">
      <formula1>"0,3,4"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ill_in_bar_table">
                <anchor moveWithCells="1" sizeWithCells="1">
                  <from>
                    <xdr:col>18</xdr:col>
                    <xdr:colOff>180975</xdr:colOff>
                    <xdr:row>20</xdr:row>
                    <xdr:rowOff>95250</xdr:rowOff>
                  </from>
                  <to>
                    <xdr:col>19</xdr:col>
                    <xdr:colOff>819150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 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2020-01-23T23:21:38Z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