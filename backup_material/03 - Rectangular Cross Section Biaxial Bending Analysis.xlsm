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DD8D8CFE-C02C-446D-A537-73B3619E6E61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'Cross Section Analysis'!$D$121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1" i="1" l="1"/>
  <c r="Q123" i="1" l="1"/>
  <c r="D120" i="1"/>
  <c r="Q122" i="1" s="1"/>
  <c r="E120" i="1"/>
  <c r="R122" i="1" s="1"/>
  <c r="C490" i="1" l="1"/>
  <c r="B490" i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F75" i="1" l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F34" i="1" l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P115" i="1" l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/>
  <c r="F110" i="1" l="1"/>
  <c r="J113" i="1" s="1"/>
  <c r="I98" i="1"/>
  <c r="J110" i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F114" i="1" l="1"/>
  <c r="H114" i="1" s="1"/>
  <c r="J114" i="1" s="1"/>
  <c r="F115" i="1"/>
  <c r="H115" i="1" s="1"/>
  <c r="J115" i="1" s="1"/>
  <c r="M117" i="1" l="1"/>
  <c r="I125" i="1"/>
  <c r="H125" i="1"/>
  <c r="R123" i="1" l="1"/>
  <c r="N115" i="1"/>
</calcChain>
</file>

<file path=xl/sharedStrings.xml><?xml version="1.0" encoding="utf-8"?>
<sst xmlns="http://schemas.openxmlformats.org/spreadsheetml/2006/main" count="139" uniqueCount="94">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</sst>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center"/>
      <protection locked="0"/>
    </xf>
    <xf numFmtId="0" fontId="3" fillId="0" borderId="0" xfId="0" applyFont="1" applyFill="1" applyAlignment="1" applyProtection="1">
      <alignment horizontal="right"/>
      <protection locked="0"/>
    </xf>
    <xf numFmtId="166" fontId="3" fillId="0" borderId="0" xfId="0" applyNumberFormat="1" applyFont="1" applyFill="1" applyAlignment="1" applyProtection="1">
      <alignment horizontal="center"/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-56.628616557715134</c:v>
                </c:pt>
                <c:pt idx="1">
                  <c:v>-56.644669656410805</c:v>
                </c:pt>
                <c:pt idx="2">
                  <c:v>-56.65696562410735</c:v>
                </c:pt>
                <c:pt idx="3">
                  <c:v>-56.666410243589134</c:v>
                </c:pt>
                <c:pt idx="4">
                  <c:v>-56.674384574494496</c:v>
                </c:pt>
                <c:pt idx="5">
                  <c:v>-56.681424405374791</c:v>
                </c:pt>
                <c:pt idx="6">
                  <c:v>-56.687805114872383</c:v>
                </c:pt>
                <c:pt idx="7">
                  <c:v>-56.693690746309642</c:v>
                </c:pt>
                <c:pt idx="8">
                  <c:v>-56.699188553632958</c:v>
                </c:pt>
                <c:pt idx="9">
                  <c:v>-56.704373350795493</c:v>
                </c:pt>
                <c:pt idx="10">
                  <c:v>-56.709299886343608</c:v>
                </c:pt>
                <c:pt idx="11">
                  <c:v>-56.714009739654507</c:v>
                </c:pt>
                <c:pt idx="12">
                  <c:v>-56.718535442080572</c:v>
                </c:pt>
                <c:pt idx="13">
                  <c:v>-56.722903078095094</c:v>
                </c:pt>
                <c:pt idx="14">
                  <c:v>-56.727133999553828</c:v>
                </c:pt>
                <c:pt idx="15">
                  <c:v>-56.731245997929705</c:v>
                </c:pt>
                <c:pt idx="16">
                  <c:v>-56.735254130552335</c:v>
                </c:pt>
                <c:pt idx="17">
                  <c:v>-56.739171319542073</c:v>
                </c:pt>
                <c:pt idx="18">
                  <c:v>-56.743008793106604</c:v>
                </c:pt>
                <c:pt idx="19">
                  <c:v>-56.746776421522874</c:v>
                </c:pt>
                <c:pt idx="20">
                  <c:v>-56.750482972962963</c:v>
                </c:pt>
                <c:pt idx="21">
                  <c:v>-56.75413631457446</c:v>
                </c:pt>
                <c:pt idx="22">
                  <c:v>-56.757743572516141</c:v>
                </c:pt>
                <c:pt idx="23">
                  <c:v>-56.761311259349981</c:v>
                </c:pt>
                <c:pt idx="24">
                  <c:v>-56.764845378292691</c:v>
                </c:pt>
                <c:pt idx="25">
                  <c:v>-56.768351510306523</c:v>
                </c:pt>
                <c:pt idx="26">
                  <c:v>-56.771834885524882</c:v>
                </c:pt>
                <c:pt idx="27">
                  <c:v>-56.775300443711025</c:v>
                </c:pt>
                <c:pt idx="28">
                  <c:v>-56.778752887219049</c:v>
                </c:pt>
                <c:pt idx="29">
                  <c:v>-56.782196726074382</c:v>
                </c:pt>
                <c:pt idx="30">
                  <c:v>-56.785636317552807</c:v>
                </c:pt>
                <c:pt idx="31">
                  <c:v>-56.789075902034888</c:v>
                </c:pt>
                <c:pt idx="32">
                  <c:v>-56.792519634915301</c:v>
                </c:pt>
                <c:pt idx="33">
                  <c:v>-56.795971616302431</c:v>
                </c:pt>
                <c:pt idx="34">
                  <c:v>-56.79943591849878</c:v>
                </c:pt>
                <c:pt idx="35">
                  <c:v>-56.802916612369941</c:v>
                </c:pt>
                <c:pt idx="36">
                  <c:v>-56.806417792818444</c:v>
                </c:pt>
                <c:pt idx="37">
                  <c:v>-56.809943602826891</c:v>
                </c:pt>
                <c:pt idx="38">
                  <c:v>-56.813498258707106</c:v>
                </c:pt>
                <c:pt idx="39">
                  <c:v>-56.817086074781223</c:v>
                </c:pt>
                <c:pt idx="40">
                  <c:v>-56.820711489586834</c:v>
                </c:pt>
                <c:pt idx="41">
                  <c:v>-56.824379091316096</c:v>
                </c:pt>
                <c:pt idx="42">
                  <c:v>-56.828093647072819</c:v>
                </c:pt>
                <c:pt idx="43">
                  <c:v>-56.83186013159267</c:v>
                </c:pt>
                <c:pt idx="44">
                  <c:v>-56.835683760210927</c:v>
                </c:pt>
                <c:pt idx="45">
                  <c:v>-56.839570023100563</c:v>
                </c:pt>
                <c:pt idx="46">
                  <c:v>-56.843524723547226</c:v>
                </c:pt>
                <c:pt idx="47">
                  <c:v>-56.847554019747648</c:v>
                </c:pt>
                <c:pt idx="48">
                  <c:v>-56.851664471286007</c:v>
                </c:pt>
                <c:pt idx="49">
                  <c:v>-56.855863091836085</c:v>
                </c:pt>
                <c:pt idx="50">
                  <c:v>-56.860157406644646</c:v>
                </c:pt>
                <c:pt idx="51">
                  <c:v>-56.864555519130221</c:v>
                </c:pt>
                <c:pt idx="52">
                  <c:v>-56.869066185070629</c:v>
                </c:pt>
                <c:pt idx="53">
                  <c:v>-56.873698898586653</c:v>
                </c:pt>
                <c:pt idx="54">
                  <c:v>-56.878463989299448</c:v>
                </c:pt>
                <c:pt idx="55">
                  <c:v>-56.883372735535275</c:v>
                </c:pt>
                <c:pt idx="56">
                  <c:v>-56.888437493898223</c:v>
                </c:pt>
                <c:pt idx="57">
                  <c:v>-56.893671851280246</c:v>
                </c:pt>
                <c:pt idx="58">
                  <c:v>-56.899090801283002</c:v>
                </c:pt>
                <c:pt idx="59">
                  <c:v>-56.90471095210539</c:v>
                </c:pt>
                <c:pt idx="60">
                  <c:v>-56.910550771541949</c:v>
                </c:pt>
                <c:pt idx="61">
                  <c:v>-56.916630878216857</c:v>
                </c:pt>
                <c:pt idx="62">
                  <c:v>-56.922974388620631</c:v>
                </c:pt>
                <c:pt idx="63">
                  <c:v>-56.929607334579408</c:v>
                </c:pt>
                <c:pt idx="64">
                  <c:v>-56.936559168151149</c:v>
                </c:pt>
                <c:pt idx="65">
                  <c:v>-56.943863375321918</c:v>
                </c:pt>
                <c:pt idx="66">
                  <c:v>-56.951558230047873</c:v>
                </c:pt>
                <c:pt idx="67">
                  <c:v>-56.95968772639246</c:v>
                </c:pt>
                <c:pt idx="68">
                  <c:v>-56.968302739997831</c:v>
                </c:pt>
                <c:pt idx="69">
                  <c:v>-56.977462491825719</c:v>
                </c:pt>
                <c:pt idx="70">
                  <c:v>-56.987236408845298</c:v>
                </c:pt>
                <c:pt idx="71">
                  <c:v>-56.997706516872412</c:v>
                </c:pt>
                <c:pt idx="72">
                  <c:v>-57.008970555308046</c:v>
                </c:pt>
                <c:pt idx="73">
                  <c:v>-57.021146085430161</c:v>
                </c:pt>
                <c:pt idx="74">
                  <c:v>-57.034375992034285</c:v>
                </c:pt>
                <c:pt idx="75">
                  <c:v>-57.048835970354084</c:v>
                </c:pt>
                <c:pt idx="76">
                  <c:v>-57.064744907671624</c:v>
                </c:pt>
                <c:pt idx="77">
                  <c:v>-57.082379579692002</c:v>
                </c:pt>
                <c:pt idx="78">
                  <c:v>-57.102095957906322</c:v>
                </c:pt>
                <c:pt idx="79">
                  <c:v>-57.12436095317824</c:v>
                </c:pt>
                <c:pt idx="80">
                  <c:v>-57.149801231056671</c:v>
                </c:pt>
                <c:pt idx="81">
                  <c:v>-57.179281129128974</c:v>
                </c:pt>
                <c:pt idx="82">
                  <c:v>-57.214032685192343</c:v>
                </c:pt>
                <c:pt idx="83">
                  <c:v>-57.255884699082365</c:v>
                </c:pt>
                <c:pt idx="84">
                  <c:v>-57.30769439807991</c:v>
                </c:pt>
                <c:pt idx="85">
                  <c:v>-57.374234426999926</c:v>
                </c:pt>
                <c:pt idx="86">
                  <c:v>-57.464238978889064</c:v>
                </c:pt>
                <c:pt idx="87">
                  <c:v>-57.595965887084965</c:v>
                </c:pt>
                <c:pt idx="88">
                  <c:v>-57.816738241263749</c:v>
                </c:pt>
                <c:pt idx="89">
                  <c:v>-58.31477348172821</c:v>
                </c:pt>
                <c:pt idx="90">
                  <c:v>-62.864999999999931</c:v>
                </c:pt>
                <c:pt idx="91">
                  <c:v>-67.415226518271837</c:v>
                </c:pt>
                <c:pt idx="92">
                  <c:v>-67.913261758736297</c:v>
                </c:pt>
                <c:pt idx="93">
                  <c:v>-68.134034112914989</c:v>
                </c:pt>
                <c:pt idx="94">
                  <c:v>-68.265761021110976</c:v>
                </c:pt>
                <c:pt idx="95">
                  <c:v>-68.355765573000127</c:v>
                </c:pt>
                <c:pt idx="96">
                  <c:v>-68.422305601920129</c:v>
                </c:pt>
                <c:pt idx="97">
                  <c:v>-68.474115300917646</c:v>
                </c:pt>
                <c:pt idx="98">
                  <c:v>-68.515967314807739</c:v>
                </c:pt>
                <c:pt idx="99">
                  <c:v>-68.550718870871066</c:v>
                </c:pt>
                <c:pt idx="100">
                  <c:v>-68.580198768943347</c:v>
                </c:pt>
                <c:pt idx="101">
                  <c:v>-68.605639046821764</c:v>
                </c:pt>
                <c:pt idx="102">
                  <c:v>-68.627904042093661</c:v>
                </c:pt>
                <c:pt idx="103">
                  <c:v>-68.647620420308044</c:v>
                </c:pt>
                <c:pt idx="104">
                  <c:v>-68.665255092328366</c:v>
                </c:pt>
                <c:pt idx="105">
                  <c:v>-68.681164029645899</c:v>
                </c:pt>
                <c:pt idx="106">
                  <c:v>-68.695624007965748</c:v>
                </c:pt>
                <c:pt idx="107">
                  <c:v>-68.708853914569843</c:v>
                </c:pt>
                <c:pt idx="108">
                  <c:v>-68.721029444691993</c:v>
                </c:pt>
                <c:pt idx="109">
                  <c:v>-68.732293483127592</c:v>
                </c:pt>
                <c:pt idx="110">
                  <c:v>-68.742763591154713</c:v>
                </c:pt>
                <c:pt idx="111">
                  <c:v>-68.752537508174328</c:v>
                </c:pt>
                <c:pt idx="112">
                  <c:v>-68.761697260002165</c:v>
                </c:pt>
                <c:pt idx="113">
                  <c:v>-68.770312273607516</c:v>
                </c:pt>
                <c:pt idx="114">
                  <c:v>-68.778441769952124</c:v>
                </c:pt>
                <c:pt idx="115">
                  <c:v>-68.786136624678051</c:v>
                </c:pt>
                <c:pt idx="116">
                  <c:v>-68.793440831848869</c:v>
                </c:pt>
                <c:pt idx="117">
                  <c:v>-68.800392665420546</c:v>
                </c:pt>
                <c:pt idx="118">
                  <c:v>-68.807025611379373</c:v>
                </c:pt>
                <c:pt idx="119">
                  <c:v>-68.813369121783126</c:v>
                </c:pt>
                <c:pt idx="120">
                  <c:v>-68.819449228457998</c:v>
                </c:pt>
                <c:pt idx="121">
                  <c:v>-68.8252890478946</c:v>
                </c:pt>
                <c:pt idx="122">
                  <c:v>-68.830909198716981</c:v>
                </c:pt>
                <c:pt idx="123">
                  <c:v>-68.83632814871973</c:v>
                </c:pt>
                <c:pt idx="124">
                  <c:v>-68.841562506101752</c:v>
                </c:pt>
                <c:pt idx="125">
                  <c:v>-68.846627264464729</c:v>
                </c:pt>
                <c:pt idx="126">
                  <c:v>-68.851536010700585</c:v>
                </c:pt>
                <c:pt idx="127">
                  <c:v>-68.856301101413379</c:v>
                </c:pt>
                <c:pt idx="128">
                  <c:v>-68.860933814929425</c:v>
                </c:pt>
                <c:pt idx="129">
                  <c:v>-68.865444480869769</c:v>
                </c:pt>
                <c:pt idx="130">
                  <c:v>-68.869842593355315</c:v>
                </c:pt>
                <c:pt idx="131">
                  <c:v>-68.874136908163933</c:v>
                </c:pt>
                <c:pt idx="132">
                  <c:v>-68.878335528714047</c:v>
                </c:pt>
                <c:pt idx="133">
                  <c:v>-68.882445980252356</c:v>
                </c:pt>
                <c:pt idx="134">
                  <c:v>-68.886475276452785</c:v>
                </c:pt>
                <c:pt idx="135">
                  <c:v>-68.890429976899483</c:v>
                </c:pt>
                <c:pt idx="136">
                  <c:v>-68.894316239789049</c:v>
                </c:pt>
                <c:pt idx="137">
                  <c:v>-68.898139868407327</c:v>
                </c:pt>
                <c:pt idx="138">
                  <c:v>-68.901906352927156</c:v>
                </c:pt>
                <c:pt idx="139">
                  <c:v>-68.9056209086839</c:v>
                </c:pt>
                <c:pt idx="140">
                  <c:v>-68.909288510413205</c:v>
                </c:pt>
                <c:pt idx="141">
                  <c:v>-68.912913925218746</c:v>
                </c:pt>
                <c:pt idx="142">
                  <c:v>-68.91650174129289</c:v>
                </c:pt>
                <c:pt idx="143">
                  <c:v>-68.920056397173113</c:v>
                </c:pt>
                <c:pt idx="144">
                  <c:v>-68.923582207181582</c:v>
                </c:pt>
                <c:pt idx="145">
                  <c:v>-68.927083387630063</c:v>
                </c:pt>
                <c:pt idx="146">
                  <c:v>-68.930564081501203</c:v>
                </c:pt>
                <c:pt idx="147">
                  <c:v>-68.93402838369758</c:v>
                </c:pt>
                <c:pt idx="148">
                  <c:v>-68.937480365084653</c:v>
                </c:pt>
                <c:pt idx="149">
                  <c:v>-68.940924097965123</c:v>
                </c:pt>
                <c:pt idx="150">
                  <c:v>-68.944363682447204</c:v>
                </c:pt>
                <c:pt idx="151">
                  <c:v>-68.947803273925587</c:v>
                </c:pt>
                <c:pt idx="152">
                  <c:v>-68.951247112781004</c:v>
                </c:pt>
                <c:pt idx="153">
                  <c:v>-68.954699556288929</c:v>
                </c:pt>
                <c:pt idx="154">
                  <c:v>-68.95816511447515</c:v>
                </c:pt>
                <c:pt idx="155">
                  <c:v>-68.961648489693474</c:v>
                </c:pt>
                <c:pt idx="156">
                  <c:v>-68.965154621707299</c:v>
                </c:pt>
                <c:pt idx="157">
                  <c:v>-68.968688740649995</c:v>
                </c:pt>
                <c:pt idx="158">
                  <c:v>-68.972256427483828</c:v>
                </c:pt>
                <c:pt idx="159">
                  <c:v>-68.975863685425551</c:v>
                </c:pt>
                <c:pt idx="160">
                  <c:v>-68.979517027037048</c:v>
                </c:pt>
                <c:pt idx="161">
                  <c:v>-68.983223578477151</c:v>
                </c:pt>
                <c:pt idx="162">
                  <c:v>-68.986991206893421</c:v>
                </c:pt>
                <c:pt idx="163">
                  <c:v>-68.990828680457952</c:v>
                </c:pt>
                <c:pt idx="164">
                  <c:v>-68.994745869447712</c:v>
                </c:pt>
                <c:pt idx="165">
                  <c:v>-68.998754002070299</c:v>
                </c:pt>
                <c:pt idx="166">
                  <c:v>-69.002866000446176</c:v>
                </c:pt>
                <c:pt idx="167">
                  <c:v>-69.007096921904903</c:v>
                </c:pt>
                <c:pt idx="168">
                  <c:v>-69.011464557919382</c:v>
                </c:pt>
                <c:pt idx="169">
                  <c:v>-69.01599026034549</c:v>
                </c:pt>
                <c:pt idx="170">
                  <c:v>-69.020700113656417</c:v>
                </c:pt>
                <c:pt idx="171">
                  <c:v>-69.025626649204511</c:v>
                </c:pt>
                <c:pt idx="172">
                  <c:v>-69.030811446367125</c:v>
                </c:pt>
                <c:pt idx="173">
                  <c:v>-69.036309253690334</c:v>
                </c:pt>
                <c:pt idx="174">
                  <c:v>-69.042194885127628</c:v>
                </c:pt>
                <c:pt idx="175">
                  <c:v>-69.048575594625234</c:v>
                </c:pt>
                <c:pt idx="176">
                  <c:v>-69.055615425505479</c:v>
                </c:pt>
                <c:pt idx="177">
                  <c:v>-69.063589756410821</c:v>
                </c:pt>
                <c:pt idx="178">
                  <c:v>-69.073034375892689</c:v>
                </c:pt>
                <c:pt idx="179">
                  <c:v>-69.085330343589277</c:v>
                </c:pt>
                <c:pt idx="180">
                  <c:v>-69.101383442284728</c:v>
                </c:pt>
                <c:pt idx="181">
                  <c:v>-69.08533034358922</c:v>
                </c:pt>
                <c:pt idx="182">
                  <c:v>-69.073034375892703</c:v>
                </c:pt>
                <c:pt idx="183">
                  <c:v>-69.063589756410835</c:v>
                </c:pt>
                <c:pt idx="184">
                  <c:v>-69.055615425505508</c:v>
                </c:pt>
                <c:pt idx="185">
                  <c:v>-69.048575594625248</c:v>
                </c:pt>
                <c:pt idx="186">
                  <c:v>-69.042194885127657</c:v>
                </c:pt>
                <c:pt idx="187">
                  <c:v>-69.036309253690348</c:v>
                </c:pt>
                <c:pt idx="188">
                  <c:v>-69.030811446367082</c:v>
                </c:pt>
                <c:pt idx="189">
                  <c:v>-69.02562664920454</c:v>
                </c:pt>
                <c:pt idx="190">
                  <c:v>-69.020700113656403</c:v>
                </c:pt>
                <c:pt idx="191">
                  <c:v>-69.01599026034549</c:v>
                </c:pt>
                <c:pt idx="192">
                  <c:v>-69.01146455791941</c:v>
                </c:pt>
                <c:pt idx="193">
                  <c:v>-69.007096921904932</c:v>
                </c:pt>
                <c:pt idx="194">
                  <c:v>-69.002866000446161</c:v>
                </c:pt>
                <c:pt idx="195">
                  <c:v>-68.998754002070271</c:v>
                </c:pt>
                <c:pt idx="196">
                  <c:v>-68.994745869447698</c:v>
                </c:pt>
                <c:pt idx="197">
                  <c:v>-68.990828680457909</c:v>
                </c:pt>
                <c:pt idx="198">
                  <c:v>-68.986991206893421</c:v>
                </c:pt>
                <c:pt idx="199">
                  <c:v>-68.983223578477137</c:v>
                </c:pt>
                <c:pt idx="200">
                  <c:v>-68.979517027037048</c:v>
                </c:pt>
                <c:pt idx="201">
                  <c:v>-68.975863685425551</c:v>
                </c:pt>
                <c:pt idx="202">
                  <c:v>-68.972256427483842</c:v>
                </c:pt>
                <c:pt idx="203">
                  <c:v>-68.968688740649981</c:v>
                </c:pt>
                <c:pt idx="204">
                  <c:v>-68.965154621707299</c:v>
                </c:pt>
                <c:pt idx="205">
                  <c:v>-68.961648489693459</c:v>
                </c:pt>
                <c:pt idx="206">
                  <c:v>-68.958165114475136</c:v>
                </c:pt>
                <c:pt idx="207">
                  <c:v>-68.954699556288944</c:v>
                </c:pt>
                <c:pt idx="208">
                  <c:v>-68.951247112780976</c:v>
                </c:pt>
                <c:pt idx="209">
                  <c:v>-68.947803273925601</c:v>
                </c:pt>
                <c:pt idx="210">
                  <c:v>-68.944363682447175</c:v>
                </c:pt>
                <c:pt idx="211">
                  <c:v>-68.940924097965123</c:v>
                </c:pt>
                <c:pt idx="212">
                  <c:v>-68.937480365084667</c:v>
                </c:pt>
                <c:pt idx="213">
                  <c:v>-68.934028383697566</c:v>
                </c:pt>
                <c:pt idx="214">
                  <c:v>-68.930564081501245</c:v>
                </c:pt>
                <c:pt idx="215">
                  <c:v>-68.927083387630049</c:v>
                </c:pt>
                <c:pt idx="216">
                  <c:v>-68.923582207181582</c:v>
                </c:pt>
                <c:pt idx="217">
                  <c:v>-68.920056397173155</c:v>
                </c:pt>
                <c:pt idx="218">
                  <c:v>-68.91650174129289</c:v>
                </c:pt>
                <c:pt idx="219">
                  <c:v>-68.912913925218803</c:v>
                </c:pt>
                <c:pt idx="220">
                  <c:v>-68.909288510413162</c:v>
                </c:pt>
                <c:pt idx="221">
                  <c:v>-68.905620908683886</c:v>
                </c:pt>
                <c:pt idx="222">
                  <c:v>-68.901906352927213</c:v>
                </c:pt>
                <c:pt idx="223">
                  <c:v>-68.898139868407327</c:v>
                </c:pt>
                <c:pt idx="224">
                  <c:v>-68.894316239789092</c:v>
                </c:pt>
                <c:pt idx="225">
                  <c:v>-68.890429976899469</c:v>
                </c:pt>
                <c:pt idx="226">
                  <c:v>-68.886475276452771</c:v>
                </c:pt>
                <c:pt idx="227">
                  <c:v>-68.882445980252371</c:v>
                </c:pt>
                <c:pt idx="228">
                  <c:v>-68.878335528714018</c:v>
                </c:pt>
                <c:pt idx="229">
                  <c:v>-68.874136908163933</c:v>
                </c:pt>
                <c:pt idx="230">
                  <c:v>-68.869842593355401</c:v>
                </c:pt>
                <c:pt idx="231">
                  <c:v>-68.865444480869769</c:v>
                </c:pt>
                <c:pt idx="232">
                  <c:v>-68.860933814929425</c:v>
                </c:pt>
                <c:pt idx="233">
                  <c:v>-68.856301101413351</c:v>
                </c:pt>
                <c:pt idx="234">
                  <c:v>-68.851536010700585</c:v>
                </c:pt>
                <c:pt idx="235">
                  <c:v>-68.846627264464715</c:v>
                </c:pt>
                <c:pt idx="236">
                  <c:v>-68.841562506101781</c:v>
                </c:pt>
                <c:pt idx="237">
                  <c:v>-68.836328148719758</c:v>
                </c:pt>
                <c:pt idx="238">
                  <c:v>-68.830909198716981</c:v>
                </c:pt>
                <c:pt idx="239">
                  <c:v>-68.825289047894628</c:v>
                </c:pt>
                <c:pt idx="240">
                  <c:v>-68.819449228458041</c:v>
                </c:pt>
                <c:pt idx="241">
                  <c:v>-68.813369121783154</c:v>
                </c:pt>
                <c:pt idx="242">
                  <c:v>-68.807025611379402</c:v>
                </c:pt>
                <c:pt idx="243">
                  <c:v>-68.800392665420574</c:v>
                </c:pt>
                <c:pt idx="244">
                  <c:v>-68.793440831848855</c:v>
                </c:pt>
                <c:pt idx="245">
                  <c:v>-68.786136624678065</c:v>
                </c:pt>
                <c:pt idx="246">
                  <c:v>-68.778441769952138</c:v>
                </c:pt>
                <c:pt idx="247">
                  <c:v>-68.770312273607516</c:v>
                </c:pt>
                <c:pt idx="248">
                  <c:v>-68.761697260002137</c:v>
                </c:pt>
                <c:pt idx="249">
                  <c:v>-68.752537508174314</c:v>
                </c:pt>
                <c:pt idx="250">
                  <c:v>-68.742763591154713</c:v>
                </c:pt>
                <c:pt idx="251">
                  <c:v>-68.732293483127577</c:v>
                </c:pt>
                <c:pt idx="252">
                  <c:v>-68.721029444691993</c:v>
                </c:pt>
                <c:pt idx="253">
                  <c:v>-68.708853914569843</c:v>
                </c:pt>
                <c:pt idx="254">
                  <c:v>-68.695624007965719</c:v>
                </c:pt>
                <c:pt idx="255">
                  <c:v>-68.681164029645885</c:v>
                </c:pt>
                <c:pt idx="256">
                  <c:v>-68.665255092328366</c:v>
                </c:pt>
                <c:pt idx="257">
                  <c:v>-68.64762042030803</c:v>
                </c:pt>
                <c:pt idx="258">
                  <c:v>-68.627904042093718</c:v>
                </c:pt>
                <c:pt idx="259">
                  <c:v>-68.605639046821764</c:v>
                </c:pt>
                <c:pt idx="260">
                  <c:v>-68.580198768943347</c:v>
                </c:pt>
                <c:pt idx="261">
                  <c:v>-68.550718870871023</c:v>
                </c:pt>
                <c:pt idx="262">
                  <c:v>-68.51596731480771</c:v>
                </c:pt>
                <c:pt idx="263">
                  <c:v>-68.474115300917646</c:v>
                </c:pt>
                <c:pt idx="264">
                  <c:v>-68.422305601920129</c:v>
                </c:pt>
                <c:pt idx="265">
                  <c:v>-68.355765573000099</c:v>
                </c:pt>
                <c:pt idx="266">
                  <c:v>-68.265761021110947</c:v>
                </c:pt>
                <c:pt idx="267">
                  <c:v>-68.134034112914975</c:v>
                </c:pt>
                <c:pt idx="268">
                  <c:v>-67.913261758736297</c:v>
                </c:pt>
                <c:pt idx="269">
                  <c:v>-67.415226518271837</c:v>
                </c:pt>
                <c:pt idx="270">
                  <c:v>-62.865000000000173</c:v>
                </c:pt>
                <c:pt idx="271">
                  <c:v>-58.314773481728103</c:v>
                </c:pt>
                <c:pt idx="272">
                  <c:v>-57.816738241263792</c:v>
                </c:pt>
                <c:pt idx="273">
                  <c:v>-57.595965887084965</c:v>
                </c:pt>
                <c:pt idx="274">
                  <c:v>-57.464238978889078</c:v>
                </c:pt>
                <c:pt idx="275">
                  <c:v>-57.374234426999912</c:v>
                </c:pt>
                <c:pt idx="276">
                  <c:v>-57.307694398079896</c:v>
                </c:pt>
                <c:pt idx="277">
                  <c:v>-57.25588469908238</c:v>
                </c:pt>
                <c:pt idx="278">
                  <c:v>-57.214032685192343</c:v>
                </c:pt>
                <c:pt idx="279">
                  <c:v>-57.179281129128952</c:v>
                </c:pt>
                <c:pt idx="280">
                  <c:v>-57.149801231056657</c:v>
                </c:pt>
                <c:pt idx="281">
                  <c:v>-57.124360953178204</c:v>
                </c:pt>
                <c:pt idx="282">
                  <c:v>-57.102095957906322</c:v>
                </c:pt>
                <c:pt idx="283">
                  <c:v>-57.082379579692002</c:v>
                </c:pt>
                <c:pt idx="284">
                  <c:v>-57.064744907671624</c:v>
                </c:pt>
                <c:pt idx="285">
                  <c:v>-57.048835970354112</c:v>
                </c:pt>
                <c:pt idx="286">
                  <c:v>-57.034375992034256</c:v>
                </c:pt>
                <c:pt idx="287">
                  <c:v>-57.021146085430139</c:v>
                </c:pt>
                <c:pt idx="288">
                  <c:v>-57.008970555308046</c:v>
                </c:pt>
                <c:pt idx="289">
                  <c:v>-56.997706516872427</c:v>
                </c:pt>
                <c:pt idx="290">
                  <c:v>-56.987236408845305</c:v>
                </c:pt>
                <c:pt idx="291">
                  <c:v>-56.977462491825705</c:v>
                </c:pt>
                <c:pt idx="292">
                  <c:v>-56.968302739997817</c:v>
                </c:pt>
                <c:pt idx="293">
                  <c:v>-56.959687726392481</c:v>
                </c:pt>
                <c:pt idx="294">
                  <c:v>-56.951558230047894</c:v>
                </c:pt>
                <c:pt idx="295">
                  <c:v>-56.943863375321911</c:v>
                </c:pt>
                <c:pt idx="296">
                  <c:v>-56.936559168151149</c:v>
                </c:pt>
                <c:pt idx="297">
                  <c:v>-56.929607334579423</c:v>
                </c:pt>
                <c:pt idx="298">
                  <c:v>-56.922974388620617</c:v>
                </c:pt>
                <c:pt idx="299">
                  <c:v>-56.916630878216878</c:v>
                </c:pt>
                <c:pt idx="300">
                  <c:v>-56.910550771541956</c:v>
                </c:pt>
                <c:pt idx="301">
                  <c:v>-56.90471095210539</c:v>
                </c:pt>
                <c:pt idx="302">
                  <c:v>-56.89909080128303</c:v>
                </c:pt>
                <c:pt idx="303">
                  <c:v>-56.893671851280224</c:v>
                </c:pt>
                <c:pt idx="304">
                  <c:v>-56.88843749389823</c:v>
                </c:pt>
                <c:pt idx="305">
                  <c:v>-56.883372735535275</c:v>
                </c:pt>
                <c:pt idx="306">
                  <c:v>-56.878463989299419</c:v>
                </c:pt>
                <c:pt idx="307">
                  <c:v>-56.873698898586653</c:v>
                </c:pt>
                <c:pt idx="308">
                  <c:v>-56.869066185070594</c:v>
                </c:pt>
                <c:pt idx="309">
                  <c:v>-56.864555519130256</c:v>
                </c:pt>
                <c:pt idx="310">
                  <c:v>-56.860157406644667</c:v>
                </c:pt>
                <c:pt idx="311">
                  <c:v>-56.855863091836071</c:v>
                </c:pt>
                <c:pt idx="312">
                  <c:v>-56.851664471285993</c:v>
                </c:pt>
                <c:pt idx="313">
                  <c:v>-56.847554019747662</c:v>
                </c:pt>
                <c:pt idx="314">
                  <c:v>-56.84352472354724</c:v>
                </c:pt>
                <c:pt idx="315">
                  <c:v>-56.839570023100563</c:v>
                </c:pt>
                <c:pt idx="316">
                  <c:v>-56.835683760210962</c:v>
                </c:pt>
                <c:pt idx="317">
                  <c:v>-56.831860131592691</c:v>
                </c:pt>
                <c:pt idx="318">
                  <c:v>-56.828093647072819</c:v>
                </c:pt>
                <c:pt idx="319">
                  <c:v>-56.824379091316111</c:v>
                </c:pt>
                <c:pt idx="320">
                  <c:v>-56.820711489586834</c:v>
                </c:pt>
                <c:pt idx="321">
                  <c:v>-56.817086074781223</c:v>
                </c:pt>
                <c:pt idx="322">
                  <c:v>-56.813498258707128</c:v>
                </c:pt>
                <c:pt idx="323">
                  <c:v>-56.80994360282687</c:v>
                </c:pt>
                <c:pt idx="324">
                  <c:v>-56.806417792818408</c:v>
                </c:pt>
                <c:pt idx="325">
                  <c:v>-56.802916612369934</c:v>
                </c:pt>
                <c:pt idx="326">
                  <c:v>-56.79943591849878</c:v>
                </c:pt>
                <c:pt idx="327">
                  <c:v>-56.795971616302445</c:v>
                </c:pt>
                <c:pt idx="328">
                  <c:v>-56.792519634915301</c:v>
                </c:pt>
                <c:pt idx="329">
                  <c:v>-56.789075902034902</c:v>
                </c:pt>
                <c:pt idx="330">
                  <c:v>-56.785636317552829</c:v>
                </c:pt>
                <c:pt idx="331">
                  <c:v>-56.782196726074382</c:v>
                </c:pt>
                <c:pt idx="332">
                  <c:v>-56.778752887219014</c:v>
                </c:pt>
                <c:pt idx="333">
                  <c:v>-56.775300443711039</c:v>
                </c:pt>
                <c:pt idx="334">
                  <c:v>-56.771834885524861</c:v>
                </c:pt>
                <c:pt idx="335">
                  <c:v>-56.768351510306509</c:v>
                </c:pt>
                <c:pt idx="336">
                  <c:v>-56.764845378292712</c:v>
                </c:pt>
                <c:pt idx="337">
                  <c:v>-56.761311259349981</c:v>
                </c:pt>
                <c:pt idx="338">
                  <c:v>-56.757743572516141</c:v>
                </c:pt>
                <c:pt idx="339">
                  <c:v>-56.75413631457446</c:v>
                </c:pt>
                <c:pt idx="340">
                  <c:v>-56.750482972962956</c:v>
                </c:pt>
                <c:pt idx="341">
                  <c:v>-56.746776421522881</c:v>
                </c:pt>
                <c:pt idx="342">
                  <c:v>-56.743008793106611</c:v>
                </c:pt>
                <c:pt idx="343">
                  <c:v>-56.739171319542095</c:v>
                </c:pt>
                <c:pt idx="344">
                  <c:v>-56.735254130552327</c:v>
                </c:pt>
                <c:pt idx="345">
                  <c:v>-56.731245997929712</c:v>
                </c:pt>
                <c:pt idx="346">
                  <c:v>-56.727133999553828</c:v>
                </c:pt>
                <c:pt idx="347">
                  <c:v>-56.722903078095072</c:v>
                </c:pt>
                <c:pt idx="348">
                  <c:v>-56.718535442080622</c:v>
                </c:pt>
                <c:pt idx="349">
                  <c:v>-56.7140097396545</c:v>
                </c:pt>
                <c:pt idx="350">
                  <c:v>-56.709299886343608</c:v>
                </c:pt>
                <c:pt idx="351">
                  <c:v>-56.704373350795493</c:v>
                </c:pt>
                <c:pt idx="352">
                  <c:v>-56.699188553632929</c:v>
                </c:pt>
                <c:pt idx="353">
                  <c:v>-56.693690746309649</c:v>
                </c:pt>
                <c:pt idx="354">
                  <c:v>-56.687805114872425</c:v>
                </c:pt>
                <c:pt idx="355">
                  <c:v>-56.681424405374813</c:v>
                </c:pt>
                <c:pt idx="356">
                  <c:v>-56.674384574494511</c:v>
                </c:pt>
                <c:pt idx="357">
                  <c:v>-56.666410243589212</c:v>
                </c:pt>
                <c:pt idx="358">
                  <c:v>-56.656965624107308</c:v>
                </c:pt>
                <c:pt idx="359">
                  <c:v>-56.644669656410819</c:v>
                </c:pt>
                <c:pt idx="360">
                  <c:v>-56.62861655771529</c:v>
                </c:pt>
                <c:pt idx="361">
                  <c:v>-56.628616557715134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2.4668931848983378</c:v>
                </c:pt>
                <c:pt idx="2">
                  <c:v>2.9649284254370145</c:v>
                </c:pt>
                <c:pt idx="3">
                  <c:v>3.1857007796201118</c:v>
                </c:pt>
                <c:pt idx="4">
                  <c:v>3.317427687634225</c:v>
                </c:pt>
                <c:pt idx="5" formatCode="0.00000">
                  <c:v>3.4074322396468162</c:v>
                </c:pt>
                <c:pt idx="6" formatCode="0.00000">
                  <c:v>3.4739722685678474</c:v>
                </c:pt>
                <c:pt idx="7">
                  <c:v>3.5257819675758744</c:v>
                </c:pt>
                <c:pt idx="8">
                  <c:v>3.5676339814968379</c:v>
                </c:pt>
                <c:pt idx="9">
                  <c:v>3.6023855375752918</c:v>
                </c:pt>
                <c:pt idx="10">
                  <c:v>3.6318654356016475</c:v>
                </c:pt>
                <c:pt idx="11">
                  <c:v>3.6573057134024327</c:v>
                </c:pt>
                <c:pt idx="12">
                  <c:v>3.6795707086989862</c:v>
                </c:pt>
                <c:pt idx="13">
                  <c:v>3.699287086968523</c:v>
                </c:pt>
                <c:pt idx="14">
                  <c:v>3.7169217590073313</c:v>
                </c:pt>
                <c:pt idx="15">
                  <c:v>3.7328306962561295</c:v>
                </c:pt>
                <c:pt idx="16">
                  <c:v>3.7472906747047268</c:v>
                </c:pt>
                <c:pt idx="17">
                  <c:v>3.760520581239696</c:v>
                </c:pt>
                <c:pt idx="18">
                  <c:v>3.7726961114249176</c:v>
                </c:pt>
                <c:pt idx="19">
                  <c:v>3.7839601497578164</c:v>
                </c:pt>
                <c:pt idx="20">
                  <c:v>3.7944302577762254</c:v>
                </c:pt>
                <c:pt idx="21">
                  <c:v>3.8042041749031541</c:v>
                </c:pt>
                <c:pt idx="22">
                  <c:v>3.8133639267605948</c:v>
                </c:pt>
                <c:pt idx="23">
                  <c:v>3.8219789402637208</c:v>
                </c:pt>
                <c:pt idx="24">
                  <c:v>3.830108436589418</c:v>
                </c:pt>
                <c:pt idx="25">
                  <c:v>3.8378032914217943</c:v>
                </c:pt>
                <c:pt idx="26">
                  <c:v>3.8451074984610121</c:v>
                </c:pt>
                <c:pt idx="27">
                  <c:v>3.8520593319342851</c:v>
                </c:pt>
                <c:pt idx="28">
                  <c:v>3.8586922779763326</c:v>
                </c:pt>
                <c:pt idx="29">
                  <c:v>3.8650357883690489</c:v>
                </c:pt>
                <c:pt idx="30">
                  <c:v>3.8711158950617106</c:v>
                </c:pt>
                <c:pt idx="31">
                  <c:v>3.8769557145549971</c:v>
                </c:pt>
                <c:pt idx="32">
                  <c:v>3.882575865370812</c:v>
                </c:pt>
                <c:pt idx="33">
                  <c:v>3.8879948153628177</c:v>
                </c:pt>
                <c:pt idx="34">
                  <c:v>3.8932291727683377</c:v>
                </c:pt>
                <c:pt idx="35">
                  <c:v>3.8982939312397553</c:v>
                </c:pt>
                <c:pt idx="36">
                  <c:v>3.9032026773826374</c:v>
                </c:pt>
                <c:pt idx="37">
                  <c:v>3.907967768075753</c:v>
                </c:pt>
                <c:pt idx="38">
                  <c:v>3.9126004814980808</c:v>
                </c:pt>
                <c:pt idx="39">
                  <c:v>3.917111147529202</c:v>
                </c:pt>
                <c:pt idx="40">
                  <c:v>3.921509259930049</c:v>
                </c:pt>
                <c:pt idx="41">
                  <c:v>3.9258035748598443</c:v>
                </c:pt>
                <c:pt idx="42">
                  <c:v>3.9300021954005233</c:v>
                </c:pt>
                <c:pt idx="43">
                  <c:v>3.9341126470717143</c:v>
                </c:pt>
                <c:pt idx="44">
                  <c:v>3.9381419431749181</c:v>
                </c:pt>
                <c:pt idx="45">
                  <c:v>3.9420966435374951</c:v>
                </c:pt>
                <c:pt idx="46">
                  <c:v>3.9459829063719414</c:v>
                </c:pt>
                <c:pt idx="47">
                  <c:v>3.9498065349432441</c:v>
                </c:pt>
                <c:pt idx="48">
                  <c:v>3.9535730195852521</c:v>
                </c:pt>
                <c:pt idx="49">
                  <c:v>3.9572875753039169</c:v>
                </c:pt>
                <c:pt idx="50">
                  <c:v>3.9609551771573677</c:v>
                </c:pt>
                <c:pt idx="51">
                  <c:v>3.9645805918757957</c:v>
                </c:pt>
                <c:pt idx="52">
                  <c:v>3.9681684080859254</c:v>
                </c:pt>
                <c:pt idx="53">
                  <c:v>3.9717230638833021</c:v>
                </c:pt>
                <c:pt idx="54">
                  <c:v>3.9752488738441141</c:v>
                </c:pt>
                <c:pt idx="55">
                  <c:v>3.9787500541977394</c:v>
                </c:pt>
                <c:pt idx="56">
                  <c:v>3.982230748208643</c:v>
                </c:pt>
                <c:pt idx="57">
                  <c:v>3.9856950504342179</c:v>
                </c:pt>
                <c:pt idx="58">
                  <c:v>3.9891470317849258</c:v>
                </c:pt>
                <c:pt idx="59">
                  <c:v>3.9925907646452812</c:v>
                </c:pt>
                <c:pt idx="60">
                  <c:v>3.9960303491630529</c:v>
                </c:pt>
                <c:pt idx="61">
                  <c:v>3.9994699406790168</c:v>
                </c:pt>
                <c:pt idx="62">
                  <c:v>4.0029137795314007</c:v>
                </c:pt>
                <c:pt idx="63">
                  <c:v>4.0063662231166086</c:v>
                </c:pt>
                <c:pt idx="64">
                  <c:v>4.009831781211207</c:v>
                </c:pt>
                <c:pt idx="65">
                  <c:v>4.0133151562611404</c:v>
                </c:pt>
                <c:pt idx="66">
                  <c:v>4.0168212883826495</c:v>
                </c:pt>
                <c:pt idx="67">
                  <c:v>4.0203554073516532</c:v>
                </c:pt>
                <c:pt idx="68">
                  <c:v>4.0239230940367241</c:v>
                </c:pt>
                <c:pt idx="69">
                  <c:v>4.0275303520013743</c:v>
                </c:pt>
                <c:pt idx="70">
                  <c:v>4.0311836937476118</c:v>
                </c:pt>
                <c:pt idx="71">
                  <c:v>4.0348902451437105</c:v>
                </c:pt>
                <c:pt idx="72">
                  <c:v>4.0386578734937721</c:v>
                </c:pt>
                <c:pt idx="73">
                  <c:v>4.0424953471742624</c:v>
                </c:pt>
                <c:pt idx="74">
                  <c:v>4.0464125360343415</c:v>
                </c:pt>
                <c:pt idx="75">
                  <c:v>4.0504206687845867</c:v>
                </c:pt>
                <c:pt idx="76">
                  <c:v>4.0545326670616237</c:v>
                </c:pt>
                <c:pt idx="77">
                  <c:v>4.0587635885496809</c:v>
                </c:pt>
                <c:pt idx="78">
                  <c:v>4.0631312246652973</c:v>
                </c:pt>
                <c:pt idx="79">
                  <c:v>4.0676569271390353</c:v>
                </c:pt>
                <c:pt idx="80">
                  <c:v>4.0723667803231507</c:v>
                </c:pt>
                <c:pt idx="81">
                  <c:v>4.0772933158292259</c:v>
                </c:pt>
                <c:pt idx="82">
                  <c:v>4.0824781130459051</c:v>
                </c:pt>
                <c:pt idx="83">
                  <c:v>4.0879759203265253</c:v>
                </c:pt>
                <c:pt idx="84">
                  <c:v>4.0938615517372448</c:v>
                </c:pt>
                <c:pt idx="85">
                  <c:v>4.1002422613407843</c:v>
                </c:pt>
                <c:pt idx="86">
                  <c:v>4.1072820923612898</c:v>
                </c:pt>
                <c:pt idx="87">
                  <c:v>4.115256422978355</c:v>
                </c:pt>
                <c:pt idx="88">
                  <c:v>4.12470104252521</c:v>
                </c:pt>
                <c:pt idx="89">
                  <c:v>4.1369970102458931</c:v>
                </c:pt>
                <c:pt idx="90">
                  <c:v>4.1575889615561215</c:v>
                </c:pt>
                <c:pt idx="91">
                  <c:v>4.1369970102459206</c:v>
                </c:pt>
                <c:pt idx="92">
                  <c:v>4.1247010425252268</c:v>
                </c:pt>
                <c:pt idx="93">
                  <c:v>4.1152564229783613</c:v>
                </c:pt>
                <c:pt idx="94">
                  <c:v>4.1072820923613165</c:v>
                </c:pt>
                <c:pt idx="95">
                  <c:v>4.1002422613407727</c:v>
                </c:pt>
                <c:pt idx="96">
                  <c:v>4.0938615517372234</c:v>
                </c:pt>
                <c:pt idx="97">
                  <c:v>4.0879759203265316</c:v>
                </c:pt>
                <c:pt idx="98">
                  <c:v>4.0824781130459273</c:v>
                </c:pt>
                <c:pt idx="99">
                  <c:v>4.077293315829241</c:v>
                </c:pt>
                <c:pt idx="100">
                  <c:v>4.0723667803231534</c:v>
                </c:pt>
                <c:pt idx="101">
                  <c:v>4.0676569271390539</c:v>
                </c:pt>
                <c:pt idx="102">
                  <c:v>4.0631312246653239</c:v>
                </c:pt>
                <c:pt idx="103">
                  <c:v>4.0587635885496658</c:v>
                </c:pt>
                <c:pt idx="104">
                  <c:v>4.05453266706163</c:v>
                </c:pt>
                <c:pt idx="105">
                  <c:v>4.0504206687846027</c:v>
                </c:pt>
                <c:pt idx="106">
                  <c:v>4.0464125360343139</c:v>
                </c:pt>
                <c:pt idx="107">
                  <c:v>4.0424953471742571</c:v>
                </c:pt>
                <c:pt idx="108">
                  <c:v>4.0386578734937872</c:v>
                </c:pt>
                <c:pt idx="109">
                  <c:v>4.0348902451437256</c:v>
                </c:pt>
                <c:pt idx="110">
                  <c:v>4.0311836937476153</c:v>
                </c:pt>
                <c:pt idx="111">
                  <c:v>4.0275303520013681</c:v>
                </c:pt>
                <c:pt idx="112">
                  <c:v>4.0239230940367445</c:v>
                </c:pt>
                <c:pt idx="113">
                  <c:v>4.0203554073516745</c:v>
                </c:pt>
                <c:pt idx="114">
                  <c:v>4.0168212883826344</c:v>
                </c:pt>
                <c:pt idx="115">
                  <c:v>4.0133151562611431</c:v>
                </c:pt>
                <c:pt idx="116">
                  <c:v>4.0098317812112114</c:v>
                </c:pt>
                <c:pt idx="117">
                  <c:v>4.0063662231165935</c:v>
                </c:pt>
                <c:pt idx="118">
                  <c:v>4.0029137795314202</c:v>
                </c:pt>
                <c:pt idx="119">
                  <c:v>3.9994699406790319</c:v>
                </c:pt>
                <c:pt idx="120">
                  <c:v>3.9960303491630653</c:v>
                </c:pt>
                <c:pt idx="121">
                  <c:v>3.9925907646453029</c:v>
                </c:pt>
                <c:pt idx="122">
                  <c:v>3.9891470317849169</c:v>
                </c:pt>
                <c:pt idx="123">
                  <c:v>3.9856950504342477</c:v>
                </c:pt>
                <c:pt idx="124">
                  <c:v>3.9822307482086474</c:v>
                </c:pt>
                <c:pt idx="125">
                  <c:v>3.9787500541977479</c:v>
                </c:pt>
                <c:pt idx="126">
                  <c:v>3.9752488738440679</c:v>
                </c:pt>
                <c:pt idx="127">
                  <c:v>3.9717230638832843</c:v>
                </c:pt>
                <c:pt idx="128">
                  <c:v>3.9681684080859045</c:v>
                </c:pt>
                <c:pt idx="129">
                  <c:v>3.9645805918758086</c:v>
                </c:pt>
                <c:pt idx="130">
                  <c:v>3.9609551771573717</c:v>
                </c:pt>
                <c:pt idx="131">
                  <c:v>3.9572875753039387</c:v>
                </c:pt>
                <c:pt idx="132">
                  <c:v>3.9535730195852739</c:v>
                </c:pt>
                <c:pt idx="133">
                  <c:v>3.9498065349432183</c:v>
                </c:pt>
                <c:pt idx="134">
                  <c:v>3.9459829063719667</c:v>
                </c:pt>
                <c:pt idx="135">
                  <c:v>3.9420966435374991</c:v>
                </c:pt>
                <c:pt idx="136">
                  <c:v>3.9381419431749012</c:v>
                </c:pt>
                <c:pt idx="137">
                  <c:v>3.9341126470717143</c:v>
                </c:pt>
                <c:pt idx="138">
                  <c:v>3.930002195400506</c:v>
                </c:pt>
                <c:pt idx="139">
                  <c:v>3.9258035748598621</c:v>
                </c:pt>
                <c:pt idx="140">
                  <c:v>3.9215092599300529</c:v>
                </c:pt>
                <c:pt idx="141">
                  <c:v>3.9171111475291687</c:v>
                </c:pt>
                <c:pt idx="142">
                  <c:v>3.9126004814980888</c:v>
                </c:pt>
                <c:pt idx="143">
                  <c:v>3.9079677680757698</c:v>
                </c:pt>
                <c:pt idx="144">
                  <c:v>3.9032026773826587</c:v>
                </c:pt>
                <c:pt idx="145">
                  <c:v>3.8982939312397296</c:v>
                </c:pt>
                <c:pt idx="146">
                  <c:v>3.8932291727683594</c:v>
                </c:pt>
                <c:pt idx="147">
                  <c:v>3.8879948153628048</c:v>
                </c:pt>
                <c:pt idx="148">
                  <c:v>3.882575865370816</c:v>
                </c:pt>
                <c:pt idx="149">
                  <c:v>3.8769557145549922</c:v>
                </c:pt>
                <c:pt idx="150">
                  <c:v>3.8711158950617275</c:v>
                </c:pt>
                <c:pt idx="151">
                  <c:v>3.8650357883690321</c:v>
                </c:pt>
                <c:pt idx="152">
                  <c:v>3.8586922779763499</c:v>
                </c:pt>
                <c:pt idx="153">
                  <c:v>3.852059331934294</c:v>
                </c:pt>
                <c:pt idx="154">
                  <c:v>3.8451074984610121</c:v>
                </c:pt>
                <c:pt idx="155">
                  <c:v>3.8378032914218112</c:v>
                </c:pt>
                <c:pt idx="156">
                  <c:v>3.8301084365893927</c:v>
                </c:pt>
                <c:pt idx="157">
                  <c:v>3.8219789402636906</c:v>
                </c:pt>
                <c:pt idx="158">
                  <c:v>3.8133639267605655</c:v>
                </c:pt>
                <c:pt idx="159">
                  <c:v>3.8042041749031692</c:v>
                </c:pt>
                <c:pt idx="160">
                  <c:v>3.7944302577762281</c:v>
                </c:pt>
                <c:pt idx="161">
                  <c:v>3.7839601497577973</c:v>
                </c:pt>
                <c:pt idx="162">
                  <c:v>3.7726961114249096</c:v>
                </c:pt>
                <c:pt idx="163">
                  <c:v>3.7605205812396898</c:v>
                </c:pt>
                <c:pt idx="164">
                  <c:v>3.7472906747047317</c:v>
                </c:pt>
                <c:pt idx="165">
                  <c:v>3.7328306962561317</c:v>
                </c:pt>
                <c:pt idx="166">
                  <c:v>3.7169217590073287</c:v>
                </c:pt>
                <c:pt idx="167">
                  <c:v>3.6992870869685293</c:v>
                </c:pt>
                <c:pt idx="168">
                  <c:v>3.6795707086989684</c:v>
                </c:pt>
                <c:pt idx="169">
                  <c:v>3.6573057134024349</c:v>
                </c:pt>
                <c:pt idx="170">
                  <c:v>3.6318654356016489</c:v>
                </c:pt>
                <c:pt idx="171">
                  <c:v>3.6023855375752762</c:v>
                </c:pt>
                <c:pt idx="172">
                  <c:v>3.5676339814968396</c:v>
                </c:pt>
                <c:pt idx="173">
                  <c:v>3.5257819675758624</c:v>
                </c:pt>
                <c:pt idx="174">
                  <c:v>3.473972268567842</c:v>
                </c:pt>
                <c:pt idx="175">
                  <c:v>3.4074322396468046</c:v>
                </c:pt>
                <c:pt idx="176">
                  <c:v>3.3174276876342224</c:v>
                </c:pt>
                <c:pt idx="177">
                  <c:v>3.1857007796201118</c:v>
                </c:pt>
                <c:pt idx="178">
                  <c:v>2.9649284254370163</c:v>
                </c:pt>
                <c:pt idx="179">
                  <c:v>2.4668931848983311</c:v>
                </c:pt>
                <c:pt idx="180">
                  <c:v>4.4844791868823674E-14</c:v>
                </c:pt>
                <c:pt idx="181">
                  <c:v>-2.4668931848983298</c:v>
                </c:pt>
                <c:pt idx="182">
                  <c:v>-2.9649284254370256</c:v>
                </c:pt>
                <c:pt idx="183">
                  <c:v>-3.1857007796201318</c:v>
                </c:pt>
                <c:pt idx="184">
                  <c:v>-3.3174276876342299</c:v>
                </c:pt>
                <c:pt idx="185">
                  <c:v>-3.4074322396468113</c:v>
                </c:pt>
                <c:pt idx="186">
                  <c:v>-3.473972268567854</c:v>
                </c:pt>
                <c:pt idx="187">
                  <c:v>-3.5257819675758761</c:v>
                </c:pt>
                <c:pt idx="188">
                  <c:v>-3.5676339814968334</c:v>
                </c:pt>
                <c:pt idx="189">
                  <c:v>-3.6023855375752958</c:v>
                </c:pt>
                <c:pt idx="190">
                  <c:v>-3.6318654356016418</c:v>
                </c:pt>
                <c:pt idx="191">
                  <c:v>-3.6573057134024451</c:v>
                </c:pt>
                <c:pt idx="192">
                  <c:v>-3.6795707086989671</c:v>
                </c:pt>
                <c:pt idx="193">
                  <c:v>-3.699287086968523</c:v>
                </c:pt>
                <c:pt idx="194">
                  <c:v>-3.7169217590073353</c:v>
                </c:pt>
                <c:pt idx="195">
                  <c:v>-3.7328306962561295</c:v>
                </c:pt>
                <c:pt idx="196">
                  <c:v>-3.7472906747047379</c:v>
                </c:pt>
                <c:pt idx="197">
                  <c:v>-3.760520581239692</c:v>
                </c:pt>
                <c:pt idx="198">
                  <c:v>-3.7726961114249176</c:v>
                </c:pt>
                <c:pt idx="199">
                  <c:v>-3.7839601497577955</c:v>
                </c:pt>
                <c:pt idx="200">
                  <c:v>-3.7944302577762281</c:v>
                </c:pt>
                <c:pt idx="201">
                  <c:v>-3.804204174903163</c:v>
                </c:pt>
                <c:pt idx="202">
                  <c:v>-3.8133639267605779</c:v>
                </c:pt>
                <c:pt idx="203">
                  <c:v>-3.821978940263703</c:v>
                </c:pt>
                <c:pt idx="204">
                  <c:v>-3.8301084365894016</c:v>
                </c:pt>
                <c:pt idx="205">
                  <c:v>-3.8378032914218023</c:v>
                </c:pt>
                <c:pt idx="206">
                  <c:v>-3.8451074984610289</c:v>
                </c:pt>
                <c:pt idx="207">
                  <c:v>-3.852059331934294</c:v>
                </c:pt>
                <c:pt idx="208">
                  <c:v>-3.8586922779763375</c:v>
                </c:pt>
                <c:pt idx="209">
                  <c:v>-3.86503578836904</c:v>
                </c:pt>
                <c:pt idx="210">
                  <c:v>-3.8711158950617106</c:v>
                </c:pt>
                <c:pt idx="211">
                  <c:v>-3.87695571455495</c:v>
                </c:pt>
                <c:pt idx="212">
                  <c:v>-3.8825758653708036</c:v>
                </c:pt>
                <c:pt idx="213">
                  <c:v>-3.8879948153628048</c:v>
                </c:pt>
                <c:pt idx="214">
                  <c:v>-3.8932291727683634</c:v>
                </c:pt>
                <c:pt idx="215">
                  <c:v>-3.8982939312397247</c:v>
                </c:pt>
                <c:pt idx="216">
                  <c:v>-3.9032026773826627</c:v>
                </c:pt>
                <c:pt idx="217">
                  <c:v>-3.9079677680757738</c:v>
                </c:pt>
                <c:pt idx="218">
                  <c:v>-3.9126004814980888</c:v>
                </c:pt>
                <c:pt idx="219">
                  <c:v>-3.917111147529194</c:v>
                </c:pt>
                <c:pt idx="220">
                  <c:v>-3.9215092599300108</c:v>
                </c:pt>
                <c:pt idx="221">
                  <c:v>-3.9258035748598403</c:v>
                </c:pt>
                <c:pt idx="222">
                  <c:v>-3.930002195400506</c:v>
                </c:pt>
                <c:pt idx="223">
                  <c:v>-3.9341126470717316</c:v>
                </c:pt>
                <c:pt idx="224">
                  <c:v>-3.9381419431748883</c:v>
                </c:pt>
                <c:pt idx="225">
                  <c:v>-3.9420966435374951</c:v>
                </c:pt>
                <c:pt idx="226">
                  <c:v>-3.9459829063719578</c:v>
                </c:pt>
                <c:pt idx="227">
                  <c:v>-3.9498065349432312</c:v>
                </c:pt>
                <c:pt idx="228">
                  <c:v>-3.9535730195852739</c:v>
                </c:pt>
                <c:pt idx="229">
                  <c:v>-3.9572875753038956</c:v>
                </c:pt>
                <c:pt idx="230">
                  <c:v>-3.9609551771573805</c:v>
                </c:pt>
                <c:pt idx="231">
                  <c:v>-3.9645805918758086</c:v>
                </c:pt>
                <c:pt idx="232">
                  <c:v>-3.9681684080859343</c:v>
                </c:pt>
                <c:pt idx="233">
                  <c:v>-3.9717230638832763</c:v>
                </c:pt>
                <c:pt idx="234">
                  <c:v>-3.9752488738440936</c:v>
                </c:pt>
                <c:pt idx="235">
                  <c:v>-3.9787500541977394</c:v>
                </c:pt>
                <c:pt idx="236">
                  <c:v>-3.9822307482086221</c:v>
                </c:pt>
                <c:pt idx="237">
                  <c:v>-3.9856950504342397</c:v>
                </c:pt>
                <c:pt idx="238">
                  <c:v>-3.9891470317849169</c:v>
                </c:pt>
                <c:pt idx="239">
                  <c:v>-3.9925907646452901</c:v>
                </c:pt>
                <c:pt idx="240">
                  <c:v>-3.9960303491630569</c:v>
                </c:pt>
                <c:pt idx="241">
                  <c:v>-3.9994699406790151</c:v>
                </c:pt>
                <c:pt idx="242">
                  <c:v>-4.0029137795314202</c:v>
                </c:pt>
                <c:pt idx="243">
                  <c:v>-4.0063662231166193</c:v>
                </c:pt>
                <c:pt idx="244">
                  <c:v>-4.0098317812112327</c:v>
                </c:pt>
                <c:pt idx="245">
                  <c:v>-4.013315156261152</c:v>
                </c:pt>
                <c:pt idx="246">
                  <c:v>-4.0168212883826513</c:v>
                </c:pt>
                <c:pt idx="247">
                  <c:v>-4.0203554073516869</c:v>
                </c:pt>
                <c:pt idx="248">
                  <c:v>-4.0239230940367063</c:v>
                </c:pt>
                <c:pt idx="249">
                  <c:v>-4.027530352001385</c:v>
                </c:pt>
                <c:pt idx="250">
                  <c:v>-4.0311836937476153</c:v>
                </c:pt>
                <c:pt idx="251">
                  <c:v>-4.0348902451437194</c:v>
                </c:pt>
                <c:pt idx="252">
                  <c:v>-4.0386578734937686</c:v>
                </c:pt>
                <c:pt idx="253">
                  <c:v>-4.0424953471742944</c:v>
                </c:pt>
                <c:pt idx="254">
                  <c:v>-4.0464125360343157</c:v>
                </c:pt>
                <c:pt idx="255">
                  <c:v>-4.0504206687845974</c:v>
                </c:pt>
                <c:pt idx="256">
                  <c:v>-4.0545326670616211</c:v>
                </c:pt>
                <c:pt idx="257">
                  <c:v>-4.0587635885496738</c:v>
                </c:pt>
                <c:pt idx="258">
                  <c:v>-4.0631312246652938</c:v>
                </c:pt>
                <c:pt idx="259">
                  <c:v>-4.0676569271390521</c:v>
                </c:pt>
                <c:pt idx="260">
                  <c:v>-4.0723667803231605</c:v>
                </c:pt>
                <c:pt idx="261">
                  <c:v>-4.0772933158292348</c:v>
                </c:pt>
                <c:pt idx="262">
                  <c:v>-4.0824781130459229</c:v>
                </c:pt>
                <c:pt idx="263">
                  <c:v>-4.0879759203265307</c:v>
                </c:pt>
                <c:pt idx="264">
                  <c:v>-4.0938615517372172</c:v>
                </c:pt>
                <c:pt idx="265">
                  <c:v>-4.1002422613407727</c:v>
                </c:pt>
                <c:pt idx="266">
                  <c:v>-4.1072820923612978</c:v>
                </c:pt>
                <c:pt idx="267">
                  <c:v>-4.1152564229783426</c:v>
                </c:pt>
                <c:pt idx="268">
                  <c:v>-4.1247010425252464</c:v>
                </c:pt>
                <c:pt idx="269">
                  <c:v>-4.1369970102459055</c:v>
                </c:pt>
                <c:pt idx="270">
                  <c:v>-4.1575889615559554</c:v>
                </c:pt>
                <c:pt idx="271">
                  <c:v>-4.136997010246005</c:v>
                </c:pt>
                <c:pt idx="272">
                  <c:v>-4.1247010425251887</c:v>
                </c:pt>
                <c:pt idx="273">
                  <c:v>-4.1152564229783577</c:v>
                </c:pt>
                <c:pt idx="274">
                  <c:v>-4.1072820923612863</c:v>
                </c:pt>
                <c:pt idx="275">
                  <c:v>-4.1002422613407985</c:v>
                </c:pt>
                <c:pt idx="276">
                  <c:v>-4.0938615517372572</c:v>
                </c:pt>
                <c:pt idx="277">
                  <c:v>-4.0879759203265191</c:v>
                </c:pt>
                <c:pt idx="278">
                  <c:v>-4.0824781130458963</c:v>
                </c:pt>
                <c:pt idx="279">
                  <c:v>-4.077293315829249</c:v>
                </c:pt>
                <c:pt idx="280">
                  <c:v>-4.0723667803231702</c:v>
                </c:pt>
                <c:pt idx="281">
                  <c:v>-4.0676569271390601</c:v>
                </c:pt>
                <c:pt idx="282">
                  <c:v>-4.0631312246652991</c:v>
                </c:pt>
                <c:pt idx="283">
                  <c:v>-4.0587635885496844</c:v>
                </c:pt>
                <c:pt idx="284">
                  <c:v>-4.0545326670616246</c:v>
                </c:pt>
                <c:pt idx="285">
                  <c:v>-4.0504206687845992</c:v>
                </c:pt>
                <c:pt idx="286">
                  <c:v>-4.0464125360343139</c:v>
                </c:pt>
                <c:pt idx="287">
                  <c:v>-4.0424953471742642</c:v>
                </c:pt>
                <c:pt idx="288">
                  <c:v>-4.0386578734937748</c:v>
                </c:pt>
                <c:pt idx="289">
                  <c:v>-4.0348902451437292</c:v>
                </c:pt>
                <c:pt idx="290">
                  <c:v>-4.0311836937476118</c:v>
                </c:pt>
                <c:pt idx="291">
                  <c:v>-4.0275303520013788</c:v>
                </c:pt>
                <c:pt idx="292">
                  <c:v>-4.0239230940367214</c:v>
                </c:pt>
                <c:pt idx="293">
                  <c:v>-4.020355407351679</c:v>
                </c:pt>
                <c:pt idx="294">
                  <c:v>-4.0168212883826317</c:v>
                </c:pt>
                <c:pt idx="295">
                  <c:v>-4.0133151562611404</c:v>
                </c:pt>
                <c:pt idx="296">
                  <c:v>-4.0098317812112301</c:v>
                </c:pt>
                <c:pt idx="297">
                  <c:v>-4.0063662231165909</c:v>
                </c:pt>
                <c:pt idx="298">
                  <c:v>-4.0029137795314096</c:v>
                </c:pt>
                <c:pt idx="299">
                  <c:v>-3.9994699406790253</c:v>
                </c:pt>
                <c:pt idx="300">
                  <c:v>-3.9960303491630489</c:v>
                </c:pt>
                <c:pt idx="301">
                  <c:v>-3.9925907646452812</c:v>
                </c:pt>
                <c:pt idx="302">
                  <c:v>-3.989147031784904</c:v>
                </c:pt>
                <c:pt idx="303">
                  <c:v>-3.9856950504342095</c:v>
                </c:pt>
                <c:pt idx="304">
                  <c:v>-3.9822307482086261</c:v>
                </c:pt>
                <c:pt idx="305">
                  <c:v>-3.9787500541977225</c:v>
                </c:pt>
                <c:pt idx="306">
                  <c:v>-3.9752488738440936</c:v>
                </c:pt>
                <c:pt idx="307">
                  <c:v>-3.9717230638832932</c:v>
                </c:pt>
                <c:pt idx="308">
                  <c:v>-3.9681684080858832</c:v>
                </c:pt>
                <c:pt idx="309">
                  <c:v>-3.9645805918758046</c:v>
                </c:pt>
                <c:pt idx="310">
                  <c:v>-3.9609551771573592</c:v>
                </c:pt>
                <c:pt idx="311">
                  <c:v>-3.9572875753039169</c:v>
                </c:pt>
                <c:pt idx="312">
                  <c:v>-3.953573019585265</c:v>
                </c:pt>
                <c:pt idx="313">
                  <c:v>-3.9498065349432392</c:v>
                </c:pt>
                <c:pt idx="314">
                  <c:v>-3.9459829063719325</c:v>
                </c:pt>
                <c:pt idx="315">
                  <c:v>-3.9420966435374951</c:v>
                </c:pt>
                <c:pt idx="316">
                  <c:v>-3.9381419431749012</c:v>
                </c:pt>
                <c:pt idx="317">
                  <c:v>-3.9341126470717227</c:v>
                </c:pt>
                <c:pt idx="318">
                  <c:v>-3.9300021954004802</c:v>
                </c:pt>
                <c:pt idx="319">
                  <c:v>-3.9258035748598443</c:v>
                </c:pt>
                <c:pt idx="320">
                  <c:v>-3.9215092599300405</c:v>
                </c:pt>
                <c:pt idx="321">
                  <c:v>-3.917111147529198</c:v>
                </c:pt>
                <c:pt idx="322">
                  <c:v>-3.9126004814980972</c:v>
                </c:pt>
                <c:pt idx="323">
                  <c:v>-3.907967768075753</c:v>
                </c:pt>
                <c:pt idx="324">
                  <c:v>-3.9032026773826676</c:v>
                </c:pt>
                <c:pt idx="325">
                  <c:v>-3.8982939312397553</c:v>
                </c:pt>
                <c:pt idx="326">
                  <c:v>-3.8932291727683466</c:v>
                </c:pt>
                <c:pt idx="327">
                  <c:v>-3.8879948153628265</c:v>
                </c:pt>
                <c:pt idx="328">
                  <c:v>-3.8825758653708209</c:v>
                </c:pt>
                <c:pt idx="329">
                  <c:v>-3.8769557145549753</c:v>
                </c:pt>
                <c:pt idx="330">
                  <c:v>-3.8711158950617146</c:v>
                </c:pt>
                <c:pt idx="331">
                  <c:v>-3.8650357883690361</c:v>
                </c:pt>
                <c:pt idx="332">
                  <c:v>-3.8586922779763539</c:v>
                </c:pt>
                <c:pt idx="333">
                  <c:v>-3.8520593319342851</c:v>
                </c:pt>
                <c:pt idx="334">
                  <c:v>-3.8451074984610312</c:v>
                </c:pt>
                <c:pt idx="335">
                  <c:v>-3.8378032914218325</c:v>
                </c:pt>
                <c:pt idx="336">
                  <c:v>-3.83010843658941</c:v>
                </c:pt>
                <c:pt idx="337">
                  <c:v>-3.821978940263699</c:v>
                </c:pt>
                <c:pt idx="338">
                  <c:v>-3.8133639267605846</c:v>
                </c:pt>
                <c:pt idx="339">
                  <c:v>-3.8042041749031563</c:v>
                </c:pt>
                <c:pt idx="340">
                  <c:v>-3.7944302577762303</c:v>
                </c:pt>
                <c:pt idx="341">
                  <c:v>-3.7839601497578101</c:v>
                </c:pt>
                <c:pt idx="342">
                  <c:v>-3.7726961114249113</c:v>
                </c:pt>
                <c:pt idx="343">
                  <c:v>-3.760520581239692</c:v>
                </c:pt>
                <c:pt idx="344">
                  <c:v>-3.7472906747047396</c:v>
                </c:pt>
                <c:pt idx="345">
                  <c:v>-3.7328306962561357</c:v>
                </c:pt>
                <c:pt idx="346">
                  <c:v>-3.7169217590073442</c:v>
                </c:pt>
                <c:pt idx="347">
                  <c:v>-3.699287086968531</c:v>
                </c:pt>
                <c:pt idx="348">
                  <c:v>-3.6795707086989604</c:v>
                </c:pt>
                <c:pt idx="349">
                  <c:v>-3.6573057134024398</c:v>
                </c:pt>
                <c:pt idx="350">
                  <c:v>-3.6318654356016409</c:v>
                </c:pt>
                <c:pt idx="351">
                  <c:v>-3.602385537575274</c:v>
                </c:pt>
                <c:pt idx="352">
                  <c:v>-3.5676339814968165</c:v>
                </c:pt>
                <c:pt idx="353">
                  <c:v>-3.5257819675758735</c:v>
                </c:pt>
                <c:pt idx="354">
                  <c:v>-3.473972268567842</c:v>
                </c:pt>
                <c:pt idx="355">
                  <c:v>-3.4074322396467971</c:v>
                </c:pt>
                <c:pt idx="356">
                  <c:v>-3.3174276876342113</c:v>
                </c:pt>
                <c:pt idx="357">
                  <c:v>-3.1857007796200927</c:v>
                </c:pt>
                <c:pt idx="358">
                  <c:v>-2.9649284254370261</c:v>
                </c:pt>
                <c:pt idx="359">
                  <c:v>-2.4668931848983218</c:v>
                </c:pt>
                <c:pt idx="360">
                  <c:v>-4.1530760440493855E-14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Analysis'!$R$129:$R$229</c:f>
              <c:numCache>
                <c:formatCode>General</c:formatCode>
                <c:ptCount val="10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41.424921399009548</c:v>
                </c:pt>
                <c:pt idx="4">
                  <c:v>85.208515616981259</c:v>
                </c:pt>
                <c:pt idx="5">
                  <c:v>126.20481586983649</c:v>
                </c:pt>
                <c:pt idx="6">
                  <c:v>162.81995877801722</c:v>
                </c:pt>
                <c:pt idx="7">
                  <c:v>196.60542229482911</c:v>
                </c:pt>
                <c:pt idx="8">
                  <c:v>226.26043335099058</c:v>
                </c:pt>
                <c:pt idx="9">
                  <c:v>253.83081280326738</c:v>
                </c:pt>
                <c:pt idx="10">
                  <c:v>277.1109215709443</c:v>
                </c:pt>
                <c:pt idx="11">
                  <c:v>298.8244144634773</c:v>
                </c:pt>
                <c:pt idx="12">
                  <c:v>320.48151935368026</c:v>
                </c:pt>
                <c:pt idx="13">
                  <c:v>341.99391713532236</c:v>
                </c:pt>
                <c:pt idx="14">
                  <c:v>363.27335716307994</c:v>
                </c:pt>
                <c:pt idx="15">
                  <c:v>375.47560785079168</c:v>
                </c:pt>
                <c:pt idx="16">
                  <c:v>385.66862206204803</c:v>
                </c:pt>
                <c:pt idx="17">
                  <c:v>394.06073220640292</c:v>
                </c:pt>
                <c:pt idx="18">
                  <c:v>402.12924420271617</c:v>
                </c:pt>
                <c:pt idx="19">
                  <c:v>409.78952699997387</c:v>
                </c:pt>
                <c:pt idx="20">
                  <c:v>416.95090876578485</c:v>
                </c:pt>
                <c:pt idx="21">
                  <c:v>423.51527715925556</c:v>
                </c:pt>
                <c:pt idx="22">
                  <c:v>429.3763493848121</c:v>
                </c:pt>
                <c:pt idx="23">
                  <c:v>434.42023369487191</c:v>
                </c:pt>
                <c:pt idx="24">
                  <c:v>437.31090667457369</c:v>
                </c:pt>
                <c:pt idx="25">
                  <c:v>440.28395000551211</c:v>
                </c:pt>
                <c:pt idx="26">
                  <c:v>445.07099003687603</c:v>
                </c:pt>
                <c:pt idx="27">
                  <c:v>450.25989341943313</c:v>
                </c:pt>
                <c:pt idx="28">
                  <c:v>454.37864920171728</c:v>
                </c:pt>
                <c:pt idx="29">
                  <c:v>457.77706563375835</c:v>
                </c:pt>
                <c:pt idx="30">
                  <c:v>460.47503467690149</c:v>
                </c:pt>
                <c:pt idx="31">
                  <c:v>462.4315383893225</c:v>
                </c:pt>
                <c:pt idx="32">
                  <c:v>463.60916577071185</c:v>
                </c:pt>
                <c:pt idx="33">
                  <c:v>463.67990297566888</c:v>
                </c:pt>
                <c:pt idx="34">
                  <c:v>463.11044304704416</c:v>
                </c:pt>
                <c:pt idx="35">
                  <c:v>461.66300422285019</c:v>
                </c:pt>
                <c:pt idx="36">
                  <c:v>459.30967434948747</c:v>
                </c:pt>
                <c:pt idx="37">
                  <c:v>456.02378157203032</c:v>
                </c:pt>
                <c:pt idx="38">
                  <c:v>451.66284563157592</c:v>
                </c:pt>
                <c:pt idx="39">
                  <c:v>446.35577927785079</c:v>
                </c:pt>
                <c:pt idx="40">
                  <c:v>440.03944247429183</c:v>
                </c:pt>
                <c:pt idx="41">
                  <c:v>432.68827484402158</c:v>
                </c:pt>
                <c:pt idx="42">
                  <c:v>424.27600788824003</c:v>
                </c:pt>
                <c:pt idx="43">
                  <c:v>414.77533706741087</c:v>
                </c:pt>
                <c:pt idx="44">
                  <c:v>404.15760116184305</c:v>
                </c:pt>
                <c:pt idx="45">
                  <c:v>392.39251392530986</c:v>
                </c:pt>
                <c:pt idx="46">
                  <c:v>379.44914479612999</c:v>
                </c:pt>
                <c:pt idx="47">
                  <c:v>365.28990597673692</c:v>
                </c:pt>
                <c:pt idx="48">
                  <c:v>349.87283306249066</c:v>
                </c:pt>
                <c:pt idx="49">
                  <c:v>333.15341132069392</c:v>
                </c:pt>
                <c:pt idx="50">
                  <c:v>315.08438905088093</c:v>
                </c:pt>
                <c:pt idx="51">
                  <c:v>295.61562527941925</c:v>
                </c:pt>
                <c:pt idx="52">
                  <c:v>0</c:v>
                </c:pt>
              </c:numCache>
            </c:numRef>
          </c:xVal>
          <c:yVal>
            <c:numRef>
              <c:f>'Cross Section Analysis'!$Q$129:$Q$229</c:f>
              <c:numCache>
                <c:formatCode>General</c:formatCode>
                <c:ptCount val="101"/>
                <c:pt idx="0">
                  <c:v>-342.9</c:v>
                </c:pt>
                <c:pt idx="1">
                  <c:v>-337.9</c:v>
                </c:pt>
                <c:pt idx="2">
                  <c:v>-300.94027</c:v>
                </c:pt>
                <c:pt idx="3">
                  <c:v>-263.98054000000002</c:v>
                </c:pt>
                <c:pt idx="4">
                  <c:v>-227.02081000000001</c:v>
                </c:pt>
                <c:pt idx="5">
                  <c:v>-190.06108</c:v>
                </c:pt>
                <c:pt idx="6">
                  <c:v>-153.10135</c:v>
                </c:pt>
                <c:pt idx="7">
                  <c:v>-116.14161999999999</c:v>
                </c:pt>
                <c:pt idx="8">
                  <c:v>-79.181889999999981</c:v>
                </c:pt>
                <c:pt idx="9">
                  <c:v>-42.222159999999981</c:v>
                </c:pt>
                <c:pt idx="10">
                  <c:v>-5.2624299999999806</c:v>
                </c:pt>
                <c:pt idx="11">
                  <c:v>31.69730000000002</c:v>
                </c:pt>
                <c:pt idx="12">
                  <c:v>68.65703000000002</c:v>
                </c:pt>
                <c:pt idx="13">
                  <c:v>105.61676000000003</c:v>
                </c:pt>
                <c:pt idx="14">
                  <c:v>142.57649000000004</c:v>
                </c:pt>
                <c:pt idx="15">
                  <c:v>179.53622000000004</c:v>
                </c:pt>
                <c:pt idx="16">
                  <c:v>216.49595000000005</c:v>
                </c:pt>
                <c:pt idx="17">
                  <c:v>253.45568000000006</c:v>
                </c:pt>
                <c:pt idx="18">
                  <c:v>290.41541000000007</c:v>
                </c:pt>
                <c:pt idx="19">
                  <c:v>327.37514000000004</c:v>
                </c:pt>
                <c:pt idx="20">
                  <c:v>364.33487000000002</c:v>
                </c:pt>
                <c:pt idx="21">
                  <c:v>401.2946</c:v>
                </c:pt>
                <c:pt idx="22">
                  <c:v>438.25432999999998</c:v>
                </c:pt>
                <c:pt idx="23">
                  <c:v>475.21405999999996</c:v>
                </c:pt>
                <c:pt idx="24">
                  <c:v>512.17378999999994</c:v>
                </c:pt>
                <c:pt idx="25">
                  <c:v>549.13351999999998</c:v>
                </c:pt>
                <c:pt idx="26">
                  <c:v>586.09325000000001</c:v>
                </c:pt>
                <c:pt idx="27">
                  <c:v>623.05298000000005</c:v>
                </c:pt>
                <c:pt idx="28">
                  <c:v>660.01271000000008</c:v>
                </c:pt>
                <c:pt idx="29">
                  <c:v>696.97244000000012</c:v>
                </c:pt>
                <c:pt idx="30">
                  <c:v>733.93217000000016</c:v>
                </c:pt>
                <c:pt idx="31">
                  <c:v>770.89190000000019</c:v>
                </c:pt>
                <c:pt idx="32">
                  <c:v>807.85163000000023</c:v>
                </c:pt>
                <c:pt idx="33">
                  <c:v>844.81136000000026</c:v>
                </c:pt>
                <c:pt idx="34">
                  <c:v>881.7710900000003</c:v>
                </c:pt>
                <c:pt idx="35">
                  <c:v>918.73082000000034</c:v>
                </c:pt>
                <c:pt idx="36">
                  <c:v>955.69055000000037</c:v>
                </c:pt>
                <c:pt idx="37">
                  <c:v>992.65028000000041</c:v>
                </c:pt>
                <c:pt idx="38">
                  <c:v>1029.6100100000003</c:v>
                </c:pt>
                <c:pt idx="39">
                  <c:v>1066.5697400000004</c:v>
                </c:pt>
                <c:pt idx="40">
                  <c:v>1103.5294700000004</c:v>
                </c:pt>
                <c:pt idx="41">
                  <c:v>1140.4892000000004</c:v>
                </c:pt>
                <c:pt idx="42">
                  <c:v>1177.4489300000005</c:v>
                </c:pt>
                <c:pt idx="43">
                  <c:v>1214.4086600000005</c:v>
                </c:pt>
                <c:pt idx="44">
                  <c:v>1251.3683900000005</c:v>
                </c:pt>
                <c:pt idx="45">
                  <c:v>1288.3281200000006</c:v>
                </c:pt>
                <c:pt idx="46">
                  <c:v>1325.2878500000006</c:v>
                </c:pt>
                <c:pt idx="47">
                  <c:v>1362.2475800000007</c:v>
                </c:pt>
                <c:pt idx="48">
                  <c:v>1399.2073100000007</c:v>
                </c:pt>
                <c:pt idx="49">
                  <c:v>1436.1670400000007</c:v>
                </c:pt>
                <c:pt idx="50">
                  <c:v>1473.1267700000008</c:v>
                </c:pt>
                <c:pt idx="51">
                  <c:v>1510.0865000000008</c:v>
                </c:pt>
                <c:pt idx="52">
                  <c:v>1510.0865000000008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1.4142135623730951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-337.9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1.4142135623730951</c:v>
                </c:pt>
                <c:pt idx="1">
                  <c:v>0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-337.9</c:v>
                </c:pt>
                <c:pt idx="1">
                  <c:v>-337.9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704851</xdr:colOff>
      <xdr:row>45</xdr:row>
      <xdr:rowOff>150187</xdr:rowOff>
    </xdr:from>
    <xdr:to>
      <xdr:col>18</xdr:col>
      <xdr:colOff>381000</xdr:colOff>
      <xdr:row>84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234950</xdr:colOff>
      <xdr:row>127</xdr:row>
      <xdr:rowOff>69850</xdr:rowOff>
    </xdr:from>
    <xdr:to>
      <xdr:col>14</xdr:col>
      <xdr:colOff>660400</xdr:colOff>
      <xdr:row>170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Z490"/>
  <sheetViews>
    <sheetView tabSelected="1" topLeftCell="A109" workbookViewId="0">
      <selection activeCell="N120" sqref="N120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4" max="14" width="12.42578125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38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</f>
        <v>30</v>
      </c>
      <c r="H3" s="6">
        <f>G3</f>
        <v>30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</row>
    <row r="5" spans="1:8" x14ac:dyDescent="0.25">
      <c r="A5" s="2" t="s">
        <v>2</v>
      </c>
      <c r="B5" s="38">
        <v>20</v>
      </c>
      <c r="C5" t="s">
        <v>6</v>
      </c>
      <c r="D5" s="5">
        <f>B5</f>
        <v>20</v>
      </c>
      <c r="E5" s="5">
        <f>B6</f>
        <v>30</v>
      </c>
      <c r="G5" t="s">
        <v>33</v>
      </c>
    </row>
    <row r="6" spans="1:8" x14ac:dyDescent="0.25">
      <c r="A6" s="2" t="s">
        <v>3</v>
      </c>
      <c r="B6" s="38">
        <v>30</v>
      </c>
      <c r="C6" t="s">
        <v>6</v>
      </c>
      <c r="D6" s="5">
        <v>0</v>
      </c>
      <c r="E6" s="5">
        <f>B6</f>
        <v>30</v>
      </c>
      <c r="G6" t="s">
        <v>0</v>
      </c>
      <c r="H6" t="s">
        <v>1</v>
      </c>
    </row>
    <row r="7" spans="1:8" x14ac:dyDescent="0.25">
      <c r="D7" s="5">
        <v>0</v>
      </c>
      <c r="E7" s="5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38">
        <v>60</v>
      </c>
      <c r="C10" t="s">
        <v>5</v>
      </c>
      <c r="F10" s="29" t="s">
        <v>88</v>
      </c>
    </row>
    <row r="11" spans="1:8" x14ac:dyDescent="0.25">
      <c r="A11" t="s">
        <v>12</v>
      </c>
      <c r="B11" s="3">
        <v>30000</v>
      </c>
      <c r="C11" t="s">
        <v>5</v>
      </c>
      <c r="F11" s="29" t="s">
        <v>89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  <c r="F12" s="29" t="s">
        <v>90</v>
      </c>
    </row>
    <row r="13" spans="1:8" x14ac:dyDescent="0.25">
      <c r="A13">
        <v>1</v>
      </c>
      <c r="B13" s="37">
        <v>10</v>
      </c>
      <c r="C13" s="4">
        <f ca="1">OFFSET(Reference!A$1,MATCH('Cross Section Analysis'!B13,Reference!A$1:A$12,0)-1,2)</f>
        <v>1.27</v>
      </c>
      <c r="D13" s="38">
        <v>4</v>
      </c>
      <c r="E13" s="38">
        <v>4</v>
      </c>
      <c r="F13" s="29" t="s">
        <v>91</v>
      </c>
    </row>
    <row r="14" spans="1:8" x14ac:dyDescent="0.25">
      <c r="A14">
        <v>2</v>
      </c>
      <c r="B14" s="37">
        <v>10</v>
      </c>
      <c r="C14" s="4">
        <f ca="1">OFFSET(Reference!A$1,MATCH('Cross Section Analysis'!B14,Reference!A$1:A$12,0)-1,2)</f>
        <v>1.27</v>
      </c>
      <c r="D14" s="38">
        <v>16</v>
      </c>
      <c r="E14" s="38">
        <v>4</v>
      </c>
      <c r="F14" s="29" t="s">
        <v>92</v>
      </c>
    </row>
    <row r="15" spans="1:8" x14ac:dyDescent="0.25">
      <c r="A15">
        <v>3</v>
      </c>
      <c r="B15" s="37">
        <v>10</v>
      </c>
      <c r="C15" s="4">
        <f ca="1">OFFSET(Reference!A$1,MATCH('Cross Section Analysis'!B15,Reference!A$1:A$12,0)-1,2)</f>
        <v>1.27</v>
      </c>
      <c r="D15" s="38">
        <v>16</v>
      </c>
      <c r="E15" s="38">
        <v>26</v>
      </c>
    </row>
    <row r="16" spans="1:8" x14ac:dyDescent="0.25">
      <c r="A16">
        <v>4</v>
      </c>
      <c r="B16" s="37">
        <v>10</v>
      </c>
      <c r="C16" s="4">
        <f ca="1">OFFSET(Reference!A$1,MATCH('Cross Section Analysis'!B16,Reference!A$1:A$12,0)-1,2)</f>
        <v>1.27</v>
      </c>
      <c r="D16" s="38">
        <v>10</v>
      </c>
      <c r="E16" s="38">
        <v>26</v>
      </c>
    </row>
    <row r="17" spans="1:5" x14ac:dyDescent="0.25">
      <c r="A17">
        <v>5</v>
      </c>
      <c r="B17" s="37">
        <v>10</v>
      </c>
      <c r="C17" s="4">
        <f ca="1">OFFSET(Reference!A$1,MATCH('Cross Section Analysis'!B17,Reference!A$1:A$12,0)-1,2)</f>
        <v>1.27</v>
      </c>
      <c r="D17" s="38">
        <v>4</v>
      </c>
      <c r="E17" s="38">
        <v>26</v>
      </c>
    </row>
    <row r="18" spans="1:5" x14ac:dyDescent="0.25">
      <c r="A18">
        <v>6</v>
      </c>
      <c r="B18" s="37">
        <v>0</v>
      </c>
      <c r="C18" s="4">
        <f ca="1">OFFSET(Reference!A$1,MATCH('Cross Section Analysis'!B18,Reference!A$1:A$12,0)-1,2)</f>
        <v>0</v>
      </c>
      <c r="D18" s="36"/>
      <c r="E18" s="36"/>
    </row>
    <row r="19" spans="1:5" x14ac:dyDescent="0.25">
      <c r="A19">
        <v>7</v>
      </c>
      <c r="B19" s="37">
        <v>0</v>
      </c>
      <c r="C19" s="4">
        <f ca="1">OFFSET(Reference!A$1,MATCH('Cross Section Analysis'!B19,Reference!A$1:A$12,0)-1,2)</f>
        <v>0</v>
      </c>
      <c r="D19" s="36"/>
      <c r="E19" s="36"/>
    </row>
    <row r="20" spans="1:5" x14ac:dyDescent="0.25">
      <c r="A20">
        <v>8</v>
      </c>
      <c r="B20" s="37">
        <v>0</v>
      </c>
      <c r="C20" s="4">
        <f ca="1">OFFSET(Reference!A$1,MATCH('Cross Section Analysis'!B20,Reference!A$1:A$12,0)-1,2)</f>
        <v>0</v>
      </c>
      <c r="D20" s="36"/>
      <c r="E20" s="36"/>
    </row>
    <row r="21" spans="1:5" x14ac:dyDescent="0.25">
      <c r="A21">
        <v>9</v>
      </c>
      <c r="B21" s="37">
        <v>0</v>
      </c>
      <c r="C21" s="4">
        <f ca="1">OFFSET(Reference!A$1,MATCH('Cross Section Analysis'!B21,Reference!A$1:A$12,0)-1,2)</f>
        <v>0</v>
      </c>
      <c r="D21" s="36"/>
      <c r="E21" s="36"/>
    </row>
    <row r="22" spans="1:5" x14ac:dyDescent="0.25">
      <c r="A22">
        <v>10</v>
      </c>
      <c r="B22" s="37">
        <v>0</v>
      </c>
      <c r="C22" s="4">
        <f ca="1">OFFSET(Reference!A$1,MATCH('Cross Section Analysis'!B22,Reference!A$1:A$12,0)-1,2)</f>
        <v>0</v>
      </c>
      <c r="D22" s="36"/>
      <c r="E22" s="36"/>
    </row>
    <row r="23" spans="1:5" x14ac:dyDescent="0.25">
      <c r="A23">
        <v>11</v>
      </c>
      <c r="B23" s="37">
        <v>0</v>
      </c>
      <c r="C23" s="4">
        <f ca="1">OFFSET(Reference!A$1,MATCH('Cross Section Analysis'!B23,Reference!A$1:A$12,0)-1,2)</f>
        <v>0</v>
      </c>
      <c r="D23" s="36"/>
      <c r="E23" s="36"/>
    </row>
    <row r="24" spans="1:5" x14ac:dyDescent="0.25">
      <c r="A24">
        <v>12</v>
      </c>
      <c r="B24" s="37">
        <v>0</v>
      </c>
      <c r="C24" s="4">
        <f ca="1">OFFSET(Reference!A$1,MATCH('Cross Section Analysis'!B24,Reference!A$1:A$12,0)-1,2)</f>
        <v>0</v>
      </c>
      <c r="D24" s="36"/>
      <c r="E24" s="36"/>
    </row>
    <row r="26" spans="1:5" x14ac:dyDescent="0.25">
      <c r="A26" s="28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7">
        <f ca="1">C13</f>
        <v>1.27</v>
      </c>
      <c r="C34" s="6">
        <f>($B$10-($B$2))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5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($B$10-($B$2))</f>
        <v>55</v>
      </c>
      <c r="D35" s="6">
        <f t="shared" ref="D35:D45" ca="1" si="3">B35*C35</f>
        <v>69.849999999999994</v>
      </c>
      <c r="E35" s="6">
        <f t="shared" ref="E35:E45" ca="1" si="4">D35*E14</f>
        <v>279.39999999999998</v>
      </c>
      <c r="F35" s="6">
        <f t="shared" ref="F35:F45" ca="1" si="5">D35*D14</f>
        <v>1117.5999999999999</v>
      </c>
    </row>
    <row r="36" spans="1:6" x14ac:dyDescent="0.25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1816.1</v>
      </c>
      <c r="F36" s="6">
        <f t="shared" ca="1" si="5"/>
        <v>1117.5999999999999</v>
      </c>
    </row>
    <row r="37" spans="1:6" x14ac:dyDescent="0.25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1816.1</v>
      </c>
      <c r="F37" s="6">
        <f t="shared" ca="1" si="5"/>
        <v>698.5</v>
      </c>
    </row>
    <row r="38" spans="1:6" x14ac:dyDescent="0.25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1816.1</v>
      </c>
      <c r="F38" s="6">
        <f t="shared" ca="1" si="5"/>
        <v>279.39999999999998</v>
      </c>
    </row>
    <row r="39" spans="1:6" x14ac:dyDescent="0.25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5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5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5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5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5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5.75" thickBot="1" x14ac:dyDescent="0.3">
      <c r="A45">
        <f t="shared" si="0"/>
        <v>12</v>
      </c>
      <c r="B45" s="7">
        <f t="shared" ca="1" si="1"/>
        <v>0</v>
      </c>
      <c r="C45" s="6">
        <f t="shared" si="2"/>
        <v>55</v>
      </c>
      <c r="D45" s="27">
        <f t="shared" ca="1" si="3"/>
        <v>0</v>
      </c>
      <c r="E45" s="27">
        <f t="shared" ca="1" si="4"/>
        <v>0</v>
      </c>
      <c r="F45" s="27">
        <f t="shared" ca="1" si="5"/>
        <v>0</v>
      </c>
    </row>
    <row r="46" spans="1:6" ht="15.75" thickTop="1" x14ac:dyDescent="0.25">
      <c r="C46" s="6"/>
      <c r="D46" s="6">
        <f ca="1">SUM(D34:D45)</f>
        <v>349.25</v>
      </c>
      <c r="E46" s="6">
        <f t="shared" ref="E46:F46" ca="1" si="6">SUM(E34:E45)</f>
        <v>6007.1</v>
      </c>
      <c r="F46" s="6">
        <f t="shared" ca="1" si="6"/>
        <v>3492.5</v>
      </c>
    </row>
    <row r="48" spans="1:6" x14ac:dyDescent="0.25">
      <c r="A48" s="2" t="s">
        <v>28</v>
      </c>
      <c r="B48" s="6">
        <f ca="1">B29+D46</f>
        <v>3349.25</v>
      </c>
      <c r="D48" t="s">
        <v>31</v>
      </c>
      <c r="E48" t="s">
        <v>32</v>
      </c>
    </row>
    <row r="49" spans="1:21" x14ac:dyDescent="0.25">
      <c r="A49" s="2" t="s">
        <v>29</v>
      </c>
      <c r="B49" s="6">
        <f ca="1">E46+B30</f>
        <v>51007.1</v>
      </c>
      <c r="D49" s="1">
        <f ca="1">B50/B48</f>
        <v>10</v>
      </c>
      <c r="E49" s="4">
        <f ca="1">B49/B48</f>
        <v>15.229409569306561</v>
      </c>
    </row>
    <row r="50" spans="1:21" x14ac:dyDescent="0.25">
      <c r="A50" s="2" t="s">
        <v>30</v>
      </c>
      <c r="B50" s="6">
        <f ca="1">F46+B31</f>
        <v>33492.5</v>
      </c>
    </row>
    <row r="52" spans="1:21" x14ac:dyDescent="0.25">
      <c r="A52" s="29" t="s">
        <v>34</v>
      </c>
    </row>
    <row r="53" spans="1:21" x14ac:dyDescent="0.25">
      <c r="A53" s="2" t="s">
        <v>36</v>
      </c>
      <c r="B53" s="36">
        <v>-117956801808.6053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6">
        <f ca="1">D3-$D$49</f>
        <v>-10</v>
      </c>
      <c r="B57" s="7">
        <f ca="1">E3-$E$49</f>
        <v>-15.229409569306561</v>
      </c>
      <c r="C57" s="4" t="e">
        <f ca="1">A57*COS(RADIANS(-1*$B$53))+B57*SIN(RADIANS(-1*$B$53))</f>
        <v>#NUM!</v>
      </c>
      <c r="D57" s="4" t="e">
        <f ca="1">-1*A57*SIN(RADIANS(-1*$B$53))+B57*COS(RADIANS(-1*$B$53))</f>
        <v>#NUM!</v>
      </c>
      <c r="F57" t="s">
        <v>40</v>
      </c>
      <c r="G57" t="e">
        <f ca="1">MAX(D57:D61)-MIN(D57:D61)</f>
        <v>#NUM!</v>
      </c>
      <c r="H57" t="s">
        <v>6</v>
      </c>
      <c r="T57" t="s">
        <v>82</v>
      </c>
    </row>
    <row r="58" spans="1:21" x14ac:dyDescent="0.25">
      <c r="A58" s="6">
        <f ca="1">D4-$D$49</f>
        <v>10</v>
      </c>
      <c r="B58" s="7">
        <f t="shared" ref="B58:B61" ca="1" si="7">E4-$E$49</f>
        <v>-15.229409569306561</v>
      </c>
      <c r="C58" s="4" t="e">
        <f t="shared" ref="C58:C61" ca="1" si="8">A58*COS(RADIANS(-1*$B$53))+B58*SIN(RADIANS(-1*$B$53))</f>
        <v>#NUM!</v>
      </c>
      <c r="D58" s="4" t="e">
        <f t="shared" ref="D58:D61" ca="1" si="9">-1*A58*SIN(RADIANS(-1*$B$53))+B58*COS(RADIANS(-1*$B$53))</f>
        <v>#NUM!</v>
      </c>
      <c r="F58" t="s">
        <v>62</v>
      </c>
      <c r="G58" s="7" t="e">
        <f ca="1">MAX(D57:D61)</f>
        <v>#NUM!</v>
      </c>
      <c r="T58" t="s">
        <v>0</v>
      </c>
      <c r="U58" t="s">
        <v>1</v>
      </c>
    </row>
    <row r="59" spans="1:21" x14ac:dyDescent="0.25">
      <c r="A59" s="6">
        <f ca="1">D5-$D$49</f>
        <v>10</v>
      </c>
      <c r="B59" s="7">
        <f t="shared" ca="1" si="7"/>
        <v>14.770590430693439</v>
      </c>
      <c r="C59" s="4" t="e">
        <f t="shared" ca="1" si="8"/>
        <v>#NUM!</v>
      </c>
      <c r="D59" s="4" t="e">
        <f t="shared" ca="1" si="9"/>
        <v>#NUM!</v>
      </c>
      <c r="T59" t="e">
        <f ca="1">MAX(MAX(C57:C61),MAX(D57:D61))</f>
        <v>#NUM!</v>
      </c>
      <c r="U59" t="e">
        <f ca="1">T59</f>
        <v>#NUM!</v>
      </c>
    </row>
    <row r="60" spans="1:21" x14ac:dyDescent="0.25">
      <c r="A60" s="6">
        <f ca="1">D6-$D$49</f>
        <v>-10</v>
      </c>
      <c r="B60" s="7">
        <f t="shared" ca="1" si="7"/>
        <v>14.770590430693439</v>
      </c>
      <c r="C60" s="4" t="e">
        <f t="shared" ca="1" si="8"/>
        <v>#NUM!</v>
      </c>
      <c r="D60" s="4" t="e">
        <f t="shared" ca="1" si="9"/>
        <v>#NUM!</v>
      </c>
      <c r="T60" t="e">
        <f ca="1">-1*T59</f>
        <v>#NUM!</v>
      </c>
      <c r="U60" t="e">
        <f ca="1">-1*U59</f>
        <v>#NUM!</v>
      </c>
    </row>
    <row r="61" spans="1:21" x14ac:dyDescent="0.25">
      <c r="A61" s="6">
        <f ca="1">D7-$D$49</f>
        <v>-10</v>
      </c>
      <c r="B61" s="7">
        <f t="shared" ca="1" si="7"/>
        <v>-15.229409569306561</v>
      </c>
      <c r="C61" s="4" t="e">
        <f t="shared" ca="1" si="8"/>
        <v>#NUM!</v>
      </c>
      <c r="D61" s="4" t="e">
        <f t="shared" ca="1" si="9"/>
        <v>#NUM!</v>
      </c>
    </row>
    <row r="62" spans="1:21" x14ac:dyDescent="0.25">
      <c r="A62" s="6"/>
    </row>
    <row r="63" spans="1:21" x14ac:dyDescent="0.25">
      <c r="A63" s="30" t="s">
        <v>24</v>
      </c>
      <c r="F63" s="1" t="s">
        <v>37</v>
      </c>
      <c r="G63" s="1" t="s">
        <v>38</v>
      </c>
    </row>
    <row r="64" spans="1:21" x14ac:dyDescent="0.25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-6</v>
      </c>
      <c r="E64" s="6">
        <f ca="1">E13-$E$49</f>
        <v>-11.229409569306561</v>
      </c>
      <c r="F64" s="4" t="e">
        <f ca="1">IF(C64&gt;0,D64*COS(RADIANS(-1*$B$53))+E64*SIN(RADIANS(-1*$B$53)),0)</f>
        <v>#NUM!</v>
      </c>
      <c r="G64" s="4" t="e">
        <f ca="1">IF(C64&gt;0,-1*D64*SIN(RADIANS(-1*$B$53))+E64*COS(RADIANS(-1*$B$53)),0)</f>
        <v>#NUM!</v>
      </c>
    </row>
    <row r="65" spans="1:7" x14ac:dyDescent="0.25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6</v>
      </c>
      <c r="E65" s="6">
        <f t="shared" ref="E65:E75" ca="1" si="12">E14-$E$49</f>
        <v>-11.229409569306561</v>
      </c>
      <c r="F65" s="4" t="e">
        <f t="shared" ref="F65:F75" ca="1" si="13">IF(C65&gt;0,D65*COS(RADIANS(-1*$B$53))+E65*SIN(RADIANS(-1*$B$53)),0)</f>
        <v>#NUM!</v>
      </c>
      <c r="G65" s="4" t="e">
        <f t="shared" ref="G65:G75" ca="1" si="14">IF(C65&gt;0,-1*D65*SIN(RADIANS(-1*$B$53))+E65*COS(RADIANS(-1*$B$53)),0)</f>
        <v>#NUM!</v>
      </c>
    </row>
    <row r="66" spans="1:7" x14ac:dyDescent="0.25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6</v>
      </c>
      <c r="E66" s="6">
        <f t="shared" ca="1" si="12"/>
        <v>10.770590430693439</v>
      </c>
      <c r="F66" s="4" t="e">
        <f t="shared" ca="1" si="13"/>
        <v>#NUM!</v>
      </c>
      <c r="G66" s="4" t="e">
        <f t="shared" ca="1" si="14"/>
        <v>#NUM!</v>
      </c>
    </row>
    <row r="67" spans="1:7" x14ac:dyDescent="0.25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10.770590430693439</v>
      </c>
      <c r="F67" s="4" t="e">
        <f t="shared" ca="1" si="13"/>
        <v>#NUM!</v>
      </c>
      <c r="G67" s="4" t="e">
        <f t="shared" ca="1" si="14"/>
        <v>#NUM!</v>
      </c>
    </row>
    <row r="68" spans="1:7" x14ac:dyDescent="0.25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-6</v>
      </c>
      <c r="E68" s="6">
        <f t="shared" ca="1" si="12"/>
        <v>10.770590430693439</v>
      </c>
      <c r="F68" s="4" t="e">
        <f t="shared" ca="1" si="13"/>
        <v>#NUM!</v>
      </c>
      <c r="G68" s="4" t="e">
        <f t="shared" ca="1" si="14"/>
        <v>#NUM!</v>
      </c>
    </row>
    <row r="69" spans="1:7" x14ac:dyDescent="0.25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-10</v>
      </c>
      <c r="E69" s="6">
        <f t="shared" ca="1" si="12"/>
        <v>-15.229409569306561</v>
      </c>
      <c r="F69" s="4">
        <f t="shared" ca="1" si="13"/>
        <v>0</v>
      </c>
      <c r="G69" s="4">
        <f t="shared" ca="1" si="14"/>
        <v>0</v>
      </c>
    </row>
    <row r="70" spans="1:7" x14ac:dyDescent="0.25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-10</v>
      </c>
      <c r="E70" s="6">
        <f t="shared" ca="1" si="12"/>
        <v>-15.229409569306561</v>
      </c>
      <c r="F70" s="4">
        <f t="shared" ca="1" si="13"/>
        <v>0</v>
      </c>
      <c r="G70" s="4">
        <f t="shared" ca="1" si="14"/>
        <v>0</v>
      </c>
    </row>
    <row r="71" spans="1:7" x14ac:dyDescent="0.25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-10</v>
      </c>
      <c r="E71" s="6">
        <f t="shared" ca="1" si="12"/>
        <v>-15.229409569306561</v>
      </c>
      <c r="F71" s="4">
        <f t="shared" ca="1" si="13"/>
        <v>0</v>
      </c>
      <c r="G71" s="4">
        <f t="shared" ca="1" si="14"/>
        <v>0</v>
      </c>
    </row>
    <row r="72" spans="1:7" x14ac:dyDescent="0.25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-15.229409569306561</v>
      </c>
      <c r="F72" s="4">
        <f t="shared" ca="1" si="13"/>
        <v>0</v>
      </c>
      <c r="G72" s="4">
        <f t="shared" ca="1" si="14"/>
        <v>0</v>
      </c>
    </row>
    <row r="73" spans="1:7" x14ac:dyDescent="0.25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-15.229409569306561</v>
      </c>
      <c r="F73" s="4">
        <f t="shared" ca="1" si="13"/>
        <v>0</v>
      </c>
      <c r="G73" s="4">
        <f t="shared" ca="1" si="14"/>
        <v>0</v>
      </c>
    </row>
    <row r="74" spans="1:7" x14ac:dyDescent="0.25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-15.229409569306561</v>
      </c>
      <c r="F74" s="4">
        <f t="shared" ca="1" si="13"/>
        <v>0</v>
      </c>
      <c r="G74" s="4">
        <f t="shared" ca="1" si="14"/>
        <v>0</v>
      </c>
    </row>
    <row r="75" spans="1:7" x14ac:dyDescent="0.25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-15.229409569306561</v>
      </c>
      <c r="F75" s="4">
        <f t="shared" ca="1" si="13"/>
        <v>0</v>
      </c>
      <c r="G75" s="4">
        <f t="shared" ca="1" si="14"/>
        <v>0</v>
      </c>
    </row>
    <row r="76" spans="1:7" x14ac:dyDescent="0.25">
      <c r="G76" s="7" t="e">
        <f ca="1">MIN(G64:G75)</f>
        <v>#NUM!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36">
        <v>1.3814723188879932</v>
      </c>
      <c r="C78" t="s">
        <v>6</v>
      </c>
      <c r="D78" s="4" t="e">
        <f ca="1">MIN(C57:C61)</f>
        <v>#NUM!</v>
      </c>
      <c r="E78" s="4" t="e">
        <f ca="1">MAX(D57:D61)-B78</f>
        <v>#NUM!</v>
      </c>
    </row>
    <row r="79" spans="1:7" x14ac:dyDescent="0.25">
      <c r="A79" s="2"/>
      <c r="D79" s="4" t="e">
        <f ca="1">MAX(C57:C61)</f>
        <v>#NUM!</v>
      </c>
      <c r="E79" s="4" t="e">
        <f ca="1">E78</f>
        <v>#NUM!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1.1051778551103943</v>
      </c>
      <c r="C81" t="s">
        <v>6</v>
      </c>
      <c r="D81" t="s">
        <v>0</v>
      </c>
      <c r="E81" t="s">
        <v>1</v>
      </c>
    </row>
    <row r="82" spans="1:12" x14ac:dyDescent="0.25">
      <c r="D82" s="4" t="e">
        <f ca="1">MIN(C57:C61)</f>
        <v>#NUM!</v>
      </c>
      <c r="E82" s="4" t="e">
        <f ca="1">MAX(D57:D61)-B81</f>
        <v>#NUM!</v>
      </c>
    </row>
    <row r="83" spans="1:12" x14ac:dyDescent="0.25">
      <c r="D83" s="4" t="e">
        <f ca="1">MAX(C57:C61)</f>
        <v>#NUM!</v>
      </c>
      <c r="E83" s="4" t="e">
        <f ca="1">E82</f>
        <v>#NUM!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4" t="e">
        <f t="shared" ref="B88:C91" ca="1" si="15">C57</f>
        <v>#NUM!</v>
      </c>
      <c r="C88" s="4" t="e">
        <f t="shared" ca="1" si="15"/>
        <v>#NUM!</v>
      </c>
      <c r="D88" s="4" t="e">
        <f t="shared" ref="D88:E91" ca="1" si="16">C58</f>
        <v>#NUM!</v>
      </c>
      <c r="E88" s="4" t="e">
        <f t="shared" ca="1" si="16"/>
        <v>#NUM!</v>
      </c>
      <c r="F88" s="1" t="e">
        <f ca="1">IF(AND(E88&gt;=E$82,C88&lt;=E$82),1,IF(AND(C88&gt;=E$82,E88&gt;=E$82),3,IF(AND(E88&lt;=E$82,C88&gt;=E$82),2,0)))</f>
        <v>#NUM!</v>
      </c>
      <c r="G88" s="1" t="e">
        <f ca="1">IF(E88=C88,"H",IF(B88=D88,"V",(E88-C88)/(D88-B88)))</f>
        <v>#NUM!</v>
      </c>
      <c r="H88" s="4" t="e">
        <f ca="1">IF(OR(F88=1,F88=2),IF(G88="V",B88,(E$82-C88+(G88*B88))/G88),NA())</f>
        <v>#NUM!</v>
      </c>
      <c r="I88" s="4" t="e">
        <f ca="1">IF(OR(F88=1,F88=2),E$82,NA())</f>
        <v>#NUM!</v>
      </c>
      <c r="J88" s="5" t="e">
        <f ca="1">IF(F88=0,0,IF(F88=1,-0.5*B$85*(H88+D88)*(I88-E88),IF(F88=2,-0.5*B$85*(B88+H88)*(C88-I88),IF(F88=3,-0.5*B$85*(B88+D88)*(C88-E88),0))))</f>
        <v>#NUM!</v>
      </c>
      <c r="K88" s="5" t="e">
        <f ca="1">IF(F88=1,(1/6)*B$85*(E88-I88)*((H88*(2*I88+E88))+(D88*(I88+2*E88))),IF(F88=2,(1/6)*B$85*(I88-C88)*((B88*(2*C88+I88))+(H88*(C88+2*I88))),IF(F88=3,(1/6)*B$85*(E88-C88)*((B88*(2*C88+E88))+(D88*(C88+2*E88))),0)))</f>
        <v>#NUM!</v>
      </c>
      <c r="L88" s="5" t="e">
        <f ca="1">IF(F88=1,(1/6)*B$85*(POWER(H88,2)+H88*D88+POWER(D88,2))*(E88-I88),IF(F88=2,(1/6)*B$85*(POWER(B88,2)+B88*H88+POWER(H88,2))*(I88-C88),IF(F88=3,(1/6)*B$85*(POWER(B88,2)+B88*D88+POWER(D88,2))*(E88-C88),0)))</f>
        <v>#NUM!</v>
      </c>
    </row>
    <row r="89" spans="1:12" x14ac:dyDescent="0.25">
      <c r="A89">
        <v>2</v>
      </c>
      <c r="B89" s="4" t="e">
        <f t="shared" ca="1" si="15"/>
        <v>#NUM!</v>
      </c>
      <c r="C89" s="4" t="e">
        <f t="shared" ca="1" si="15"/>
        <v>#NUM!</v>
      </c>
      <c r="D89" s="4" t="e">
        <f t="shared" ca="1" si="16"/>
        <v>#NUM!</v>
      </c>
      <c r="E89" s="4" t="e">
        <f t="shared" ca="1" si="16"/>
        <v>#NUM!</v>
      </c>
      <c r="F89" s="1" t="e">
        <f t="shared" ref="F89:F91" ca="1" si="17">IF(AND(E89&gt;=E$82,C89&lt;=E$82),1,IF(AND(C89&gt;=E$82,E89&gt;=E$82),3,IF(AND(E89&lt;=E$82,C89&gt;=E$82),2,0)))</f>
        <v>#NUM!</v>
      </c>
      <c r="G89" s="1" t="e">
        <f t="shared" ref="G89:G91" ca="1" si="18">IF(E89=C89,"H",IF(B89=D89,"V",(E89-C89)/(D89-B89)))</f>
        <v>#NUM!</v>
      </c>
      <c r="H89" s="4" t="e">
        <f t="shared" ref="H89:H91" ca="1" si="19">IF(OR(F89=1,F89=2),IF(G89="V",B89,(E$82-C89+(G89*B89))/G89),NA())</f>
        <v>#NUM!</v>
      </c>
      <c r="I89" s="4" t="e">
        <f t="shared" ref="I89:I91" ca="1" si="20">IF(OR(F89=1,F89=2),E$82,NA())</f>
        <v>#NUM!</v>
      </c>
      <c r="J89" s="5" t="e">
        <f t="shared" ref="J89:J91" ca="1" si="21">IF(F89=0,0,IF(F89=1,-0.5*B$85*(H89+D89)*(I89-E89),IF(F89=2,-0.5*B$85*(B89+H89)*(C89-I89),IF(F89=3,-0.5*B$85*(B89+D89)*(C89-E89),0))))</f>
        <v>#NUM!</v>
      </c>
      <c r="K89" s="5" t="e">
        <f t="shared" ref="K89:K91" ca="1" si="22">IF(F89=1,(1/6)*B$85*(E89-I89)*((H89*(2*I89+E89))+(D89*(I89+2*E89))),IF(F89=2,(1/6)*B$85*(I89-C89)*((B89*(2*C89+I89))+(H89*(C89+2*I89))),IF(F89=3,(1/6)*B$85*(E89-C89)*((B89*(2*C89+E89))+(D89*(C89+2*E89))),0)))</f>
        <v>#NUM!</v>
      </c>
      <c r="L89" s="5" t="e">
        <f t="shared" ref="L89:L91" ca="1" si="23">IF(F89=1,(1/6)*B$85*(POWER(H89,2)+H89*D89+POWER(D89,2))*(E89-I89),IF(F89=2,(1/6)*B$85*(POWER(B89,2)+B89*H89+POWER(H89,2))*(I89-C89),IF(F89=3,(1/6)*B$85*(POWER(B89,2)+B89*D89+POWER(D89,2))*(E89-C89),0)))</f>
        <v>#NUM!</v>
      </c>
    </row>
    <row r="90" spans="1:12" x14ac:dyDescent="0.25">
      <c r="A90">
        <v>3</v>
      </c>
      <c r="B90" s="4" t="e">
        <f t="shared" ca="1" si="15"/>
        <v>#NUM!</v>
      </c>
      <c r="C90" s="4" t="e">
        <f t="shared" ca="1" si="15"/>
        <v>#NUM!</v>
      </c>
      <c r="D90" s="4" t="e">
        <f t="shared" ca="1" si="16"/>
        <v>#NUM!</v>
      </c>
      <c r="E90" s="4" t="e">
        <f t="shared" ca="1" si="16"/>
        <v>#NUM!</v>
      </c>
      <c r="F90" s="1" t="e">
        <f t="shared" ca="1" si="17"/>
        <v>#NUM!</v>
      </c>
      <c r="G90" s="1" t="e">
        <f t="shared" ca="1" si="18"/>
        <v>#NUM!</v>
      </c>
      <c r="H90" s="4" t="e">
        <f t="shared" ca="1" si="19"/>
        <v>#NUM!</v>
      </c>
      <c r="I90" s="4" t="e">
        <f t="shared" ca="1" si="20"/>
        <v>#NUM!</v>
      </c>
      <c r="J90" s="5" t="e">
        <f t="shared" ca="1" si="21"/>
        <v>#NUM!</v>
      </c>
      <c r="K90" s="5" t="e">
        <f t="shared" ca="1" si="22"/>
        <v>#NUM!</v>
      </c>
      <c r="L90" s="5" t="e">
        <f t="shared" ca="1" si="23"/>
        <v>#NUM!</v>
      </c>
    </row>
    <row r="91" spans="1:12" ht="15.75" thickBot="1" x14ac:dyDescent="0.3">
      <c r="A91">
        <v>4</v>
      </c>
      <c r="B91" s="4" t="e">
        <f t="shared" ca="1" si="15"/>
        <v>#NUM!</v>
      </c>
      <c r="C91" s="4" t="e">
        <f t="shared" ca="1" si="15"/>
        <v>#NUM!</v>
      </c>
      <c r="D91" s="4" t="e">
        <f t="shared" ca="1" si="16"/>
        <v>#NUM!</v>
      </c>
      <c r="E91" s="4" t="e">
        <f t="shared" ca="1" si="16"/>
        <v>#NUM!</v>
      </c>
      <c r="F91" s="1" t="e">
        <f t="shared" ca="1" si="17"/>
        <v>#NUM!</v>
      </c>
      <c r="G91" s="1" t="e">
        <f t="shared" ca="1" si="18"/>
        <v>#NUM!</v>
      </c>
      <c r="H91" s="4" t="e">
        <f t="shared" ca="1" si="19"/>
        <v>#NUM!</v>
      </c>
      <c r="I91" s="4" t="e">
        <f t="shared" ca="1" si="20"/>
        <v>#NUM!</v>
      </c>
      <c r="J91" s="26" t="e">
        <f t="shared" ca="1" si="21"/>
        <v>#NUM!</v>
      </c>
      <c r="K91" s="26" t="e">
        <f t="shared" ca="1" si="22"/>
        <v>#NUM!</v>
      </c>
      <c r="L91" s="26" t="e">
        <f t="shared" ca="1" si="23"/>
        <v>#NUM!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5" t="e">
        <f ca="1">SUM(J88:J91)</f>
        <v>#NUM!</v>
      </c>
      <c r="K92" s="5" t="e">
        <f ca="1">SUM(K88:K91)</f>
        <v>#NUM!</v>
      </c>
      <c r="L92" s="5" t="e">
        <f ca="1">SUM(L88:L91)*-1</f>
        <v>#NUM!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8">
        <f>A64</f>
        <v>1</v>
      </c>
      <c r="B98" s="7">
        <f ca="1">C13</f>
        <v>1.27</v>
      </c>
      <c r="C98" t="e">
        <f t="shared" ca="1" si="24"/>
        <v>#NUM!</v>
      </c>
      <c r="D98" t="e">
        <f t="shared" ca="1" si="25"/>
        <v>#NUM!</v>
      </c>
      <c r="E98" s="7" t="e">
        <f ca="1">G$58-D98</f>
        <v>#NUM!</v>
      </c>
      <c r="F98" s="11" t="e">
        <f ca="1">IF(B98=0,0,((B$78-E98)/B$78)*B$96)</f>
        <v>#NUM!</v>
      </c>
      <c r="G98" s="4" t="e">
        <f ca="1">IF(AND(F98&gt;0,E98&lt;=B$81),MIN((F98*B$11),B$10)-B$85,MAX(F98*B$11,-1*B$10))</f>
        <v>#NUM!</v>
      </c>
      <c r="H98" s="4" t="e">
        <f ca="1">G98*B98</f>
        <v>#NUM!</v>
      </c>
      <c r="I98" s="4" t="e">
        <f ca="1">H98*D98</f>
        <v>#NUM!</v>
      </c>
      <c r="J98" s="4" t="e">
        <f ca="1">H98*C98</f>
        <v>#NUM!</v>
      </c>
    </row>
    <row r="99" spans="1:10" x14ac:dyDescent="0.25">
      <c r="A99" s="8">
        <f t="shared" ref="A99:A108" si="26">A65</f>
        <v>2</v>
      </c>
      <c r="B99" s="7">
        <f t="shared" ref="B99:B109" ca="1" si="27">C14</f>
        <v>1.27</v>
      </c>
      <c r="C99" t="e">
        <f t="shared" ca="1" si="24"/>
        <v>#NUM!</v>
      </c>
      <c r="D99" t="e">
        <f t="shared" ca="1" si="25"/>
        <v>#NUM!</v>
      </c>
      <c r="E99" s="7" t="e">
        <f t="shared" ref="E99:E109" ca="1" si="28">G$58-D99</f>
        <v>#NUM!</v>
      </c>
      <c r="F99" s="11" t="e">
        <f t="shared" ref="F99:F109" ca="1" si="29">IF(B99=0,0,((B$78-E99)/B$78)*B$96)</f>
        <v>#NUM!</v>
      </c>
      <c r="G99" s="4" t="e">
        <f t="shared" ref="G99:G109" ca="1" si="30">IF(AND(F99&gt;0,E99&lt;=B$81),MIN((F99*B$11),B$10)-B$85,MAX(F99*B$11,-1*B$10))</f>
        <v>#NUM!</v>
      </c>
      <c r="H99" s="4" t="e">
        <f t="shared" ref="H99:H109" ca="1" si="31">G99*B99</f>
        <v>#NUM!</v>
      </c>
      <c r="I99" s="4" t="e">
        <f t="shared" ref="I99:I109" ca="1" si="32">H99*D99</f>
        <v>#NUM!</v>
      </c>
      <c r="J99" s="4" t="e">
        <f t="shared" ref="J99:J109" ca="1" si="33">H99*C99</f>
        <v>#NUM!</v>
      </c>
    </row>
    <row r="100" spans="1:10" x14ac:dyDescent="0.25">
      <c r="A100" s="8">
        <f t="shared" si="26"/>
        <v>3</v>
      </c>
      <c r="B100" s="7">
        <f t="shared" ca="1" si="27"/>
        <v>1.27</v>
      </c>
      <c r="C100" t="e">
        <f t="shared" ca="1" si="24"/>
        <v>#NUM!</v>
      </c>
      <c r="D100" t="e">
        <f t="shared" ca="1" si="25"/>
        <v>#NUM!</v>
      </c>
      <c r="E100" s="7" t="e">
        <f t="shared" ca="1" si="28"/>
        <v>#NUM!</v>
      </c>
      <c r="F100" s="11" t="e">
        <f t="shared" ca="1" si="29"/>
        <v>#NUM!</v>
      </c>
      <c r="G100" s="4" t="e">
        <f t="shared" ca="1" si="30"/>
        <v>#NUM!</v>
      </c>
      <c r="H100" s="4" t="e">
        <f t="shared" ca="1" si="31"/>
        <v>#NUM!</v>
      </c>
      <c r="I100" s="4" t="e">
        <f t="shared" ca="1" si="32"/>
        <v>#NUM!</v>
      </c>
      <c r="J100" s="4" t="e">
        <f t="shared" ca="1" si="33"/>
        <v>#NUM!</v>
      </c>
    </row>
    <row r="101" spans="1:10" x14ac:dyDescent="0.25">
      <c r="A101" s="8">
        <f t="shared" si="26"/>
        <v>4</v>
      </c>
      <c r="B101" s="7">
        <f t="shared" ca="1" si="27"/>
        <v>1.27</v>
      </c>
      <c r="C101" t="e">
        <f t="shared" ca="1" si="24"/>
        <v>#NUM!</v>
      </c>
      <c r="D101" t="e">
        <f t="shared" ca="1" si="25"/>
        <v>#NUM!</v>
      </c>
      <c r="E101" s="7" t="e">
        <f t="shared" ca="1" si="28"/>
        <v>#NUM!</v>
      </c>
      <c r="F101" s="11" t="e">
        <f t="shared" ca="1" si="29"/>
        <v>#NUM!</v>
      </c>
      <c r="G101" s="4" t="e">
        <f t="shared" ca="1" si="30"/>
        <v>#NUM!</v>
      </c>
      <c r="H101" s="4" t="e">
        <f t="shared" ca="1" si="31"/>
        <v>#NUM!</v>
      </c>
      <c r="I101" s="4" t="e">
        <f t="shared" ca="1" si="32"/>
        <v>#NUM!</v>
      </c>
      <c r="J101" s="4" t="e">
        <f t="shared" ca="1" si="33"/>
        <v>#NUM!</v>
      </c>
    </row>
    <row r="102" spans="1:10" x14ac:dyDescent="0.25">
      <c r="A102" s="8">
        <f t="shared" si="26"/>
        <v>5</v>
      </c>
      <c r="B102" s="7">
        <f t="shared" ca="1" si="27"/>
        <v>1.27</v>
      </c>
      <c r="C102" t="e">
        <f t="shared" ca="1" si="24"/>
        <v>#NUM!</v>
      </c>
      <c r="D102" t="e">
        <f t="shared" ca="1" si="25"/>
        <v>#NUM!</v>
      </c>
      <c r="E102" s="7" t="e">
        <f t="shared" ca="1" si="28"/>
        <v>#NUM!</v>
      </c>
      <c r="F102" s="11" t="e">
        <f t="shared" ca="1" si="29"/>
        <v>#NUM!</v>
      </c>
      <c r="G102" s="4" t="e">
        <f t="shared" ca="1" si="30"/>
        <v>#NUM!</v>
      </c>
      <c r="H102" s="4" t="e">
        <f t="shared" ca="1" si="31"/>
        <v>#NUM!</v>
      </c>
      <c r="I102" s="4" t="e">
        <f t="shared" ca="1" si="32"/>
        <v>#NUM!</v>
      </c>
      <c r="J102" s="4" t="e">
        <f t="shared" ca="1" si="33"/>
        <v>#NUM!</v>
      </c>
    </row>
    <row r="103" spans="1:10" x14ac:dyDescent="0.25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 t="e">
        <f t="shared" ca="1" si="28"/>
        <v>#NUM!</v>
      </c>
      <c r="F103" s="11">
        <f t="shared" ca="1" si="29"/>
        <v>0</v>
      </c>
      <c r="G103" s="4" t="e">
        <f t="shared" ca="1" si="30"/>
        <v>#NUM!</v>
      </c>
      <c r="H103" s="4" t="e">
        <f t="shared" ca="1" si="31"/>
        <v>#NUM!</v>
      </c>
      <c r="I103" s="4" t="e">
        <f t="shared" ca="1" si="32"/>
        <v>#NUM!</v>
      </c>
      <c r="J103" s="4" t="e">
        <f t="shared" ca="1" si="33"/>
        <v>#NUM!</v>
      </c>
    </row>
    <row r="104" spans="1:10" x14ac:dyDescent="0.25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 t="e">
        <f t="shared" ca="1" si="28"/>
        <v>#NUM!</v>
      </c>
      <c r="F104" s="11">
        <f t="shared" ca="1" si="29"/>
        <v>0</v>
      </c>
      <c r="G104" s="4" t="e">
        <f t="shared" ca="1" si="30"/>
        <v>#NUM!</v>
      </c>
      <c r="H104" s="4" t="e">
        <f t="shared" ca="1" si="31"/>
        <v>#NUM!</v>
      </c>
      <c r="I104" s="4" t="e">
        <f t="shared" ca="1" si="32"/>
        <v>#NUM!</v>
      </c>
      <c r="J104" s="4" t="e">
        <f t="shared" ca="1" si="33"/>
        <v>#NUM!</v>
      </c>
    </row>
    <row r="105" spans="1:10" x14ac:dyDescent="0.25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 t="e">
        <f t="shared" ca="1" si="28"/>
        <v>#NUM!</v>
      </c>
      <c r="F105" s="11">
        <f t="shared" ca="1" si="29"/>
        <v>0</v>
      </c>
      <c r="G105" s="4" t="e">
        <f t="shared" ca="1" si="30"/>
        <v>#NUM!</v>
      </c>
      <c r="H105" s="4" t="e">
        <f t="shared" ca="1" si="31"/>
        <v>#NUM!</v>
      </c>
      <c r="I105" s="4" t="e">
        <f t="shared" ca="1" si="32"/>
        <v>#NUM!</v>
      </c>
      <c r="J105" s="4" t="e">
        <f t="shared" ca="1" si="33"/>
        <v>#NUM!</v>
      </c>
    </row>
    <row r="106" spans="1:10" x14ac:dyDescent="0.25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 t="e">
        <f t="shared" ca="1" si="28"/>
        <v>#NUM!</v>
      </c>
      <c r="F106" s="11">
        <f t="shared" ca="1" si="29"/>
        <v>0</v>
      </c>
      <c r="G106" s="4" t="e">
        <f t="shared" ca="1" si="30"/>
        <v>#NUM!</v>
      </c>
      <c r="H106" s="4" t="e">
        <f t="shared" ca="1" si="31"/>
        <v>#NUM!</v>
      </c>
      <c r="I106" s="4" t="e">
        <f t="shared" ca="1" si="32"/>
        <v>#NUM!</v>
      </c>
      <c r="J106" s="4" t="e">
        <f t="shared" ca="1" si="33"/>
        <v>#NUM!</v>
      </c>
    </row>
    <row r="107" spans="1:10" x14ac:dyDescent="0.25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 t="e">
        <f t="shared" ca="1" si="28"/>
        <v>#NUM!</v>
      </c>
      <c r="F107" s="11">
        <f t="shared" ca="1" si="29"/>
        <v>0</v>
      </c>
      <c r="G107" s="4" t="e">
        <f t="shared" ca="1" si="30"/>
        <v>#NUM!</v>
      </c>
      <c r="H107" s="4" t="e">
        <f t="shared" ca="1" si="31"/>
        <v>#NUM!</v>
      </c>
      <c r="I107" s="4" t="e">
        <f t="shared" ca="1" si="32"/>
        <v>#NUM!</v>
      </c>
      <c r="J107" s="4" t="e">
        <f t="shared" ca="1" si="33"/>
        <v>#NUM!</v>
      </c>
    </row>
    <row r="108" spans="1:10" x14ac:dyDescent="0.25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 t="e">
        <f t="shared" ca="1" si="28"/>
        <v>#NUM!</v>
      </c>
      <c r="F108" s="11">
        <f t="shared" ca="1" si="29"/>
        <v>0</v>
      </c>
      <c r="G108" s="4" t="e">
        <f t="shared" ca="1" si="30"/>
        <v>#NUM!</v>
      </c>
      <c r="H108" s="4" t="e">
        <f t="shared" ca="1" si="31"/>
        <v>#NUM!</v>
      </c>
      <c r="I108" s="4" t="e">
        <f t="shared" ca="1" si="32"/>
        <v>#NUM!</v>
      </c>
      <c r="J108" s="4" t="e">
        <f t="shared" ca="1" si="33"/>
        <v>#NUM!</v>
      </c>
    </row>
    <row r="109" spans="1:10" ht="15.75" thickBot="1" x14ac:dyDescent="0.3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 t="e">
        <f t="shared" ca="1" si="28"/>
        <v>#NUM!</v>
      </c>
      <c r="F109" s="25">
        <f t="shared" ca="1" si="29"/>
        <v>0</v>
      </c>
      <c r="G109" s="4" t="e">
        <f t="shared" ca="1" si="30"/>
        <v>#NUM!</v>
      </c>
      <c r="H109" s="24" t="e">
        <f t="shared" ca="1" si="31"/>
        <v>#NUM!</v>
      </c>
      <c r="I109" s="24" t="e">
        <f t="shared" ca="1" si="32"/>
        <v>#NUM!</v>
      </c>
      <c r="J109" s="24" t="e">
        <f t="shared" ca="1" si="33"/>
        <v>#NUM!</v>
      </c>
    </row>
    <row r="110" spans="1:10" ht="15.75" thickTop="1" x14ac:dyDescent="0.25">
      <c r="F110" s="11" t="e">
        <f ca="1">MIN(F98:F109)</f>
        <v>#NUM!</v>
      </c>
      <c r="H110" s="4" t="e">
        <f ca="1">SUM(H98:H109)</f>
        <v>#NUM!</v>
      </c>
      <c r="I110" s="4" t="e">
        <f ca="1">SUM(I98:I109)</f>
        <v>#NUM!</v>
      </c>
      <c r="J110" s="4" t="e">
        <f ca="1">SUM(J98:J109)*-1</f>
        <v>#NUM!</v>
      </c>
    </row>
    <row r="113" spans="1:26" x14ac:dyDescent="0.25">
      <c r="A113" s="2" t="s">
        <v>67</v>
      </c>
      <c r="B113" s="33" t="e">
        <f ca="1">J92+H110</f>
        <v>#NUM!</v>
      </c>
      <c r="C113" t="s">
        <v>20</v>
      </c>
      <c r="D113" t="s">
        <v>68</v>
      </c>
      <c r="I113" s="2" t="s">
        <v>73</v>
      </c>
      <c r="J113" s="1" t="e">
        <f ca="1">IF(ABS(F110)&lt;0.002,0.65,IF(ABS(F110)&gt;0.005,0.9,0.65+((ABS(F110)-0.002)*(250/3))))</f>
        <v>#NUM!</v>
      </c>
    </row>
    <row r="114" spans="1:26" x14ac:dyDescent="0.25">
      <c r="A114" s="2" t="s">
        <v>69</v>
      </c>
      <c r="B114" s="4" t="e">
        <f ca="1">(((K92+I110)*COS(RADIANS(B53)))+((L92+J110)*SIN(RADIANS(B53))))</f>
        <v>#NUM!</v>
      </c>
      <c r="C114" t="s">
        <v>23</v>
      </c>
      <c r="D114" s="4" t="e">
        <f ca="1">(B113*(E49-H7))</f>
        <v>#NUM!</v>
      </c>
      <c r="E114" t="s">
        <v>23</v>
      </c>
      <c r="F114" s="4" t="e">
        <f ca="1">B114+D114</f>
        <v>#NUM!</v>
      </c>
      <c r="G114" s="10" t="str">
        <f>"= Mnx,gc"</f>
        <v>= Mnx,gc</v>
      </c>
      <c r="H114" s="4" t="e">
        <f ca="1">F114/12</f>
        <v>#NUM!</v>
      </c>
      <c r="I114" t="s">
        <v>72</v>
      </c>
      <c r="J114" s="31" t="e">
        <f ca="1">H114*J113</f>
        <v>#NUM!</v>
      </c>
      <c r="K114" t="s">
        <v>72</v>
      </c>
      <c r="P114" t="s">
        <v>87</v>
      </c>
    </row>
    <row r="115" spans="1:26" x14ac:dyDescent="0.25">
      <c r="A115" s="2" t="s">
        <v>70</v>
      </c>
      <c r="B115" s="4" t="e">
        <f ca="1">(-1*(K92+I110)*SIN(RADIANS(B53)))+((L92+J110)*COS(RADIANS(B53)))</f>
        <v>#NUM!</v>
      </c>
      <c r="C115" t="s">
        <v>23</v>
      </c>
      <c r="D115" s="1" t="e">
        <f ca="1">-1*B113*(D49-G7)</f>
        <v>#NUM!</v>
      </c>
      <c r="E115" t="s">
        <v>23</v>
      </c>
      <c r="F115" s="4" t="e">
        <f ca="1">B115+D115</f>
        <v>#NUM!</v>
      </c>
      <c r="G115" s="10" t="str">
        <f>"= Mny,gc"</f>
        <v>= Mny,gc</v>
      </c>
      <c r="H115" s="4" t="e">
        <f ca="1">F115/12</f>
        <v>#NUM!</v>
      </c>
      <c r="I115" t="s">
        <v>72</v>
      </c>
      <c r="J115" s="31" t="e">
        <f ca="1">H115*J113</f>
        <v>#NUM!</v>
      </c>
      <c r="K115" t="s">
        <v>72</v>
      </c>
      <c r="M115" t="s">
        <v>79</v>
      </c>
      <c r="N115" s="9" t="e">
        <f ca="1">DEGREES(ATAN2(J114,J115))</f>
        <v>#NUM!</v>
      </c>
      <c r="P115" t="e">
        <f ca="1">(-1*0.003*MAX(E98:E109))/(0.002-0.003)</f>
        <v>#NUM!</v>
      </c>
    </row>
    <row r="116" spans="1:26" x14ac:dyDescent="0.25">
      <c r="J116" s="32" t="e">
        <f ca="1">B113*J113</f>
        <v>#NUM!</v>
      </c>
      <c r="K116" t="s">
        <v>20</v>
      </c>
    </row>
    <row r="117" spans="1:26" x14ac:dyDescent="0.25">
      <c r="A117" s="23" t="s">
        <v>74</v>
      </c>
      <c r="B117" t="s">
        <v>93</v>
      </c>
      <c r="I117" t="s">
        <v>83</v>
      </c>
      <c r="J117" s="1">
        <f ca="1">0.65*((0.85*B2*B5*B6)+((B10-0.85*B2)*SUM(C13:C24)))*0.8</f>
        <v>1510.0865000000001</v>
      </c>
      <c r="K117" t="s">
        <v>20</v>
      </c>
      <c r="M117" t="e">
        <f ca="1">SQRT((J114*J114)+(J115*J115))</f>
        <v>#NUM!</v>
      </c>
    </row>
    <row r="118" spans="1:26" x14ac:dyDescent="0.25">
      <c r="A118" s="2" t="s">
        <v>75</v>
      </c>
      <c r="B118" s="36">
        <v>-337.9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</row>
    <row r="119" spans="1:26" x14ac:dyDescent="0.25">
      <c r="A119" s="2" t="s">
        <v>76</v>
      </c>
      <c r="B119" s="36">
        <v>1</v>
      </c>
      <c r="C119" t="s">
        <v>72</v>
      </c>
      <c r="G119" s="2" t="s">
        <v>80</v>
      </c>
      <c r="H119" s="35">
        <v>100</v>
      </c>
    </row>
    <row r="120" spans="1:26" x14ac:dyDescent="0.25">
      <c r="A120" s="2" t="s">
        <v>77</v>
      </c>
      <c r="B120" s="36">
        <v>1</v>
      </c>
      <c r="C120" t="s">
        <v>72</v>
      </c>
      <c r="D120">
        <f>B118</f>
        <v>-337.9</v>
      </c>
      <c r="E120">
        <f>SQRT((B119*B119)+(B120*B120))</f>
        <v>1.4142135623730951</v>
      </c>
      <c r="G120" s="2" t="s">
        <v>81</v>
      </c>
      <c r="H120" s="1">
        <v>101</v>
      </c>
    </row>
    <row r="121" spans="1:26" x14ac:dyDescent="0.25">
      <c r="A121" s="2" t="s">
        <v>78</v>
      </c>
      <c r="B121" s="12">
        <f>DEGREES(ATAN2(B119,B120))</f>
        <v>45</v>
      </c>
    </row>
    <row r="122" spans="1:26" x14ac:dyDescent="0.25">
      <c r="Q122">
        <f>D120</f>
        <v>-337.9</v>
      </c>
      <c r="R122">
        <f>E120</f>
        <v>1.4142135623730951</v>
      </c>
      <c r="U122">
        <v>4</v>
      </c>
    </row>
    <row r="123" spans="1:26" x14ac:dyDescent="0.25">
      <c r="A123" s="14"/>
      <c r="B123" s="15"/>
      <c r="C123" s="15"/>
      <c r="D123" s="15"/>
      <c r="E123" s="15"/>
      <c r="F123" s="15"/>
      <c r="G123" s="15"/>
      <c r="H123" s="15"/>
      <c r="I123" s="15"/>
      <c r="Q123">
        <f>B118</f>
        <v>-337.9</v>
      </c>
      <c r="R123" t="e">
        <f ca="1">SQRT((J114*J114)+(J115*J115))</f>
        <v>#NUM!</v>
      </c>
    </row>
    <row r="124" spans="1:26" x14ac:dyDescent="0.25">
      <c r="A124" s="16"/>
      <c r="B124" s="15"/>
      <c r="C124" s="15"/>
      <c r="D124" s="15"/>
      <c r="E124" s="15"/>
      <c r="F124" s="15"/>
      <c r="G124" s="15"/>
      <c r="H124" s="17">
        <v>0</v>
      </c>
      <c r="I124" s="34">
        <v>0</v>
      </c>
      <c r="J124" s="15"/>
      <c r="K124" s="15"/>
      <c r="L124" s="13"/>
      <c r="M124" s="15"/>
      <c r="N124" s="15"/>
    </row>
    <row r="125" spans="1:26" x14ac:dyDescent="0.25">
      <c r="A125" s="16"/>
      <c r="B125" s="22"/>
      <c r="C125" s="15"/>
      <c r="D125" s="16"/>
      <c r="E125" s="17"/>
      <c r="F125" s="17"/>
      <c r="G125" s="16"/>
      <c r="H125" s="22" t="e">
        <f ca="1">J114</f>
        <v>#NUM!</v>
      </c>
      <c r="I125" s="3" t="e">
        <f ca="1">J115</f>
        <v>#NUM!</v>
      </c>
      <c r="J125" s="16"/>
      <c r="K125" s="17"/>
      <c r="L125" s="13"/>
      <c r="M125" s="16"/>
      <c r="N125" s="17"/>
    </row>
    <row r="126" spans="1:26" x14ac:dyDescent="0.25">
      <c r="A126" s="16"/>
      <c r="B126" s="18"/>
      <c r="C126" s="17"/>
      <c r="D126" s="16"/>
      <c r="E126" s="22"/>
      <c r="F126" s="15"/>
      <c r="G126" s="16"/>
      <c r="H126" s="17"/>
      <c r="I126" s="13"/>
      <c r="J126" s="16"/>
      <c r="K126" s="17"/>
      <c r="L126" s="13"/>
      <c r="M126" s="16"/>
      <c r="N126" s="17"/>
    </row>
    <row r="127" spans="1:26" x14ac:dyDescent="0.25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50</v>
      </c>
      <c r="V127" s="43">
        <v>-110.33031644660696</v>
      </c>
      <c r="W127" s="43">
        <v>-1.9450396848696982E-7</v>
      </c>
      <c r="X127" s="43"/>
      <c r="Y127" s="43">
        <v>1658.4820692466058</v>
      </c>
      <c r="Z127" s="43">
        <v>-15.031969717557867</v>
      </c>
    </row>
    <row r="128" spans="1:26" x14ac:dyDescent="0.25">
      <c r="A128" s="16" t="s">
        <v>85</v>
      </c>
      <c r="B128" s="17" t="s">
        <v>76</v>
      </c>
      <c r="C128" s="18" t="s">
        <v>77</v>
      </c>
      <c r="D128" s="16"/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43">
        <v>-5.4700382920600532</v>
      </c>
      <c r="W128" s="43">
        <v>0.40655239845932556</v>
      </c>
      <c r="X128" s="43"/>
      <c r="Y128" s="43">
        <v>-113.19294989883899</v>
      </c>
      <c r="Z128" s="43">
        <v>-480.67211163807394</v>
      </c>
    </row>
    <row r="129" spans="1:19" x14ac:dyDescent="0.25">
      <c r="A129" s="39">
        <v>0</v>
      </c>
      <c r="B129" s="40">
        <v>-56.628616557715134</v>
      </c>
      <c r="C129" s="39">
        <v>0</v>
      </c>
      <c r="D129" s="16"/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43"/>
      <c r="Q129" s="43">
        <f ca="1">J118</f>
        <v>-342.9</v>
      </c>
      <c r="R129" s="43" t="e">
        <v>#NUM!</v>
      </c>
      <c r="S129" s="43" t="e">
        <v>#NUM!</v>
      </c>
    </row>
    <row r="130" spans="1:19" x14ac:dyDescent="0.25">
      <c r="A130" s="41">
        <v>-1</v>
      </c>
      <c r="B130" s="40">
        <v>-56.644669656410805</v>
      </c>
      <c r="C130" s="39">
        <v>2.4668931848983378</v>
      </c>
      <c r="D130" s="16"/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43">
        <v>1</v>
      </c>
      <c r="Q130">
        <v>-337.9</v>
      </c>
      <c r="R130" t="e">
        <v>#N/A</v>
      </c>
      <c r="S130" s="43">
        <v>-179.99999999999994</v>
      </c>
    </row>
    <row r="131" spans="1:19" x14ac:dyDescent="0.25">
      <c r="A131" s="41">
        <v>-2</v>
      </c>
      <c r="B131" s="40">
        <v>-56.65696562410735</v>
      </c>
      <c r="C131" s="39">
        <v>2.9649284254370145</v>
      </c>
      <c r="D131" s="15"/>
      <c r="E131" s="15"/>
      <c r="F131" s="15"/>
      <c r="G131" s="15"/>
      <c r="H131" s="15"/>
      <c r="I131" s="15"/>
      <c r="P131" s="43">
        <v>2</v>
      </c>
      <c r="Q131">
        <v>-300.94027</v>
      </c>
      <c r="R131" t="e">
        <v>#N/A</v>
      </c>
      <c r="S131" s="43">
        <v>170.07375449334583</v>
      </c>
    </row>
    <row r="132" spans="1:19" x14ac:dyDescent="0.25">
      <c r="A132" s="39">
        <v>-3</v>
      </c>
      <c r="B132" s="39">
        <v>-56.666410243589134</v>
      </c>
      <c r="C132" s="39">
        <v>3.1857007796201118</v>
      </c>
      <c r="D132" s="15"/>
      <c r="E132" s="15"/>
      <c r="F132" s="15"/>
      <c r="G132" s="15"/>
      <c r="H132" s="15"/>
      <c r="I132" s="15"/>
      <c r="P132" s="43">
        <v>3</v>
      </c>
      <c r="Q132">
        <v>-263.98054000000002</v>
      </c>
      <c r="R132">
        <v>41.424921399009548</v>
      </c>
      <c r="S132" s="43">
        <v>45.000000000000014</v>
      </c>
    </row>
    <row r="133" spans="1:19" x14ac:dyDescent="0.25">
      <c r="A133" s="39">
        <v>-4</v>
      </c>
      <c r="B133" s="39">
        <v>-56.674384574494496</v>
      </c>
      <c r="C133" s="39">
        <v>3.317427687634225</v>
      </c>
      <c r="D133" s="15"/>
      <c r="E133" s="15"/>
      <c r="F133" s="15"/>
      <c r="G133" s="15"/>
      <c r="H133" s="15"/>
      <c r="I133" s="15"/>
      <c r="P133" s="43">
        <v>4</v>
      </c>
      <c r="Q133">
        <v>-227.02081000000001</v>
      </c>
      <c r="R133">
        <v>85.208515616981259</v>
      </c>
      <c r="S133" s="43">
        <v>44.999999999999993</v>
      </c>
    </row>
    <row r="134" spans="1:19" x14ac:dyDescent="0.25">
      <c r="A134" s="41">
        <v>-5</v>
      </c>
      <c r="B134" s="40">
        <v>-56.681424405374791</v>
      </c>
      <c r="C134" s="42">
        <v>3.4074322396468162</v>
      </c>
      <c r="D134" s="18"/>
      <c r="E134" s="15"/>
      <c r="F134" s="15"/>
      <c r="G134" s="15"/>
      <c r="H134" s="15"/>
      <c r="I134" s="15"/>
      <c r="P134" s="43">
        <v>5</v>
      </c>
      <c r="Q134">
        <v>-190.06108</v>
      </c>
      <c r="R134">
        <v>126.20481586983649</v>
      </c>
      <c r="S134" s="43">
        <v>45</v>
      </c>
    </row>
    <row r="135" spans="1:19" x14ac:dyDescent="0.25">
      <c r="A135" s="41">
        <v>-6</v>
      </c>
      <c r="B135" s="40">
        <v>-56.687805114872383</v>
      </c>
      <c r="C135" s="42">
        <v>3.4739722685678474</v>
      </c>
      <c r="D135" s="18"/>
      <c r="E135" s="15"/>
      <c r="F135" s="15"/>
      <c r="G135" s="15"/>
      <c r="H135" s="15"/>
      <c r="I135" s="15"/>
      <c r="P135" s="43">
        <v>6</v>
      </c>
      <c r="Q135">
        <v>-153.10135</v>
      </c>
      <c r="R135">
        <v>162.81995877801722</v>
      </c>
      <c r="S135" s="43">
        <v>45</v>
      </c>
    </row>
    <row r="136" spans="1:19" x14ac:dyDescent="0.25">
      <c r="A136" s="39">
        <v>-7</v>
      </c>
      <c r="B136" s="39">
        <v>-56.693690746309642</v>
      </c>
      <c r="C136" s="39">
        <v>3.5257819675758744</v>
      </c>
      <c r="D136" s="15"/>
      <c r="E136" s="15"/>
      <c r="F136" s="15"/>
      <c r="G136" s="15"/>
      <c r="H136" s="15"/>
      <c r="I136" s="15"/>
      <c r="P136" s="43">
        <v>7</v>
      </c>
      <c r="Q136">
        <v>-116.14161999999999</v>
      </c>
      <c r="R136">
        <v>196.60542229482911</v>
      </c>
      <c r="S136" s="43">
        <v>44.999999999999993</v>
      </c>
    </row>
    <row r="137" spans="1:19" x14ac:dyDescent="0.25">
      <c r="A137" s="39">
        <v>-8</v>
      </c>
      <c r="B137" s="40">
        <v>-56.699188553632958</v>
      </c>
      <c r="C137" s="39">
        <v>3.5676339814968379</v>
      </c>
      <c r="D137" s="15"/>
      <c r="E137" s="15"/>
      <c r="F137" s="15"/>
      <c r="G137" s="15"/>
      <c r="H137" s="15"/>
      <c r="I137" s="15"/>
      <c r="P137" s="43">
        <v>8</v>
      </c>
      <c r="Q137">
        <v>-79.181889999999981</v>
      </c>
      <c r="R137">
        <v>226.26043335099058</v>
      </c>
      <c r="S137" s="43">
        <v>44.999999999999993</v>
      </c>
    </row>
    <row r="138" spans="1:19" x14ac:dyDescent="0.25">
      <c r="A138" s="41">
        <v>-9</v>
      </c>
      <c r="B138" s="40">
        <v>-56.704373350795493</v>
      </c>
      <c r="C138" s="39">
        <v>3.6023855375752918</v>
      </c>
      <c r="D138" s="15"/>
      <c r="E138" s="15"/>
      <c r="F138" s="15"/>
      <c r="G138" s="15"/>
      <c r="H138" s="15"/>
      <c r="I138" s="15"/>
      <c r="P138" s="43">
        <v>9</v>
      </c>
      <c r="Q138">
        <v>-42.222159999999981</v>
      </c>
      <c r="R138">
        <v>253.83081280326738</v>
      </c>
      <c r="S138" s="43">
        <v>45.000000000000007</v>
      </c>
    </row>
    <row r="139" spans="1:19" x14ac:dyDescent="0.25">
      <c r="A139" s="41">
        <v>-10</v>
      </c>
      <c r="B139" s="39">
        <v>-56.709299886343608</v>
      </c>
      <c r="C139" s="39">
        <v>3.6318654356016475</v>
      </c>
      <c r="D139" s="15"/>
      <c r="E139" s="15"/>
      <c r="F139" s="15"/>
      <c r="G139" s="15"/>
      <c r="H139" s="15"/>
      <c r="I139" s="15"/>
      <c r="P139" s="43">
        <v>10</v>
      </c>
      <c r="Q139">
        <v>-5.2624299999999806</v>
      </c>
      <c r="R139">
        <v>277.1109215709443</v>
      </c>
      <c r="S139" s="43">
        <v>44.999999999999972</v>
      </c>
    </row>
    <row r="140" spans="1:19" x14ac:dyDescent="0.25">
      <c r="A140" s="39">
        <v>-11</v>
      </c>
      <c r="B140" s="39">
        <v>-56.714009739654507</v>
      </c>
      <c r="C140" s="39">
        <v>3.6573057134024327</v>
      </c>
      <c r="D140" s="15"/>
      <c r="E140" s="15"/>
      <c r="F140" s="15"/>
      <c r="G140" s="15"/>
      <c r="H140" s="15"/>
      <c r="I140" s="15"/>
      <c r="P140" s="43">
        <v>11</v>
      </c>
      <c r="Q140">
        <v>31.69730000000002</v>
      </c>
      <c r="R140">
        <v>298.8244144634773</v>
      </c>
      <c r="S140" s="43">
        <v>45.000000000000007</v>
      </c>
    </row>
    <row r="141" spans="1:19" x14ac:dyDescent="0.25">
      <c r="A141" s="39">
        <v>-12</v>
      </c>
      <c r="B141" s="39">
        <v>-56.718535442080572</v>
      </c>
      <c r="C141" s="39">
        <v>3.6795707086989862</v>
      </c>
      <c r="D141" s="15"/>
      <c r="E141" s="15"/>
      <c r="F141" s="15"/>
      <c r="G141" s="15"/>
      <c r="H141" s="15"/>
      <c r="I141" s="15"/>
      <c r="P141" s="43">
        <v>12</v>
      </c>
      <c r="Q141">
        <v>68.65703000000002</v>
      </c>
      <c r="R141">
        <v>320.48151935368026</v>
      </c>
      <c r="S141" s="43">
        <v>45.000000000000014</v>
      </c>
    </row>
    <row r="142" spans="1:19" x14ac:dyDescent="0.25">
      <c r="A142" s="41">
        <v>-13</v>
      </c>
      <c r="B142" s="39">
        <v>-56.722903078095094</v>
      </c>
      <c r="C142" s="39">
        <v>3.699287086968523</v>
      </c>
      <c r="D142" s="15"/>
      <c r="E142" s="15"/>
      <c r="F142" s="15"/>
      <c r="G142" s="15"/>
      <c r="H142" s="15"/>
      <c r="I142" s="15"/>
      <c r="P142" s="43">
        <v>13</v>
      </c>
      <c r="Q142">
        <v>105.61676000000003</v>
      </c>
      <c r="R142">
        <v>341.99391713532236</v>
      </c>
      <c r="S142" s="43">
        <v>45.000000000000007</v>
      </c>
    </row>
    <row r="143" spans="1:19" x14ac:dyDescent="0.25">
      <c r="A143" s="41">
        <v>-14</v>
      </c>
      <c r="B143" s="39">
        <v>-56.727133999553828</v>
      </c>
      <c r="C143" s="39">
        <v>3.7169217590073313</v>
      </c>
      <c r="D143" s="15"/>
      <c r="E143" s="15"/>
      <c r="F143" s="15"/>
      <c r="G143" s="15"/>
      <c r="H143" s="15"/>
      <c r="I143" s="15"/>
      <c r="P143" s="43">
        <v>14</v>
      </c>
      <c r="Q143">
        <v>142.57649000000004</v>
      </c>
      <c r="R143">
        <v>363.27335716307994</v>
      </c>
      <c r="S143" s="43">
        <v>44.999999999999993</v>
      </c>
    </row>
    <row r="144" spans="1:19" x14ac:dyDescent="0.25">
      <c r="A144" s="39">
        <v>-15</v>
      </c>
      <c r="B144" s="39">
        <v>-56.731245997929705</v>
      </c>
      <c r="C144" s="39">
        <v>3.7328306962561295</v>
      </c>
      <c r="D144" s="19"/>
      <c r="E144" s="15"/>
      <c r="F144" s="15"/>
      <c r="G144" s="15"/>
      <c r="H144" s="16"/>
      <c r="I144" s="20"/>
      <c r="P144" s="43">
        <v>15</v>
      </c>
      <c r="Q144">
        <v>179.53622000000004</v>
      </c>
      <c r="R144">
        <v>375.47560785079168</v>
      </c>
      <c r="S144" s="43">
        <v>45.000000000000007</v>
      </c>
    </row>
    <row r="145" spans="1:19" x14ac:dyDescent="0.25">
      <c r="A145" s="39">
        <v>-16</v>
      </c>
      <c r="B145" s="39">
        <v>-56.735254130552335</v>
      </c>
      <c r="C145" s="39">
        <v>3.7472906747047268</v>
      </c>
      <c r="D145" s="21"/>
      <c r="E145" s="15"/>
      <c r="F145" s="15"/>
      <c r="G145" s="15"/>
      <c r="H145" s="16"/>
      <c r="I145" s="20"/>
      <c r="P145" s="43">
        <v>16</v>
      </c>
      <c r="Q145">
        <v>216.49595000000005</v>
      </c>
      <c r="R145">
        <v>385.66862206204803</v>
      </c>
      <c r="S145" s="43">
        <v>44.999999999999993</v>
      </c>
    </row>
    <row r="146" spans="1:19" x14ac:dyDescent="0.25">
      <c r="A146" s="41">
        <v>-17</v>
      </c>
      <c r="B146" s="39">
        <v>-56.739171319542073</v>
      </c>
      <c r="C146" s="39">
        <v>3.760520581239696</v>
      </c>
      <c r="D146" s="15"/>
      <c r="E146" s="15"/>
      <c r="F146" s="15"/>
      <c r="G146" s="15"/>
      <c r="H146" s="15"/>
      <c r="I146" s="15"/>
      <c r="P146" s="43">
        <v>17</v>
      </c>
      <c r="Q146">
        <v>253.45568000000006</v>
      </c>
      <c r="R146">
        <v>394.06073220640292</v>
      </c>
      <c r="S146" s="43">
        <v>44.999999999999986</v>
      </c>
    </row>
    <row r="147" spans="1:19" x14ac:dyDescent="0.25">
      <c r="A147" s="41">
        <v>-18</v>
      </c>
      <c r="B147" s="43">
        <v>-56.743008793106604</v>
      </c>
      <c r="C147" s="43">
        <v>3.7726961114249176</v>
      </c>
      <c r="P147" s="43">
        <v>18</v>
      </c>
      <c r="Q147">
        <v>290.41541000000007</v>
      </c>
      <c r="R147">
        <v>402.12924420271617</v>
      </c>
      <c r="S147" s="43">
        <v>45.000000000000007</v>
      </c>
    </row>
    <row r="148" spans="1:19" x14ac:dyDescent="0.25">
      <c r="A148" s="39">
        <v>-19</v>
      </c>
      <c r="B148" s="43">
        <v>-56.746776421522874</v>
      </c>
      <c r="C148" s="43">
        <v>3.7839601497578164</v>
      </c>
      <c r="P148" s="43">
        <v>19</v>
      </c>
      <c r="Q148">
        <v>327.37514000000004</v>
      </c>
      <c r="R148">
        <v>409.78952699997387</v>
      </c>
      <c r="S148" s="43">
        <v>44.999999999999993</v>
      </c>
    </row>
    <row r="149" spans="1:19" x14ac:dyDescent="0.25">
      <c r="A149" s="39">
        <v>-20</v>
      </c>
      <c r="B149" s="43">
        <v>-56.750482972962963</v>
      </c>
      <c r="C149" s="43">
        <v>3.7944302577762254</v>
      </c>
      <c r="P149" s="43">
        <v>20</v>
      </c>
      <c r="Q149">
        <v>364.33487000000002</v>
      </c>
      <c r="R149">
        <v>416.95090876578485</v>
      </c>
      <c r="S149" s="43">
        <v>44.999999999999993</v>
      </c>
    </row>
    <row r="150" spans="1:19" x14ac:dyDescent="0.25">
      <c r="A150" s="41">
        <v>-21</v>
      </c>
      <c r="B150" s="43">
        <v>-56.75413631457446</v>
      </c>
      <c r="C150" s="43">
        <v>3.8042041749031541</v>
      </c>
      <c r="P150" s="43">
        <v>21</v>
      </c>
      <c r="Q150">
        <v>401.2946</v>
      </c>
      <c r="R150">
        <v>423.51527715925556</v>
      </c>
      <c r="S150" s="43">
        <v>44.999999999999993</v>
      </c>
    </row>
    <row r="151" spans="1:19" x14ac:dyDescent="0.25">
      <c r="A151" s="41">
        <v>-22</v>
      </c>
      <c r="B151" s="43">
        <v>-56.757743572516141</v>
      </c>
      <c r="C151" s="43">
        <v>3.8133639267605948</v>
      </c>
      <c r="P151" s="43">
        <v>22</v>
      </c>
      <c r="Q151">
        <v>438.25432999999998</v>
      </c>
      <c r="R151">
        <v>429.3763493848121</v>
      </c>
      <c r="S151" s="43">
        <v>44.999999999999993</v>
      </c>
    </row>
    <row r="152" spans="1:19" x14ac:dyDescent="0.25">
      <c r="A152" s="39">
        <v>-23</v>
      </c>
      <c r="B152" s="43">
        <v>-56.761311259349981</v>
      </c>
      <c r="C152" s="43">
        <v>3.8219789402637208</v>
      </c>
      <c r="P152" s="43">
        <v>23</v>
      </c>
      <c r="Q152">
        <v>475.21405999999996</v>
      </c>
      <c r="R152">
        <v>434.42023369487191</v>
      </c>
      <c r="S152" s="43">
        <v>45.000000000000007</v>
      </c>
    </row>
    <row r="153" spans="1:19" x14ac:dyDescent="0.25">
      <c r="A153" s="39">
        <v>-24</v>
      </c>
      <c r="B153" s="43">
        <v>-56.764845378292691</v>
      </c>
      <c r="C153" s="43">
        <v>3.830108436589418</v>
      </c>
      <c r="P153" s="43">
        <v>24</v>
      </c>
      <c r="Q153">
        <v>512.17378999999994</v>
      </c>
      <c r="R153">
        <v>437.31090667457369</v>
      </c>
      <c r="S153" s="43">
        <v>44.999999999999964</v>
      </c>
    </row>
    <row r="154" spans="1:19" x14ac:dyDescent="0.25">
      <c r="A154" s="41">
        <v>-25</v>
      </c>
      <c r="B154" s="43">
        <v>-56.768351510306523</v>
      </c>
      <c r="C154" s="43">
        <v>3.8378032914217943</v>
      </c>
      <c r="P154" s="43">
        <v>25</v>
      </c>
      <c r="Q154">
        <v>549.13351999999998</v>
      </c>
      <c r="R154">
        <v>440.28395000551211</v>
      </c>
      <c r="S154" s="43">
        <v>45</v>
      </c>
    </row>
    <row r="155" spans="1:19" x14ac:dyDescent="0.25">
      <c r="A155" s="41">
        <v>-26</v>
      </c>
      <c r="B155" s="43">
        <v>-56.771834885524882</v>
      </c>
      <c r="C155" s="43">
        <v>3.8451074984610121</v>
      </c>
      <c r="P155" s="43">
        <v>26</v>
      </c>
      <c r="Q155">
        <v>586.09325000000001</v>
      </c>
      <c r="R155">
        <v>445.07099003687603</v>
      </c>
      <c r="S155" s="43">
        <v>45</v>
      </c>
    </row>
    <row r="156" spans="1:19" x14ac:dyDescent="0.25">
      <c r="A156" s="39">
        <v>-27</v>
      </c>
      <c r="B156" s="43">
        <v>-56.775300443711025</v>
      </c>
      <c r="C156" s="43">
        <v>3.8520593319342851</v>
      </c>
      <c r="P156" s="43">
        <v>27</v>
      </c>
      <c r="Q156">
        <v>623.05298000000005</v>
      </c>
      <c r="R156">
        <v>450.25989341943313</v>
      </c>
      <c r="S156" s="43">
        <v>45.000000000000007</v>
      </c>
    </row>
    <row r="157" spans="1:19" x14ac:dyDescent="0.25">
      <c r="A157" s="39">
        <v>-28</v>
      </c>
      <c r="B157" s="43">
        <v>-56.778752887219049</v>
      </c>
      <c r="C157" s="43">
        <v>3.8586922779763326</v>
      </c>
      <c r="P157" s="43">
        <v>28</v>
      </c>
      <c r="Q157">
        <v>660.01271000000008</v>
      </c>
      <c r="R157">
        <v>454.37864920171728</v>
      </c>
      <c r="S157" s="43">
        <v>45.000000000000007</v>
      </c>
    </row>
    <row r="158" spans="1:19" x14ac:dyDescent="0.25">
      <c r="A158" s="41">
        <v>-29</v>
      </c>
      <c r="B158" s="43">
        <v>-56.782196726074382</v>
      </c>
      <c r="C158" s="43">
        <v>3.8650357883690489</v>
      </c>
      <c r="P158" s="43">
        <v>29</v>
      </c>
      <c r="Q158">
        <v>696.97244000000012</v>
      </c>
      <c r="R158">
        <v>457.77706563375835</v>
      </c>
      <c r="S158" s="43">
        <v>44.999999999999993</v>
      </c>
    </row>
    <row r="159" spans="1:19" x14ac:dyDescent="0.25">
      <c r="A159" s="41">
        <v>-30</v>
      </c>
      <c r="B159" s="43">
        <v>-56.785636317552807</v>
      </c>
      <c r="C159" s="43">
        <v>3.8711158950617106</v>
      </c>
      <c r="P159" s="43">
        <v>30</v>
      </c>
      <c r="Q159">
        <v>733.93217000000016</v>
      </c>
      <c r="R159">
        <v>460.47503467690149</v>
      </c>
      <c r="S159" s="43">
        <v>45</v>
      </c>
    </row>
    <row r="160" spans="1:19" x14ac:dyDescent="0.25">
      <c r="A160" s="39">
        <v>-31</v>
      </c>
      <c r="B160" s="43">
        <v>-56.789075902034888</v>
      </c>
      <c r="C160" s="43">
        <v>3.8769557145549971</v>
      </c>
      <c r="P160" s="43">
        <v>31</v>
      </c>
      <c r="Q160">
        <v>770.89190000000019</v>
      </c>
      <c r="R160">
        <v>462.4315383893225</v>
      </c>
      <c r="S160" s="43">
        <v>44.999999999999993</v>
      </c>
    </row>
    <row r="161" spans="1:19" x14ac:dyDescent="0.25">
      <c r="A161" s="39">
        <v>-32</v>
      </c>
      <c r="B161" s="43">
        <v>-56.792519634915301</v>
      </c>
      <c r="C161" s="43">
        <v>3.882575865370812</v>
      </c>
      <c r="P161" s="43">
        <v>32</v>
      </c>
      <c r="Q161">
        <v>807.85163000000023</v>
      </c>
      <c r="R161">
        <v>463.60916577071185</v>
      </c>
      <c r="S161" s="43">
        <v>44.999999999999972</v>
      </c>
    </row>
    <row r="162" spans="1:19" x14ac:dyDescent="0.25">
      <c r="A162" s="41">
        <v>-33</v>
      </c>
      <c r="B162" s="43">
        <v>-56.795971616302431</v>
      </c>
      <c r="C162" s="43">
        <v>3.8879948153628177</v>
      </c>
      <c r="P162" s="43">
        <v>33</v>
      </c>
      <c r="Q162">
        <v>844.81136000000026</v>
      </c>
      <c r="R162">
        <v>463.67990297566888</v>
      </c>
      <c r="S162" s="43">
        <v>45.000000000000014</v>
      </c>
    </row>
    <row r="163" spans="1:19" x14ac:dyDescent="0.25">
      <c r="A163" s="41">
        <v>-34</v>
      </c>
      <c r="B163" s="43">
        <v>-56.79943591849878</v>
      </c>
      <c r="C163" s="43">
        <v>3.8932291727683377</v>
      </c>
      <c r="P163" s="43">
        <v>34</v>
      </c>
      <c r="Q163">
        <v>881.7710900000003</v>
      </c>
      <c r="R163">
        <v>463.11044304704416</v>
      </c>
      <c r="S163" s="43">
        <v>45</v>
      </c>
    </row>
    <row r="164" spans="1:19" x14ac:dyDescent="0.25">
      <c r="A164" s="39">
        <v>-35</v>
      </c>
      <c r="B164" s="43">
        <v>-56.802916612369941</v>
      </c>
      <c r="C164" s="43">
        <v>3.8982939312397553</v>
      </c>
      <c r="P164" s="43">
        <v>35</v>
      </c>
      <c r="Q164">
        <v>918.73082000000034</v>
      </c>
      <c r="R164">
        <v>461.66300422285019</v>
      </c>
      <c r="S164" s="43">
        <v>45.000000000000014</v>
      </c>
    </row>
    <row r="165" spans="1:19" x14ac:dyDescent="0.25">
      <c r="A165" s="39">
        <v>-36</v>
      </c>
      <c r="B165" s="43">
        <v>-56.806417792818444</v>
      </c>
      <c r="C165" s="43">
        <v>3.9032026773826374</v>
      </c>
      <c r="P165" s="43">
        <v>36</v>
      </c>
      <c r="Q165">
        <v>955.69055000000037</v>
      </c>
      <c r="R165">
        <v>459.30967434948747</v>
      </c>
      <c r="S165" s="43">
        <v>45</v>
      </c>
    </row>
    <row r="166" spans="1:19" x14ac:dyDescent="0.25">
      <c r="A166" s="41">
        <v>-37</v>
      </c>
      <c r="B166" s="43">
        <v>-56.809943602826891</v>
      </c>
      <c r="C166" s="43">
        <v>3.907967768075753</v>
      </c>
      <c r="P166" s="43">
        <v>37</v>
      </c>
      <c r="Q166">
        <v>992.65028000000041</v>
      </c>
      <c r="R166">
        <v>456.02378157203032</v>
      </c>
      <c r="S166" s="43">
        <v>44.999999999999986</v>
      </c>
    </row>
    <row r="167" spans="1:19" x14ac:dyDescent="0.25">
      <c r="A167" s="41">
        <v>-38</v>
      </c>
      <c r="B167" s="43">
        <v>-56.813498258707106</v>
      </c>
      <c r="C167" s="43">
        <v>3.9126004814980808</v>
      </c>
      <c r="P167" s="43">
        <v>38</v>
      </c>
      <c r="Q167">
        <v>1029.6100100000003</v>
      </c>
      <c r="R167">
        <v>451.66284563157592</v>
      </c>
      <c r="S167" s="43">
        <v>44.999999999999993</v>
      </c>
    </row>
    <row r="168" spans="1:19" x14ac:dyDescent="0.25">
      <c r="A168" s="39">
        <v>-39</v>
      </c>
      <c r="B168" s="43">
        <v>-56.817086074781223</v>
      </c>
      <c r="C168" s="43">
        <v>3.917111147529202</v>
      </c>
      <c r="P168" s="43">
        <v>39</v>
      </c>
      <c r="Q168">
        <v>1066.5697400000004</v>
      </c>
      <c r="R168">
        <v>446.35577927785079</v>
      </c>
      <c r="S168" s="43">
        <v>44.999999999999986</v>
      </c>
    </row>
    <row r="169" spans="1:19" x14ac:dyDescent="0.25">
      <c r="A169" s="39">
        <v>-40</v>
      </c>
      <c r="B169" s="43">
        <v>-56.820711489586834</v>
      </c>
      <c r="C169" s="43">
        <v>3.921509259930049</v>
      </c>
      <c r="P169" s="43">
        <v>40</v>
      </c>
      <c r="Q169">
        <v>1103.5294700000004</v>
      </c>
      <c r="R169">
        <v>440.03944247429183</v>
      </c>
      <c r="S169" s="43">
        <v>45</v>
      </c>
    </row>
    <row r="170" spans="1:19" x14ac:dyDescent="0.25">
      <c r="A170" s="41">
        <v>-41</v>
      </c>
      <c r="B170" s="43">
        <v>-56.824379091316096</v>
      </c>
      <c r="C170" s="43">
        <v>3.9258035748598443</v>
      </c>
      <c r="P170" s="43">
        <v>41</v>
      </c>
      <c r="Q170">
        <v>1140.4892000000004</v>
      </c>
      <c r="R170">
        <v>432.68827484402158</v>
      </c>
      <c r="S170" s="43">
        <v>44.999999999999986</v>
      </c>
    </row>
    <row r="171" spans="1:19" x14ac:dyDescent="0.25">
      <c r="A171" s="41">
        <v>-42</v>
      </c>
      <c r="B171" s="43">
        <v>-56.828093647072819</v>
      </c>
      <c r="C171" s="43">
        <v>3.9300021954005233</v>
      </c>
      <c r="P171" s="43">
        <v>42</v>
      </c>
      <c r="Q171">
        <v>1177.4489300000005</v>
      </c>
      <c r="R171">
        <v>424.27600788824003</v>
      </c>
      <c r="S171" s="43">
        <v>44.999999999999972</v>
      </c>
    </row>
    <row r="172" spans="1:19" x14ac:dyDescent="0.25">
      <c r="A172" s="39">
        <v>-43</v>
      </c>
      <c r="B172" s="43">
        <v>-56.83186013159267</v>
      </c>
      <c r="C172" s="43">
        <v>3.9341126470717143</v>
      </c>
      <c r="P172" s="43">
        <v>43</v>
      </c>
      <c r="Q172">
        <v>1214.4086600000005</v>
      </c>
      <c r="R172">
        <v>414.77533706741087</v>
      </c>
      <c r="S172" s="43">
        <v>44.999999999999993</v>
      </c>
    </row>
    <row r="173" spans="1:19" x14ac:dyDescent="0.25">
      <c r="A173" s="39">
        <v>-44</v>
      </c>
      <c r="B173" s="43">
        <v>-56.835683760210927</v>
      </c>
      <c r="C173" s="43">
        <v>3.9381419431749181</v>
      </c>
      <c r="P173" s="43">
        <v>44</v>
      </c>
      <c r="Q173">
        <v>1251.3683900000005</v>
      </c>
      <c r="R173">
        <v>404.15760116184305</v>
      </c>
      <c r="S173" s="43">
        <v>44.999999999999986</v>
      </c>
    </row>
    <row r="174" spans="1:19" x14ac:dyDescent="0.25">
      <c r="A174" s="41">
        <v>-45</v>
      </c>
      <c r="B174" s="43">
        <v>-56.839570023100563</v>
      </c>
      <c r="C174" s="43">
        <v>3.9420966435374951</v>
      </c>
      <c r="P174" s="43">
        <v>45</v>
      </c>
      <c r="Q174">
        <v>1288.3281200000006</v>
      </c>
      <c r="R174">
        <v>392.39251392530986</v>
      </c>
      <c r="S174" s="43">
        <v>44.999999999999993</v>
      </c>
    </row>
    <row r="175" spans="1:19" x14ac:dyDescent="0.25">
      <c r="A175" s="41">
        <v>-46</v>
      </c>
      <c r="B175" s="43">
        <v>-56.843524723547226</v>
      </c>
      <c r="C175" s="43">
        <v>3.9459829063719414</v>
      </c>
      <c r="P175" s="43">
        <v>46</v>
      </c>
      <c r="Q175">
        <v>1325.2878500000006</v>
      </c>
      <c r="R175">
        <v>379.44914479612999</v>
      </c>
      <c r="S175" s="43">
        <v>45</v>
      </c>
    </row>
    <row r="176" spans="1:19" x14ac:dyDescent="0.25">
      <c r="A176" s="39">
        <v>-47</v>
      </c>
      <c r="B176" s="43">
        <v>-56.847554019747648</v>
      </c>
      <c r="C176" s="43">
        <v>3.9498065349432441</v>
      </c>
      <c r="P176" s="43">
        <v>47</v>
      </c>
      <c r="Q176">
        <v>1362.2475800000007</v>
      </c>
      <c r="R176">
        <v>365.28990597673692</v>
      </c>
      <c r="S176" s="43">
        <v>45</v>
      </c>
    </row>
    <row r="177" spans="1:19" x14ac:dyDescent="0.25">
      <c r="A177" s="39">
        <v>-48</v>
      </c>
      <c r="B177" s="43">
        <v>-56.851664471286007</v>
      </c>
      <c r="C177" s="43">
        <v>3.9535730195852521</v>
      </c>
      <c r="P177" s="43">
        <v>48</v>
      </c>
      <c r="Q177">
        <v>1399.2073100000007</v>
      </c>
      <c r="R177">
        <v>349.87283306249066</v>
      </c>
      <c r="S177" s="43">
        <v>45.000000000000007</v>
      </c>
    </row>
    <row r="178" spans="1:19" x14ac:dyDescent="0.25">
      <c r="A178" s="41">
        <v>-49</v>
      </c>
      <c r="B178" s="43">
        <v>-56.855863091836085</v>
      </c>
      <c r="C178" s="43">
        <v>3.9572875753039169</v>
      </c>
      <c r="P178" s="43">
        <v>49</v>
      </c>
      <c r="Q178">
        <v>1436.1670400000007</v>
      </c>
      <c r="R178">
        <v>333.15341132069392</v>
      </c>
      <c r="S178" s="43">
        <v>44.999999999999993</v>
      </c>
    </row>
    <row r="179" spans="1:19" x14ac:dyDescent="0.25">
      <c r="A179" s="41">
        <v>-50</v>
      </c>
      <c r="B179" s="43">
        <v>-56.860157406644646</v>
      </c>
      <c r="C179" s="43">
        <v>3.9609551771573677</v>
      </c>
      <c r="P179" s="43">
        <v>50</v>
      </c>
      <c r="Q179">
        <v>1473.1267700000008</v>
      </c>
      <c r="R179">
        <v>315.08438905088093</v>
      </c>
      <c r="S179" s="43">
        <v>44.999999999999993</v>
      </c>
    </row>
    <row r="180" spans="1:19" x14ac:dyDescent="0.25">
      <c r="A180" s="39">
        <v>-51</v>
      </c>
      <c r="B180" s="43">
        <v>-56.864555519130221</v>
      </c>
      <c r="C180" s="43">
        <v>3.9645805918757957</v>
      </c>
      <c r="P180" s="43">
        <v>51</v>
      </c>
      <c r="Q180">
        <v>1510.0865000000008</v>
      </c>
      <c r="R180">
        <v>295.61562527941925</v>
      </c>
      <c r="S180" s="43">
        <v>44.999999999999993</v>
      </c>
    </row>
    <row r="181" spans="1:19" x14ac:dyDescent="0.25">
      <c r="A181" s="39">
        <v>-52</v>
      </c>
      <c r="B181" s="43">
        <v>-56.869066185070629</v>
      </c>
      <c r="C181" s="43">
        <v>3.9681684080859254</v>
      </c>
      <c r="P181" s="43">
        <v>52</v>
      </c>
      <c r="Q181">
        <v>1510.0865000000008</v>
      </c>
      <c r="R181">
        <v>0</v>
      </c>
      <c r="S181" s="43">
        <v>90</v>
      </c>
    </row>
    <row r="182" spans="1:19" x14ac:dyDescent="0.25">
      <c r="A182" s="41">
        <v>-53</v>
      </c>
      <c r="B182" s="43">
        <v>-56.873698898586653</v>
      </c>
      <c r="C182" s="43">
        <v>3.9717230638833021</v>
      </c>
      <c r="P182" s="43">
        <v>53</v>
      </c>
      <c r="S182" s="43">
        <v>90</v>
      </c>
    </row>
    <row r="183" spans="1:19" x14ac:dyDescent="0.25">
      <c r="A183" s="41">
        <v>-54</v>
      </c>
      <c r="B183" s="43">
        <v>-56.878463989299448</v>
      </c>
      <c r="C183" s="43">
        <v>3.9752488738441141</v>
      </c>
      <c r="P183" s="43">
        <v>54</v>
      </c>
      <c r="S183" s="43">
        <v>90.000000000000014</v>
      </c>
    </row>
    <row r="184" spans="1:19" x14ac:dyDescent="0.25">
      <c r="A184" s="39">
        <v>-55</v>
      </c>
      <c r="B184" s="43">
        <v>-56.883372735535275</v>
      </c>
      <c r="C184" s="43">
        <v>3.9787500541977394</v>
      </c>
      <c r="P184" s="43">
        <v>55</v>
      </c>
      <c r="S184" s="43">
        <v>90</v>
      </c>
    </row>
    <row r="185" spans="1:19" x14ac:dyDescent="0.25">
      <c r="A185" s="39">
        <v>-56</v>
      </c>
      <c r="B185" s="43">
        <v>-56.888437493898223</v>
      </c>
      <c r="C185" s="43">
        <v>3.982230748208643</v>
      </c>
      <c r="P185" s="43">
        <v>56</v>
      </c>
      <c r="S185" s="43">
        <v>90</v>
      </c>
    </row>
    <row r="186" spans="1:19" x14ac:dyDescent="0.25">
      <c r="A186" s="41">
        <v>-57</v>
      </c>
      <c r="B186" s="43">
        <v>-56.893671851280246</v>
      </c>
      <c r="C186" s="43">
        <v>3.9856950504342179</v>
      </c>
      <c r="P186" s="43">
        <v>57</v>
      </c>
      <c r="S186" s="43">
        <v>90</v>
      </c>
    </row>
    <row r="187" spans="1:19" x14ac:dyDescent="0.25">
      <c r="A187" s="41">
        <v>-58</v>
      </c>
      <c r="B187" s="43">
        <v>-56.899090801283002</v>
      </c>
      <c r="C187" s="43">
        <v>3.9891470317849258</v>
      </c>
      <c r="P187" s="43">
        <v>58</v>
      </c>
      <c r="S187" s="43">
        <v>90</v>
      </c>
    </row>
    <row r="188" spans="1:19" x14ac:dyDescent="0.25">
      <c r="A188" s="39">
        <v>-59</v>
      </c>
      <c r="B188" s="43">
        <v>-56.90471095210539</v>
      </c>
      <c r="C188" s="43">
        <v>3.9925907646452812</v>
      </c>
      <c r="P188" s="43">
        <v>59</v>
      </c>
      <c r="S188" s="43">
        <v>89.999999999999986</v>
      </c>
    </row>
    <row r="189" spans="1:19" x14ac:dyDescent="0.25">
      <c r="A189" s="39">
        <v>-60</v>
      </c>
      <c r="B189" s="43">
        <v>-56.910550771541949</v>
      </c>
      <c r="C189" s="43">
        <v>3.9960303491630529</v>
      </c>
      <c r="P189" s="43">
        <v>60</v>
      </c>
      <c r="S189" s="43">
        <v>90</v>
      </c>
    </row>
    <row r="190" spans="1:19" x14ac:dyDescent="0.25">
      <c r="A190" s="41">
        <v>-61</v>
      </c>
      <c r="B190" s="43">
        <v>-56.916630878216857</v>
      </c>
      <c r="C190" s="43">
        <v>3.9994699406790168</v>
      </c>
      <c r="P190" s="43">
        <v>61</v>
      </c>
      <c r="S190" s="43">
        <v>90</v>
      </c>
    </row>
    <row r="191" spans="1:19" x14ac:dyDescent="0.25">
      <c r="A191" s="41">
        <v>-62</v>
      </c>
      <c r="B191" s="43">
        <v>-56.922974388620631</v>
      </c>
      <c r="C191" s="43">
        <v>4.0029137795314007</v>
      </c>
      <c r="P191" s="43">
        <v>62</v>
      </c>
      <c r="S191" s="43">
        <v>90.000000000000014</v>
      </c>
    </row>
    <row r="192" spans="1:19" x14ac:dyDescent="0.25">
      <c r="A192" s="39">
        <v>-63</v>
      </c>
      <c r="B192" s="43">
        <v>-56.929607334579408</v>
      </c>
      <c r="C192" s="43">
        <v>4.0063662231166086</v>
      </c>
      <c r="P192" s="43">
        <v>63</v>
      </c>
      <c r="S192" s="43">
        <v>90</v>
      </c>
    </row>
    <row r="193" spans="1:19" x14ac:dyDescent="0.25">
      <c r="A193" s="39">
        <v>-64</v>
      </c>
      <c r="B193" s="43">
        <v>-56.936559168151149</v>
      </c>
      <c r="C193" s="43">
        <v>4.009831781211207</v>
      </c>
      <c r="P193" s="43">
        <v>64</v>
      </c>
      <c r="S193" s="43">
        <v>90</v>
      </c>
    </row>
    <row r="194" spans="1:19" x14ac:dyDescent="0.25">
      <c r="A194" s="41">
        <v>-65</v>
      </c>
      <c r="B194" s="43">
        <v>-56.943863375321918</v>
      </c>
      <c r="C194" s="43">
        <v>4.0133151562611404</v>
      </c>
      <c r="P194" s="43">
        <v>65</v>
      </c>
      <c r="S194" s="43">
        <v>89.999999999999986</v>
      </c>
    </row>
    <row r="195" spans="1:19" x14ac:dyDescent="0.25">
      <c r="A195" s="41">
        <v>-66</v>
      </c>
      <c r="B195" s="43">
        <v>-56.951558230047873</v>
      </c>
      <c r="C195" s="43">
        <v>4.0168212883826495</v>
      </c>
      <c r="P195" s="43">
        <v>66</v>
      </c>
      <c r="S195" s="43">
        <v>89.999999999999986</v>
      </c>
    </row>
    <row r="196" spans="1:19" x14ac:dyDescent="0.25">
      <c r="A196" s="39">
        <v>-67</v>
      </c>
      <c r="B196" s="43">
        <v>-56.95968772639246</v>
      </c>
      <c r="C196" s="43">
        <v>4.0203554073516532</v>
      </c>
      <c r="P196" s="43">
        <v>67</v>
      </c>
      <c r="S196" s="43">
        <v>89.999999999999986</v>
      </c>
    </row>
    <row r="197" spans="1:19" x14ac:dyDescent="0.25">
      <c r="A197" s="39">
        <v>-68</v>
      </c>
      <c r="B197" s="43">
        <v>-56.968302739997831</v>
      </c>
      <c r="C197" s="43">
        <v>4.0239230940367241</v>
      </c>
      <c r="P197" s="43">
        <v>68</v>
      </c>
      <c r="S197" s="43">
        <v>90.000000000000014</v>
      </c>
    </row>
    <row r="198" spans="1:19" x14ac:dyDescent="0.25">
      <c r="A198" s="41">
        <v>-69</v>
      </c>
      <c r="B198" s="43">
        <v>-56.977462491825719</v>
      </c>
      <c r="C198" s="43">
        <v>4.0275303520013743</v>
      </c>
      <c r="P198" s="43">
        <v>69</v>
      </c>
      <c r="S198" s="43">
        <v>90</v>
      </c>
    </row>
    <row r="199" spans="1:19" x14ac:dyDescent="0.25">
      <c r="A199" s="41">
        <v>-70</v>
      </c>
      <c r="B199" s="43">
        <v>-56.987236408845298</v>
      </c>
      <c r="C199" s="43">
        <v>4.0311836937476118</v>
      </c>
      <c r="P199" s="43">
        <v>70</v>
      </c>
      <c r="S199" s="43">
        <v>90</v>
      </c>
    </row>
    <row r="200" spans="1:19" x14ac:dyDescent="0.25">
      <c r="A200" s="39">
        <v>-71</v>
      </c>
      <c r="B200" s="43">
        <v>-56.997706516872412</v>
      </c>
      <c r="C200" s="43">
        <v>4.0348902451437105</v>
      </c>
      <c r="P200" s="43">
        <v>71</v>
      </c>
      <c r="S200" s="43">
        <v>90</v>
      </c>
    </row>
    <row r="201" spans="1:19" x14ac:dyDescent="0.25">
      <c r="A201" s="39">
        <v>-72</v>
      </c>
      <c r="B201" s="43">
        <v>-57.008970555308046</v>
      </c>
      <c r="C201" s="43">
        <v>4.0386578734937721</v>
      </c>
      <c r="P201" s="43">
        <v>72</v>
      </c>
      <c r="S201" s="43">
        <v>90.000000000000014</v>
      </c>
    </row>
    <row r="202" spans="1:19" x14ac:dyDescent="0.25">
      <c r="A202" s="41">
        <v>-73</v>
      </c>
      <c r="B202" s="43">
        <v>-57.021146085430161</v>
      </c>
      <c r="C202" s="43">
        <v>4.0424953471742624</v>
      </c>
      <c r="P202" s="43">
        <v>73</v>
      </c>
      <c r="S202" s="43">
        <v>89.999999999999986</v>
      </c>
    </row>
    <row r="203" spans="1:19" x14ac:dyDescent="0.25">
      <c r="A203" s="41">
        <v>-74</v>
      </c>
      <c r="B203" s="43">
        <v>-57.034375992034285</v>
      </c>
      <c r="C203" s="43">
        <v>4.0464125360343415</v>
      </c>
      <c r="P203" s="43">
        <v>74</v>
      </c>
      <c r="S203" s="43">
        <v>90.000000000000028</v>
      </c>
    </row>
    <row r="204" spans="1:19" x14ac:dyDescent="0.25">
      <c r="A204" s="39">
        <v>-75</v>
      </c>
      <c r="B204" s="43">
        <v>-57.048835970354084</v>
      </c>
      <c r="C204" s="43">
        <v>4.0504206687845867</v>
      </c>
      <c r="P204" s="43">
        <v>75</v>
      </c>
      <c r="S204" s="43">
        <v>90</v>
      </c>
    </row>
    <row r="205" spans="1:19" x14ac:dyDescent="0.25">
      <c r="A205" s="39">
        <v>-76</v>
      </c>
      <c r="B205" s="43">
        <v>-57.064744907671624</v>
      </c>
      <c r="C205" s="43">
        <v>4.0545326670616237</v>
      </c>
      <c r="P205" s="43">
        <v>76</v>
      </c>
      <c r="S205" s="43">
        <v>90.000000000000014</v>
      </c>
    </row>
    <row r="206" spans="1:19" x14ac:dyDescent="0.25">
      <c r="A206" s="41">
        <v>-77</v>
      </c>
      <c r="B206" s="43">
        <v>-57.082379579692002</v>
      </c>
      <c r="C206" s="43">
        <v>4.0587635885496809</v>
      </c>
      <c r="P206" s="43"/>
      <c r="S206" s="43"/>
    </row>
    <row r="207" spans="1:19" x14ac:dyDescent="0.25">
      <c r="A207" s="41">
        <v>-78</v>
      </c>
      <c r="B207" s="43">
        <v>-57.102095957906322</v>
      </c>
      <c r="C207" s="43">
        <v>4.0631312246652973</v>
      </c>
    </row>
    <row r="208" spans="1:19" x14ac:dyDescent="0.25">
      <c r="A208" s="39">
        <v>-79</v>
      </c>
      <c r="B208" s="43">
        <v>-57.12436095317824</v>
      </c>
      <c r="C208" s="43">
        <v>4.0676569271390353</v>
      </c>
    </row>
    <row r="209" spans="1:3" x14ac:dyDescent="0.25">
      <c r="A209" s="39">
        <v>-80</v>
      </c>
      <c r="B209" s="43">
        <v>-57.149801231056671</v>
      </c>
      <c r="C209" s="43">
        <v>4.0723667803231507</v>
      </c>
    </row>
    <row r="210" spans="1:3" x14ac:dyDescent="0.25">
      <c r="A210" s="41">
        <v>-81</v>
      </c>
      <c r="B210" s="43">
        <v>-57.179281129128974</v>
      </c>
      <c r="C210" s="43">
        <v>4.0772933158292259</v>
      </c>
    </row>
    <row r="211" spans="1:3" x14ac:dyDescent="0.25">
      <c r="A211" s="41">
        <v>-82</v>
      </c>
      <c r="B211" s="43">
        <v>-57.214032685192343</v>
      </c>
      <c r="C211" s="43">
        <v>4.0824781130459051</v>
      </c>
    </row>
    <row r="212" spans="1:3" x14ac:dyDescent="0.25">
      <c r="A212" s="39">
        <v>-83</v>
      </c>
      <c r="B212" s="43">
        <v>-57.255884699082365</v>
      </c>
      <c r="C212" s="43">
        <v>4.0879759203265253</v>
      </c>
    </row>
    <row r="213" spans="1:3" x14ac:dyDescent="0.25">
      <c r="A213" s="39">
        <v>-84</v>
      </c>
      <c r="B213" s="43">
        <v>-57.30769439807991</v>
      </c>
      <c r="C213" s="43">
        <v>4.0938615517372448</v>
      </c>
    </row>
    <row r="214" spans="1:3" x14ac:dyDescent="0.25">
      <c r="A214" s="41">
        <v>-85</v>
      </c>
      <c r="B214" s="43">
        <v>-57.374234426999926</v>
      </c>
      <c r="C214" s="43">
        <v>4.1002422613407843</v>
      </c>
    </row>
    <row r="215" spans="1:3" x14ac:dyDescent="0.25">
      <c r="A215" s="41">
        <v>-86</v>
      </c>
      <c r="B215" s="43">
        <v>-57.464238978889064</v>
      </c>
      <c r="C215" s="43">
        <v>4.1072820923612898</v>
      </c>
    </row>
    <row r="216" spans="1:3" x14ac:dyDescent="0.25">
      <c r="A216" s="39">
        <v>-87</v>
      </c>
      <c r="B216" s="43">
        <v>-57.595965887084965</v>
      </c>
      <c r="C216" s="43">
        <v>4.115256422978355</v>
      </c>
    </row>
    <row r="217" spans="1:3" x14ac:dyDescent="0.25">
      <c r="A217" s="39">
        <v>-88</v>
      </c>
      <c r="B217" s="43">
        <v>-57.816738241263749</v>
      </c>
      <c r="C217" s="43">
        <v>4.12470104252521</v>
      </c>
    </row>
    <row r="218" spans="1:3" x14ac:dyDescent="0.25">
      <c r="A218" s="41">
        <v>-89</v>
      </c>
      <c r="B218" s="43">
        <v>-58.31477348172821</v>
      </c>
      <c r="C218" s="43">
        <v>4.1369970102458931</v>
      </c>
    </row>
    <row r="219" spans="1:3" x14ac:dyDescent="0.25">
      <c r="A219" s="41">
        <v>-90</v>
      </c>
      <c r="B219" s="43">
        <v>-62.864999999999931</v>
      </c>
      <c r="C219" s="43">
        <v>4.1575889615561215</v>
      </c>
    </row>
    <row r="220" spans="1:3" x14ac:dyDescent="0.25">
      <c r="A220" s="39">
        <v>-91</v>
      </c>
      <c r="B220" s="43">
        <v>-67.415226518271837</v>
      </c>
      <c r="C220" s="43">
        <v>4.1369970102459206</v>
      </c>
    </row>
    <row r="221" spans="1:3" x14ac:dyDescent="0.25">
      <c r="A221" s="39">
        <v>-92</v>
      </c>
      <c r="B221" s="43">
        <v>-67.913261758736297</v>
      </c>
      <c r="C221" s="43">
        <v>4.1247010425252268</v>
      </c>
    </row>
    <row r="222" spans="1:3" x14ac:dyDescent="0.25">
      <c r="A222" s="41">
        <v>-93</v>
      </c>
      <c r="B222" s="43">
        <v>-68.134034112914989</v>
      </c>
      <c r="C222" s="43">
        <v>4.1152564229783613</v>
      </c>
    </row>
    <row r="223" spans="1:3" x14ac:dyDescent="0.25">
      <c r="A223" s="41">
        <v>-94</v>
      </c>
      <c r="B223" s="43">
        <v>-68.265761021110976</v>
      </c>
      <c r="C223" s="43">
        <v>4.1072820923613165</v>
      </c>
    </row>
    <row r="224" spans="1:3" x14ac:dyDescent="0.25">
      <c r="A224" s="39">
        <v>-95</v>
      </c>
      <c r="B224" s="43">
        <v>-68.355765573000127</v>
      </c>
      <c r="C224" s="43">
        <v>4.1002422613407727</v>
      </c>
    </row>
    <row r="225" spans="1:3" x14ac:dyDescent="0.25">
      <c r="A225" s="39">
        <v>-96</v>
      </c>
      <c r="B225" s="43">
        <v>-68.422305601920129</v>
      </c>
      <c r="C225" s="43">
        <v>4.0938615517372234</v>
      </c>
    </row>
    <row r="226" spans="1:3" x14ac:dyDescent="0.25">
      <c r="A226" s="41">
        <v>-97</v>
      </c>
      <c r="B226" s="43">
        <v>-68.474115300917646</v>
      </c>
      <c r="C226" s="43">
        <v>4.0879759203265316</v>
      </c>
    </row>
    <row r="227" spans="1:3" x14ac:dyDescent="0.25">
      <c r="A227" s="41">
        <v>-98</v>
      </c>
      <c r="B227" s="43">
        <v>-68.515967314807739</v>
      </c>
      <c r="C227" s="43">
        <v>4.0824781130459273</v>
      </c>
    </row>
    <row r="228" spans="1:3" x14ac:dyDescent="0.25">
      <c r="A228" s="39">
        <v>-99</v>
      </c>
      <c r="B228" s="43">
        <v>-68.550718870871066</v>
      </c>
      <c r="C228" s="43">
        <v>4.077293315829241</v>
      </c>
    </row>
    <row r="229" spans="1:3" x14ac:dyDescent="0.25">
      <c r="A229" s="39">
        <v>-100</v>
      </c>
      <c r="B229" s="43">
        <v>-68.580198768943347</v>
      </c>
      <c r="C229" s="43">
        <v>4.0723667803231534</v>
      </c>
    </row>
    <row r="230" spans="1:3" x14ac:dyDescent="0.25">
      <c r="A230" s="41">
        <v>-101</v>
      </c>
      <c r="B230" s="43">
        <v>-68.605639046821764</v>
      </c>
      <c r="C230" s="43">
        <v>4.0676569271390539</v>
      </c>
    </row>
    <row r="231" spans="1:3" x14ac:dyDescent="0.25">
      <c r="A231" s="41">
        <v>-102</v>
      </c>
      <c r="B231" s="43">
        <v>-68.627904042093661</v>
      </c>
      <c r="C231" s="43">
        <v>4.0631312246653239</v>
      </c>
    </row>
    <row r="232" spans="1:3" x14ac:dyDescent="0.25">
      <c r="A232" s="39">
        <v>-103</v>
      </c>
      <c r="B232" s="43">
        <v>-68.647620420308044</v>
      </c>
      <c r="C232" s="43">
        <v>4.0587635885496658</v>
      </c>
    </row>
    <row r="233" spans="1:3" x14ac:dyDescent="0.25">
      <c r="A233" s="39">
        <v>-104</v>
      </c>
      <c r="B233" s="43">
        <v>-68.665255092328366</v>
      </c>
      <c r="C233" s="43">
        <v>4.05453266706163</v>
      </c>
    </row>
    <row r="234" spans="1:3" x14ac:dyDescent="0.25">
      <c r="A234" s="41">
        <v>-105</v>
      </c>
      <c r="B234" s="43">
        <v>-68.681164029645899</v>
      </c>
      <c r="C234" s="43">
        <v>4.0504206687846027</v>
      </c>
    </row>
    <row r="235" spans="1:3" x14ac:dyDescent="0.25">
      <c r="A235" s="41">
        <v>-106</v>
      </c>
      <c r="B235" s="43">
        <v>-68.695624007965748</v>
      </c>
      <c r="C235" s="43">
        <v>4.0464125360343139</v>
      </c>
    </row>
    <row r="236" spans="1:3" x14ac:dyDescent="0.25">
      <c r="A236" s="39">
        <v>-107</v>
      </c>
      <c r="B236" s="43">
        <v>-68.708853914569843</v>
      </c>
      <c r="C236" s="43">
        <v>4.0424953471742571</v>
      </c>
    </row>
    <row r="237" spans="1:3" x14ac:dyDescent="0.25">
      <c r="A237" s="39">
        <v>-108</v>
      </c>
      <c r="B237" s="43">
        <v>-68.721029444691993</v>
      </c>
      <c r="C237" s="43">
        <v>4.0386578734937872</v>
      </c>
    </row>
    <row r="238" spans="1:3" x14ac:dyDescent="0.25">
      <c r="A238" s="41">
        <v>-109</v>
      </c>
      <c r="B238" s="43">
        <v>-68.732293483127592</v>
      </c>
      <c r="C238" s="43">
        <v>4.0348902451437256</v>
      </c>
    </row>
    <row r="239" spans="1:3" x14ac:dyDescent="0.25">
      <c r="A239" s="41">
        <v>-110</v>
      </c>
      <c r="B239" s="43">
        <v>-68.742763591154713</v>
      </c>
      <c r="C239" s="43">
        <v>4.0311836937476153</v>
      </c>
    </row>
    <row r="240" spans="1:3" x14ac:dyDescent="0.25">
      <c r="A240" s="39">
        <v>-111</v>
      </c>
      <c r="B240" s="43">
        <v>-68.752537508174328</v>
      </c>
      <c r="C240" s="43">
        <v>4.0275303520013681</v>
      </c>
    </row>
    <row r="241" spans="1:3" x14ac:dyDescent="0.25">
      <c r="A241" s="39">
        <v>-112</v>
      </c>
      <c r="B241" s="43">
        <v>-68.761697260002165</v>
      </c>
      <c r="C241" s="43">
        <v>4.0239230940367445</v>
      </c>
    </row>
    <row r="242" spans="1:3" x14ac:dyDescent="0.25">
      <c r="A242" s="41">
        <v>-113</v>
      </c>
      <c r="B242" s="43">
        <v>-68.770312273607516</v>
      </c>
      <c r="C242" s="43">
        <v>4.0203554073516745</v>
      </c>
    </row>
    <row r="243" spans="1:3" x14ac:dyDescent="0.25">
      <c r="A243" s="41">
        <v>-114</v>
      </c>
      <c r="B243" s="43">
        <v>-68.778441769952124</v>
      </c>
      <c r="C243" s="43">
        <v>4.0168212883826344</v>
      </c>
    </row>
    <row r="244" spans="1:3" x14ac:dyDescent="0.25">
      <c r="A244" s="39">
        <v>-115</v>
      </c>
      <c r="B244" s="43">
        <v>-68.786136624678051</v>
      </c>
      <c r="C244" s="43">
        <v>4.0133151562611431</v>
      </c>
    </row>
    <row r="245" spans="1:3" x14ac:dyDescent="0.25">
      <c r="A245" s="39">
        <v>-116</v>
      </c>
      <c r="B245" s="43">
        <v>-68.793440831848869</v>
      </c>
      <c r="C245" s="43">
        <v>4.0098317812112114</v>
      </c>
    </row>
    <row r="246" spans="1:3" x14ac:dyDescent="0.25">
      <c r="A246" s="41">
        <v>-117</v>
      </c>
      <c r="B246" s="43">
        <v>-68.800392665420546</v>
      </c>
      <c r="C246" s="43">
        <v>4.0063662231165935</v>
      </c>
    </row>
    <row r="247" spans="1:3" x14ac:dyDescent="0.25">
      <c r="A247" s="41">
        <v>-118</v>
      </c>
      <c r="B247" s="43">
        <v>-68.807025611379373</v>
      </c>
      <c r="C247" s="43">
        <v>4.0029137795314202</v>
      </c>
    </row>
    <row r="248" spans="1:3" x14ac:dyDescent="0.25">
      <c r="A248" s="39">
        <v>-119</v>
      </c>
      <c r="B248" s="43">
        <v>-68.813369121783126</v>
      </c>
      <c r="C248" s="43">
        <v>3.9994699406790319</v>
      </c>
    </row>
    <row r="249" spans="1:3" x14ac:dyDescent="0.25">
      <c r="A249" s="39">
        <v>-120</v>
      </c>
      <c r="B249" s="43">
        <v>-68.819449228457998</v>
      </c>
      <c r="C249" s="43">
        <v>3.9960303491630653</v>
      </c>
    </row>
    <row r="250" spans="1:3" x14ac:dyDescent="0.25">
      <c r="A250" s="41">
        <v>-121</v>
      </c>
      <c r="B250" s="43">
        <v>-68.8252890478946</v>
      </c>
      <c r="C250" s="43">
        <v>3.9925907646453029</v>
      </c>
    </row>
    <row r="251" spans="1:3" x14ac:dyDescent="0.25">
      <c r="A251" s="41">
        <v>-122</v>
      </c>
      <c r="B251" s="43">
        <v>-68.830909198716981</v>
      </c>
      <c r="C251" s="43">
        <v>3.9891470317849169</v>
      </c>
    </row>
    <row r="252" spans="1:3" x14ac:dyDescent="0.25">
      <c r="A252" s="39">
        <v>-123</v>
      </c>
      <c r="B252" s="43">
        <v>-68.83632814871973</v>
      </c>
      <c r="C252" s="43">
        <v>3.9856950504342477</v>
      </c>
    </row>
    <row r="253" spans="1:3" x14ac:dyDescent="0.25">
      <c r="A253" s="39">
        <v>-124</v>
      </c>
      <c r="B253" s="43">
        <v>-68.841562506101752</v>
      </c>
      <c r="C253" s="43">
        <v>3.9822307482086474</v>
      </c>
    </row>
    <row r="254" spans="1:3" x14ac:dyDescent="0.25">
      <c r="A254" s="41">
        <v>-125</v>
      </c>
      <c r="B254" s="43">
        <v>-68.846627264464729</v>
      </c>
      <c r="C254" s="43">
        <v>3.9787500541977479</v>
      </c>
    </row>
    <row r="255" spans="1:3" x14ac:dyDescent="0.25">
      <c r="A255" s="41">
        <v>-126</v>
      </c>
      <c r="B255" s="43">
        <v>-68.851536010700585</v>
      </c>
      <c r="C255" s="43">
        <v>3.9752488738440679</v>
      </c>
    </row>
    <row r="256" spans="1:3" x14ac:dyDescent="0.25">
      <c r="A256" s="39">
        <v>-127</v>
      </c>
      <c r="B256" s="43">
        <v>-68.856301101413379</v>
      </c>
      <c r="C256" s="43">
        <v>3.9717230638832843</v>
      </c>
    </row>
    <row r="257" spans="1:3" x14ac:dyDescent="0.25">
      <c r="A257" s="39">
        <v>-128</v>
      </c>
      <c r="B257" s="43">
        <v>-68.860933814929425</v>
      </c>
      <c r="C257" s="43">
        <v>3.9681684080859045</v>
      </c>
    </row>
    <row r="258" spans="1:3" x14ac:dyDescent="0.25">
      <c r="A258" s="41">
        <v>-129</v>
      </c>
      <c r="B258" s="43">
        <v>-68.865444480869769</v>
      </c>
      <c r="C258" s="43">
        <v>3.9645805918758086</v>
      </c>
    </row>
    <row r="259" spans="1:3" x14ac:dyDescent="0.25">
      <c r="A259" s="41">
        <v>-130</v>
      </c>
      <c r="B259" s="43">
        <v>-68.869842593355315</v>
      </c>
      <c r="C259" s="43">
        <v>3.9609551771573717</v>
      </c>
    </row>
    <row r="260" spans="1:3" x14ac:dyDescent="0.25">
      <c r="A260" s="39">
        <v>-131</v>
      </c>
      <c r="B260" s="43">
        <v>-68.874136908163933</v>
      </c>
      <c r="C260" s="43">
        <v>3.9572875753039387</v>
      </c>
    </row>
    <row r="261" spans="1:3" x14ac:dyDescent="0.25">
      <c r="A261" s="39">
        <v>-132</v>
      </c>
      <c r="B261" s="43">
        <v>-68.878335528714047</v>
      </c>
      <c r="C261" s="43">
        <v>3.9535730195852739</v>
      </c>
    </row>
    <row r="262" spans="1:3" x14ac:dyDescent="0.25">
      <c r="A262" s="41">
        <v>-133</v>
      </c>
      <c r="B262" s="43">
        <v>-68.882445980252356</v>
      </c>
      <c r="C262" s="43">
        <v>3.9498065349432183</v>
      </c>
    </row>
    <row r="263" spans="1:3" x14ac:dyDescent="0.25">
      <c r="A263" s="41">
        <v>-134</v>
      </c>
      <c r="B263" s="43">
        <v>-68.886475276452785</v>
      </c>
      <c r="C263" s="43">
        <v>3.9459829063719667</v>
      </c>
    </row>
    <row r="264" spans="1:3" x14ac:dyDescent="0.25">
      <c r="A264" s="39">
        <v>-135</v>
      </c>
      <c r="B264" s="43">
        <v>-68.890429976899483</v>
      </c>
      <c r="C264" s="43">
        <v>3.9420966435374991</v>
      </c>
    </row>
    <row r="265" spans="1:3" x14ac:dyDescent="0.25">
      <c r="A265" s="39">
        <v>-136</v>
      </c>
      <c r="B265" s="43">
        <v>-68.894316239789049</v>
      </c>
      <c r="C265" s="43">
        <v>3.9381419431749012</v>
      </c>
    </row>
    <row r="266" spans="1:3" x14ac:dyDescent="0.25">
      <c r="A266" s="41">
        <v>-137</v>
      </c>
      <c r="B266" s="43">
        <v>-68.898139868407327</v>
      </c>
      <c r="C266" s="43">
        <v>3.9341126470717143</v>
      </c>
    </row>
    <row r="267" spans="1:3" x14ac:dyDescent="0.25">
      <c r="A267" s="41">
        <v>-138</v>
      </c>
      <c r="B267" s="43">
        <v>-68.901906352927156</v>
      </c>
      <c r="C267" s="43">
        <v>3.930002195400506</v>
      </c>
    </row>
    <row r="268" spans="1:3" x14ac:dyDescent="0.25">
      <c r="A268" s="39">
        <v>-139</v>
      </c>
      <c r="B268" s="43">
        <v>-68.9056209086839</v>
      </c>
      <c r="C268" s="43">
        <v>3.9258035748598621</v>
      </c>
    </row>
    <row r="269" spans="1:3" x14ac:dyDescent="0.25">
      <c r="A269" s="39">
        <v>-140</v>
      </c>
      <c r="B269" s="43">
        <v>-68.909288510413205</v>
      </c>
      <c r="C269" s="43">
        <v>3.9215092599300529</v>
      </c>
    </row>
    <row r="270" spans="1:3" x14ac:dyDescent="0.25">
      <c r="A270" s="41">
        <v>-141</v>
      </c>
      <c r="B270" s="43">
        <v>-68.912913925218746</v>
      </c>
      <c r="C270" s="43">
        <v>3.9171111475291687</v>
      </c>
    </row>
    <row r="271" spans="1:3" x14ac:dyDescent="0.25">
      <c r="A271" s="41">
        <v>-142</v>
      </c>
      <c r="B271" s="43">
        <v>-68.91650174129289</v>
      </c>
      <c r="C271" s="43">
        <v>3.9126004814980888</v>
      </c>
    </row>
    <row r="272" spans="1:3" x14ac:dyDescent="0.25">
      <c r="A272" s="39">
        <v>-143</v>
      </c>
      <c r="B272" s="43">
        <v>-68.920056397173113</v>
      </c>
      <c r="C272" s="43">
        <v>3.9079677680757698</v>
      </c>
    </row>
    <row r="273" spans="1:3" x14ac:dyDescent="0.25">
      <c r="A273" s="39">
        <v>-144</v>
      </c>
      <c r="B273" s="43">
        <v>-68.923582207181582</v>
      </c>
      <c r="C273" s="43">
        <v>3.9032026773826587</v>
      </c>
    </row>
    <row r="274" spans="1:3" x14ac:dyDescent="0.25">
      <c r="A274" s="41">
        <v>-145</v>
      </c>
      <c r="B274" s="43">
        <v>-68.927083387630063</v>
      </c>
      <c r="C274" s="43">
        <v>3.8982939312397296</v>
      </c>
    </row>
    <row r="275" spans="1:3" x14ac:dyDescent="0.25">
      <c r="A275" s="41">
        <v>-146</v>
      </c>
      <c r="B275" s="43">
        <v>-68.930564081501203</v>
      </c>
      <c r="C275" s="43">
        <v>3.8932291727683594</v>
      </c>
    </row>
    <row r="276" spans="1:3" x14ac:dyDescent="0.25">
      <c r="A276" s="39">
        <v>-147</v>
      </c>
      <c r="B276" s="43">
        <v>-68.93402838369758</v>
      </c>
      <c r="C276" s="43">
        <v>3.8879948153628048</v>
      </c>
    </row>
    <row r="277" spans="1:3" x14ac:dyDescent="0.25">
      <c r="A277" s="39">
        <v>-148</v>
      </c>
      <c r="B277" s="43">
        <v>-68.937480365084653</v>
      </c>
      <c r="C277" s="43">
        <v>3.882575865370816</v>
      </c>
    </row>
    <row r="278" spans="1:3" x14ac:dyDescent="0.25">
      <c r="A278" s="41">
        <v>-149</v>
      </c>
      <c r="B278" s="43">
        <v>-68.940924097965123</v>
      </c>
      <c r="C278" s="43">
        <v>3.8769557145549922</v>
      </c>
    </row>
    <row r="279" spans="1:3" x14ac:dyDescent="0.25">
      <c r="A279" s="41">
        <v>-150</v>
      </c>
      <c r="B279" s="43">
        <v>-68.944363682447204</v>
      </c>
      <c r="C279" s="43">
        <v>3.8711158950617275</v>
      </c>
    </row>
    <row r="280" spans="1:3" x14ac:dyDescent="0.25">
      <c r="A280" s="39">
        <v>-151</v>
      </c>
      <c r="B280" s="43">
        <v>-68.947803273925587</v>
      </c>
      <c r="C280" s="43">
        <v>3.8650357883690321</v>
      </c>
    </row>
    <row r="281" spans="1:3" x14ac:dyDescent="0.25">
      <c r="A281" s="39">
        <v>-152</v>
      </c>
      <c r="B281" s="43">
        <v>-68.951247112781004</v>
      </c>
      <c r="C281" s="43">
        <v>3.8586922779763499</v>
      </c>
    </row>
    <row r="282" spans="1:3" x14ac:dyDescent="0.25">
      <c r="A282" s="41">
        <v>-153</v>
      </c>
      <c r="B282" s="43">
        <v>-68.954699556288929</v>
      </c>
      <c r="C282" s="43">
        <v>3.852059331934294</v>
      </c>
    </row>
    <row r="283" spans="1:3" x14ac:dyDescent="0.25">
      <c r="A283" s="41">
        <v>-154</v>
      </c>
      <c r="B283" s="43">
        <v>-68.95816511447515</v>
      </c>
      <c r="C283" s="43">
        <v>3.8451074984610121</v>
      </c>
    </row>
    <row r="284" spans="1:3" x14ac:dyDescent="0.25">
      <c r="A284" s="39">
        <v>-155</v>
      </c>
      <c r="B284" s="43">
        <v>-68.961648489693474</v>
      </c>
      <c r="C284" s="43">
        <v>3.8378032914218112</v>
      </c>
    </row>
    <row r="285" spans="1:3" x14ac:dyDescent="0.25">
      <c r="A285" s="39">
        <v>-156</v>
      </c>
      <c r="B285" s="43">
        <v>-68.965154621707299</v>
      </c>
      <c r="C285" s="43">
        <v>3.8301084365893927</v>
      </c>
    </row>
    <row r="286" spans="1:3" x14ac:dyDescent="0.25">
      <c r="A286" s="41">
        <v>-157</v>
      </c>
      <c r="B286" s="43">
        <v>-68.968688740649995</v>
      </c>
      <c r="C286" s="43">
        <v>3.8219789402636906</v>
      </c>
    </row>
    <row r="287" spans="1:3" x14ac:dyDescent="0.25">
      <c r="A287" s="41">
        <v>-158</v>
      </c>
      <c r="B287" s="43">
        <v>-68.972256427483828</v>
      </c>
      <c r="C287" s="43">
        <v>3.8133639267605655</v>
      </c>
    </row>
    <row r="288" spans="1:3" x14ac:dyDescent="0.25">
      <c r="A288" s="39">
        <v>-159</v>
      </c>
      <c r="B288" s="43">
        <v>-68.975863685425551</v>
      </c>
      <c r="C288" s="43">
        <v>3.8042041749031692</v>
      </c>
    </row>
    <row r="289" spans="1:3" x14ac:dyDescent="0.25">
      <c r="A289" s="39">
        <v>-160</v>
      </c>
      <c r="B289" s="43">
        <v>-68.979517027037048</v>
      </c>
      <c r="C289" s="43">
        <v>3.7944302577762281</v>
      </c>
    </row>
    <row r="290" spans="1:3" x14ac:dyDescent="0.25">
      <c r="A290" s="41">
        <v>-161</v>
      </c>
      <c r="B290" s="43">
        <v>-68.983223578477151</v>
      </c>
      <c r="C290" s="43">
        <v>3.7839601497577973</v>
      </c>
    </row>
    <row r="291" spans="1:3" x14ac:dyDescent="0.25">
      <c r="A291" s="41">
        <v>-162</v>
      </c>
      <c r="B291" s="43">
        <v>-68.986991206893421</v>
      </c>
      <c r="C291" s="43">
        <v>3.7726961114249096</v>
      </c>
    </row>
    <row r="292" spans="1:3" x14ac:dyDescent="0.25">
      <c r="A292" s="39">
        <v>-163</v>
      </c>
      <c r="B292" s="43">
        <v>-68.990828680457952</v>
      </c>
      <c r="C292" s="43">
        <v>3.7605205812396898</v>
      </c>
    </row>
    <row r="293" spans="1:3" x14ac:dyDescent="0.25">
      <c r="A293" s="39">
        <v>-164</v>
      </c>
      <c r="B293" s="43">
        <v>-68.994745869447712</v>
      </c>
      <c r="C293" s="43">
        <v>3.7472906747047317</v>
      </c>
    </row>
    <row r="294" spans="1:3" x14ac:dyDescent="0.25">
      <c r="A294" s="41">
        <v>-165</v>
      </c>
      <c r="B294" s="43">
        <v>-68.998754002070299</v>
      </c>
      <c r="C294" s="43">
        <v>3.7328306962561317</v>
      </c>
    </row>
    <row r="295" spans="1:3" x14ac:dyDescent="0.25">
      <c r="A295" s="41">
        <v>-166</v>
      </c>
      <c r="B295" s="43">
        <v>-69.002866000446176</v>
      </c>
      <c r="C295" s="43">
        <v>3.7169217590073287</v>
      </c>
    </row>
    <row r="296" spans="1:3" x14ac:dyDescent="0.25">
      <c r="A296" s="39">
        <v>-167</v>
      </c>
      <c r="B296" s="43">
        <v>-69.007096921904903</v>
      </c>
      <c r="C296" s="43">
        <v>3.6992870869685293</v>
      </c>
    </row>
    <row r="297" spans="1:3" x14ac:dyDescent="0.25">
      <c r="A297" s="39">
        <v>-168</v>
      </c>
      <c r="B297" s="43">
        <v>-69.011464557919382</v>
      </c>
      <c r="C297" s="43">
        <v>3.6795707086989684</v>
      </c>
    </row>
    <row r="298" spans="1:3" x14ac:dyDescent="0.25">
      <c r="A298" s="41">
        <v>-169</v>
      </c>
      <c r="B298" s="43">
        <v>-69.01599026034549</v>
      </c>
      <c r="C298" s="43">
        <v>3.6573057134024349</v>
      </c>
    </row>
    <row r="299" spans="1:3" x14ac:dyDescent="0.25">
      <c r="A299" s="41">
        <v>-170</v>
      </c>
      <c r="B299" s="43">
        <v>-69.020700113656417</v>
      </c>
      <c r="C299" s="43">
        <v>3.6318654356016489</v>
      </c>
    </row>
    <row r="300" spans="1:3" x14ac:dyDescent="0.25">
      <c r="A300" s="39">
        <v>-171</v>
      </c>
      <c r="B300" s="43">
        <v>-69.025626649204511</v>
      </c>
      <c r="C300" s="43">
        <v>3.6023855375752762</v>
      </c>
    </row>
    <row r="301" spans="1:3" x14ac:dyDescent="0.25">
      <c r="A301" s="39">
        <v>-172</v>
      </c>
      <c r="B301" s="43">
        <v>-69.030811446367125</v>
      </c>
      <c r="C301" s="43">
        <v>3.5676339814968396</v>
      </c>
    </row>
    <row r="302" spans="1:3" x14ac:dyDescent="0.25">
      <c r="A302" s="41">
        <v>-173</v>
      </c>
      <c r="B302" s="43">
        <v>-69.036309253690334</v>
      </c>
      <c r="C302" s="43">
        <v>3.5257819675758624</v>
      </c>
    </row>
    <row r="303" spans="1:3" x14ac:dyDescent="0.25">
      <c r="A303" s="41">
        <v>-174</v>
      </c>
      <c r="B303" s="43">
        <v>-69.042194885127628</v>
      </c>
      <c r="C303" s="43">
        <v>3.473972268567842</v>
      </c>
    </row>
    <row r="304" spans="1:3" x14ac:dyDescent="0.25">
      <c r="A304" s="39">
        <v>-175</v>
      </c>
      <c r="B304" s="43">
        <v>-69.048575594625234</v>
      </c>
      <c r="C304" s="43">
        <v>3.4074322396468046</v>
      </c>
    </row>
    <row r="305" spans="1:3" x14ac:dyDescent="0.25">
      <c r="A305" s="39">
        <v>-176</v>
      </c>
      <c r="B305" s="43">
        <v>-69.055615425505479</v>
      </c>
      <c r="C305" s="43">
        <v>3.3174276876342224</v>
      </c>
    </row>
    <row r="306" spans="1:3" x14ac:dyDescent="0.25">
      <c r="A306" s="41">
        <v>-177</v>
      </c>
      <c r="B306" s="43">
        <v>-69.063589756410821</v>
      </c>
      <c r="C306" s="43">
        <v>3.1857007796201118</v>
      </c>
    </row>
    <row r="307" spans="1:3" x14ac:dyDescent="0.25">
      <c r="A307" s="41">
        <v>-178</v>
      </c>
      <c r="B307" s="43">
        <v>-69.073034375892689</v>
      </c>
      <c r="C307" s="43">
        <v>2.9649284254370163</v>
      </c>
    </row>
    <row r="308" spans="1:3" x14ac:dyDescent="0.25">
      <c r="A308" s="39">
        <v>-179</v>
      </c>
      <c r="B308" s="43">
        <v>-69.085330343589277</v>
      </c>
      <c r="C308" s="43">
        <v>2.4668931848983311</v>
      </c>
    </row>
    <row r="309" spans="1:3" x14ac:dyDescent="0.25">
      <c r="A309" s="39">
        <v>-180</v>
      </c>
      <c r="B309" s="43">
        <v>-69.101383442284728</v>
      </c>
      <c r="C309" s="43">
        <v>4.4844791868823674E-14</v>
      </c>
    </row>
    <row r="310" spans="1:3" x14ac:dyDescent="0.25">
      <c r="A310" s="41">
        <v>-181</v>
      </c>
      <c r="B310" s="43">
        <v>-69.08533034358922</v>
      </c>
      <c r="C310" s="43">
        <v>-2.4668931848983298</v>
      </c>
    </row>
    <row r="311" spans="1:3" x14ac:dyDescent="0.25">
      <c r="A311" s="41">
        <v>-182</v>
      </c>
      <c r="B311" s="43">
        <v>-69.073034375892703</v>
      </c>
      <c r="C311" s="43">
        <v>-2.9649284254370256</v>
      </c>
    </row>
    <row r="312" spans="1:3" x14ac:dyDescent="0.25">
      <c r="A312" s="39">
        <v>-183</v>
      </c>
      <c r="B312" s="43">
        <v>-69.063589756410835</v>
      </c>
      <c r="C312" s="43">
        <v>-3.1857007796201318</v>
      </c>
    </row>
    <row r="313" spans="1:3" x14ac:dyDescent="0.25">
      <c r="A313" s="39">
        <v>-184</v>
      </c>
      <c r="B313" s="43">
        <v>-69.055615425505508</v>
      </c>
      <c r="C313" s="43">
        <v>-3.3174276876342299</v>
      </c>
    </row>
    <row r="314" spans="1:3" x14ac:dyDescent="0.25">
      <c r="A314" s="41">
        <v>-185</v>
      </c>
      <c r="B314" s="43">
        <v>-69.048575594625248</v>
      </c>
      <c r="C314" s="43">
        <v>-3.4074322396468113</v>
      </c>
    </row>
    <row r="315" spans="1:3" x14ac:dyDescent="0.25">
      <c r="A315" s="41">
        <v>-186</v>
      </c>
      <c r="B315" s="43">
        <v>-69.042194885127657</v>
      </c>
      <c r="C315" s="43">
        <v>-3.473972268567854</v>
      </c>
    </row>
    <row r="316" spans="1:3" x14ac:dyDescent="0.25">
      <c r="A316" s="39">
        <v>-187</v>
      </c>
      <c r="B316" s="43">
        <v>-69.036309253690348</v>
      </c>
      <c r="C316" s="43">
        <v>-3.5257819675758761</v>
      </c>
    </row>
    <row r="317" spans="1:3" x14ac:dyDescent="0.25">
      <c r="A317" s="39">
        <v>-188</v>
      </c>
      <c r="B317" s="43">
        <v>-69.030811446367082</v>
      </c>
      <c r="C317" s="43">
        <v>-3.5676339814968334</v>
      </c>
    </row>
    <row r="318" spans="1:3" x14ac:dyDescent="0.25">
      <c r="A318" s="41">
        <v>-189</v>
      </c>
      <c r="B318" s="43">
        <v>-69.02562664920454</v>
      </c>
      <c r="C318" s="43">
        <v>-3.6023855375752958</v>
      </c>
    </row>
    <row r="319" spans="1:3" x14ac:dyDescent="0.25">
      <c r="A319" s="41">
        <v>-190</v>
      </c>
      <c r="B319" s="43">
        <v>-69.020700113656403</v>
      </c>
      <c r="C319" s="43">
        <v>-3.6318654356016418</v>
      </c>
    </row>
    <row r="320" spans="1:3" x14ac:dyDescent="0.25">
      <c r="A320" s="39">
        <v>-191</v>
      </c>
      <c r="B320" s="43">
        <v>-69.01599026034549</v>
      </c>
      <c r="C320" s="43">
        <v>-3.6573057134024451</v>
      </c>
    </row>
    <row r="321" spans="1:3" x14ac:dyDescent="0.25">
      <c r="A321" s="39">
        <v>-192</v>
      </c>
      <c r="B321" s="43">
        <v>-69.01146455791941</v>
      </c>
      <c r="C321" s="43">
        <v>-3.6795707086989671</v>
      </c>
    </row>
    <row r="322" spans="1:3" x14ac:dyDescent="0.25">
      <c r="A322" s="41">
        <v>-193</v>
      </c>
      <c r="B322" s="43">
        <v>-69.007096921904932</v>
      </c>
      <c r="C322" s="43">
        <v>-3.699287086968523</v>
      </c>
    </row>
    <row r="323" spans="1:3" x14ac:dyDescent="0.25">
      <c r="A323" s="41">
        <v>-194</v>
      </c>
      <c r="B323" s="43">
        <v>-69.002866000446161</v>
      </c>
      <c r="C323" s="43">
        <v>-3.7169217590073353</v>
      </c>
    </row>
    <row r="324" spans="1:3" x14ac:dyDescent="0.25">
      <c r="A324" s="39">
        <v>-195</v>
      </c>
      <c r="B324" s="43">
        <v>-68.998754002070271</v>
      </c>
      <c r="C324" s="43">
        <v>-3.7328306962561295</v>
      </c>
    </row>
    <row r="325" spans="1:3" x14ac:dyDescent="0.25">
      <c r="A325" s="39">
        <v>-196</v>
      </c>
      <c r="B325" s="43">
        <v>-68.994745869447698</v>
      </c>
      <c r="C325" s="43">
        <v>-3.7472906747047379</v>
      </c>
    </row>
    <row r="326" spans="1:3" x14ac:dyDescent="0.25">
      <c r="A326" s="41">
        <v>-197</v>
      </c>
      <c r="B326" s="43">
        <v>-68.990828680457909</v>
      </c>
      <c r="C326" s="43">
        <v>-3.760520581239692</v>
      </c>
    </row>
    <row r="327" spans="1:3" x14ac:dyDescent="0.25">
      <c r="A327" s="41">
        <v>-198</v>
      </c>
      <c r="B327" s="43">
        <v>-68.986991206893421</v>
      </c>
      <c r="C327" s="43">
        <v>-3.7726961114249176</v>
      </c>
    </row>
    <row r="328" spans="1:3" x14ac:dyDescent="0.25">
      <c r="A328" s="39">
        <v>-199</v>
      </c>
      <c r="B328" s="43">
        <v>-68.983223578477137</v>
      </c>
      <c r="C328" s="43">
        <v>-3.7839601497577955</v>
      </c>
    </row>
    <row r="329" spans="1:3" x14ac:dyDescent="0.25">
      <c r="A329" s="39">
        <v>-200</v>
      </c>
      <c r="B329" s="43">
        <v>-68.979517027037048</v>
      </c>
      <c r="C329" s="43">
        <v>-3.7944302577762281</v>
      </c>
    </row>
    <row r="330" spans="1:3" x14ac:dyDescent="0.25">
      <c r="A330" s="41">
        <v>-201</v>
      </c>
      <c r="B330" s="43">
        <v>-68.975863685425551</v>
      </c>
      <c r="C330" s="43">
        <v>-3.804204174903163</v>
      </c>
    </row>
    <row r="331" spans="1:3" x14ac:dyDescent="0.25">
      <c r="A331" s="41">
        <v>-202</v>
      </c>
      <c r="B331" s="43">
        <v>-68.972256427483842</v>
      </c>
      <c r="C331" s="43">
        <v>-3.8133639267605779</v>
      </c>
    </row>
    <row r="332" spans="1:3" x14ac:dyDescent="0.25">
      <c r="A332" s="39">
        <v>-203</v>
      </c>
      <c r="B332" s="43">
        <v>-68.968688740649981</v>
      </c>
      <c r="C332" s="43">
        <v>-3.821978940263703</v>
      </c>
    </row>
    <row r="333" spans="1:3" x14ac:dyDescent="0.25">
      <c r="A333" s="39">
        <v>-204</v>
      </c>
      <c r="B333" s="43">
        <v>-68.965154621707299</v>
      </c>
      <c r="C333" s="43">
        <v>-3.8301084365894016</v>
      </c>
    </row>
    <row r="334" spans="1:3" x14ac:dyDescent="0.25">
      <c r="A334" s="41">
        <v>-205</v>
      </c>
      <c r="B334" s="43">
        <v>-68.961648489693459</v>
      </c>
      <c r="C334" s="43">
        <v>-3.8378032914218023</v>
      </c>
    </row>
    <row r="335" spans="1:3" x14ac:dyDescent="0.25">
      <c r="A335" s="41">
        <v>-206</v>
      </c>
      <c r="B335" s="43">
        <v>-68.958165114475136</v>
      </c>
      <c r="C335" s="43">
        <v>-3.8451074984610289</v>
      </c>
    </row>
    <row r="336" spans="1:3" x14ac:dyDescent="0.25">
      <c r="A336" s="39">
        <v>-207</v>
      </c>
      <c r="B336" s="43">
        <v>-68.954699556288944</v>
      </c>
      <c r="C336" s="43">
        <v>-3.852059331934294</v>
      </c>
    </row>
    <row r="337" spans="1:3" x14ac:dyDescent="0.25">
      <c r="A337" s="39">
        <v>-208</v>
      </c>
      <c r="B337" s="43">
        <v>-68.951247112780976</v>
      </c>
      <c r="C337" s="43">
        <v>-3.8586922779763375</v>
      </c>
    </row>
    <row r="338" spans="1:3" x14ac:dyDescent="0.25">
      <c r="A338" s="41">
        <v>-209</v>
      </c>
      <c r="B338" s="43">
        <v>-68.947803273925601</v>
      </c>
      <c r="C338" s="43">
        <v>-3.86503578836904</v>
      </c>
    </row>
    <row r="339" spans="1:3" x14ac:dyDescent="0.25">
      <c r="A339" s="41">
        <v>-210</v>
      </c>
      <c r="B339" s="43">
        <v>-68.944363682447175</v>
      </c>
      <c r="C339" s="43">
        <v>-3.8711158950617106</v>
      </c>
    </row>
    <row r="340" spans="1:3" x14ac:dyDescent="0.25">
      <c r="A340" s="39">
        <v>-211</v>
      </c>
      <c r="B340" s="43">
        <v>-68.940924097965123</v>
      </c>
      <c r="C340" s="43">
        <v>-3.87695571455495</v>
      </c>
    </row>
    <row r="341" spans="1:3" x14ac:dyDescent="0.25">
      <c r="A341" s="39">
        <v>-212</v>
      </c>
      <c r="B341" s="43">
        <v>-68.937480365084667</v>
      </c>
      <c r="C341" s="43">
        <v>-3.8825758653708036</v>
      </c>
    </row>
    <row r="342" spans="1:3" x14ac:dyDescent="0.25">
      <c r="A342" s="41">
        <v>-213</v>
      </c>
      <c r="B342" s="43">
        <v>-68.934028383697566</v>
      </c>
      <c r="C342" s="43">
        <v>-3.8879948153628048</v>
      </c>
    </row>
    <row r="343" spans="1:3" x14ac:dyDescent="0.25">
      <c r="A343" s="41">
        <v>-214</v>
      </c>
      <c r="B343" s="43">
        <v>-68.930564081501245</v>
      </c>
      <c r="C343" s="43">
        <v>-3.8932291727683634</v>
      </c>
    </row>
    <row r="344" spans="1:3" x14ac:dyDescent="0.25">
      <c r="A344" s="39">
        <v>-215</v>
      </c>
      <c r="B344" s="43">
        <v>-68.927083387630049</v>
      </c>
      <c r="C344" s="43">
        <v>-3.8982939312397247</v>
      </c>
    </row>
    <row r="345" spans="1:3" x14ac:dyDescent="0.25">
      <c r="A345" s="39">
        <v>-216</v>
      </c>
      <c r="B345" s="43">
        <v>-68.923582207181582</v>
      </c>
      <c r="C345" s="43">
        <v>-3.9032026773826627</v>
      </c>
    </row>
    <row r="346" spans="1:3" x14ac:dyDescent="0.25">
      <c r="A346" s="41">
        <v>-217</v>
      </c>
      <c r="B346" s="43">
        <v>-68.920056397173155</v>
      </c>
      <c r="C346" s="43">
        <v>-3.9079677680757738</v>
      </c>
    </row>
    <row r="347" spans="1:3" x14ac:dyDescent="0.25">
      <c r="A347" s="41">
        <v>-218</v>
      </c>
      <c r="B347" s="43">
        <v>-68.91650174129289</v>
      </c>
      <c r="C347" s="43">
        <v>-3.9126004814980888</v>
      </c>
    </row>
    <row r="348" spans="1:3" x14ac:dyDescent="0.25">
      <c r="A348" s="39">
        <v>-219</v>
      </c>
      <c r="B348" s="43">
        <v>-68.912913925218803</v>
      </c>
      <c r="C348" s="43">
        <v>-3.917111147529194</v>
      </c>
    </row>
    <row r="349" spans="1:3" x14ac:dyDescent="0.25">
      <c r="A349" s="39">
        <v>-220</v>
      </c>
      <c r="B349" s="43">
        <v>-68.909288510413162</v>
      </c>
      <c r="C349" s="43">
        <v>-3.9215092599300108</v>
      </c>
    </row>
    <row r="350" spans="1:3" x14ac:dyDescent="0.25">
      <c r="A350" s="41">
        <v>-221</v>
      </c>
      <c r="B350" s="43">
        <v>-68.905620908683886</v>
      </c>
      <c r="C350" s="43">
        <v>-3.9258035748598403</v>
      </c>
    </row>
    <row r="351" spans="1:3" x14ac:dyDescent="0.25">
      <c r="A351" s="41">
        <v>-222</v>
      </c>
      <c r="B351" s="43">
        <v>-68.901906352927213</v>
      </c>
      <c r="C351" s="43">
        <v>-3.930002195400506</v>
      </c>
    </row>
    <row r="352" spans="1:3" x14ac:dyDescent="0.25">
      <c r="A352" s="39">
        <v>-223</v>
      </c>
      <c r="B352" s="43">
        <v>-68.898139868407327</v>
      </c>
      <c r="C352" s="43">
        <v>-3.9341126470717316</v>
      </c>
    </row>
    <row r="353" spans="1:3" x14ac:dyDescent="0.25">
      <c r="A353" s="39">
        <v>-224</v>
      </c>
      <c r="B353" s="43">
        <v>-68.894316239789092</v>
      </c>
      <c r="C353" s="43">
        <v>-3.9381419431748883</v>
      </c>
    </row>
    <row r="354" spans="1:3" x14ac:dyDescent="0.25">
      <c r="A354" s="41">
        <v>-225</v>
      </c>
      <c r="B354" s="43">
        <v>-68.890429976899469</v>
      </c>
      <c r="C354" s="43">
        <v>-3.9420966435374951</v>
      </c>
    </row>
    <row r="355" spans="1:3" x14ac:dyDescent="0.25">
      <c r="A355" s="41">
        <v>-226</v>
      </c>
      <c r="B355" s="43">
        <v>-68.886475276452771</v>
      </c>
      <c r="C355" s="43">
        <v>-3.9459829063719578</v>
      </c>
    </row>
    <row r="356" spans="1:3" x14ac:dyDescent="0.25">
      <c r="A356" s="39">
        <v>-227</v>
      </c>
      <c r="B356" s="43">
        <v>-68.882445980252371</v>
      </c>
      <c r="C356" s="43">
        <v>-3.9498065349432312</v>
      </c>
    </row>
    <row r="357" spans="1:3" x14ac:dyDescent="0.25">
      <c r="A357" s="39">
        <v>-228</v>
      </c>
      <c r="B357" s="43">
        <v>-68.878335528714018</v>
      </c>
      <c r="C357" s="43">
        <v>-3.9535730195852739</v>
      </c>
    </row>
    <row r="358" spans="1:3" x14ac:dyDescent="0.25">
      <c r="A358" s="41">
        <v>-229</v>
      </c>
      <c r="B358" s="43">
        <v>-68.874136908163933</v>
      </c>
      <c r="C358" s="43">
        <v>-3.9572875753038956</v>
      </c>
    </row>
    <row r="359" spans="1:3" x14ac:dyDescent="0.25">
      <c r="A359" s="41">
        <v>-230</v>
      </c>
      <c r="B359" s="43">
        <v>-68.869842593355401</v>
      </c>
      <c r="C359" s="43">
        <v>-3.9609551771573805</v>
      </c>
    </row>
    <row r="360" spans="1:3" x14ac:dyDescent="0.25">
      <c r="A360" s="39">
        <v>-231</v>
      </c>
      <c r="B360" s="43">
        <v>-68.865444480869769</v>
      </c>
      <c r="C360" s="43">
        <v>-3.9645805918758086</v>
      </c>
    </row>
    <row r="361" spans="1:3" x14ac:dyDescent="0.25">
      <c r="A361" s="39">
        <v>-232</v>
      </c>
      <c r="B361" s="43">
        <v>-68.860933814929425</v>
      </c>
      <c r="C361" s="43">
        <v>-3.9681684080859343</v>
      </c>
    </row>
    <row r="362" spans="1:3" x14ac:dyDescent="0.25">
      <c r="A362" s="41">
        <v>-233</v>
      </c>
      <c r="B362" s="43">
        <v>-68.856301101413351</v>
      </c>
      <c r="C362" s="43">
        <v>-3.9717230638832763</v>
      </c>
    </row>
    <row r="363" spans="1:3" x14ac:dyDescent="0.25">
      <c r="A363" s="41">
        <v>-234</v>
      </c>
      <c r="B363" s="43">
        <v>-68.851536010700585</v>
      </c>
      <c r="C363" s="43">
        <v>-3.9752488738440936</v>
      </c>
    </row>
    <row r="364" spans="1:3" x14ac:dyDescent="0.25">
      <c r="A364" s="39">
        <v>-235</v>
      </c>
      <c r="B364" s="43">
        <v>-68.846627264464715</v>
      </c>
      <c r="C364" s="43">
        <v>-3.9787500541977394</v>
      </c>
    </row>
    <row r="365" spans="1:3" x14ac:dyDescent="0.25">
      <c r="A365" s="39">
        <v>-236</v>
      </c>
      <c r="B365" s="43">
        <v>-68.841562506101781</v>
      </c>
      <c r="C365" s="43">
        <v>-3.9822307482086221</v>
      </c>
    </row>
    <row r="366" spans="1:3" x14ac:dyDescent="0.25">
      <c r="A366" s="41">
        <v>-237</v>
      </c>
      <c r="B366" s="43">
        <v>-68.836328148719758</v>
      </c>
      <c r="C366" s="43">
        <v>-3.9856950504342397</v>
      </c>
    </row>
    <row r="367" spans="1:3" x14ac:dyDescent="0.25">
      <c r="A367" s="41">
        <v>-238</v>
      </c>
      <c r="B367" s="43">
        <v>-68.830909198716981</v>
      </c>
      <c r="C367" s="43">
        <v>-3.9891470317849169</v>
      </c>
    </row>
    <row r="368" spans="1:3" x14ac:dyDescent="0.25">
      <c r="A368" s="39">
        <v>-239</v>
      </c>
      <c r="B368" s="43">
        <v>-68.825289047894628</v>
      </c>
      <c r="C368" s="43">
        <v>-3.9925907646452901</v>
      </c>
    </row>
    <row r="369" spans="1:3" x14ac:dyDescent="0.25">
      <c r="A369" s="39">
        <v>-240</v>
      </c>
      <c r="B369" s="43">
        <v>-68.819449228458041</v>
      </c>
      <c r="C369" s="43">
        <v>-3.9960303491630569</v>
      </c>
    </row>
    <row r="370" spans="1:3" x14ac:dyDescent="0.25">
      <c r="A370" s="41">
        <v>-241</v>
      </c>
      <c r="B370" s="43">
        <v>-68.813369121783154</v>
      </c>
      <c r="C370" s="43">
        <v>-3.9994699406790151</v>
      </c>
    </row>
    <row r="371" spans="1:3" x14ac:dyDescent="0.25">
      <c r="A371" s="41">
        <v>-242</v>
      </c>
      <c r="B371" s="43">
        <v>-68.807025611379402</v>
      </c>
      <c r="C371" s="43">
        <v>-4.0029137795314202</v>
      </c>
    </row>
    <row r="372" spans="1:3" x14ac:dyDescent="0.25">
      <c r="A372" s="39">
        <v>-243</v>
      </c>
      <c r="B372" s="43">
        <v>-68.800392665420574</v>
      </c>
      <c r="C372" s="43">
        <v>-4.0063662231166193</v>
      </c>
    </row>
    <row r="373" spans="1:3" x14ac:dyDescent="0.25">
      <c r="A373" s="39">
        <v>-244</v>
      </c>
      <c r="B373" s="43">
        <v>-68.793440831848855</v>
      </c>
      <c r="C373" s="43">
        <v>-4.0098317812112327</v>
      </c>
    </row>
    <row r="374" spans="1:3" x14ac:dyDescent="0.25">
      <c r="A374" s="41">
        <v>-245</v>
      </c>
      <c r="B374" s="43">
        <v>-68.786136624678065</v>
      </c>
      <c r="C374" s="43">
        <v>-4.013315156261152</v>
      </c>
    </row>
    <row r="375" spans="1:3" x14ac:dyDescent="0.25">
      <c r="A375" s="41">
        <v>-246</v>
      </c>
      <c r="B375" s="43">
        <v>-68.778441769952138</v>
      </c>
      <c r="C375" s="43">
        <v>-4.0168212883826513</v>
      </c>
    </row>
    <row r="376" spans="1:3" x14ac:dyDescent="0.25">
      <c r="A376" s="39">
        <v>-247</v>
      </c>
      <c r="B376" s="43">
        <v>-68.770312273607516</v>
      </c>
      <c r="C376" s="43">
        <v>-4.0203554073516869</v>
      </c>
    </row>
    <row r="377" spans="1:3" x14ac:dyDescent="0.25">
      <c r="A377" s="39">
        <v>-248</v>
      </c>
      <c r="B377" s="43">
        <v>-68.761697260002137</v>
      </c>
      <c r="C377" s="43">
        <v>-4.0239230940367063</v>
      </c>
    </row>
    <row r="378" spans="1:3" x14ac:dyDescent="0.25">
      <c r="A378" s="41">
        <v>-249</v>
      </c>
      <c r="B378" s="43">
        <v>-68.752537508174314</v>
      </c>
      <c r="C378" s="43">
        <v>-4.027530352001385</v>
      </c>
    </row>
    <row r="379" spans="1:3" x14ac:dyDescent="0.25">
      <c r="A379" s="41">
        <v>-250</v>
      </c>
      <c r="B379" s="43">
        <v>-68.742763591154713</v>
      </c>
      <c r="C379" s="43">
        <v>-4.0311836937476153</v>
      </c>
    </row>
    <row r="380" spans="1:3" x14ac:dyDescent="0.25">
      <c r="A380" s="39">
        <v>-251</v>
      </c>
      <c r="B380" s="43">
        <v>-68.732293483127577</v>
      </c>
      <c r="C380" s="43">
        <v>-4.0348902451437194</v>
      </c>
    </row>
    <row r="381" spans="1:3" x14ac:dyDescent="0.25">
      <c r="A381" s="39">
        <v>-252</v>
      </c>
      <c r="B381" s="43">
        <v>-68.721029444691993</v>
      </c>
      <c r="C381" s="43">
        <v>-4.0386578734937686</v>
      </c>
    </row>
    <row r="382" spans="1:3" x14ac:dyDescent="0.25">
      <c r="A382" s="41">
        <v>-253</v>
      </c>
      <c r="B382" s="43">
        <v>-68.708853914569843</v>
      </c>
      <c r="C382" s="43">
        <v>-4.0424953471742944</v>
      </c>
    </row>
    <row r="383" spans="1:3" x14ac:dyDescent="0.25">
      <c r="A383" s="41">
        <v>-254</v>
      </c>
      <c r="B383" s="43">
        <v>-68.695624007965719</v>
      </c>
      <c r="C383" s="43">
        <v>-4.0464125360343157</v>
      </c>
    </row>
    <row r="384" spans="1:3" x14ac:dyDescent="0.25">
      <c r="A384" s="39">
        <v>-255</v>
      </c>
      <c r="B384" s="43">
        <v>-68.681164029645885</v>
      </c>
      <c r="C384" s="43">
        <v>-4.0504206687845974</v>
      </c>
    </row>
    <row r="385" spans="1:3" x14ac:dyDescent="0.25">
      <c r="A385" s="39">
        <v>-256</v>
      </c>
      <c r="B385" s="43">
        <v>-68.665255092328366</v>
      </c>
      <c r="C385" s="43">
        <v>-4.0545326670616211</v>
      </c>
    </row>
    <row r="386" spans="1:3" x14ac:dyDescent="0.25">
      <c r="A386" s="41">
        <v>-257</v>
      </c>
      <c r="B386" s="43">
        <v>-68.64762042030803</v>
      </c>
      <c r="C386" s="43">
        <v>-4.0587635885496738</v>
      </c>
    </row>
    <row r="387" spans="1:3" x14ac:dyDescent="0.25">
      <c r="A387" s="41">
        <v>-258</v>
      </c>
      <c r="B387" s="43">
        <v>-68.627904042093718</v>
      </c>
      <c r="C387" s="43">
        <v>-4.0631312246652938</v>
      </c>
    </row>
    <row r="388" spans="1:3" x14ac:dyDescent="0.25">
      <c r="A388" s="39">
        <v>-259</v>
      </c>
      <c r="B388" s="43">
        <v>-68.605639046821764</v>
      </c>
      <c r="C388" s="43">
        <v>-4.0676569271390521</v>
      </c>
    </row>
    <row r="389" spans="1:3" x14ac:dyDescent="0.25">
      <c r="A389" s="39">
        <v>-260</v>
      </c>
      <c r="B389" s="43">
        <v>-68.580198768943347</v>
      </c>
      <c r="C389" s="43">
        <v>-4.0723667803231605</v>
      </c>
    </row>
    <row r="390" spans="1:3" x14ac:dyDescent="0.25">
      <c r="A390" s="41">
        <v>-261</v>
      </c>
      <c r="B390" s="43">
        <v>-68.550718870871023</v>
      </c>
      <c r="C390" s="43">
        <v>-4.0772933158292348</v>
      </c>
    </row>
    <row r="391" spans="1:3" x14ac:dyDescent="0.25">
      <c r="A391" s="41">
        <v>-262</v>
      </c>
      <c r="B391" s="43">
        <v>-68.51596731480771</v>
      </c>
      <c r="C391" s="43">
        <v>-4.0824781130459229</v>
      </c>
    </row>
    <row r="392" spans="1:3" x14ac:dyDescent="0.25">
      <c r="A392" s="39">
        <v>-263</v>
      </c>
      <c r="B392" s="43">
        <v>-68.474115300917646</v>
      </c>
      <c r="C392" s="43">
        <v>-4.0879759203265307</v>
      </c>
    </row>
    <row r="393" spans="1:3" x14ac:dyDescent="0.25">
      <c r="A393" s="39">
        <v>-264</v>
      </c>
      <c r="B393" s="43">
        <v>-68.422305601920129</v>
      </c>
      <c r="C393" s="43">
        <v>-4.0938615517372172</v>
      </c>
    </row>
    <row r="394" spans="1:3" x14ac:dyDescent="0.25">
      <c r="A394" s="41">
        <v>-265</v>
      </c>
      <c r="B394" s="43">
        <v>-68.355765573000099</v>
      </c>
      <c r="C394" s="43">
        <v>-4.1002422613407727</v>
      </c>
    </row>
    <row r="395" spans="1:3" x14ac:dyDescent="0.25">
      <c r="A395" s="41">
        <v>-266</v>
      </c>
      <c r="B395" s="43">
        <v>-68.265761021110947</v>
      </c>
      <c r="C395" s="43">
        <v>-4.1072820923612978</v>
      </c>
    </row>
    <row r="396" spans="1:3" x14ac:dyDescent="0.25">
      <c r="A396" s="39">
        <v>-267</v>
      </c>
      <c r="B396" s="43">
        <v>-68.134034112914975</v>
      </c>
      <c r="C396" s="43">
        <v>-4.1152564229783426</v>
      </c>
    </row>
    <row r="397" spans="1:3" x14ac:dyDescent="0.25">
      <c r="A397" s="39">
        <v>-268</v>
      </c>
      <c r="B397" s="43">
        <v>-67.913261758736297</v>
      </c>
      <c r="C397" s="43">
        <v>-4.1247010425252464</v>
      </c>
    </row>
    <row r="398" spans="1:3" x14ac:dyDescent="0.25">
      <c r="A398" s="41">
        <v>-269</v>
      </c>
      <c r="B398" s="43">
        <v>-67.415226518271837</v>
      </c>
      <c r="C398" s="43">
        <v>-4.1369970102459055</v>
      </c>
    </row>
    <row r="399" spans="1:3" x14ac:dyDescent="0.25">
      <c r="A399" s="41">
        <v>-270</v>
      </c>
      <c r="B399" s="43">
        <v>-62.865000000000173</v>
      </c>
      <c r="C399" s="43">
        <v>-4.1575889615559554</v>
      </c>
    </row>
    <row r="400" spans="1:3" x14ac:dyDescent="0.25">
      <c r="A400" s="39">
        <v>-271</v>
      </c>
      <c r="B400" s="43">
        <v>-58.314773481728103</v>
      </c>
      <c r="C400" s="43">
        <v>-4.136997010246005</v>
      </c>
    </row>
    <row r="401" spans="1:3" x14ac:dyDescent="0.25">
      <c r="A401" s="39">
        <v>-272</v>
      </c>
      <c r="B401" s="43">
        <v>-57.816738241263792</v>
      </c>
      <c r="C401" s="43">
        <v>-4.1247010425251887</v>
      </c>
    </row>
    <row r="402" spans="1:3" x14ac:dyDescent="0.25">
      <c r="A402" s="41">
        <v>-273</v>
      </c>
      <c r="B402" s="43">
        <v>-57.595965887084965</v>
      </c>
      <c r="C402" s="43">
        <v>-4.1152564229783577</v>
      </c>
    </row>
    <row r="403" spans="1:3" x14ac:dyDescent="0.25">
      <c r="A403" s="41">
        <v>-274</v>
      </c>
      <c r="B403" s="43">
        <v>-57.464238978889078</v>
      </c>
      <c r="C403" s="43">
        <v>-4.1072820923612863</v>
      </c>
    </row>
    <row r="404" spans="1:3" x14ac:dyDescent="0.25">
      <c r="A404" s="39">
        <v>-275</v>
      </c>
      <c r="B404" s="43">
        <v>-57.374234426999912</v>
      </c>
      <c r="C404" s="43">
        <v>-4.1002422613407985</v>
      </c>
    </row>
    <row r="405" spans="1:3" x14ac:dyDescent="0.25">
      <c r="A405" s="39">
        <v>-276</v>
      </c>
      <c r="B405" s="43">
        <v>-57.307694398079896</v>
      </c>
      <c r="C405" s="43">
        <v>-4.0938615517372572</v>
      </c>
    </row>
    <row r="406" spans="1:3" x14ac:dyDescent="0.25">
      <c r="A406" s="41">
        <v>-277</v>
      </c>
      <c r="B406" s="43">
        <v>-57.25588469908238</v>
      </c>
      <c r="C406" s="43">
        <v>-4.0879759203265191</v>
      </c>
    </row>
    <row r="407" spans="1:3" x14ac:dyDescent="0.25">
      <c r="A407" s="41">
        <v>-278</v>
      </c>
      <c r="B407" s="43">
        <v>-57.214032685192343</v>
      </c>
      <c r="C407" s="43">
        <v>-4.0824781130458963</v>
      </c>
    </row>
    <row r="408" spans="1:3" x14ac:dyDescent="0.25">
      <c r="A408" s="39">
        <v>-279</v>
      </c>
      <c r="B408" s="43">
        <v>-57.179281129128952</v>
      </c>
      <c r="C408" s="43">
        <v>-4.077293315829249</v>
      </c>
    </row>
    <row r="409" spans="1:3" x14ac:dyDescent="0.25">
      <c r="A409" s="39">
        <v>-280</v>
      </c>
      <c r="B409" s="43">
        <v>-57.149801231056657</v>
      </c>
      <c r="C409" s="43">
        <v>-4.0723667803231702</v>
      </c>
    </row>
    <row r="410" spans="1:3" x14ac:dyDescent="0.25">
      <c r="A410" s="41">
        <v>-281</v>
      </c>
      <c r="B410" s="43">
        <v>-57.124360953178204</v>
      </c>
      <c r="C410" s="43">
        <v>-4.0676569271390601</v>
      </c>
    </row>
    <row r="411" spans="1:3" x14ac:dyDescent="0.25">
      <c r="A411" s="41">
        <v>-282</v>
      </c>
      <c r="B411" s="43">
        <v>-57.102095957906322</v>
      </c>
      <c r="C411" s="43">
        <v>-4.0631312246652991</v>
      </c>
    </row>
    <row r="412" spans="1:3" x14ac:dyDescent="0.25">
      <c r="A412" s="39">
        <v>-283</v>
      </c>
      <c r="B412" s="43">
        <v>-57.082379579692002</v>
      </c>
      <c r="C412" s="43">
        <v>-4.0587635885496844</v>
      </c>
    </row>
    <row r="413" spans="1:3" x14ac:dyDescent="0.25">
      <c r="A413" s="39">
        <v>-284</v>
      </c>
      <c r="B413" s="43">
        <v>-57.064744907671624</v>
      </c>
      <c r="C413" s="43">
        <v>-4.0545326670616246</v>
      </c>
    </row>
    <row r="414" spans="1:3" x14ac:dyDescent="0.25">
      <c r="A414" s="41">
        <v>-285</v>
      </c>
      <c r="B414" s="43">
        <v>-57.048835970354112</v>
      </c>
      <c r="C414" s="43">
        <v>-4.0504206687845992</v>
      </c>
    </row>
    <row r="415" spans="1:3" x14ac:dyDescent="0.25">
      <c r="A415" s="41">
        <v>-286</v>
      </c>
      <c r="B415" s="43">
        <v>-57.034375992034256</v>
      </c>
      <c r="C415" s="43">
        <v>-4.0464125360343139</v>
      </c>
    </row>
    <row r="416" spans="1:3" x14ac:dyDescent="0.25">
      <c r="A416" s="39">
        <v>-287</v>
      </c>
      <c r="B416" s="43">
        <v>-57.021146085430139</v>
      </c>
      <c r="C416" s="43">
        <v>-4.0424953471742642</v>
      </c>
    </row>
    <row r="417" spans="1:3" x14ac:dyDescent="0.25">
      <c r="A417" s="39">
        <v>-288</v>
      </c>
      <c r="B417" s="43">
        <v>-57.008970555308046</v>
      </c>
      <c r="C417" s="43">
        <v>-4.0386578734937748</v>
      </c>
    </row>
    <row r="418" spans="1:3" x14ac:dyDescent="0.25">
      <c r="A418" s="41">
        <v>-289</v>
      </c>
      <c r="B418" s="43">
        <v>-56.997706516872427</v>
      </c>
      <c r="C418" s="43">
        <v>-4.0348902451437292</v>
      </c>
    </row>
    <row r="419" spans="1:3" x14ac:dyDescent="0.25">
      <c r="A419" s="41">
        <v>-290</v>
      </c>
      <c r="B419" s="43">
        <v>-56.987236408845305</v>
      </c>
      <c r="C419" s="43">
        <v>-4.0311836937476118</v>
      </c>
    </row>
    <row r="420" spans="1:3" x14ac:dyDescent="0.25">
      <c r="A420" s="39">
        <v>-291</v>
      </c>
      <c r="B420" s="43">
        <v>-56.977462491825705</v>
      </c>
      <c r="C420" s="43">
        <v>-4.0275303520013788</v>
      </c>
    </row>
    <row r="421" spans="1:3" x14ac:dyDescent="0.25">
      <c r="A421" s="39">
        <v>-292</v>
      </c>
      <c r="B421" s="43">
        <v>-56.968302739997817</v>
      </c>
      <c r="C421" s="43">
        <v>-4.0239230940367214</v>
      </c>
    </row>
    <row r="422" spans="1:3" x14ac:dyDescent="0.25">
      <c r="A422" s="41">
        <v>-293</v>
      </c>
      <c r="B422" s="43">
        <v>-56.959687726392481</v>
      </c>
      <c r="C422" s="43">
        <v>-4.020355407351679</v>
      </c>
    </row>
    <row r="423" spans="1:3" x14ac:dyDescent="0.25">
      <c r="A423" s="41">
        <v>-294</v>
      </c>
      <c r="B423" s="43">
        <v>-56.951558230047894</v>
      </c>
      <c r="C423" s="43">
        <v>-4.0168212883826317</v>
      </c>
    </row>
    <row r="424" spans="1:3" x14ac:dyDescent="0.25">
      <c r="A424" s="39">
        <v>-295</v>
      </c>
      <c r="B424" s="43">
        <v>-56.943863375321911</v>
      </c>
      <c r="C424" s="43">
        <v>-4.0133151562611404</v>
      </c>
    </row>
    <row r="425" spans="1:3" x14ac:dyDescent="0.25">
      <c r="A425" s="39">
        <v>-296</v>
      </c>
      <c r="B425" s="43">
        <v>-56.936559168151149</v>
      </c>
      <c r="C425" s="43">
        <v>-4.0098317812112301</v>
      </c>
    </row>
    <row r="426" spans="1:3" x14ac:dyDescent="0.25">
      <c r="A426" s="41">
        <v>-297</v>
      </c>
      <c r="B426" s="43">
        <v>-56.929607334579423</v>
      </c>
      <c r="C426" s="43">
        <v>-4.0063662231165909</v>
      </c>
    </row>
    <row r="427" spans="1:3" x14ac:dyDescent="0.25">
      <c r="A427" s="41">
        <v>-298</v>
      </c>
      <c r="B427" s="43">
        <v>-56.922974388620617</v>
      </c>
      <c r="C427" s="43">
        <v>-4.0029137795314096</v>
      </c>
    </row>
    <row r="428" spans="1:3" x14ac:dyDescent="0.25">
      <c r="A428" s="39">
        <v>-299</v>
      </c>
      <c r="B428" s="43">
        <v>-56.916630878216878</v>
      </c>
      <c r="C428" s="43">
        <v>-3.9994699406790253</v>
      </c>
    </row>
    <row r="429" spans="1:3" x14ac:dyDescent="0.25">
      <c r="A429" s="39">
        <v>-300</v>
      </c>
      <c r="B429" s="43">
        <v>-56.910550771541956</v>
      </c>
      <c r="C429" s="43">
        <v>-3.9960303491630489</v>
      </c>
    </row>
    <row r="430" spans="1:3" x14ac:dyDescent="0.25">
      <c r="A430" s="41">
        <v>-301</v>
      </c>
      <c r="B430" s="43">
        <v>-56.90471095210539</v>
      </c>
      <c r="C430" s="43">
        <v>-3.9925907646452812</v>
      </c>
    </row>
    <row r="431" spans="1:3" x14ac:dyDescent="0.25">
      <c r="A431" s="41">
        <v>-302</v>
      </c>
      <c r="B431" s="43">
        <v>-56.89909080128303</v>
      </c>
      <c r="C431" s="43">
        <v>-3.989147031784904</v>
      </c>
    </row>
    <row r="432" spans="1:3" x14ac:dyDescent="0.25">
      <c r="A432" s="39">
        <v>-303</v>
      </c>
      <c r="B432" s="43">
        <v>-56.893671851280224</v>
      </c>
      <c r="C432" s="43">
        <v>-3.9856950504342095</v>
      </c>
    </row>
    <row r="433" spans="1:3" x14ac:dyDescent="0.25">
      <c r="A433" s="39">
        <v>-304</v>
      </c>
      <c r="B433" s="43">
        <v>-56.88843749389823</v>
      </c>
      <c r="C433" s="43">
        <v>-3.9822307482086261</v>
      </c>
    </row>
    <row r="434" spans="1:3" x14ac:dyDescent="0.25">
      <c r="A434" s="41">
        <v>-305</v>
      </c>
      <c r="B434" s="43">
        <v>-56.883372735535275</v>
      </c>
      <c r="C434" s="43">
        <v>-3.9787500541977225</v>
      </c>
    </row>
    <row r="435" spans="1:3" x14ac:dyDescent="0.25">
      <c r="A435" s="41">
        <v>-306</v>
      </c>
      <c r="B435" s="43">
        <v>-56.878463989299419</v>
      </c>
      <c r="C435" s="43">
        <v>-3.9752488738440936</v>
      </c>
    </row>
    <row r="436" spans="1:3" x14ac:dyDescent="0.25">
      <c r="A436" s="39">
        <v>-307</v>
      </c>
      <c r="B436" s="43">
        <v>-56.873698898586653</v>
      </c>
      <c r="C436" s="43">
        <v>-3.9717230638832932</v>
      </c>
    </row>
    <row r="437" spans="1:3" x14ac:dyDescent="0.25">
      <c r="A437" s="39">
        <v>-308</v>
      </c>
      <c r="B437" s="43">
        <v>-56.869066185070594</v>
      </c>
      <c r="C437" s="43">
        <v>-3.9681684080858832</v>
      </c>
    </row>
    <row r="438" spans="1:3" x14ac:dyDescent="0.25">
      <c r="A438" s="41">
        <v>-309</v>
      </c>
      <c r="B438" s="43">
        <v>-56.864555519130256</v>
      </c>
      <c r="C438" s="43">
        <v>-3.9645805918758046</v>
      </c>
    </row>
    <row r="439" spans="1:3" x14ac:dyDescent="0.25">
      <c r="A439" s="41">
        <v>-310</v>
      </c>
      <c r="B439" s="43">
        <v>-56.860157406644667</v>
      </c>
      <c r="C439" s="43">
        <v>-3.9609551771573592</v>
      </c>
    </row>
    <row r="440" spans="1:3" x14ac:dyDescent="0.25">
      <c r="A440" s="39">
        <v>-311</v>
      </c>
      <c r="B440" s="43">
        <v>-56.855863091836071</v>
      </c>
      <c r="C440" s="43">
        <v>-3.9572875753039169</v>
      </c>
    </row>
    <row r="441" spans="1:3" x14ac:dyDescent="0.25">
      <c r="A441" s="39">
        <v>-312</v>
      </c>
      <c r="B441" s="43">
        <v>-56.851664471285993</v>
      </c>
      <c r="C441" s="43">
        <v>-3.953573019585265</v>
      </c>
    </row>
    <row r="442" spans="1:3" x14ac:dyDescent="0.25">
      <c r="A442" s="41">
        <v>-313</v>
      </c>
      <c r="B442" s="43">
        <v>-56.847554019747662</v>
      </c>
      <c r="C442" s="43">
        <v>-3.9498065349432392</v>
      </c>
    </row>
    <row r="443" spans="1:3" x14ac:dyDescent="0.25">
      <c r="A443" s="41">
        <v>-314</v>
      </c>
      <c r="B443" s="43">
        <v>-56.84352472354724</v>
      </c>
      <c r="C443" s="43">
        <v>-3.9459829063719325</v>
      </c>
    </row>
    <row r="444" spans="1:3" x14ac:dyDescent="0.25">
      <c r="A444" s="39">
        <v>-315</v>
      </c>
      <c r="B444" s="43">
        <v>-56.839570023100563</v>
      </c>
      <c r="C444" s="43">
        <v>-3.9420966435374951</v>
      </c>
    </row>
    <row r="445" spans="1:3" x14ac:dyDescent="0.25">
      <c r="A445" s="39">
        <v>-316</v>
      </c>
      <c r="B445" s="43">
        <v>-56.835683760210962</v>
      </c>
      <c r="C445" s="43">
        <v>-3.9381419431749012</v>
      </c>
    </row>
    <row r="446" spans="1:3" x14ac:dyDescent="0.25">
      <c r="A446" s="41">
        <v>-317</v>
      </c>
      <c r="B446" s="43">
        <v>-56.831860131592691</v>
      </c>
      <c r="C446" s="43">
        <v>-3.9341126470717227</v>
      </c>
    </row>
    <row r="447" spans="1:3" x14ac:dyDescent="0.25">
      <c r="A447" s="41">
        <v>-318</v>
      </c>
      <c r="B447" s="43">
        <v>-56.828093647072819</v>
      </c>
      <c r="C447" s="43">
        <v>-3.9300021954004802</v>
      </c>
    </row>
    <row r="448" spans="1:3" x14ac:dyDescent="0.25">
      <c r="A448" s="39">
        <v>-319</v>
      </c>
      <c r="B448" s="43">
        <v>-56.824379091316111</v>
      </c>
      <c r="C448" s="43">
        <v>-3.9258035748598443</v>
      </c>
    </row>
    <row r="449" spans="1:3" x14ac:dyDescent="0.25">
      <c r="A449" s="39">
        <v>-320</v>
      </c>
      <c r="B449" s="43">
        <v>-56.820711489586834</v>
      </c>
      <c r="C449" s="43">
        <v>-3.9215092599300405</v>
      </c>
    </row>
    <row r="450" spans="1:3" x14ac:dyDescent="0.25">
      <c r="A450" s="41">
        <v>-321</v>
      </c>
      <c r="B450" s="43">
        <v>-56.817086074781223</v>
      </c>
      <c r="C450" s="43">
        <v>-3.917111147529198</v>
      </c>
    </row>
    <row r="451" spans="1:3" x14ac:dyDescent="0.25">
      <c r="A451" s="41">
        <v>-322</v>
      </c>
      <c r="B451" s="43">
        <v>-56.813498258707128</v>
      </c>
      <c r="C451" s="43">
        <v>-3.9126004814980972</v>
      </c>
    </row>
    <row r="452" spans="1:3" x14ac:dyDescent="0.25">
      <c r="A452" s="39">
        <v>-323</v>
      </c>
      <c r="B452" s="43">
        <v>-56.80994360282687</v>
      </c>
      <c r="C452" s="43">
        <v>-3.907967768075753</v>
      </c>
    </row>
    <row r="453" spans="1:3" x14ac:dyDescent="0.25">
      <c r="A453" s="39">
        <v>-324</v>
      </c>
      <c r="B453" s="43">
        <v>-56.806417792818408</v>
      </c>
      <c r="C453" s="43">
        <v>-3.9032026773826676</v>
      </c>
    </row>
    <row r="454" spans="1:3" x14ac:dyDescent="0.25">
      <c r="A454" s="41">
        <v>-325</v>
      </c>
      <c r="B454" s="43">
        <v>-56.802916612369934</v>
      </c>
      <c r="C454" s="43">
        <v>-3.8982939312397553</v>
      </c>
    </row>
    <row r="455" spans="1:3" x14ac:dyDescent="0.25">
      <c r="A455" s="41">
        <v>-326</v>
      </c>
      <c r="B455" s="43">
        <v>-56.79943591849878</v>
      </c>
      <c r="C455" s="43">
        <v>-3.8932291727683466</v>
      </c>
    </row>
    <row r="456" spans="1:3" x14ac:dyDescent="0.25">
      <c r="A456" s="39">
        <v>-327</v>
      </c>
      <c r="B456" s="43">
        <v>-56.795971616302445</v>
      </c>
      <c r="C456" s="43">
        <v>-3.8879948153628265</v>
      </c>
    </row>
    <row r="457" spans="1:3" x14ac:dyDescent="0.25">
      <c r="A457" s="39">
        <v>-328</v>
      </c>
      <c r="B457" s="43">
        <v>-56.792519634915301</v>
      </c>
      <c r="C457" s="43">
        <v>-3.8825758653708209</v>
      </c>
    </row>
    <row r="458" spans="1:3" x14ac:dyDescent="0.25">
      <c r="A458" s="41">
        <v>-329</v>
      </c>
      <c r="B458" s="43">
        <v>-56.789075902034902</v>
      </c>
      <c r="C458" s="43">
        <v>-3.8769557145549753</v>
      </c>
    </row>
    <row r="459" spans="1:3" x14ac:dyDescent="0.25">
      <c r="A459" s="41">
        <v>-330</v>
      </c>
      <c r="B459" s="43">
        <v>-56.785636317552829</v>
      </c>
      <c r="C459" s="43">
        <v>-3.8711158950617146</v>
      </c>
    </row>
    <row r="460" spans="1:3" x14ac:dyDescent="0.25">
      <c r="A460" s="39">
        <v>-331</v>
      </c>
      <c r="B460" s="43">
        <v>-56.782196726074382</v>
      </c>
      <c r="C460" s="43">
        <v>-3.8650357883690361</v>
      </c>
    </row>
    <row r="461" spans="1:3" x14ac:dyDescent="0.25">
      <c r="A461" s="39">
        <v>-332</v>
      </c>
      <c r="B461" s="43">
        <v>-56.778752887219014</v>
      </c>
      <c r="C461" s="43">
        <v>-3.8586922779763539</v>
      </c>
    </row>
    <row r="462" spans="1:3" x14ac:dyDescent="0.25">
      <c r="A462" s="41">
        <v>-333</v>
      </c>
      <c r="B462" s="43">
        <v>-56.775300443711039</v>
      </c>
      <c r="C462" s="43">
        <v>-3.8520593319342851</v>
      </c>
    </row>
    <row r="463" spans="1:3" x14ac:dyDescent="0.25">
      <c r="A463" s="41">
        <v>-334</v>
      </c>
      <c r="B463" s="43">
        <v>-56.771834885524861</v>
      </c>
      <c r="C463" s="43">
        <v>-3.8451074984610312</v>
      </c>
    </row>
    <row r="464" spans="1:3" x14ac:dyDescent="0.25">
      <c r="A464" s="39">
        <v>-335</v>
      </c>
      <c r="B464" s="43">
        <v>-56.768351510306509</v>
      </c>
      <c r="C464" s="43">
        <v>-3.8378032914218325</v>
      </c>
    </row>
    <row r="465" spans="1:3" x14ac:dyDescent="0.25">
      <c r="A465" s="39">
        <v>-336</v>
      </c>
      <c r="B465" s="43">
        <v>-56.764845378292712</v>
      </c>
      <c r="C465" s="43">
        <v>-3.83010843658941</v>
      </c>
    </row>
    <row r="466" spans="1:3" x14ac:dyDescent="0.25">
      <c r="A466" s="41">
        <v>-337</v>
      </c>
      <c r="B466" s="43">
        <v>-56.761311259349981</v>
      </c>
      <c r="C466" s="43">
        <v>-3.821978940263699</v>
      </c>
    </row>
    <row r="467" spans="1:3" x14ac:dyDescent="0.25">
      <c r="A467" s="41">
        <v>-338</v>
      </c>
      <c r="B467" s="43">
        <v>-56.757743572516141</v>
      </c>
      <c r="C467" s="43">
        <v>-3.8133639267605846</v>
      </c>
    </row>
    <row r="468" spans="1:3" x14ac:dyDescent="0.25">
      <c r="A468" s="39">
        <v>-339</v>
      </c>
      <c r="B468" s="43">
        <v>-56.75413631457446</v>
      </c>
      <c r="C468" s="43">
        <v>-3.8042041749031563</v>
      </c>
    </row>
    <row r="469" spans="1:3" x14ac:dyDescent="0.25">
      <c r="A469" s="39">
        <v>-340</v>
      </c>
      <c r="B469" s="43">
        <v>-56.750482972962956</v>
      </c>
      <c r="C469" s="43">
        <v>-3.7944302577762303</v>
      </c>
    </row>
    <row r="470" spans="1:3" x14ac:dyDescent="0.25">
      <c r="A470" s="41">
        <v>-341</v>
      </c>
      <c r="B470" s="43">
        <v>-56.746776421522881</v>
      </c>
      <c r="C470" s="43">
        <v>-3.7839601497578101</v>
      </c>
    </row>
    <row r="471" spans="1:3" x14ac:dyDescent="0.25">
      <c r="A471" s="41">
        <v>-342</v>
      </c>
      <c r="B471" s="43">
        <v>-56.743008793106611</v>
      </c>
      <c r="C471" s="43">
        <v>-3.7726961114249113</v>
      </c>
    </row>
    <row r="472" spans="1:3" x14ac:dyDescent="0.25">
      <c r="A472" s="39">
        <v>-343</v>
      </c>
      <c r="B472" s="43">
        <v>-56.739171319542095</v>
      </c>
      <c r="C472" s="43">
        <v>-3.760520581239692</v>
      </c>
    </row>
    <row r="473" spans="1:3" x14ac:dyDescent="0.25">
      <c r="A473" s="39">
        <v>-344</v>
      </c>
      <c r="B473" s="43">
        <v>-56.735254130552327</v>
      </c>
      <c r="C473" s="43">
        <v>-3.7472906747047396</v>
      </c>
    </row>
    <row r="474" spans="1:3" x14ac:dyDescent="0.25">
      <c r="A474" s="41">
        <v>-345</v>
      </c>
      <c r="B474" s="43">
        <v>-56.731245997929712</v>
      </c>
      <c r="C474" s="43">
        <v>-3.7328306962561357</v>
      </c>
    </row>
    <row r="475" spans="1:3" x14ac:dyDescent="0.25">
      <c r="A475" s="41">
        <v>-346</v>
      </c>
      <c r="B475" s="43">
        <v>-56.727133999553828</v>
      </c>
      <c r="C475" s="43">
        <v>-3.7169217590073442</v>
      </c>
    </row>
    <row r="476" spans="1:3" x14ac:dyDescent="0.25">
      <c r="A476" s="39">
        <v>-347</v>
      </c>
      <c r="B476" s="43">
        <v>-56.722903078095072</v>
      </c>
      <c r="C476" s="43">
        <v>-3.699287086968531</v>
      </c>
    </row>
    <row r="477" spans="1:3" x14ac:dyDescent="0.25">
      <c r="A477" s="39">
        <v>-348</v>
      </c>
      <c r="B477" s="43">
        <v>-56.718535442080622</v>
      </c>
      <c r="C477" s="43">
        <v>-3.6795707086989604</v>
      </c>
    </row>
    <row r="478" spans="1:3" x14ac:dyDescent="0.25">
      <c r="A478" s="41">
        <v>-349</v>
      </c>
      <c r="B478" s="43">
        <v>-56.7140097396545</v>
      </c>
      <c r="C478" s="43">
        <v>-3.6573057134024398</v>
      </c>
    </row>
    <row r="479" spans="1:3" x14ac:dyDescent="0.25">
      <c r="A479" s="41">
        <v>-350</v>
      </c>
      <c r="B479" s="43">
        <v>-56.709299886343608</v>
      </c>
      <c r="C479" s="43">
        <v>-3.6318654356016409</v>
      </c>
    </row>
    <row r="480" spans="1:3" x14ac:dyDescent="0.25">
      <c r="A480" s="39">
        <v>-351</v>
      </c>
      <c r="B480" s="43">
        <v>-56.704373350795493</v>
      </c>
      <c r="C480" s="43">
        <v>-3.602385537575274</v>
      </c>
    </row>
    <row r="481" spans="1:3" x14ac:dyDescent="0.25">
      <c r="A481" s="39">
        <v>-352</v>
      </c>
      <c r="B481" s="43">
        <v>-56.699188553632929</v>
      </c>
      <c r="C481" s="43">
        <v>-3.5676339814968165</v>
      </c>
    </row>
    <row r="482" spans="1:3" x14ac:dyDescent="0.25">
      <c r="A482" s="41">
        <v>-353</v>
      </c>
      <c r="B482" s="43">
        <v>-56.693690746309649</v>
      </c>
      <c r="C482" s="43">
        <v>-3.5257819675758735</v>
      </c>
    </row>
    <row r="483" spans="1:3" x14ac:dyDescent="0.25">
      <c r="A483" s="41">
        <v>-354</v>
      </c>
      <c r="B483" s="43">
        <v>-56.687805114872425</v>
      </c>
      <c r="C483" s="43">
        <v>-3.473972268567842</v>
      </c>
    </row>
    <row r="484" spans="1:3" x14ac:dyDescent="0.25">
      <c r="A484" s="39">
        <v>-355</v>
      </c>
      <c r="B484" s="43">
        <v>-56.681424405374813</v>
      </c>
      <c r="C484" s="43">
        <v>-3.4074322396467971</v>
      </c>
    </row>
    <row r="485" spans="1:3" x14ac:dyDescent="0.25">
      <c r="A485" s="39">
        <v>-356</v>
      </c>
      <c r="B485" s="43">
        <v>-56.674384574494511</v>
      </c>
      <c r="C485" s="43">
        <v>-3.3174276876342113</v>
      </c>
    </row>
    <row r="486" spans="1:3" x14ac:dyDescent="0.25">
      <c r="A486" s="41">
        <v>-357</v>
      </c>
      <c r="B486" s="43">
        <v>-56.666410243589212</v>
      </c>
      <c r="C486" s="43">
        <v>-3.1857007796200927</v>
      </c>
    </row>
    <row r="487" spans="1:3" x14ac:dyDescent="0.25">
      <c r="A487" s="41">
        <v>-358</v>
      </c>
      <c r="B487" s="43">
        <v>-56.656965624107308</v>
      </c>
      <c r="C487" s="43">
        <v>-2.9649284254370261</v>
      </c>
    </row>
    <row r="488" spans="1:3" x14ac:dyDescent="0.25">
      <c r="A488" s="39">
        <v>-359</v>
      </c>
      <c r="B488" s="43">
        <v>-56.644669656410819</v>
      </c>
      <c r="C488" s="43">
        <v>-2.4668931848983218</v>
      </c>
    </row>
    <row r="489" spans="1:3" x14ac:dyDescent="0.25">
      <c r="A489" s="39">
        <v>-360</v>
      </c>
      <c r="B489" s="43">
        <v>-56.62861655771529</v>
      </c>
      <c r="C489" s="43">
        <v>-4.1530760440493855E-14</v>
      </c>
    </row>
    <row r="490" spans="1:3" x14ac:dyDescent="0.25">
      <c r="A490" s="43"/>
      <c r="B490" s="43">
        <f>B129</f>
        <v>-56.628616557715134</v>
      </c>
      <c r="C490" s="43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2020-01-17T14:49:37Z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