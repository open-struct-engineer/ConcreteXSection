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B1C61C94-A8D7-4766-8595-63419204B8EA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B29" i="1"/>
  <c r="T106" i="1" l="1"/>
  <c r="V106" i="1"/>
  <c r="U106" i="1"/>
  <c r="S106" i="1"/>
  <c r="R106" i="1"/>
  <c r="Q106" i="1"/>
  <c r="P107" i="1"/>
  <c r="Q107" i="1" s="1"/>
  <c r="P106" i="1"/>
  <c r="B121" i="1"/>
  <c r="W106" i="1" l="1"/>
  <c r="Z106" i="1" s="1"/>
  <c r="R107" i="1"/>
  <c r="S107" i="1"/>
  <c r="Y106" i="1" l="1"/>
  <c r="X106" i="1"/>
  <c r="X114" i="1"/>
  <c r="X115" i="1"/>
  <c r="D120" i="1"/>
  <c r="X138" i="1" l="1"/>
  <c r="W136" i="1"/>
  <c r="V133" i="1"/>
  <c r="X133" i="1"/>
  <c r="X130" i="1"/>
  <c r="Q123" i="1" l="1"/>
  <c r="Q122" i="1"/>
  <c r="E120" i="1"/>
  <c r="R122" i="1" l="1"/>
  <c r="O119" i="1"/>
  <c r="O120" i="1" s="1"/>
  <c r="P119" i="1"/>
  <c r="P120" i="1" s="1"/>
  <c r="C490" i="1"/>
  <c r="B490" i="1"/>
  <c r="D490" i="1" s="1"/>
  <c r="Q120" i="1" l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103" i="1"/>
  <c r="B104" i="1"/>
  <c r="B105" i="1"/>
  <c r="C72" i="1"/>
  <c r="B107" i="1"/>
  <c r="C74" i="1"/>
  <c r="C75" i="1"/>
  <c r="B34" i="1"/>
  <c r="B30" i="1" l="1"/>
  <c r="V113" i="1"/>
  <c r="X113" i="1" s="1"/>
  <c r="Q129" i="1"/>
  <c r="F75" i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F108" i="1"/>
  <c r="F10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L119" i="1" l="1"/>
  <c r="W113" i="1"/>
  <c r="Y133" i="1"/>
  <c r="F114" i="1"/>
  <c r="H114" i="1" s="1"/>
  <c r="J114" i="1" s="1"/>
  <c r="F115" i="1"/>
  <c r="H115" i="1" s="1"/>
  <c r="J115" i="1" s="1"/>
  <c r="M113" i="1" l="1"/>
  <c r="W115" i="1"/>
  <c r="X116" i="1" s="1"/>
  <c r="W114" i="1"/>
  <c r="N115" i="1"/>
  <c r="Y134" i="1"/>
  <c r="M117" i="1"/>
  <c r="O117" i="1" s="1"/>
  <c r="O118" i="1" s="1"/>
  <c r="I125" i="1"/>
  <c r="H125" i="1"/>
  <c r="O113" i="1" l="1"/>
  <c r="P113" i="1"/>
  <c r="N113" i="1"/>
  <c r="W116" i="1"/>
  <c r="P117" i="1"/>
  <c r="P118" i="1" s="1"/>
  <c r="Q118" i="1" s="1"/>
  <c r="R120" i="1" s="1"/>
  <c r="Y136" i="1" a="1"/>
  <c r="Y136" i="1" s="1"/>
  <c r="Y138" i="1" s="1"/>
  <c r="R123" i="1"/>
  <c r="M119" i="1"/>
  <c r="Y13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<sst xmlns="http://schemas.openxmlformats.org/spreadsheetml/2006/main" count="159" uniqueCount="112">
  <si>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</si>
  <si>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</si>
  <si>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</si>
  <si>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</si>
  <si>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</si>
  <si>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</si>
  <si>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</si>
  <si>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</si>
  <si>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</si>
  <si>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</si>
  <si>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</si>
  <si>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</si>
  <si>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</si>
  <si>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</si>
  <si>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</si>
  <si>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</si>
  <si>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</si>
  <si>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</si>
  <si>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</si>
  <si>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</si>
  <si>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</si>
  <si>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</si>
  <si>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</si>
  <si>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</si>
  <si>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</si>
  <si>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</si>
  <si>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</si>
  <si>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</si>
  <si>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</si>
  <si>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</si>
  <si>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</si>
  <si>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</si>
  <si>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</si>
  <si>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</si>
  <si>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</si>
  <si>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</si>
  <si>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</si>
  <si>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</si>
  <si>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</si>
  <si>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</si>
  <si>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</si>
  <si>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</si>
  <si>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</si>
  <si>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</si>
  <si>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</si>
  <si>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</si>
  <si>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</si>
  <si>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</si>
  <si>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</si>
  <si>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</si>
  <si>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</si>
  <si>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</si>
  <si>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</si>
  <si>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</si>
  <si>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</si>
  <si>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</si>
  <si>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</si>
  <si>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</si>
  <si>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</si>
  <si>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</si>
  <si>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</si>
  <si>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</si>
  <si>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</si>
  <si>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</si>
  <si>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</si>
  <si>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</si>
  <si>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</si>
  <si>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</si>
  <si>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</si>
  <si>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</si>
  <si>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</si>
  <si>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</si>
  <si>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</si>
  <si>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</si>
  <si>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</si>
  <si>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</si>
  <si>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</si>
  <si>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</si>
  <si>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</si>
  <si>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</si>
  <si>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</si>
  <si>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</si>
  <si>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</si>
  <si>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</si>
  <si>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</si>
  <si>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</si>
  <si>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</si>
  <si>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</si>
  <si>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</si>
  <si>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</si>
  <si>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</si>
  <si>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</si>
  <si>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</si>
  <si>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</si>
  <si>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</si>
  <si>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</si>
  <si>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</si>
  <si>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</si>
  <si>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</si>
  <si>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</si>
  <si>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</si>
  <si>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</si>
  <si>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</si>
  <si>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</si>
  <si>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</si>
  <si>
    <t>Coordinate Transfermation to account for skewed tension zone</t>
  </si>
  <si>
    <t>Pn,shift</t>
  </si>
  <si>
    <t>Mx,shift</t>
  </si>
  <si>
    <t>My,shift</t>
  </si>
  <si>
    <t>Unit Vector:</t>
  </si>
  <si>
    <t>3D 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</si>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</sst>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-18.183946517148289</c:v>
                </c:pt>
                <c:pt idx="1">
                  <c:v>-8.2653723529339267</c:v>
                </c:pt>
                <c:pt idx="2">
                  <c:v>17.785524843423893</c:v>
                </c:pt>
                <c:pt idx="3">
                  <c:v>7.8669506792095314</c:v>
                </c:pt>
                <c:pt idx="4">
                  <c:v>-18.183946517148289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1.1309309842677893</c:v>
                </c:pt>
                <c:pt idx="1">
                  <c:v>-16.236333813304093</c:v>
                </c:pt>
                <c:pt idx="2">
                  <c:v>-1.3584725669825497</c:v>
                </c:pt>
                <c:pt idx="3">
                  <c:v>16.008792230589332</c:v>
                </c:pt>
                <c:pt idx="4">
                  <c:v>1.1309309842677893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-12.726778724791041</c:v>
                </c:pt>
                <c:pt idx="1">
                  <c:v>-6.7756342262624241</c:v>
                </c:pt>
                <c:pt idx="2">
                  <c:v>6.3772125525380261</c:v>
                </c:pt>
                <c:pt idx="3">
                  <c:v>9.3527848018023345</c:v>
                </c:pt>
                <c:pt idx="4">
                  <c:v>12.328357051066643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-0.35880714240371425</c:v>
                </c:pt>
                <c:pt idx="1">
                  <c:v>-10.779166020946843</c:v>
                </c:pt>
                <c:pt idx="2">
                  <c:v>10.551624438232082</c:v>
                </c:pt>
                <c:pt idx="3">
                  <c:v>5.3414449989605179</c:v>
                </c:pt>
                <c:pt idx="4">
                  <c:v>0.13126555968895381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-18.183946517148289</c:v>
                </c:pt>
                <c:pt idx="1">
                  <c:v>17.785524843423893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8.9741436603183971</c:v>
                </c:pt>
                <c:pt idx="1">
                  <c:v>8.9741436603183971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-18.183946517148289</c:v>
                </c:pt>
                <c:pt idx="1">
                  <c:v>17.785524843423893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10.381073374372583</c:v>
                </c:pt>
                <c:pt idx="1">
                  <c:v>10.381073374372583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11.080982796606479</c:v>
                </c:pt>
                <c:pt idx="3">
                  <c:v>-1.9870950701117702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10.381073374372583</c:v>
                </c:pt>
                <c:pt idx="3">
                  <c:v>10.381073374372583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17.785524843423893</c:v>
                </c:pt>
                <c:pt idx="1">
                  <c:v>-17.785524843423893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17.785524843423893</c:v>
                </c:pt>
                <c:pt idx="1">
                  <c:v>-17.785524843423893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200.84017433013869</c:v>
                </c:pt>
                <c:pt idx="1">
                  <c:v>200.18081502017588</c:v>
                </c:pt>
                <c:pt idx="2">
                  <c:v>199.45637085814033</c:v>
                </c:pt>
                <c:pt idx="3">
                  <c:v>198.66737323528926</c:v>
                </c:pt>
                <c:pt idx="4">
                  <c:v>197.81409628141427</c:v>
                </c:pt>
                <c:pt idx="5">
                  <c:v>196.89656435680058</c:v>
                </c:pt>
                <c:pt idx="6">
                  <c:v>195.91455776033138</c:v>
                </c:pt>
                <c:pt idx="7">
                  <c:v>194.86761682815481</c:v>
                </c:pt>
                <c:pt idx="8">
                  <c:v>193.75504438782238</c:v>
                </c:pt>
                <c:pt idx="9">
                  <c:v>192.5759065706923</c:v>
                </c:pt>
                <c:pt idx="10">
                  <c:v>191.32966099638696</c:v>
                </c:pt>
                <c:pt idx="11">
                  <c:v>190.16164556702103</c:v>
                </c:pt>
                <c:pt idx="12">
                  <c:v>189.15338023997168</c:v>
                </c:pt>
                <c:pt idx="13">
                  <c:v>188.27012301436986</c:v>
                </c:pt>
                <c:pt idx="14">
                  <c:v>187.48615910974226</c:v>
                </c:pt>
                <c:pt idx="15">
                  <c:v>186.7820117717531</c:v>
                </c:pt>
                <c:pt idx="16">
                  <c:v>186.14263076428554</c:v>
                </c:pt>
                <c:pt idx="17">
                  <c:v>185.55617879587342</c:v>
                </c:pt>
                <c:pt idx="18">
                  <c:v>185.013196501679</c:v>
                </c:pt>
                <c:pt idx="19">
                  <c:v>184.50601421888257</c:v>
                </c:pt>
                <c:pt idx="20">
                  <c:v>184.02832886069731</c:v>
                </c:pt>
                <c:pt idx="21">
                  <c:v>183.57489404154219</c:v>
                </c:pt>
                <c:pt idx="22">
                  <c:v>183.14128913492402</c:v>
                </c:pt>
                <c:pt idx="23">
                  <c:v>182.72374456561178</c:v>
                </c:pt>
                <c:pt idx="24">
                  <c:v>182.27009340553371</c:v>
                </c:pt>
                <c:pt idx="25">
                  <c:v>181.82125867432745</c:v>
                </c:pt>
                <c:pt idx="26">
                  <c:v>181.38504988336598</c:v>
                </c:pt>
                <c:pt idx="27">
                  <c:v>180.95931710320298</c:v>
                </c:pt>
                <c:pt idx="28">
                  <c:v>180.54213135384254</c:v>
                </c:pt>
                <c:pt idx="29">
                  <c:v>180.1317444621933</c:v>
                </c:pt>
                <c:pt idx="30">
                  <c:v>179.72655577372092</c:v>
                </c:pt>
                <c:pt idx="31">
                  <c:v>179.32508423065377</c:v>
                </c:pt>
                <c:pt idx="32">
                  <c:v>178.92594472836228</c:v>
                </c:pt>
                <c:pt idx="33">
                  <c:v>178.52782780687917</c:v>
                </c:pt>
                <c:pt idx="34">
                  <c:v>178.12948180243984</c:v>
                </c:pt>
                <c:pt idx="35">
                  <c:v>177.72969713729481</c:v>
                </c:pt>
                <c:pt idx="36">
                  <c:v>177.32729201007831</c:v>
                </c:pt>
                <c:pt idx="37">
                  <c:v>176.92109936782498</c:v>
                </c:pt>
                <c:pt idx="38">
                  <c:v>176.50995445211529</c:v>
                </c:pt>
                <c:pt idx="39">
                  <c:v>176.09268307082303</c:v>
                </c:pt>
                <c:pt idx="40">
                  <c:v>175.73680456879535</c:v>
                </c:pt>
                <c:pt idx="41">
                  <c:v>175.28836938228463</c:v>
                </c:pt>
                <c:pt idx="42">
                  <c:v>174.8297570634827</c:v>
                </c:pt>
                <c:pt idx="43">
                  <c:v>174.35960915514917</c:v>
                </c:pt>
                <c:pt idx="44">
                  <c:v>173.87649527644803</c:v>
                </c:pt>
                <c:pt idx="45">
                  <c:v>173.37889874465623</c:v>
                </c:pt>
                <c:pt idx="46">
                  <c:v>172.86520092243759</c:v>
                </c:pt>
                <c:pt idx="47">
                  <c:v>172.33366396247632</c:v>
                </c:pt>
                <c:pt idx="48">
                  <c:v>171.7824114175954</c:v>
                </c:pt>
                <c:pt idx="49">
                  <c:v>171.20940660891227</c:v>
                </c:pt>
                <c:pt idx="50">
                  <c:v>170.61242785552687</c:v>
                </c:pt>
                <c:pt idx="51">
                  <c:v>169.98904024480873</c:v>
                </c:pt>
                <c:pt idx="52">
                  <c:v>169.3365630593847</c:v>
                </c:pt>
                <c:pt idx="53">
                  <c:v>168.65203210808585</c:v>
                </c:pt>
                <c:pt idx="54">
                  <c:v>167.9321556139584</c:v>
                </c:pt>
                <c:pt idx="55">
                  <c:v>167.17326275897352</c:v>
                </c:pt>
                <c:pt idx="56">
                  <c:v>166.37124281371857</c:v>
                </c:pt>
                <c:pt idx="57">
                  <c:v>165.5214730015563</c:v>
                </c:pt>
                <c:pt idx="58">
                  <c:v>164.618732582636</c:v>
                </c:pt>
                <c:pt idx="59">
                  <c:v>163.65709981187567</c:v>
                </c:pt>
                <c:pt idx="60">
                  <c:v>162.62982756994762</c:v>
                </c:pt>
                <c:pt idx="61">
                  <c:v>161.52919247273695</c:v>
                </c:pt>
                <c:pt idx="62">
                  <c:v>160.34631069328466</c:v>
                </c:pt>
                <c:pt idx="63">
                  <c:v>159.07091133805608</c:v>
                </c:pt>
                <c:pt idx="64">
                  <c:v>157.69105569705363</c:v>
                </c:pt>
                <c:pt idx="65">
                  <c:v>156.19278696412866</c:v>
                </c:pt>
                <c:pt idx="66">
                  <c:v>154.55968935564684</c:v>
                </c:pt>
                <c:pt idx="67">
                  <c:v>152.77232812698563</c:v>
                </c:pt>
                <c:pt idx="68">
                  <c:v>150.80753209359989</c:v>
                </c:pt>
                <c:pt idx="69">
                  <c:v>148.63746407899981</c:v>
                </c:pt>
                <c:pt idx="70">
                  <c:v>147.41159139202659</c:v>
                </c:pt>
                <c:pt idx="71">
                  <c:v>145.3513669259938</c:v>
                </c:pt>
                <c:pt idx="72">
                  <c:v>143.0912624309826</c:v>
                </c:pt>
                <c:pt idx="73">
                  <c:v>140.59647889143474</c:v>
                </c:pt>
                <c:pt idx="74">
                  <c:v>137.82366059090495</c:v>
                </c:pt>
                <c:pt idx="75">
                  <c:v>134.71807366139296</c:v>
                </c:pt>
                <c:pt idx="76">
                  <c:v>131.20958666002571</c:v>
                </c:pt>
                <c:pt idx="77">
                  <c:v>127.20681342196795</c:v>
                </c:pt>
                <c:pt idx="78">
                  <c:v>122.5883548067842</c:v>
                </c:pt>
                <c:pt idx="79">
                  <c:v>117.18930867365144</c:v>
                </c:pt>
                <c:pt idx="80">
                  <c:v>110.7797634489082</c:v>
                </c:pt>
                <c:pt idx="81">
                  <c:v>103.02909359435979</c:v>
                </c:pt>
                <c:pt idx="82">
                  <c:v>93.443741701243908</c:v>
                </c:pt>
                <c:pt idx="83">
                  <c:v>81.252211019685348</c:v>
                </c:pt>
                <c:pt idx="84">
                  <c:v>65.21713349968843</c:v>
                </c:pt>
                <c:pt idx="85">
                  <c:v>46.976099019522827</c:v>
                </c:pt>
                <c:pt idx="86">
                  <c:v>28.183258140979984</c:v>
                </c:pt>
                <c:pt idx="87">
                  <c:v>8.4624892378640499</c:v>
                </c:pt>
                <c:pt idx="88">
                  <c:v>-13.462965918415348</c:v>
                </c:pt>
                <c:pt idx="89">
                  <c:v>-37.096439489441806</c:v>
                </c:pt>
                <c:pt idx="90">
                  <c:v>-62.864999999999853</c:v>
                </c:pt>
                <c:pt idx="91">
                  <c:v>-88.633560510558041</c:v>
                </c:pt>
                <c:pt idx="92">
                  <c:v>-112.26703408158457</c:v>
                </c:pt>
                <c:pt idx="93">
                  <c:v>-134.19248923786384</c:v>
                </c:pt>
                <c:pt idx="94">
                  <c:v>-153.9132581409801</c:v>
                </c:pt>
                <c:pt idx="95">
                  <c:v>-172.70609901952301</c:v>
                </c:pt>
                <c:pt idx="96">
                  <c:v>-190.9471334996885</c:v>
                </c:pt>
                <c:pt idx="97">
                  <c:v>-206.98221101968525</c:v>
                </c:pt>
                <c:pt idx="98">
                  <c:v>-219.1737417012439</c:v>
                </c:pt>
                <c:pt idx="99">
                  <c:v>-228.75909359435974</c:v>
                </c:pt>
                <c:pt idx="100">
                  <c:v>-236.50976344890816</c:v>
                </c:pt>
                <c:pt idx="101">
                  <c:v>-242.91930867365141</c:v>
                </c:pt>
                <c:pt idx="102">
                  <c:v>-248.31835480678427</c:v>
                </c:pt>
                <c:pt idx="103">
                  <c:v>-252.93681342196805</c:v>
                </c:pt>
                <c:pt idx="104">
                  <c:v>-256.93958666002567</c:v>
                </c:pt>
                <c:pt idx="105">
                  <c:v>-260.44807366139293</c:v>
                </c:pt>
                <c:pt idx="106">
                  <c:v>-263.55366059090494</c:v>
                </c:pt>
                <c:pt idx="107">
                  <c:v>-266.32647889143476</c:v>
                </c:pt>
                <c:pt idx="108">
                  <c:v>-268.82126243098259</c:v>
                </c:pt>
                <c:pt idx="109">
                  <c:v>-271.08136692599379</c:v>
                </c:pt>
                <c:pt idx="110">
                  <c:v>-273.14159139202667</c:v>
                </c:pt>
                <c:pt idx="111">
                  <c:v>-273.97983465255442</c:v>
                </c:pt>
                <c:pt idx="112">
                  <c:v>-275.78337052560494</c:v>
                </c:pt>
                <c:pt idx="113">
                  <c:v>-277.45368438887829</c:v>
                </c:pt>
                <c:pt idx="114">
                  <c:v>-279.00730521302813</c:v>
                </c:pt>
                <c:pt idx="115">
                  <c:v>-280.45817178128868</c:v>
                </c:pt>
                <c:pt idx="116">
                  <c:v>-281.81812637623386</c:v>
                </c:pt>
                <c:pt idx="117">
                  <c:v>-283.09729958207754</c:v>
                </c:pt>
                <c:pt idx="118">
                  <c:v>-284.30441352092157</c:v>
                </c:pt>
                <c:pt idx="119">
                  <c:v>-285.4470229677143</c:v>
                </c:pt>
                <c:pt idx="120">
                  <c:v>-286.53170862445455</c:v>
                </c:pt>
                <c:pt idx="121">
                  <c:v>-287.564233568313</c:v>
                </c:pt>
                <c:pt idx="122">
                  <c:v>-288.54967055567636</c:v>
                </c:pt>
                <c:pt idx="123">
                  <c:v>-289.49250663471997</c:v>
                </c:pt>
                <c:pt idx="124">
                  <c:v>-290.39672945332342</c:v>
                </c:pt>
                <c:pt idx="125">
                  <c:v>-291.26589911674807</c:v>
                </c:pt>
                <c:pt idx="126">
                  <c:v>-292.10320827569637</c:v>
                </c:pt>
                <c:pt idx="127">
                  <c:v>-292.91153262806569</c:v>
                </c:pt>
                <c:pt idx="128">
                  <c:v>-293.69347383195918</c:v>
                </c:pt>
                <c:pt idx="129">
                  <c:v>-294.45139590432569</c:v>
                </c:pt>
                <c:pt idx="130">
                  <c:v>-295.18745644889282</c:v>
                </c:pt>
                <c:pt idx="131">
                  <c:v>-295.90363358107794</c:v>
                </c:pt>
                <c:pt idx="132">
                  <c:v>-296.6017492109894</c:v>
                </c:pt>
                <c:pt idx="133">
                  <c:v>-297.28348936912261</c:v>
                </c:pt>
                <c:pt idx="134">
                  <c:v>-297.95042210503993</c:v>
                </c:pt>
                <c:pt idx="135">
                  <c:v>-298.60401327228902</c:v>
                </c:pt>
                <c:pt idx="136">
                  <c:v>-299.24564062568089</c:v>
                </c:pt>
                <c:pt idx="137">
                  <c:v>-299.87660649802115</c:v>
                </c:pt>
                <c:pt idx="138">
                  <c:v>-300.49814937359452</c:v>
                </c:pt>
                <c:pt idx="139">
                  <c:v>-301.11145446776436</c:v>
                </c:pt>
                <c:pt idx="140">
                  <c:v>-301.71766366708175</c:v>
                </c:pt>
                <c:pt idx="141">
                  <c:v>-302.31788486082485</c:v>
                </c:pt>
                <c:pt idx="142">
                  <c:v>-302.91320089666294</c:v>
                </c:pt>
                <c:pt idx="143">
                  <c:v>-303.50336372791884</c:v>
                </c:pt>
                <c:pt idx="144">
                  <c:v>-304.07518492113343</c:v>
                </c:pt>
                <c:pt idx="145">
                  <c:v>-304.63477283483354</c:v>
                </c:pt>
                <c:pt idx="146">
                  <c:v>-305.18363405073785</c:v>
                </c:pt>
                <c:pt idx="147">
                  <c:v>-305.7232542775003</c:v>
                </c:pt>
                <c:pt idx="148">
                  <c:v>-306.25511352885815</c:v>
                </c:pt>
                <c:pt idx="149">
                  <c:v>-306.78070213869677</c:v>
                </c:pt>
                <c:pt idx="150">
                  <c:v>-307.3015379260022</c:v>
                </c:pt>
                <c:pt idx="151">
                  <c:v>-307.81918507320938</c:v>
                </c:pt>
                <c:pt idx="152">
                  <c:v>-308.33527525191693</c:v>
                </c:pt>
                <c:pt idx="153">
                  <c:v>-308.85153173397947</c:v>
                </c:pt>
                <c:pt idx="154">
                  <c:v>-309.36979744417692</c:v>
                </c:pt>
                <c:pt idx="155">
                  <c:v>-309.8920681068409</c:v>
                </c:pt>
                <c:pt idx="156">
                  <c:v>-310.42053180240924</c:v>
                </c:pt>
                <c:pt idx="157">
                  <c:v>-310.69778955595416</c:v>
                </c:pt>
                <c:pt idx="158">
                  <c:v>-311.23101299463008</c:v>
                </c:pt>
                <c:pt idx="159">
                  <c:v>-311.7786681765059</c:v>
                </c:pt>
                <c:pt idx="160">
                  <c:v>-312.3442952511362</c:v>
                </c:pt>
                <c:pt idx="161">
                  <c:v>-312.93201852630614</c:v>
                </c:pt>
                <c:pt idx="162">
                  <c:v>-313.54670085111576</c:v>
                </c:pt>
                <c:pt idx="163">
                  <c:v>-314.19414667766046</c:v>
                </c:pt>
                <c:pt idx="164">
                  <c:v>-314.88137346962009</c:v>
                </c:pt>
                <c:pt idx="165">
                  <c:v>-315.61698022680719</c:v>
                </c:pt>
                <c:pt idx="166">
                  <c:v>-316.41165735658609</c:v>
                </c:pt>
                <c:pt idx="167">
                  <c:v>-317.27890682472275</c:v>
                </c:pt>
                <c:pt idx="168">
                  <c:v>-318.23608295958877</c:v>
                </c:pt>
                <c:pt idx="169">
                  <c:v>-319.30490653833908</c:v>
                </c:pt>
                <c:pt idx="170">
                  <c:v>-320.38672677747496</c:v>
                </c:pt>
                <c:pt idx="171">
                  <c:v>-321.40378141072478</c:v>
                </c:pt>
                <c:pt idx="172">
                  <c:v>-322.35786025478228</c:v>
                </c:pt>
                <c:pt idx="173">
                  <c:v>-323.25053497706671</c:v>
                </c:pt>
                <c:pt idx="174">
                  <c:v>-324.08316069036817</c:v>
                </c:pt>
                <c:pt idx="175">
                  <c:v>-324.85687529999035</c:v>
                </c:pt>
                <c:pt idx="176">
                  <c:v>-325.57259692972991</c:v>
                </c:pt>
                <c:pt idx="177">
                  <c:v>-326.23101874694612</c:v>
                </c:pt>
                <c:pt idx="178">
                  <c:v>-326.83260175871897</c:v>
                </c:pt>
                <c:pt idx="179">
                  <c:v>-327.37756474110688</c:v>
                </c:pt>
                <c:pt idx="180">
                  <c:v>-327.86587171676797</c:v>
                </c:pt>
                <c:pt idx="181">
                  <c:v>-327.37756474110665</c:v>
                </c:pt>
                <c:pt idx="182">
                  <c:v>-326.83260175871931</c:v>
                </c:pt>
                <c:pt idx="183">
                  <c:v>-326.23101874694623</c:v>
                </c:pt>
                <c:pt idx="184">
                  <c:v>-325.57259692973014</c:v>
                </c:pt>
                <c:pt idx="185">
                  <c:v>-324.85687529999063</c:v>
                </c:pt>
                <c:pt idx="186">
                  <c:v>-324.0831606903684</c:v>
                </c:pt>
                <c:pt idx="187">
                  <c:v>-323.25053497706693</c:v>
                </c:pt>
                <c:pt idx="188">
                  <c:v>-322.35786025478205</c:v>
                </c:pt>
                <c:pt idx="189">
                  <c:v>-321.40378141072512</c:v>
                </c:pt>
                <c:pt idx="190">
                  <c:v>-320.38672677747462</c:v>
                </c:pt>
                <c:pt idx="191">
                  <c:v>-319.30490653833931</c:v>
                </c:pt>
                <c:pt idx="192">
                  <c:v>-318.23608295958849</c:v>
                </c:pt>
                <c:pt idx="193">
                  <c:v>-317.27890682472338</c:v>
                </c:pt>
                <c:pt idx="194">
                  <c:v>-316.41165735658649</c:v>
                </c:pt>
                <c:pt idx="195">
                  <c:v>-315.61698022680719</c:v>
                </c:pt>
                <c:pt idx="196">
                  <c:v>-314.88137346962026</c:v>
                </c:pt>
                <c:pt idx="197">
                  <c:v>-314.19414667766034</c:v>
                </c:pt>
                <c:pt idx="198">
                  <c:v>-313.54670085111576</c:v>
                </c:pt>
                <c:pt idx="199">
                  <c:v>-312.93201852630597</c:v>
                </c:pt>
                <c:pt idx="200">
                  <c:v>-312.34429525113632</c:v>
                </c:pt>
                <c:pt idx="201">
                  <c:v>-311.77866817650607</c:v>
                </c:pt>
                <c:pt idx="202">
                  <c:v>-311.23101299463019</c:v>
                </c:pt>
                <c:pt idx="203">
                  <c:v>-310.69778955595427</c:v>
                </c:pt>
                <c:pt idx="204">
                  <c:v>-310.42053180240936</c:v>
                </c:pt>
                <c:pt idx="205">
                  <c:v>-309.89206810684095</c:v>
                </c:pt>
                <c:pt idx="206">
                  <c:v>-309.36979744417687</c:v>
                </c:pt>
                <c:pt idx="207">
                  <c:v>-308.85153173397953</c:v>
                </c:pt>
                <c:pt idx="208">
                  <c:v>-308.33527525191693</c:v>
                </c:pt>
                <c:pt idx="209">
                  <c:v>-307.81918507320938</c:v>
                </c:pt>
                <c:pt idx="210">
                  <c:v>-307.3015379260022</c:v>
                </c:pt>
                <c:pt idx="211">
                  <c:v>-306.78070213869677</c:v>
                </c:pt>
                <c:pt idx="212">
                  <c:v>-306.25511352885832</c:v>
                </c:pt>
                <c:pt idx="213">
                  <c:v>-305.7232542775003</c:v>
                </c:pt>
                <c:pt idx="214">
                  <c:v>-305.18363405073825</c:v>
                </c:pt>
                <c:pt idx="215">
                  <c:v>-304.63477283483348</c:v>
                </c:pt>
                <c:pt idx="216">
                  <c:v>-304.07518492113371</c:v>
                </c:pt>
                <c:pt idx="217">
                  <c:v>-303.50336372791855</c:v>
                </c:pt>
                <c:pt idx="218">
                  <c:v>-302.91320089666294</c:v>
                </c:pt>
                <c:pt idx="219">
                  <c:v>-302.31788486082485</c:v>
                </c:pt>
                <c:pt idx="220">
                  <c:v>-301.71766366708169</c:v>
                </c:pt>
                <c:pt idx="221">
                  <c:v>-301.11145446776447</c:v>
                </c:pt>
                <c:pt idx="222">
                  <c:v>-300.49814937359457</c:v>
                </c:pt>
                <c:pt idx="223">
                  <c:v>-299.87660649802109</c:v>
                </c:pt>
                <c:pt idx="224">
                  <c:v>-299.24564062568089</c:v>
                </c:pt>
                <c:pt idx="225">
                  <c:v>-298.60401327228897</c:v>
                </c:pt>
                <c:pt idx="226">
                  <c:v>-297.95042210503988</c:v>
                </c:pt>
                <c:pt idx="227">
                  <c:v>-297.28348936912261</c:v>
                </c:pt>
                <c:pt idx="228">
                  <c:v>-296.60174921098945</c:v>
                </c:pt>
                <c:pt idx="229">
                  <c:v>-295.903633581078</c:v>
                </c:pt>
                <c:pt idx="230">
                  <c:v>-295.18745644889287</c:v>
                </c:pt>
                <c:pt idx="231">
                  <c:v>-294.45139590432575</c:v>
                </c:pt>
                <c:pt idx="232">
                  <c:v>-293.69347383195901</c:v>
                </c:pt>
                <c:pt idx="233">
                  <c:v>-292.91153262806574</c:v>
                </c:pt>
                <c:pt idx="234">
                  <c:v>-292.10320827569643</c:v>
                </c:pt>
                <c:pt idx="235">
                  <c:v>-291.26589911674813</c:v>
                </c:pt>
                <c:pt idx="236">
                  <c:v>-290.39672945332342</c:v>
                </c:pt>
                <c:pt idx="237">
                  <c:v>-289.49250663472003</c:v>
                </c:pt>
                <c:pt idx="238">
                  <c:v>-288.54967055567636</c:v>
                </c:pt>
                <c:pt idx="239">
                  <c:v>-287.56423356831306</c:v>
                </c:pt>
                <c:pt idx="240">
                  <c:v>-286.53170862445478</c:v>
                </c:pt>
                <c:pt idx="241">
                  <c:v>-285.44702296771425</c:v>
                </c:pt>
                <c:pt idx="242">
                  <c:v>-284.30441352092157</c:v>
                </c:pt>
                <c:pt idx="243">
                  <c:v>-283.09729958207743</c:v>
                </c:pt>
                <c:pt idx="244">
                  <c:v>-281.81812637623392</c:v>
                </c:pt>
                <c:pt idx="245">
                  <c:v>-280.45817178128863</c:v>
                </c:pt>
                <c:pt idx="246">
                  <c:v>-279.00730521302819</c:v>
                </c:pt>
                <c:pt idx="247">
                  <c:v>-277.45368438887834</c:v>
                </c:pt>
                <c:pt idx="248">
                  <c:v>-275.78337052560494</c:v>
                </c:pt>
                <c:pt idx="249">
                  <c:v>-273.97983465255442</c:v>
                </c:pt>
                <c:pt idx="250">
                  <c:v>-273.14159139202656</c:v>
                </c:pt>
                <c:pt idx="251">
                  <c:v>-271.08136692599368</c:v>
                </c:pt>
                <c:pt idx="252">
                  <c:v>-268.82126243098276</c:v>
                </c:pt>
                <c:pt idx="253">
                  <c:v>-266.32647889143476</c:v>
                </c:pt>
                <c:pt idx="254">
                  <c:v>-263.553660590905</c:v>
                </c:pt>
                <c:pt idx="255">
                  <c:v>-260.44807366139281</c:v>
                </c:pt>
                <c:pt idx="256">
                  <c:v>-256.93958666002567</c:v>
                </c:pt>
                <c:pt idx="257">
                  <c:v>-252.93681342196803</c:v>
                </c:pt>
                <c:pt idx="258">
                  <c:v>-248.31835480678436</c:v>
                </c:pt>
                <c:pt idx="259">
                  <c:v>-242.91930867365141</c:v>
                </c:pt>
                <c:pt idx="260">
                  <c:v>-236.50976344890825</c:v>
                </c:pt>
                <c:pt idx="261">
                  <c:v>-228.75909359435977</c:v>
                </c:pt>
                <c:pt idx="262">
                  <c:v>-219.1737417012441</c:v>
                </c:pt>
                <c:pt idx="263">
                  <c:v>-206.98221101968514</c:v>
                </c:pt>
                <c:pt idx="264">
                  <c:v>-190.9471334996885</c:v>
                </c:pt>
                <c:pt idx="265">
                  <c:v>-172.70609901952301</c:v>
                </c:pt>
                <c:pt idx="266">
                  <c:v>-153.91325814098022</c:v>
                </c:pt>
                <c:pt idx="267">
                  <c:v>-134.19248923786446</c:v>
                </c:pt>
                <c:pt idx="268">
                  <c:v>-112.26703408158424</c:v>
                </c:pt>
                <c:pt idx="269">
                  <c:v>-88.633560510557999</c:v>
                </c:pt>
                <c:pt idx="270">
                  <c:v>-62.865000000000329</c:v>
                </c:pt>
                <c:pt idx="271">
                  <c:v>-37.096439489442481</c:v>
                </c:pt>
                <c:pt idx="272">
                  <c:v>-13.462965918415071</c:v>
                </c:pt>
                <c:pt idx="273">
                  <c:v>8.4624892378640233</c:v>
                </c:pt>
                <c:pt idx="274">
                  <c:v>28.183258140980016</c:v>
                </c:pt>
                <c:pt idx="275">
                  <c:v>46.97609901952265</c:v>
                </c:pt>
                <c:pt idx="276">
                  <c:v>65.217133499688103</c:v>
                </c:pt>
                <c:pt idx="277">
                  <c:v>81.252211019685404</c:v>
                </c:pt>
                <c:pt idx="278">
                  <c:v>93.443741701243908</c:v>
                </c:pt>
                <c:pt idx="279">
                  <c:v>103.02909359435971</c:v>
                </c:pt>
                <c:pt idx="280">
                  <c:v>110.77976344890814</c:v>
                </c:pt>
                <c:pt idx="281">
                  <c:v>117.18930867365144</c:v>
                </c:pt>
                <c:pt idx="282">
                  <c:v>122.58835480678424</c:v>
                </c:pt>
                <c:pt idx="283">
                  <c:v>127.20681342196796</c:v>
                </c:pt>
                <c:pt idx="284">
                  <c:v>131.20958666002568</c:v>
                </c:pt>
                <c:pt idx="285">
                  <c:v>134.71807366139282</c:v>
                </c:pt>
                <c:pt idx="286">
                  <c:v>137.82366059090495</c:v>
                </c:pt>
                <c:pt idx="287">
                  <c:v>140.59647889143471</c:v>
                </c:pt>
                <c:pt idx="288">
                  <c:v>143.09126243098265</c:v>
                </c:pt>
                <c:pt idx="289">
                  <c:v>145.35136692599366</c:v>
                </c:pt>
                <c:pt idx="290">
                  <c:v>147.41159139202657</c:v>
                </c:pt>
                <c:pt idx="291">
                  <c:v>148.63746407899978</c:v>
                </c:pt>
                <c:pt idx="292">
                  <c:v>150.80753209359989</c:v>
                </c:pt>
                <c:pt idx="293">
                  <c:v>152.77232812698568</c:v>
                </c:pt>
                <c:pt idx="294">
                  <c:v>154.5596893556467</c:v>
                </c:pt>
                <c:pt idx="295">
                  <c:v>156.19278696412877</c:v>
                </c:pt>
                <c:pt idx="296">
                  <c:v>157.69105569705354</c:v>
                </c:pt>
                <c:pt idx="297">
                  <c:v>159.07091133805613</c:v>
                </c:pt>
                <c:pt idx="298">
                  <c:v>160.34631069328478</c:v>
                </c:pt>
                <c:pt idx="299">
                  <c:v>161.52919247273695</c:v>
                </c:pt>
                <c:pt idx="300">
                  <c:v>162.62982756994759</c:v>
                </c:pt>
                <c:pt idx="301">
                  <c:v>163.65709981187564</c:v>
                </c:pt>
                <c:pt idx="302">
                  <c:v>164.61873258263597</c:v>
                </c:pt>
                <c:pt idx="303">
                  <c:v>165.52147300155616</c:v>
                </c:pt>
                <c:pt idx="304">
                  <c:v>166.37124281371874</c:v>
                </c:pt>
                <c:pt idx="305">
                  <c:v>167.17326275897344</c:v>
                </c:pt>
                <c:pt idx="306">
                  <c:v>167.93215561395834</c:v>
                </c:pt>
                <c:pt idx="307">
                  <c:v>168.65203210808568</c:v>
                </c:pt>
                <c:pt idx="308">
                  <c:v>169.33656305938467</c:v>
                </c:pt>
                <c:pt idx="309">
                  <c:v>169.98904024480868</c:v>
                </c:pt>
                <c:pt idx="310">
                  <c:v>170.61242785552693</c:v>
                </c:pt>
                <c:pt idx="311">
                  <c:v>171.20940660891222</c:v>
                </c:pt>
                <c:pt idx="312">
                  <c:v>171.78241141759509</c:v>
                </c:pt>
                <c:pt idx="313">
                  <c:v>172.33366396247632</c:v>
                </c:pt>
                <c:pt idx="314">
                  <c:v>172.86520092243762</c:v>
                </c:pt>
                <c:pt idx="315">
                  <c:v>173.37889874465614</c:v>
                </c:pt>
                <c:pt idx="316">
                  <c:v>173.87649527644794</c:v>
                </c:pt>
                <c:pt idx="317">
                  <c:v>174.35960915514926</c:v>
                </c:pt>
                <c:pt idx="318">
                  <c:v>174.82975706348248</c:v>
                </c:pt>
                <c:pt idx="319">
                  <c:v>175.28836938228454</c:v>
                </c:pt>
                <c:pt idx="320">
                  <c:v>175.73680456879535</c:v>
                </c:pt>
                <c:pt idx="321">
                  <c:v>176.09268307082291</c:v>
                </c:pt>
                <c:pt idx="322">
                  <c:v>176.50995445211521</c:v>
                </c:pt>
                <c:pt idx="323">
                  <c:v>176.92109936782492</c:v>
                </c:pt>
                <c:pt idx="324">
                  <c:v>177.32729201007834</c:v>
                </c:pt>
                <c:pt idx="325">
                  <c:v>177.72969713729483</c:v>
                </c:pt>
                <c:pt idx="326">
                  <c:v>178.12948180244001</c:v>
                </c:pt>
                <c:pt idx="327">
                  <c:v>178.52782780687909</c:v>
                </c:pt>
                <c:pt idx="328">
                  <c:v>178.92594472836214</c:v>
                </c:pt>
                <c:pt idx="329">
                  <c:v>179.32508423065366</c:v>
                </c:pt>
                <c:pt idx="330">
                  <c:v>179.72655577372075</c:v>
                </c:pt>
                <c:pt idx="331">
                  <c:v>180.13174446219327</c:v>
                </c:pt>
                <c:pt idx="332">
                  <c:v>180.54213135384259</c:v>
                </c:pt>
                <c:pt idx="333">
                  <c:v>180.95931710320289</c:v>
                </c:pt>
                <c:pt idx="334">
                  <c:v>181.38504988336578</c:v>
                </c:pt>
                <c:pt idx="335">
                  <c:v>181.82125867432751</c:v>
                </c:pt>
                <c:pt idx="336">
                  <c:v>182.27009340553383</c:v>
                </c:pt>
                <c:pt idx="337">
                  <c:v>182.72374456561178</c:v>
                </c:pt>
                <c:pt idx="338">
                  <c:v>183.14128913492368</c:v>
                </c:pt>
                <c:pt idx="339">
                  <c:v>183.57489404154174</c:v>
                </c:pt>
                <c:pt idx="340">
                  <c:v>184.02832886069754</c:v>
                </c:pt>
                <c:pt idx="341">
                  <c:v>184.50601421888257</c:v>
                </c:pt>
                <c:pt idx="342">
                  <c:v>185.013196501679</c:v>
                </c:pt>
                <c:pt idx="343">
                  <c:v>185.55617879587294</c:v>
                </c:pt>
                <c:pt idx="344">
                  <c:v>186.14263076428563</c:v>
                </c:pt>
                <c:pt idx="345">
                  <c:v>186.78201177175302</c:v>
                </c:pt>
                <c:pt idx="346">
                  <c:v>187.48615910974229</c:v>
                </c:pt>
                <c:pt idx="347">
                  <c:v>188.27012301436935</c:v>
                </c:pt>
                <c:pt idx="348">
                  <c:v>189.1533802399712</c:v>
                </c:pt>
                <c:pt idx="349">
                  <c:v>190.16164556702148</c:v>
                </c:pt>
                <c:pt idx="350">
                  <c:v>191.32966099638691</c:v>
                </c:pt>
                <c:pt idx="351">
                  <c:v>192.57590657069187</c:v>
                </c:pt>
                <c:pt idx="352">
                  <c:v>193.75504438782158</c:v>
                </c:pt>
                <c:pt idx="353">
                  <c:v>194.86761682815521</c:v>
                </c:pt>
                <c:pt idx="354">
                  <c:v>195.9145577603316</c:v>
                </c:pt>
                <c:pt idx="355">
                  <c:v>196.89656435680021</c:v>
                </c:pt>
                <c:pt idx="356">
                  <c:v>197.81409628141375</c:v>
                </c:pt>
                <c:pt idx="357">
                  <c:v>198.66737323528858</c:v>
                </c:pt>
                <c:pt idx="358">
                  <c:v>199.45637085814064</c:v>
                </c:pt>
                <c:pt idx="359">
                  <c:v>200.18081502017606</c:v>
                </c:pt>
                <c:pt idx="360">
                  <c:v>200.84017433013852</c:v>
                </c:pt>
                <c:pt idx="361">
                  <c:v>200.84017433013869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7.3726579826172056</c:v>
                </c:pt>
                <c:pt idx="2">
                  <c:v>14.390094286765734</c:v>
                </c:pt>
                <c:pt idx="3">
                  <c:v>21.100159246484218</c:v>
                </c:pt>
                <c:pt idx="4">
                  <c:v>27.543522730584254</c:v>
                </c:pt>
                <c:pt idx="5">
                  <c:v>33.755027699949558</c:v>
                </c:pt>
                <c:pt idx="6">
                  <c:v>39.764752666212559</c:v>
                </c:pt>
                <c:pt idx="7">
                  <c:v>45.598853856788004</c:v>
                </c:pt>
                <c:pt idx="8">
                  <c:v>51.280238896005201</c:v>
                </c:pt>
                <c:pt idx="9">
                  <c:v>56.82911036557195</c:v>
                </c:pt>
                <c:pt idx="10">
                  <c:v>62.261478876662792</c:v>
                </c:pt>
                <c:pt idx="11">
                  <c:v>67.167220798025525</c:v>
                </c:pt>
                <c:pt idx="12">
                  <c:v>71.39243796339828</c:v>
                </c:pt>
                <c:pt idx="13">
                  <c:v>75.114620124318961</c:v>
                </c:pt>
                <c:pt idx="14">
                  <c:v>78.455347869280885</c:v>
                </c:pt>
                <c:pt idx="15">
                  <c:v>81.500472884344831</c:v>
                </c:pt>
                <c:pt idx="16">
                  <c:v>84.312246270569673</c:v>
                </c:pt>
                <c:pt idx="17">
                  <c:v>86.936878202697628</c:v>
                </c:pt>
                <c:pt idx="18">
                  <c:v>89.409400878371954</c:v>
                </c:pt>
                <c:pt idx="19">
                  <c:v>91.756884308421903</c:v>
                </c:pt>
                <c:pt idx="20">
                  <c:v>94.000615439037233</c:v>
                </c:pt>
                <c:pt idx="21">
                  <c:v>96.1576073570197</c:v>
                </c:pt>
                <c:pt idx="22">
                  <c:v>98.241665253070892</c:v>
                </c:pt>
                <c:pt idx="23">
                  <c:v>100.26415287185209</c:v>
                </c:pt>
                <c:pt idx="24">
                  <c:v>101.59017797784911</c:v>
                </c:pt>
                <c:pt idx="25">
                  <c:v>102.73047438684603</c:v>
                </c:pt>
                <c:pt idx="26">
                  <c:v>103.82117086437084</c:v>
                </c:pt>
                <c:pt idx="27">
                  <c:v>104.86915026485235</c:v>
                </c:pt>
                <c:pt idx="28">
                  <c:v>105.88030274862876</c:v>
                </c:pt>
                <c:pt idx="29">
                  <c:v>106.85971141824361</c:v>
                </c:pt>
                <c:pt idx="30">
                  <c:v>107.81179929515758</c:v>
                </c:pt>
                <c:pt idx="31">
                  <c:v>108.74044676357389</c:v>
                </c:pt>
                <c:pt idx="32">
                  <c:v>109.64908627439193</c:v>
                </c:pt>
                <c:pt idx="33">
                  <c:v>110.54077937691849</c:v>
                </c:pt>
                <c:pt idx="34">
                  <c:v>111.41827987314126</c:v>
                </c:pt>
                <c:pt idx="35">
                  <c:v>112.28408611880693</c:v>
                </c:pt>
                <c:pt idx="36">
                  <c:v>113.14048465557387</c:v>
                </c:pt>
                <c:pt idx="37">
                  <c:v>113.98958703487459</c:v>
                </c:pt>
                <c:pt idx="38">
                  <c:v>114.83336109876375</c:v>
                </c:pt>
                <c:pt idx="39">
                  <c:v>115.67365797406342</c:v>
                </c:pt>
                <c:pt idx="40">
                  <c:v>115.71028909609706</c:v>
                </c:pt>
                <c:pt idx="41">
                  <c:v>116.56213064615042</c:v>
                </c:pt>
                <c:pt idx="42">
                  <c:v>117.41522475859745</c:v>
                </c:pt>
                <c:pt idx="43">
                  <c:v>118.27119866971529</c:v>
                </c:pt>
                <c:pt idx="44">
                  <c:v>119.13165569274065</c:v>
                </c:pt>
                <c:pt idx="45">
                  <c:v>119.99819024415254</c:v>
                </c:pt>
                <c:pt idx="46">
                  <c:v>120.87240227908295</c:v>
                </c:pt>
                <c:pt idx="47">
                  <c:v>121.75591143873848</c:v>
                </c:pt>
                <c:pt idx="48">
                  <c:v>122.65037113390461</c:v>
                </c:pt>
                <c:pt idx="49">
                  <c:v>123.55748296959004</c:v>
                </c:pt>
                <c:pt idx="50">
                  <c:v>124.47901164327988</c:v>
                </c:pt>
                <c:pt idx="51">
                  <c:v>125.41680072252036</c:v>
                </c:pt>
                <c:pt idx="52">
                  <c:v>126.37278955920053</c:v>
                </c:pt>
                <c:pt idx="53">
                  <c:v>127.34903174569439</c:v>
                </c:pt>
                <c:pt idx="54">
                  <c:v>128.34771540213256</c:v>
                </c:pt>
                <c:pt idx="55">
                  <c:v>129.37118593276301</c:v>
                </c:pt>
                <c:pt idx="56">
                  <c:v>130.42197161851732</c:v>
                </c:pt>
                <c:pt idx="57">
                  <c:v>131.50281277463128</c:v>
                </c:pt>
                <c:pt idx="58">
                  <c:v>132.6166952821703</c:v>
                </c:pt>
                <c:pt idx="59">
                  <c:v>133.76688940925848</c:v>
                </c:pt>
                <c:pt idx="60">
                  <c:v>134.95699507047607</c:v>
                </c:pt>
                <c:pt idx="61">
                  <c:v>136.19099503754086</c:v>
                </c:pt>
                <c:pt idx="62">
                  <c:v>137.47331798428232</c:v>
                </c:pt>
                <c:pt idx="63">
                  <c:v>138.80891359572831</c:v>
                </c:pt>
                <c:pt idx="64">
                  <c:v>140.20334274669989</c:v>
                </c:pt>
                <c:pt idx="65">
                  <c:v>141.66288668133583</c:v>
                </c:pt>
                <c:pt idx="66">
                  <c:v>143.19468012275368</c:v>
                </c:pt>
                <c:pt idx="67">
                  <c:v>144.80687481557277</c:v>
                </c:pt>
                <c:pt idx="68">
                  <c:v>146.50884249809477</c:v>
                </c:pt>
                <c:pt idx="69">
                  <c:v>148.31142881323203</c:v>
                </c:pt>
                <c:pt idx="70">
                  <c:v>149.65769086980416</c:v>
                </c:pt>
                <c:pt idx="71">
                  <c:v>150.39164083363306</c:v>
                </c:pt>
                <c:pt idx="72">
                  <c:v>151.15718245423318</c:v>
                </c:pt>
                <c:pt idx="73">
                  <c:v>151.95932150517936</c:v>
                </c:pt>
                <c:pt idx="74">
                  <c:v>152.80404175178967</c:v>
                </c:pt>
                <c:pt idx="75">
                  <c:v>153.69858478218399</c:v>
                </c:pt>
                <c:pt idx="76">
                  <c:v>154.65183372624088</c:v>
                </c:pt>
                <c:pt idx="77">
                  <c:v>155.67485036232992</c:v>
                </c:pt>
                <c:pt idx="78">
                  <c:v>156.78164434160021</c:v>
                </c:pt>
                <c:pt idx="79">
                  <c:v>157.99030466328514</c:v>
                </c:pt>
                <c:pt idx="80">
                  <c:v>159.32471564947213</c:v>
                </c:pt>
                <c:pt idx="81">
                  <c:v>160.81725505676289</c:v>
                </c:pt>
                <c:pt idx="82">
                  <c:v>162.51322279108174</c:v>
                </c:pt>
                <c:pt idx="83">
                  <c:v>164.47850128766589</c:v>
                </c:pt>
                <c:pt idx="84">
                  <c:v>166.8086973962337</c:v>
                </c:pt>
                <c:pt idx="85">
                  <c:v>169.22708937308096</c:v>
                </c:pt>
                <c:pt idx="86">
                  <c:v>171.51514756329439</c:v>
                </c:pt>
                <c:pt idx="87">
                  <c:v>173.64827220014402</c:v>
                </c:pt>
                <c:pt idx="88">
                  <c:v>175.52614308946025</c:v>
                </c:pt>
                <c:pt idx="89">
                  <c:v>177.24488398511764</c:v>
                </c:pt>
                <c:pt idx="90">
                  <c:v>178.8033663246477</c:v>
                </c:pt>
                <c:pt idx="91">
                  <c:v>177.24488398511781</c:v>
                </c:pt>
                <c:pt idx="92">
                  <c:v>175.52614308946048</c:v>
                </c:pt>
                <c:pt idx="93">
                  <c:v>173.64827220014425</c:v>
                </c:pt>
                <c:pt idx="94">
                  <c:v>171.51514756329448</c:v>
                </c:pt>
                <c:pt idx="95">
                  <c:v>169.22708937308099</c:v>
                </c:pt>
                <c:pt idx="96">
                  <c:v>166.80869739623355</c:v>
                </c:pt>
                <c:pt idx="97">
                  <c:v>164.47850128766603</c:v>
                </c:pt>
                <c:pt idx="98">
                  <c:v>162.51322279108189</c:v>
                </c:pt>
                <c:pt idx="99">
                  <c:v>160.81725505676292</c:v>
                </c:pt>
                <c:pt idx="100">
                  <c:v>159.32471564947221</c:v>
                </c:pt>
                <c:pt idx="101">
                  <c:v>157.99030466328523</c:v>
                </c:pt>
                <c:pt idx="102">
                  <c:v>156.78164434160038</c:v>
                </c:pt>
                <c:pt idx="103">
                  <c:v>155.67485036232989</c:v>
                </c:pt>
                <c:pt idx="104">
                  <c:v>154.65183372624088</c:v>
                </c:pt>
                <c:pt idx="105">
                  <c:v>153.69858478218404</c:v>
                </c:pt>
                <c:pt idx="106">
                  <c:v>152.80404175178958</c:v>
                </c:pt>
                <c:pt idx="107">
                  <c:v>151.95932150517945</c:v>
                </c:pt>
                <c:pt idx="108">
                  <c:v>151.15718245423315</c:v>
                </c:pt>
                <c:pt idx="109">
                  <c:v>150.39164083363303</c:v>
                </c:pt>
                <c:pt idx="110">
                  <c:v>149.65769086980421</c:v>
                </c:pt>
                <c:pt idx="111">
                  <c:v>149.33822356339249</c:v>
                </c:pt>
                <c:pt idx="112">
                  <c:v>148.6345837407475</c:v>
                </c:pt>
                <c:pt idx="113">
                  <c:v>147.95166257076232</c:v>
                </c:pt>
                <c:pt idx="114">
                  <c:v>147.28670281187888</c:v>
                </c:pt>
                <c:pt idx="115">
                  <c:v>146.63727537690363</c:v>
                </c:pt>
                <c:pt idx="116">
                  <c:v>146.00122073173455</c:v>
                </c:pt>
                <c:pt idx="117">
                  <c:v>145.37660159141163</c:v>
                </c:pt>
                <c:pt idx="118">
                  <c:v>144.76166451041996</c:v>
                </c:pt>
                <c:pt idx="119">
                  <c:v>144.15480827249431</c:v>
                </c:pt>
                <c:pt idx="120">
                  <c:v>143.55455750753282</c:v>
                </c:pt>
                <c:pt idx="121">
                  <c:v>142.9595406129888</c:v>
                </c:pt>
                <c:pt idx="122">
                  <c:v>142.36847084126865</c:v>
                </c:pt>
                <c:pt idx="123">
                  <c:v>141.78013010065064</c:v>
                </c:pt>
                <c:pt idx="124">
                  <c:v>141.19335472176022</c:v>
                </c:pt>
                <c:pt idx="125">
                  <c:v>140.60702290759812</c:v>
                </c:pt>
                <c:pt idx="126">
                  <c:v>140.02004341415841</c:v>
                </c:pt>
                <c:pt idx="127">
                  <c:v>139.43134514704374</c:v>
                </c:pt>
                <c:pt idx="128">
                  <c:v>138.83986757208751</c:v>
                </c:pt>
                <c:pt idx="129">
                  <c:v>138.24455152035625</c:v>
                </c:pt>
                <c:pt idx="130">
                  <c:v>137.64433033192748</c:v>
                </c:pt>
                <c:pt idx="131">
                  <c:v>137.03812113433031</c:v>
                </c:pt>
                <c:pt idx="132">
                  <c:v>136.42481604375095</c:v>
                </c:pt>
                <c:pt idx="133">
                  <c:v>135.80327317288183</c:v>
                </c:pt>
                <c:pt idx="134">
                  <c:v>135.17230729574419</c:v>
                </c:pt>
                <c:pt idx="135">
                  <c:v>134.53067994036857</c:v>
                </c:pt>
                <c:pt idx="136">
                  <c:v>133.87708876911705</c:v>
                </c:pt>
                <c:pt idx="137">
                  <c:v>133.21015602846802</c:v>
                </c:pt>
                <c:pt idx="138">
                  <c:v>132.52841587391137</c:v>
                </c:pt>
                <c:pt idx="139">
                  <c:v>131.83030025208606</c:v>
                </c:pt>
                <c:pt idx="140">
                  <c:v>131.11412312009972</c:v>
                </c:pt>
                <c:pt idx="141">
                  <c:v>130.37806257261798</c:v>
                </c:pt>
                <c:pt idx="142">
                  <c:v>129.62014049187673</c:v>
                </c:pt>
                <c:pt idx="143">
                  <c:v>128.71042391670326</c:v>
                </c:pt>
                <c:pt idx="144">
                  <c:v>126.86876325545512</c:v>
                </c:pt>
                <c:pt idx="145">
                  <c:v>125.02564757431297</c:v>
                </c:pt>
                <c:pt idx="146">
                  <c:v>123.17805228887198</c:v>
                </c:pt>
                <c:pt idx="147">
                  <c:v>121.32280786156718</c:v>
                </c:pt>
                <c:pt idx="148">
                  <c:v>119.45656101704533</c:v>
                </c:pt>
                <c:pt idx="149">
                  <c:v>117.57572974589326</c:v>
                </c:pt>
                <c:pt idx="150">
                  <c:v>115.67645039909644</c:v>
                </c:pt>
                <c:pt idx="151">
                  <c:v>113.75451473593607</c:v>
                </c:pt>
                <c:pt idx="152">
                  <c:v>111.80529414937006</c:v>
                </c:pt>
                <c:pt idx="153">
                  <c:v>109.82364746190622</c:v>
                </c:pt>
                <c:pt idx="154">
                  <c:v>107.80380754253167</c:v>
                </c:pt>
                <c:pt idx="155">
                  <c:v>105.73924041109984</c:v>
                </c:pt>
                <c:pt idx="156">
                  <c:v>103.62246828556131</c:v>
                </c:pt>
                <c:pt idx="157">
                  <c:v>103.47749970606517</c:v>
                </c:pt>
                <c:pt idx="158">
                  <c:v>101.25699268581795</c:v>
                </c:pt>
                <c:pt idx="159">
                  <c:v>98.955907124743575</c:v>
                </c:pt>
                <c:pt idx="160">
                  <c:v>96.560348308753206</c:v>
                </c:pt>
                <c:pt idx="161">
                  <c:v>94.05351810298491</c:v>
                </c:pt>
                <c:pt idx="162">
                  <c:v>91.414849063852671</c:v>
                </c:pt>
                <c:pt idx="163">
                  <c:v>88.618814931968913</c:v>
                </c:pt>
                <c:pt idx="164">
                  <c:v>85.633268207239084</c:v>
                </c:pt>
                <c:pt idx="165">
                  <c:v>82.417072147999974</c:v>
                </c:pt>
                <c:pt idx="166">
                  <c:v>78.916655491836053</c:v>
                </c:pt>
                <c:pt idx="167">
                  <c:v>75.060879033550194</c:v>
                </c:pt>
                <c:pt idx="168">
                  <c:v>70.753177675799037</c:v>
                </c:pt>
                <c:pt idx="169">
                  <c:v>65.862549230475182</c:v>
                </c:pt>
                <c:pt idx="170">
                  <c:v>60.645328382990257</c:v>
                </c:pt>
                <c:pt idx="171">
                  <c:v>55.33746076200454</c:v>
                </c:pt>
                <c:pt idx="172">
                  <c:v>49.923072924870418</c:v>
                </c:pt>
                <c:pt idx="173">
                  <c:v>44.384337646339866</c:v>
                </c:pt>
                <c:pt idx="174">
                  <c:v>38.701093520230799</c:v>
                </c:pt>
                <c:pt idx="175">
                  <c:v>32.850380228820143</c:v>
                </c:pt>
                <c:pt idx="176">
                  <c:v>26.805866473779211</c:v>
                </c:pt>
                <c:pt idx="177">
                  <c:v>20.537140208815224</c:v>
                </c:pt>
                <c:pt idx="178">
                  <c:v>14.008820598173326</c:v>
                </c:pt>
                <c:pt idx="179">
                  <c:v>7.1794369753425382</c:v>
                </c:pt>
                <c:pt idx="180">
                  <c:v>3.1407706469839647E-14</c:v>
                </c:pt>
                <c:pt idx="181">
                  <c:v>-7.1794369753426297</c:v>
                </c:pt>
                <c:pt idx="182">
                  <c:v>-14.008820598173267</c:v>
                </c:pt>
                <c:pt idx="183">
                  <c:v>-20.537140208815131</c:v>
                </c:pt>
                <c:pt idx="184">
                  <c:v>-26.80586647377914</c:v>
                </c:pt>
                <c:pt idx="185">
                  <c:v>-32.850380228820043</c:v>
                </c:pt>
                <c:pt idx="186">
                  <c:v>-38.7010935202307</c:v>
                </c:pt>
                <c:pt idx="187">
                  <c:v>-44.384337646339766</c:v>
                </c:pt>
                <c:pt idx="188">
                  <c:v>-49.923072924870517</c:v>
                </c:pt>
                <c:pt idx="189">
                  <c:v>-55.33746076200444</c:v>
                </c:pt>
                <c:pt idx="190">
                  <c:v>-60.645328382990314</c:v>
                </c:pt>
                <c:pt idx="191">
                  <c:v>-65.862549230475082</c:v>
                </c:pt>
                <c:pt idx="192">
                  <c:v>-70.753177675799108</c:v>
                </c:pt>
                <c:pt idx="193">
                  <c:v>-75.060879033550123</c:v>
                </c:pt>
                <c:pt idx="194">
                  <c:v>-78.916655491835982</c:v>
                </c:pt>
                <c:pt idx="195">
                  <c:v>-82.417072147999974</c:v>
                </c:pt>
                <c:pt idx="196">
                  <c:v>-85.633268207239055</c:v>
                </c:pt>
                <c:pt idx="197">
                  <c:v>-88.618814931968899</c:v>
                </c:pt>
                <c:pt idx="198">
                  <c:v>-91.414849063852643</c:v>
                </c:pt>
                <c:pt idx="199">
                  <c:v>-94.053518102984896</c:v>
                </c:pt>
                <c:pt idx="200">
                  <c:v>-96.560348308753248</c:v>
                </c:pt>
                <c:pt idx="201">
                  <c:v>-98.955907124743575</c:v>
                </c:pt>
                <c:pt idx="202">
                  <c:v>-101.25699268581798</c:v>
                </c:pt>
                <c:pt idx="203">
                  <c:v>-103.47749970606513</c:v>
                </c:pt>
                <c:pt idx="204">
                  <c:v>-103.62246828556133</c:v>
                </c:pt>
                <c:pt idx="205">
                  <c:v>-105.7392404110998</c:v>
                </c:pt>
                <c:pt idx="206">
                  <c:v>-107.80380754253177</c:v>
                </c:pt>
                <c:pt idx="207">
                  <c:v>-109.82364746190619</c:v>
                </c:pt>
                <c:pt idx="208">
                  <c:v>-111.80529414937004</c:v>
                </c:pt>
                <c:pt idx="209">
                  <c:v>-113.75451473593606</c:v>
                </c:pt>
                <c:pt idx="210">
                  <c:v>-115.6764503990965</c:v>
                </c:pt>
                <c:pt idx="211">
                  <c:v>-117.57572974589318</c:v>
                </c:pt>
                <c:pt idx="212">
                  <c:v>-119.45656101704537</c:v>
                </c:pt>
                <c:pt idx="213">
                  <c:v>-121.32280786156718</c:v>
                </c:pt>
                <c:pt idx="214">
                  <c:v>-123.17805228887204</c:v>
                </c:pt>
                <c:pt idx="215">
                  <c:v>-125.02564757431298</c:v>
                </c:pt>
                <c:pt idx="216">
                  <c:v>-126.86876325545522</c:v>
                </c:pt>
                <c:pt idx="217">
                  <c:v>-128.71042391670318</c:v>
                </c:pt>
                <c:pt idx="218">
                  <c:v>-129.6201404918767</c:v>
                </c:pt>
                <c:pt idx="219">
                  <c:v>-130.37806257261803</c:v>
                </c:pt>
                <c:pt idx="220">
                  <c:v>-131.11412312009969</c:v>
                </c:pt>
                <c:pt idx="221">
                  <c:v>-131.83030025208606</c:v>
                </c:pt>
                <c:pt idx="222">
                  <c:v>-132.52841587391137</c:v>
                </c:pt>
                <c:pt idx="223">
                  <c:v>-133.21015602846799</c:v>
                </c:pt>
                <c:pt idx="224">
                  <c:v>-133.87708876911711</c:v>
                </c:pt>
                <c:pt idx="225">
                  <c:v>-134.53067994036846</c:v>
                </c:pt>
                <c:pt idx="226">
                  <c:v>-135.17230729574419</c:v>
                </c:pt>
                <c:pt idx="227">
                  <c:v>-135.80327317288189</c:v>
                </c:pt>
                <c:pt idx="228">
                  <c:v>-136.42481604375101</c:v>
                </c:pt>
                <c:pt idx="229">
                  <c:v>-137.03812113433025</c:v>
                </c:pt>
                <c:pt idx="230">
                  <c:v>-137.64433033192748</c:v>
                </c:pt>
                <c:pt idx="231">
                  <c:v>-138.24455152035628</c:v>
                </c:pt>
                <c:pt idx="232">
                  <c:v>-138.83986757208757</c:v>
                </c:pt>
                <c:pt idx="233">
                  <c:v>-139.43134514704377</c:v>
                </c:pt>
                <c:pt idx="234">
                  <c:v>-140.02004341415847</c:v>
                </c:pt>
                <c:pt idx="235">
                  <c:v>-140.60702290759818</c:v>
                </c:pt>
                <c:pt idx="236">
                  <c:v>-141.19335472176024</c:v>
                </c:pt>
                <c:pt idx="237">
                  <c:v>-141.78013010065069</c:v>
                </c:pt>
                <c:pt idx="238">
                  <c:v>-142.36847084126865</c:v>
                </c:pt>
                <c:pt idx="239">
                  <c:v>-142.9595406129888</c:v>
                </c:pt>
                <c:pt idx="240">
                  <c:v>-143.55455750753293</c:v>
                </c:pt>
                <c:pt idx="241">
                  <c:v>-144.15480827249434</c:v>
                </c:pt>
                <c:pt idx="242">
                  <c:v>-144.76166451042008</c:v>
                </c:pt>
                <c:pt idx="243">
                  <c:v>-145.3766015914116</c:v>
                </c:pt>
                <c:pt idx="244">
                  <c:v>-146.00122073173461</c:v>
                </c:pt>
                <c:pt idx="245">
                  <c:v>-146.63727537690357</c:v>
                </c:pt>
                <c:pt idx="246">
                  <c:v>-147.28670281187894</c:v>
                </c:pt>
                <c:pt idx="247">
                  <c:v>-147.95166257076229</c:v>
                </c:pt>
                <c:pt idx="248">
                  <c:v>-148.63458374074736</c:v>
                </c:pt>
                <c:pt idx="249">
                  <c:v>-149.33822356339238</c:v>
                </c:pt>
                <c:pt idx="250">
                  <c:v>-149.6576908698041</c:v>
                </c:pt>
                <c:pt idx="251">
                  <c:v>-150.39164083363301</c:v>
                </c:pt>
                <c:pt idx="252">
                  <c:v>-151.15718245423321</c:v>
                </c:pt>
                <c:pt idx="253">
                  <c:v>-151.95932150517947</c:v>
                </c:pt>
                <c:pt idx="254">
                  <c:v>-152.80404175178975</c:v>
                </c:pt>
                <c:pt idx="255">
                  <c:v>-153.69858478218399</c:v>
                </c:pt>
                <c:pt idx="256">
                  <c:v>-154.65183372624088</c:v>
                </c:pt>
                <c:pt idx="257">
                  <c:v>-155.67485036232986</c:v>
                </c:pt>
                <c:pt idx="258">
                  <c:v>-156.78164434160027</c:v>
                </c:pt>
                <c:pt idx="259">
                  <c:v>-157.99030466328534</c:v>
                </c:pt>
                <c:pt idx="260">
                  <c:v>-159.32471564947221</c:v>
                </c:pt>
                <c:pt idx="261">
                  <c:v>-160.8172550567628</c:v>
                </c:pt>
                <c:pt idx="262">
                  <c:v>-162.51322279108169</c:v>
                </c:pt>
                <c:pt idx="263">
                  <c:v>-164.47850128766615</c:v>
                </c:pt>
                <c:pt idx="264">
                  <c:v>-166.8086973962339</c:v>
                </c:pt>
                <c:pt idx="265">
                  <c:v>-169.22708937308096</c:v>
                </c:pt>
                <c:pt idx="266">
                  <c:v>-171.51514756329411</c:v>
                </c:pt>
                <c:pt idx="267">
                  <c:v>-173.64827220014371</c:v>
                </c:pt>
                <c:pt idx="268">
                  <c:v>-175.52614308946079</c:v>
                </c:pt>
                <c:pt idx="269">
                  <c:v>-177.24488398511764</c:v>
                </c:pt>
                <c:pt idx="270">
                  <c:v>-178.8033663246475</c:v>
                </c:pt>
                <c:pt idx="271">
                  <c:v>-177.24488398511835</c:v>
                </c:pt>
                <c:pt idx="272">
                  <c:v>-175.52614308946013</c:v>
                </c:pt>
                <c:pt idx="273">
                  <c:v>-173.64827220014413</c:v>
                </c:pt>
                <c:pt idx="274">
                  <c:v>-171.51514756329448</c:v>
                </c:pt>
                <c:pt idx="275">
                  <c:v>-169.2270893730813</c:v>
                </c:pt>
                <c:pt idx="276">
                  <c:v>-166.80869739623415</c:v>
                </c:pt>
                <c:pt idx="277">
                  <c:v>-164.47850128766569</c:v>
                </c:pt>
                <c:pt idx="278">
                  <c:v>-162.51322279108172</c:v>
                </c:pt>
                <c:pt idx="279">
                  <c:v>-160.81725505676309</c:v>
                </c:pt>
                <c:pt idx="280">
                  <c:v>-159.32471564947232</c:v>
                </c:pt>
                <c:pt idx="281">
                  <c:v>-157.99030466328512</c:v>
                </c:pt>
                <c:pt idx="282">
                  <c:v>-156.78164434160033</c:v>
                </c:pt>
                <c:pt idx="283">
                  <c:v>-155.67485036232998</c:v>
                </c:pt>
                <c:pt idx="284">
                  <c:v>-154.65183372624105</c:v>
                </c:pt>
                <c:pt idx="285">
                  <c:v>-153.69858478218399</c:v>
                </c:pt>
                <c:pt idx="286">
                  <c:v>-152.80404175178955</c:v>
                </c:pt>
                <c:pt idx="287">
                  <c:v>-151.95932150517936</c:v>
                </c:pt>
                <c:pt idx="288">
                  <c:v>-151.15718245423326</c:v>
                </c:pt>
                <c:pt idx="289">
                  <c:v>-150.39164083363303</c:v>
                </c:pt>
                <c:pt idx="290">
                  <c:v>-149.6576908698041</c:v>
                </c:pt>
                <c:pt idx="291">
                  <c:v>-148.311428813232</c:v>
                </c:pt>
                <c:pt idx="292">
                  <c:v>-146.50884249809477</c:v>
                </c:pt>
                <c:pt idx="293">
                  <c:v>-144.80687481557288</c:v>
                </c:pt>
                <c:pt idx="294">
                  <c:v>-143.19468012275371</c:v>
                </c:pt>
                <c:pt idx="295">
                  <c:v>-141.66288668133592</c:v>
                </c:pt>
                <c:pt idx="296">
                  <c:v>-140.20334274669975</c:v>
                </c:pt>
                <c:pt idx="297">
                  <c:v>-138.80891359572837</c:v>
                </c:pt>
                <c:pt idx="298">
                  <c:v>-137.47331798428252</c:v>
                </c:pt>
                <c:pt idx="299">
                  <c:v>-136.19099503754092</c:v>
                </c:pt>
                <c:pt idx="300">
                  <c:v>-134.95699507047604</c:v>
                </c:pt>
                <c:pt idx="301">
                  <c:v>-133.76688940925848</c:v>
                </c:pt>
                <c:pt idx="302">
                  <c:v>-132.6166952821703</c:v>
                </c:pt>
                <c:pt idx="303">
                  <c:v>-131.50281277463114</c:v>
                </c:pt>
                <c:pt idx="304">
                  <c:v>-130.42197161851732</c:v>
                </c:pt>
                <c:pt idx="305">
                  <c:v>-129.37118593276296</c:v>
                </c:pt>
                <c:pt idx="306">
                  <c:v>-128.34771540213256</c:v>
                </c:pt>
                <c:pt idx="307">
                  <c:v>-127.34903174569436</c:v>
                </c:pt>
                <c:pt idx="308">
                  <c:v>-126.37278955920048</c:v>
                </c:pt>
                <c:pt idx="309">
                  <c:v>-125.41680072252034</c:v>
                </c:pt>
                <c:pt idx="310">
                  <c:v>-124.47901164327988</c:v>
                </c:pt>
                <c:pt idx="311">
                  <c:v>-123.55748296959001</c:v>
                </c:pt>
                <c:pt idx="312">
                  <c:v>-122.65037113390453</c:v>
                </c:pt>
                <c:pt idx="313">
                  <c:v>-121.75591143873842</c:v>
                </c:pt>
                <c:pt idx="314">
                  <c:v>-120.87240227908298</c:v>
                </c:pt>
                <c:pt idx="315">
                  <c:v>-119.9981902441525</c:v>
                </c:pt>
                <c:pt idx="316">
                  <c:v>-119.13165569274068</c:v>
                </c:pt>
                <c:pt idx="317">
                  <c:v>-118.27119866971529</c:v>
                </c:pt>
                <c:pt idx="318">
                  <c:v>-117.41522475859738</c:v>
                </c:pt>
                <c:pt idx="319">
                  <c:v>-116.56213064615038</c:v>
                </c:pt>
                <c:pt idx="320">
                  <c:v>-115.71028909609707</c:v>
                </c:pt>
                <c:pt idx="321">
                  <c:v>-115.67365797406345</c:v>
                </c:pt>
                <c:pt idx="322">
                  <c:v>-114.83336109876376</c:v>
                </c:pt>
                <c:pt idx="323">
                  <c:v>-113.98958703487456</c:v>
                </c:pt>
                <c:pt idx="324">
                  <c:v>-113.1404846555739</c:v>
                </c:pt>
                <c:pt idx="325">
                  <c:v>-112.28408611880694</c:v>
                </c:pt>
                <c:pt idx="326">
                  <c:v>-111.4182798731413</c:v>
                </c:pt>
                <c:pt idx="327">
                  <c:v>-110.54077937691848</c:v>
                </c:pt>
                <c:pt idx="328">
                  <c:v>-109.64908627439191</c:v>
                </c:pt>
                <c:pt idx="329">
                  <c:v>-108.74044676357389</c:v>
                </c:pt>
                <c:pt idx="330">
                  <c:v>-107.81179929515758</c:v>
                </c:pt>
                <c:pt idx="331">
                  <c:v>-106.85971141824359</c:v>
                </c:pt>
                <c:pt idx="332">
                  <c:v>-105.88030274862881</c:v>
                </c:pt>
                <c:pt idx="333">
                  <c:v>-104.86915026485238</c:v>
                </c:pt>
                <c:pt idx="334">
                  <c:v>-103.8211708643708</c:v>
                </c:pt>
                <c:pt idx="335">
                  <c:v>-102.73047438684605</c:v>
                </c:pt>
                <c:pt idx="336">
                  <c:v>-101.59017797784914</c:v>
                </c:pt>
                <c:pt idx="337">
                  <c:v>-100.2641528718521</c:v>
                </c:pt>
                <c:pt idx="338">
                  <c:v>-98.241665253070906</c:v>
                </c:pt>
                <c:pt idx="339">
                  <c:v>-96.157607357019756</c:v>
                </c:pt>
                <c:pt idx="340">
                  <c:v>-94.000615439037205</c:v>
                </c:pt>
                <c:pt idx="341">
                  <c:v>-91.756884308421903</c:v>
                </c:pt>
                <c:pt idx="342">
                  <c:v>-89.409400878371969</c:v>
                </c:pt>
                <c:pt idx="343">
                  <c:v>-86.936878202697656</c:v>
                </c:pt>
                <c:pt idx="344">
                  <c:v>-84.312246270569631</c:v>
                </c:pt>
                <c:pt idx="345">
                  <c:v>-81.500472884344831</c:v>
                </c:pt>
                <c:pt idx="346">
                  <c:v>-78.455347869280928</c:v>
                </c:pt>
                <c:pt idx="347">
                  <c:v>-75.114620124319032</c:v>
                </c:pt>
                <c:pt idx="348">
                  <c:v>-71.392437963398379</c:v>
                </c:pt>
                <c:pt idx="349">
                  <c:v>-67.167220798025468</c:v>
                </c:pt>
                <c:pt idx="350">
                  <c:v>-62.261478876662821</c:v>
                </c:pt>
                <c:pt idx="351">
                  <c:v>-56.829110365572028</c:v>
                </c:pt>
                <c:pt idx="352">
                  <c:v>-51.280238896005379</c:v>
                </c:pt>
                <c:pt idx="353">
                  <c:v>-45.59885385678794</c:v>
                </c:pt>
                <c:pt idx="354">
                  <c:v>-39.764752666212509</c:v>
                </c:pt>
                <c:pt idx="355">
                  <c:v>-33.755027699949629</c:v>
                </c:pt>
                <c:pt idx="356">
                  <c:v>-27.543522730584382</c:v>
                </c:pt>
                <c:pt idx="357">
                  <c:v>-21.100159246484427</c:v>
                </c:pt>
                <c:pt idx="358">
                  <c:v>-14.390094286765656</c:v>
                </c:pt>
                <c:pt idx="359">
                  <c:v>-7.3726579826172332</c:v>
                </c:pt>
                <c:pt idx="360">
                  <c:v>-1.0936583028901326E-13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162.34132643767077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135.28443869778252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33.470681758339971</c:v>
                </c:pt>
                <c:pt idx="3">
                  <c:v>116.99811354264081</c:v>
                </c:pt>
                <c:pt idx="4">
                  <c:v>193.24625651779962</c:v>
                </c:pt>
                <c:pt idx="5">
                  <c:v>256.34568606544508</c:v>
                </c:pt>
                <c:pt idx="6">
                  <c:v>312.15864400466273</c:v>
                </c:pt>
                <c:pt idx="7">
                  <c:v>357.44693507136344</c:v>
                </c:pt>
                <c:pt idx="8">
                  <c:v>387.2139553255447</c:v>
                </c:pt>
                <c:pt idx="9">
                  <c:v>405.21654627390217</c:v>
                </c:pt>
                <c:pt idx="10">
                  <c:v>422.12671863735704</c:v>
                </c:pt>
                <c:pt idx="11">
                  <c:v>437.05227769569188</c:v>
                </c:pt>
                <c:pt idx="12">
                  <c:v>447.753227420305</c:v>
                </c:pt>
                <c:pt idx="13">
                  <c:v>455.41227626506452</c:v>
                </c:pt>
                <c:pt idx="14">
                  <c:v>466.23643065050999</c:v>
                </c:pt>
                <c:pt idx="15">
                  <c:v>474.17192541561218</c:v>
                </c:pt>
                <c:pt idx="16">
                  <c:v>479.20723511828095</c:v>
                </c:pt>
                <c:pt idx="17">
                  <c:v>481.02005887794172</c:v>
                </c:pt>
                <c:pt idx="18">
                  <c:v>479.08604807180672</c:v>
                </c:pt>
                <c:pt idx="19">
                  <c:v>473.33543873612655</c:v>
                </c:pt>
                <c:pt idx="20">
                  <c:v>463.74746180315219</c:v>
                </c:pt>
                <c:pt idx="21">
                  <c:v>450.05578043136097</c:v>
                </c:pt>
                <c:pt idx="22">
                  <c:v>432.04639301058842</c:v>
                </c:pt>
                <c:pt idx="23">
                  <c:v>409.44083248055495</c:v>
                </c:pt>
                <c:pt idx="24">
                  <c:v>381.90517697410473</c:v>
                </c:pt>
                <c:pt idx="25">
                  <c:v>349.0551768492823</c:v>
                </c:pt>
                <c:pt idx="26">
                  <c:v>310.44276023680942</c:v>
                </c:pt>
                <c:pt idx="27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-342.9</c:v>
                </c:pt>
                <c:pt idx="1">
                  <c:v>-342.899</c:v>
                </c:pt>
                <c:pt idx="2">
                  <c:v>-268.77958000000001</c:v>
                </c:pt>
                <c:pt idx="3">
                  <c:v>-194.66016000000002</c:v>
                </c:pt>
                <c:pt idx="4">
                  <c:v>-120.54074000000001</c:v>
                </c:pt>
                <c:pt idx="5">
                  <c:v>-46.421320000000009</c:v>
                </c:pt>
                <c:pt idx="6">
                  <c:v>27.698099999999997</c:v>
                </c:pt>
                <c:pt idx="7">
                  <c:v>101.81752</c:v>
                </c:pt>
                <c:pt idx="8">
                  <c:v>175.93693999999999</c:v>
                </c:pt>
                <c:pt idx="9">
                  <c:v>250.05635999999998</c:v>
                </c:pt>
                <c:pt idx="10">
                  <c:v>324.17577999999997</c:v>
                </c:pt>
                <c:pt idx="11">
                  <c:v>398.29519999999997</c:v>
                </c:pt>
                <c:pt idx="12">
                  <c:v>472.41461999999996</c:v>
                </c:pt>
                <c:pt idx="13">
                  <c:v>546.53404</c:v>
                </c:pt>
                <c:pt idx="14">
                  <c:v>620.65346</c:v>
                </c:pt>
                <c:pt idx="15">
                  <c:v>694.77287999999999</c:v>
                </c:pt>
                <c:pt idx="16">
                  <c:v>768.89229999999998</c:v>
                </c:pt>
                <c:pt idx="17">
                  <c:v>843.01171999999997</c:v>
                </c:pt>
                <c:pt idx="18">
                  <c:v>917.13113999999996</c:v>
                </c:pt>
                <c:pt idx="19">
                  <c:v>991.25055999999995</c:v>
                </c:pt>
                <c:pt idx="20">
                  <c:v>1065.3699799999999</c:v>
                </c:pt>
                <c:pt idx="21">
                  <c:v>1139.4893999999999</c:v>
                </c:pt>
                <c:pt idx="22">
                  <c:v>1213.6088199999999</c:v>
                </c:pt>
                <c:pt idx="23">
                  <c:v>1287.7282399999999</c:v>
                </c:pt>
                <c:pt idx="24">
                  <c:v>1361.8476599999999</c:v>
                </c:pt>
                <c:pt idx="25">
                  <c:v>1435.9670799999999</c:v>
                </c:pt>
                <c:pt idx="26">
                  <c:v>1510.0864999999999</c:v>
                </c:pt>
                <c:pt idx="27">
                  <c:v>1510.0864999999999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78.10249675906654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78.10249675906654</c:v>
                </c:pt>
                <c:pt idx="1">
                  <c:v>211.32104869916878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-100</c:v>
                </c:pt>
                <c:pt idx="1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2.1092497974366116</c:v>
                </c:pt>
                <c:pt idx="2">
                  <c:v>4.1265445101431739</c:v>
                </c:pt>
                <c:pt idx="3">
                  <c:v>6.0625699305529936</c:v>
                </c:pt>
                <c:pt idx="4">
                  <c:v>7.9268663905826751</c:v>
                </c:pt>
                <c:pt idx="5">
                  <c:v>9.7279547938133213</c:v>
                </c:pt>
                <c:pt idx="6">
                  <c:v>11.47345509688772</c:v>
                </c:pt>
                <c:pt idx="7">
                  <c:v>13.170194932124916</c:v>
                </c:pt>
                <c:pt idx="8">
                  <c:v>14.824307545210834</c:v>
                </c:pt>
                <c:pt idx="9">
                  <c:v>16.441319105778359</c:v>
                </c:pt>
                <c:pt idx="10">
                  <c:v>18.025648148418689</c:v>
                </c:pt>
                <c:pt idx="11">
                  <c:v>19.453790540367645</c:v>
                </c:pt>
                <c:pt idx="12">
                  <c:v>20.678084770398304</c:v>
                </c:pt>
                <c:pt idx="13">
                  <c:v>21.750645142144784</c:v>
                </c:pt>
                <c:pt idx="14">
                  <c:v>22.707331159099144</c:v>
                </c:pt>
                <c:pt idx="15">
                  <c:v>23.573571093071504</c:v>
                </c:pt>
                <c:pt idx="16">
                  <c:v>24.367879025112892</c:v>
                </c:pt>
                <c:pt idx="17">
                  <c:v>25.104054485932785</c:v>
                </c:pt>
                <c:pt idx="18">
                  <c:v>25.792601191349984</c:v>
                </c:pt>
                <c:pt idx="19">
                  <c:v>26.441667424866637</c:v>
                </c:pt>
                <c:pt idx="20">
                  <c:v>27.057684713799976</c:v>
                </c:pt>
                <c:pt idx="21">
                  <c:v>27.645811155711105</c:v>
                </c:pt>
                <c:pt idx="22">
                  <c:v>28.210245300374392</c:v>
                </c:pt>
                <c:pt idx="23">
                  <c:v>28.75445240679802</c:v>
                </c:pt>
                <c:pt idx="24">
                  <c:v>29.133575361591831</c:v>
                </c:pt>
                <c:pt idx="25">
                  <c:v>29.466797795043203</c:v>
                </c:pt>
                <c:pt idx="26">
                  <c:v>29.785957801648195</c:v>
                </c:pt>
                <c:pt idx="27">
                  <c:v>30.093056522808919</c:v>
                </c:pt>
                <c:pt idx="28">
                  <c:v>30.389814858900969</c:v>
                </c:pt>
                <c:pt idx="29">
                  <c:v>30.677726323411385</c:v>
                </c:pt>
                <c:pt idx="30">
                  <c:v>30.958098967087135</c:v>
                </c:pt>
                <c:pt idx="31">
                  <c:v>31.232088966863557</c:v>
                </c:pt>
                <c:pt idx="32">
                  <c:v>31.500727799565588</c:v>
                </c:pt>
                <c:pt idx="33">
                  <c:v>31.764944446090105</c:v>
                </c:pt>
                <c:pt idx="34">
                  <c:v>32.025583730683991</c:v>
                </c:pt>
                <c:pt idx="35">
                  <c:v>32.283421616412468</c:v>
                </c:pt>
                <c:pt idx="36">
                  <c:v>32.539178123864389</c:v>
                </c:pt>
                <c:pt idx="37">
                  <c:v>32.793528363033424</c:v>
                </c:pt>
                <c:pt idx="38">
                  <c:v>33.047112106621945</c:v>
                </c:pt>
                <c:pt idx="39">
                  <c:v>33.300542198467369</c:v>
                </c:pt>
                <c:pt idx="40">
                  <c:v>33.362084535174148</c:v>
                </c:pt>
                <c:pt idx="41">
                  <c:v>33.62285565965604</c:v>
                </c:pt>
                <c:pt idx="42">
                  <c:v>33.885209947128246</c:v>
                </c:pt>
                <c:pt idx="43">
                  <c:v>34.149736921505593</c:v>
                </c:pt>
                <c:pt idx="44">
                  <c:v>34.417031800395769</c:v>
                </c:pt>
                <c:pt idx="45">
                  <c:v>34.687701517219445</c:v>
                </c:pt>
                <c:pt idx="46">
                  <c:v>34.962370837536334</c:v>
                </c:pt>
                <c:pt idx="47">
                  <c:v>35.241688704833187</c:v>
                </c:pt>
                <c:pt idx="48">
                  <c:v>35.526334967704145</c:v>
                </c:pt>
                <c:pt idx="49">
                  <c:v>35.817027617423634</c:v>
                </c:pt>
                <c:pt idx="50">
                  <c:v>36.114530731665852</c:v>
                </c:pt>
                <c:pt idx="51">
                  <c:v>36.419663296767659</c:v>
                </c:pt>
                <c:pt idx="52">
                  <c:v>36.733309143685247</c:v>
                </c:pt>
                <c:pt idx="53">
                  <c:v>37.056428254293756</c:v>
                </c:pt>
                <c:pt idx="54">
                  <c:v>37.390069777773107</c:v>
                </c:pt>
                <c:pt idx="55">
                  <c:v>37.735387116541084</c:v>
                </c:pt>
                <c:pt idx="56">
                  <c:v>38.093655593938344</c:v>
                </c:pt>
                <c:pt idx="57">
                  <c:v>38.466293287961342</c:v>
                </c:pt>
                <c:pt idx="58">
                  <c:v>38.854885777919272</c:v>
                </c:pt>
                <c:pt idx="59">
                  <c:v>39.261215762169329</c:v>
                </c:pt>
                <c:pt idx="60">
                  <c:v>39.687298766332106</c:v>
                </c:pt>
                <c:pt idx="61">
                  <c:v>40.135426497237205</c:v>
                </c:pt>
                <c:pt idx="62">
                  <c:v>40.608219865808877</c:v>
                </c:pt>
                <c:pt idx="63">
                  <c:v>41.1086943571785</c:v>
                </c:pt>
                <c:pt idx="64">
                  <c:v>41.640341263229253</c:v>
                </c:pt>
                <c:pt idx="65">
                  <c:v>42.207229464740287</c:v>
                </c:pt>
                <c:pt idx="66">
                  <c:v>42.814134124360912</c:v>
                </c:pt>
                <c:pt idx="67">
                  <c:v>43.466700970126517</c:v>
                </c:pt>
                <c:pt idx="68">
                  <c:v>44.171658097915369</c:v>
                </c:pt>
                <c:pt idx="69">
                  <c:v>44.937092080012214</c:v>
                </c:pt>
                <c:pt idx="70">
                  <c:v>45.433197156069923</c:v>
                </c:pt>
                <c:pt idx="71">
                  <c:v>45.976383075656585</c:v>
                </c:pt>
                <c:pt idx="72">
                  <c:v>46.570195125056713</c:v>
                </c:pt>
                <c:pt idx="73">
                  <c:v>47.224245240032921</c:v>
                </c:pt>
                <c:pt idx="74">
                  <c:v>47.95069490772859</c:v>
                </c:pt>
                <c:pt idx="75">
                  <c:v>48.765168448167948</c:v>
                </c:pt>
                <c:pt idx="76">
                  <c:v>49.688086506076338</c:v>
                </c:pt>
                <c:pt idx="77">
                  <c:v>50.746661726628858</c:v>
                </c:pt>
                <c:pt idx="78">
                  <c:v>51.977969554130787</c:v>
                </c:pt>
                <c:pt idx="79">
                  <c:v>53.433823929606085</c:v>
                </c:pt>
                <c:pt idx="80">
                  <c:v>55.188798404268745</c:v>
                </c:pt>
                <c:pt idx="81">
                  <c:v>57.353960544858182</c:v>
                </c:pt>
                <c:pt idx="82">
                  <c:v>60.101458878481928</c:v>
                </c:pt>
                <c:pt idx="83">
                  <c:v>63.71067528755141</c:v>
                </c:pt>
                <c:pt idx="84">
                  <c:v>68.646011320285751</c:v>
                </c:pt>
                <c:pt idx="85">
                  <c:v>74.485767242815754</c:v>
                </c:pt>
                <c:pt idx="86">
                  <c:v>80.668583642202137</c:v>
                </c:pt>
                <c:pt idx="87">
                  <c:v>87.209983068995896</c:v>
                </c:pt>
                <c:pt idx="88">
                  <c:v>94.386034894552026</c:v>
                </c:pt>
                <c:pt idx="89">
                  <c:v>101.82107740299089</c:v>
                </c:pt>
                <c:pt idx="90">
                  <c:v>109.37102871096631</c:v>
                </c:pt>
                <c:pt idx="91">
                  <c:v>116.56792642247498</c:v>
                </c:pt>
                <c:pt idx="92">
                  <c:v>122.60310021428201</c:v>
                </c:pt>
                <c:pt idx="93">
                  <c:v>127.69625128539703</c:v>
                </c:pt>
                <c:pt idx="94">
                  <c:v>131.90398196926512</c:v>
                </c:pt>
                <c:pt idx="95">
                  <c:v>135.58293753998254</c:v>
                </c:pt>
                <c:pt idx="96">
                  <c:v>138.85999998759357</c:v>
                </c:pt>
                <c:pt idx="97">
                  <c:v>141.52757534345756</c:v>
                </c:pt>
                <c:pt idx="98">
                  <c:v>143.44375788611185</c:v>
                </c:pt>
                <c:pt idx="99">
                  <c:v>144.89284668085742</c:v>
                </c:pt>
                <c:pt idx="100">
                  <c:v>146.03383590178532</c:v>
                </c:pt>
                <c:pt idx="101">
                  <c:v>146.96075566740893</c:v>
                </c:pt>
                <c:pt idx="102">
                  <c:v>147.73276860792816</c:v>
                </c:pt>
                <c:pt idx="103">
                  <c:v>148.38897744620687</c:v>
                </c:pt>
                <c:pt idx="104">
                  <c:v>148.95628192582686</c:v>
                </c:pt>
                <c:pt idx="105">
                  <c:v>149.4538110761045</c:v>
                </c:pt>
                <c:pt idx="106">
                  <c:v>149.89555335795063</c:v>
                </c:pt>
                <c:pt idx="107">
                  <c:v>150.2919851508708</c:v>
                </c:pt>
                <c:pt idx="108">
                  <c:v>150.65111618709943</c:v>
                </c:pt>
                <c:pt idx="109">
                  <c:v>150.979181911952</c:v>
                </c:pt>
                <c:pt idx="110">
                  <c:v>151.28111461584416</c:v>
                </c:pt>
                <c:pt idx="111">
                  <c:v>151.40651813909972</c:v>
                </c:pt>
                <c:pt idx="112">
                  <c:v>151.67736956135269</c:v>
                </c:pt>
                <c:pt idx="113">
                  <c:v>151.93131322454471</c:v>
                </c:pt>
                <c:pt idx="114">
                  <c:v>152.1706280639205</c:v>
                </c:pt>
                <c:pt idx="115">
                  <c:v>152.39722658075871</c:v>
                </c:pt>
                <c:pt idx="116">
                  <c:v>152.61272869321061</c:v>
                </c:pt>
                <c:pt idx="117">
                  <c:v>152.8185185354065</c:v>
                </c:pt>
                <c:pt idx="118">
                  <c:v>153.01578865191721</c:v>
                </c:pt>
                <c:pt idx="119">
                  <c:v>153.20557476928826</c:v>
                </c:pt>
                <c:pt idx="120">
                  <c:v>153.38878344157243</c:v>
                </c:pt>
                <c:pt idx="121">
                  <c:v>153.56621423877431</c:v>
                </c:pt>
                <c:pt idx="122">
                  <c:v>153.73857773348109</c:v>
                </c:pt>
                <c:pt idx="123">
                  <c:v>153.90651020769289</c:v>
                </c:pt>
                <c:pt idx="124">
                  <c:v>154.07058579494702</c:v>
                </c:pt>
                <c:pt idx="125">
                  <c:v>154.23132659236751</c:v>
                </c:pt>
                <c:pt idx="126">
                  <c:v>154.38921116526308</c:v>
                </c:pt>
                <c:pt idx="127">
                  <c:v>154.54468177197109</c:v>
                </c:pt>
                <c:pt idx="128">
                  <c:v>154.69815056226813</c:v>
                </c:pt>
                <c:pt idx="129">
                  <c:v>154.85000496320663</c:v>
                </c:pt>
                <c:pt idx="130">
                  <c:v>155.00061241442177</c:v>
                </c:pt>
                <c:pt idx="131">
                  <c:v>155.15032459099487</c:v>
                </c:pt>
                <c:pt idx="132">
                  <c:v>155.2994812293139</c:v>
                </c:pt>
                <c:pt idx="133">
                  <c:v>155.44841365122042</c:v>
                </c:pt>
                <c:pt idx="134">
                  <c:v>155.59744807021991</c:v>
                </c:pt>
                <c:pt idx="135">
                  <c:v>155.74690875627459</c:v>
                </c:pt>
                <c:pt idx="136">
                  <c:v>155.89712112667999</c:v>
                </c:pt>
                <c:pt idx="137">
                  <c:v>156.04841482878666</c:v>
                </c:pt>
                <c:pt idx="138">
                  <c:v>156.20112687814512</c:v>
                </c:pt>
                <c:pt idx="139">
                  <c:v>156.3556049190037</c:v>
                </c:pt>
                <c:pt idx="140">
                  <c:v>156.51221067473864</c:v>
                </c:pt>
                <c:pt idx="141">
                  <c:v>156.6713236654268</c:v>
                </c:pt>
                <c:pt idx="142">
                  <c:v>156.83334527648239</c:v>
                </c:pt>
                <c:pt idx="143">
                  <c:v>157.01905561928251</c:v>
                </c:pt>
                <c:pt idx="144">
                  <c:v>157.35272302009119</c:v>
                </c:pt>
                <c:pt idx="145">
                  <c:v>157.68618412098812</c:v>
                </c:pt>
                <c:pt idx="146">
                  <c:v>158.02003847520734</c:v>
                </c:pt>
                <c:pt idx="147">
                  <c:v>158.35490811271626</c:v>
                </c:pt>
                <c:pt idx="148">
                  <c:v>158.69144503134663</c:v>
                </c:pt>
                <c:pt idx="149">
                  <c:v>159.03033975567556</c:v>
                </c:pt>
                <c:pt idx="150">
                  <c:v>159.372331267139</c:v>
                </c:pt>
                <c:pt idx="151">
                  <c:v>159.71821869774161</c:v>
                </c:pt>
                <c:pt idx="152">
                  <c:v>160.06887528351109</c:v>
                </c:pt>
                <c:pt idx="153">
                  <c:v>160.42526522476362</c:v>
                </c:pt>
                <c:pt idx="154">
                  <c:v>160.78846430349054</c:v>
                </c:pt>
                <c:pt idx="155">
                  <c:v>161.15968538382751</c:v>
                </c:pt>
                <c:pt idx="156">
                  <c:v>161.54031030097894</c:v>
                </c:pt>
                <c:pt idx="157">
                  <c:v>161.57972909296035</c:v>
                </c:pt>
                <c:pt idx="158">
                  <c:v>161.97803837593429</c:v>
                </c:pt>
                <c:pt idx="159">
                  <c:v>162.39100285518853</c:v>
                </c:pt>
                <c:pt idx="160">
                  <c:v>162.82115513802813</c:v>
                </c:pt>
                <c:pt idx="161">
                  <c:v>163.27154717672889</c:v>
                </c:pt>
                <c:pt idx="162">
                  <c:v>163.74590398161513</c:v>
                </c:pt>
                <c:pt idx="163">
                  <c:v>164.24883426758169</c:v>
                </c:pt>
                <c:pt idx="164">
                  <c:v>164.78612411491005</c:v>
                </c:pt>
                <c:pt idx="165">
                  <c:v>165.36515414015454</c:v>
                </c:pt>
                <c:pt idx="166">
                  <c:v>165.99550466881158</c:v>
                </c:pt>
                <c:pt idx="167">
                  <c:v>166.68985443089034</c:v>
                </c:pt>
                <c:pt idx="168">
                  <c:v>167.46535081320638</c:v>
                </c:pt>
                <c:pt idx="169">
                  <c:v>168.34514181577146</c:v>
                </c:pt>
                <c:pt idx="170">
                  <c:v>169.28141719995821</c:v>
                </c:pt>
                <c:pt idx="171">
                  <c:v>170.2309211030699</c:v>
                </c:pt>
                <c:pt idx="172">
                  <c:v>171.19662571809505</c:v>
                </c:pt>
                <c:pt idx="173">
                  <c:v>172.18181556279006</c:v>
                </c:pt>
                <c:pt idx="174">
                  <c:v>173.19014857493463</c:v>
                </c:pt>
                <c:pt idx="175">
                  <c:v>174.22572909684428</c:v>
                </c:pt>
                <c:pt idx="176">
                  <c:v>175.29319558200859</c:v>
                </c:pt>
                <c:pt idx="177">
                  <c:v>176.39782654976867</c:v>
                </c:pt>
                <c:pt idx="178">
                  <c:v>177.54566926003935</c:v>
                </c:pt>
                <c:pt idx="179">
                  <c:v>178.74369670566173</c:v>
                </c:pt>
                <c:pt idx="180">
                  <c:v>180</c:v>
                </c:pt>
                <c:pt idx="181">
                  <c:v>181.2563032943383</c:v>
                </c:pt>
                <c:pt idx="182">
                  <c:v>182.45433073996065</c:v>
                </c:pt>
                <c:pt idx="183">
                  <c:v>183.60217345023131</c:v>
                </c:pt>
                <c:pt idx="184">
                  <c:v>184.70680441799141</c:v>
                </c:pt>
                <c:pt idx="185">
                  <c:v>185.7742709031557</c:v>
                </c:pt>
                <c:pt idx="186">
                  <c:v>186.80985142506537</c:v>
                </c:pt>
                <c:pt idx="187">
                  <c:v>187.81818443720991</c:v>
                </c:pt>
                <c:pt idx="188">
                  <c:v>188.80337428190498</c:v>
                </c:pt>
                <c:pt idx="189">
                  <c:v>189.76907889693007</c:v>
                </c:pt>
                <c:pt idx="190">
                  <c:v>190.71858280004179</c:v>
                </c:pt>
                <c:pt idx="191">
                  <c:v>191.65485818422852</c:v>
                </c:pt>
                <c:pt idx="192">
                  <c:v>192.53464918679364</c:v>
                </c:pt>
                <c:pt idx="193">
                  <c:v>193.31014556910961</c:v>
                </c:pt>
                <c:pt idx="194">
                  <c:v>194.00449533118837</c:v>
                </c:pt>
                <c:pt idx="195">
                  <c:v>194.63484585984546</c:v>
                </c:pt>
                <c:pt idx="196">
                  <c:v>195.21387588508992</c:v>
                </c:pt>
                <c:pt idx="197">
                  <c:v>195.75116573241831</c:v>
                </c:pt>
                <c:pt idx="198">
                  <c:v>196.25409601838487</c:v>
                </c:pt>
                <c:pt idx="199">
                  <c:v>196.72845282327111</c:v>
                </c:pt>
                <c:pt idx="200">
                  <c:v>197.17884486197187</c:v>
                </c:pt>
                <c:pt idx="201">
                  <c:v>197.60899714481147</c:v>
                </c:pt>
                <c:pt idx="202">
                  <c:v>198.02196162406571</c:v>
                </c:pt>
                <c:pt idx="203">
                  <c:v>198.42027090703962</c:v>
                </c:pt>
                <c:pt idx="204">
                  <c:v>198.45968969902106</c:v>
                </c:pt>
                <c:pt idx="205">
                  <c:v>198.84031461617246</c:v>
                </c:pt>
                <c:pt idx="206">
                  <c:v>199.21153569650949</c:v>
                </c:pt>
                <c:pt idx="207">
                  <c:v>199.57473477523635</c:v>
                </c:pt>
                <c:pt idx="208">
                  <c:v>199.93112471648891</c:v>
                </c:pt>
                <c:pt idx="209">
                  <c:v>200.28178130225839</c:v>
                </c:pt>
                <c:pt idx="210">
                  <c:v>200.62766873286103</c:v>
                </c:pt>
                <c:pt idx="211">
                  <c:v>200.96966024432444</c:v>
                </c:pt>
                <c:pt idx="212">
                  <c:v>201.30855496865337</c:v>
                </c:pt>
                <c:pt idx="213">
                  <c:v>201.64509188728374</c:v>
                </c:pt>
                <c:pt idx="214">
                  <c:v>201.97996152479263</c:v>
                </c:pt>
                <c:pt idx="215">
                  <c:v>202.31381587901188</c:v>
                </c:pt>
                <c:pt idx="216">
                  <c:v>202.64727697990881</c:v>
                </c:pt>
                <c:pt idx="217">
                  <c:v>202.98094438071749</c:v>
                </c:pt>
                <c:pt idx="218">
                  <c:v>203.16665472351761</c:v>
                </c:pt>
                <c:pt idx="219">
                  <c:v>203.3286763345732</c:v>
                </c:pt>
                <c:pt idx="220">
                  <c:v>203.48778932526136</c:v>
                </c:pt>
                <c:pt idx="221">
                  <c:v>203.6443950809963</c:v>
                </c:pt>
                <c:pt idx="222">
                  <c:v>203.79887312185488</c:v>
                </c:pt>
                <c:pt idx="223">
                  <c:v>203.95158517121334</c:v>
                </c:pt>
                <c:pt idx="224">
                  <c:v>204.10287887332001</c:v>
                </c:pt>
                <c:pt idx="225">
                  <c:v>204.25309124372538</c:v>
                </c:pt>
                <c:pt idx="226">
                  <c:v>204.40255192978009</c:v>
                </c:pt>
                <c:pt idx="227">
                  <c:v>204.55158634877958</c:v>
                </c:pt>
                <c:pt idx="228">
                  <c:v>204.7005187706861</c:v>
                </c:pt>
                <c:pt idx="229">
                  <c:v>204.8496754090051</c:v>
                </c:pt>
                <c:pt idx="230">
                  <c:v>204.99938758557823</c:v>
                </c:pt>
                <c:pt idx="231">
                  <c:v>205.14999503679337</c:v>
                </c:pt>
                <c:pt idx="232">
                  <c:v>205.3018494377319</c:v>
                </c:pt>
                <c:pt idx="233">
                  <c:v>205.45531822802891</c:v>
                </c:pt>
                <c:pt idx="234">
                  <c:v>205.61078883473695</c:v>
                </c:pt>
                <c:pt idx="235">
                  <c:v>205.76867340763249</c:v>
                </c:pt>
                <c:pt idx="236">
                  <c:v>205.92941420505298</c:v>
                </c:pt>
                <c:pt idx="237">
                  <c:v>206.09348979230711</c:v>
                </c:pt>
                <c:pt idx="238">
                  <c:v>206.26142226651891</c:v>
                </c:pt>
                <c:pt idx="239">
                  <c:v>206.43378576122569</c:v>
                </c:pt>
                <c:pt idx="240">
                  <c:v>206.61121655842757</c:v>
                </c:pt>
                <c:pt idx="241">
                  <c:v>206.79442523071177</c:v>
                </c:pt>
                <c:pt idx="242">
                  <c:v>206.98421134808282</c:v>
                </c:pt>
                <c:pt idx="243">
                  <c:v>207.1814814645935</c:v>
                </c:pt>
                <c:pt idx="244">
                  <c:v>207.38727130678939</c:v>
                </c:pt>
                <c:pt idx="245">
                  <c:v>207.60277341924129</c:v>
                </c:pt>
                <c:pt idx="246">
                  <c:v>207.8293719360795</c:v>
                </c:pt>
                <c:pt idx="247">
                  <c:v>208.06868677545529</c:v>
                </c:pt>
                <c:pt idx="248">
                  <c:v>208.32263043864728</c:v>
                </c:pt>
                <c:pt idx="249">
                  <c:v>208.59348186090028</c:v>
                </c:pt>
                <c:pt idx="250">
                  <c:v>208.71888538415584</c:v>
                </c:pt>
                <c:pt idx="251">
                  <c:v>209.020818088048</c:v>
                </c:pt>
                <c:pt idx="252">
                  <c:v>209.34888381290054</c:v>
                </c:pt>
                <c:pt idx="253">
                  <c:v>209.70801484912923</c:v>
                </c:pt>
                <c:pt idx="254">
                  <c:v>210.1044466420494</c:v>
                </c:pt>
                <c:pt idx="255">
                  <c:v>210.5461889238955</c:v>
                </c:pt>
                <c:pt idx="256">
                  <c:v>211.04371807417314</c:v>
                </c:pt>
                <c:pt idx="257">
                  <c:v>211.61102255379313</c:v>
                </c:pt>
                <c:pt idx="258">
                  <c:v>212.26723139207181</c:v>
                </c:pt>
                <c:pt idx="259">
                  <c:v>213.0392443325911</c:v>
                </c:pt>
                <c:pt idx="260">
                  <c:v>213.96616409821468</c:v>
                </c:pt>
                <c:pt idx="261">
                  <c:v>215.10715331914255</c:v>
                </c:pt>
                <c:pt idx="262">
                  <c:v>216.55624211388809</c:v>
                </c:pt>
                <c:pt idx="263">
                  <c:v>218.47242465654247</c:v>
                </c:pt>
                <c:pt idx="264">
                  <c:v>221.14000001240649</c:v>
                </c:pt>
                <c:pt idx="265">
                  <c:v>224.41706246001746</c:v>
                </c:pt>
                <c:pt idx="266">
                  <c:v>228.0960180307348</c:v>
                </c:pt>
                <c:pt idx="267">
                  <c:v>232.30374871460276</c:v>
                </c:pt>
                <c:pt idx="268">
                  <c:v>237.39689978571809</c:v>
                </c:pt>
                <c:pt idx="269">
                  <c:v>243.43207357752502</c:v>
                </c:pt>
                <c:pt idx="270">
                  <c:v>250.62897128903353</c:v>
                </c:pt>
                <c:pt idx="271">
                  <c:v>258.17892259700898</c:v>
                </c:pt>
                <c:pt idx="272">
                  <c:v>265.61396510544807</c:v>
                </c:pt>
                <c:pt idx="273">
                  <c:v>272.79001693100406</c:v>
                </c:pt>
                <c:pt idx="274">
                  <c:v>279.33141635779788</c:v>
                </c:pt>
                <c:pt idx="275">
                  <c:v>285.51423275718412</c:v>
                </c:pt>
                <c:pt idx="276">
                  <c:v>291.35398867971412</c:v>
                </c:pt>
                <c:pt idx="277">
                  <c:v>296.28932471244866</c:v>
                </c:pt>
                <c:pt idx="278">
                  <c:v>299.89854112151806</c:v>
                </c:pt>
                <c:pt idx="279">
                  <c:v>302.64603945514176</c:v>
                </c:pt>
                <c:pt idx="280">
                  <c:v>304.81120159573118</c:v>
                </c:pt>
                <c:pt idx="281">
                  <c:v>306.56617607039391</c:v>
                </c:pt>
                <c:pt idx="282">
                  <c:v>308.02203044586918</c:v>
                </c:pt>
                <c:pt idx="283">
                  <c:v>309.25333827337113</c:v>
                </c:pt>
                <c:pt idx="284">
                  <c:v>310.31191349392361</c:v>
                </c:pt>
                <c:pt idx="285">
                  <c:v>311.23483155183203</c:v>
                </c:pt>
                <c:pt idx="286">
                  <c:v>312.04930509227142</c:v>
                </c:pt>
                <c:pt idx="287">
                  <c:v>312.77575475996707</c:v>
                </c:pt>
                <c:pt idx="288">
                  <c:v>313.42980487494327</c:v>
                </c:pt>
                <c:pt idx="289">
                  <c:v>314.0236169243434</c:v>
                </c:pt>
                <c:pt idx="290">
                  <c:v>314.56680284393008</c:v>
                </c:pt>
                <c:pt idx="291">
                  <c:v>315.06290791998777</c:v>
                </c:pt>
                <c:pt idx="292">
                  <c:v>315.82834190208462</c:v>
                </c:pt>
                <c:pt idx="293">
                  <c:v>316.53329902987349</c:v>
                </c:pt>
                <c:pt idx="294">
                  <c:v>317.18586587563908</c:v>
                </c:pt>
                <c:pt idx="295">
                  <c:v>317.79277053525971</c:v>
                </c:pt>
                <c:pt idx="296">
                  <c:v>318.35965873677077</c:v>
                </c:pt>
                <c:pt idx="297">
                  <c:v>318.89130564282152</c:v>
                </c:pt>
                <c:pt idx="298">
                  <c:v>319.39178013419109</c:v>
                </c:pt>
                <c:pt idx="299">
                  <c:v>319.86457350276277</c:v>
                </c:pt>
                <c:pt idx="300">
                  <c:v>320.31270123366789</c:v>
                </c:pt>
                <c:pt idx="301">
                  <c:v>320.73878423783066</c:v>
                </c:pt>
                <c:pt idx="302">
                  <c:v>321.14511422208074</c:v>
                </c:pt>
                <c:pt idx="303">
                  <c:v>321.53370671203868</c:v>
                </c:pt>
                <c:pt idx="304">
                  <c:v>321.90634440606169</c:v>
                </c:pt>
                <c:pt idx="305">
                  <c:v>322.26461288345894</c:v>
                </c:pt>
                <c:pt idx="306">
                  <c:v>322.60993022222686</c:v>
                </c:pt>
                <c:pt idx="307">
                  <c:v>322.94357174570621</c:v>
                </c:pt>
                <c:pt idx="308">
                  <c:v>323.26669085631477</c:v>
                </c:pt>
                <c:pt idx="309">
                  <c:v>323.58033670323232</c:v>
                </c:pt>
                <c:pt idx="310">
                  <c:v>323.88546926833413</c:v>
                </c:pt>
                <c:pt idx="311">
                  <c:v>324.18297238257639</c:v>
                </c:pt>
                <c:pt idx="312">
                  <c:v>324.4736650322958</c:v>
                </c:pt>
                <c:pt idx="313">
                  <c:v>324.75831129516683</c:v>
                </c:pt>
                <c:pt idx="314">
                  <c:v>325.03762916246365</c:v>
                </c:pt>
                <c:pt idx="315">
                  <c:v>325.31229848278053</c:v>
                </c:pt>
                <c:pt idx="316">
                  <c:v>325.58296819960424</c:v>
                </c:pt>
                <c:pt idx="317">
                  <c:v>325.85026307849444</c:v>
                </c:pt>
                <c:pt idx="318">
                  <c:v>326.11479005287174</c:v>
                </c:pt>
                <c:pt idx="319">
                  <c:v>326.37714434034399</c:v>
                </c:pt>
                <c:pt idx="320">
                  <c:v>326.63791546482582</c:v>
                </c:pt>
                <c:pt idx="321">
                  <c:v>326.69945780153262</c:v>
                </c:pt>
                <c:pt idx="322">
                  <c:v>326.95288789337803</c:v>
                </c:pt>
                <c:pt idx="323">
                  <c:v>327.20647163696657</c:v>
                </c:pt>
                <c:pt idx="324">
                  <c:v>327.46082187613558</c:v>
                </c:pt>
                <c:pt idx="325">
                  <c:v>327.71657838358755</c:v>
                </c:pt>
                <c:pt idx="326">
                  <c:v>327.97441626931601</c:v>
                </c:pt>
                <c:pt idx="327">
                  <c:v>328.23505555390989</c:v>
                </c:pt>
                <c:pt idx="328">
                  <c:v>328.4992722004344</c:v>
                </c:pt>
                <c:pt idx="329">
                  <c:v>328.76791103313644</c:v>
                </c:pt>
                <c:pt idx="330">
                  <c:v>329.04190103291285</c:v>
                </c:pt>
                <c:pt idx="331">
                  <c:v>329.32227367658862</c:v>
                </c:pt>
                <c:pt idx="332">
                  <c:v>329.61018514109901</c:v>
                </c:pt>
                <c:pt idx="333">
                  <c:v>329.90694347719108</c:v>
                </c:pt>
                <c:pt idx="334">
                  <c:v>330.21404219835176</c:v>
                </c:pt>
                <c:pt idx="335">
                  <c:v>330.53320220495681</c:v>
                </c:pt>
                <c:pt idx="336">
                  <c:v>330.8664246384082</c:v>
                </c:pt>
                <c:pt idx="337">
                  <c:v>331.24554759320199</c:v>
                </c:pt>
                <c:pt idx="338">
                  <c:v>331.78975469962558</c:v>
                </c:pt>
                <c:pt idx="339">
                  <c:v>332.35418884428884</c:v>
                </c:pt>
                <c:pt idx="340">
                  <c:v>332.94231528620008</c:v>
                </c:pt>
                <c:pt idx="341">
                  <c:v>333.55833257513336</c:v>
                </c:pt>
                <c:pt idx="342">
                  <c:v>334.20739880865</c:v>
                </c:pt>
                <c:pt idx="343">
                  <c:v>334.89594551406714</c:v>
                </c:pt>
                <c:pt idx="344">
                  <c:v>335.63212097488713</c:v>
                </c:pt>
                <c:pt idx="345">
                  <c:v>336.42642890692849</c:v>
                </c:pt>
                <c:pt idx="346">
                  <c:v>337.29266884090083</c:v>
                </c:pt>
                <c:pt idx="347">
                  <c:v>338.24935485785517</c:v>
                </c:pt>
                <c:pt idx="348">
                  <c:v>339.32191522960164</c:v>
                </c:pt>
                <c:pt idx="349">
                  <c:v>340.54620945963239</c:v>
                </c:pt>
                <c:pt idx="350">
                  <c:v>341.97435185158128</c:v>
                </c:pt>
                <c:pt idx="351">
                  <c:v>343.5586808942216</c:v>
                </c:pt>
                <c:pt idx="352">
                  <c:v>345.17569245478904</c:v>
                </c:pt>
                <c:pt idx="353">
                  <c:v>346.8298050678751</c:v>
                </c:pt>
                <c:pt idx="354">
                  <c:v>348.52654490311232</c:v>
                </c:pt>
                <c:pt idx="355">
                  <c:v>350.27204520618665</c:v>
                </c:pt>
                <c:pt idx="356">
                  <c:v>352.07313360941725</c:v>
                </c:pt>
                <c:pt idx="357">
                  <c:v>353.93743006944692</c:v>
                </c:pt>
                <c:pt idx="358">
                  <c:v>355.87345548985684</c:v>
                </c:pt>
                <c:pt idx="359">
                  <c:v>357.89075020256337</c:v>
                </c:pt>
                <c:pt idx="360">
                  <c:v>359.99999999999994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6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6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25C791B-0BB8-4E0A-991F-44CBF4206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zoomScaleNormal="100" workbookViewId="0">
      <selection activeCell="G21" sqref="G21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9" width="9" bestFit="1" customWidth="1"/>
    <col min="21" max="21" width="9" bestFit="1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5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5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5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5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5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5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5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5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5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5">
      <c r="A26" s="26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  <c r="D28">
        <v>1</v>
      </c>
    </row>
    <row r="29" spans="1:5" x14ac:dyDescent="0.25">
      <c r="A29" s="2" t="s">
        <v>19</v>
      </c>
      <c r="B29">
        <f>B28*B2*D28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($B$10-($B$2*$D$28))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($B$10-($B$2*$D$28))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5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5">
      <c r="A50" s="2" t="s">
        <v>30</v>
      </c>
      <c r="B50" s="6">
        <f ca="1">F46+B31</f>
        <v>33492.5</v>
      </c>
    </row>
    <row r="52" spans="1:21" x14ac:dyDescent="0.25">
      <c r="A52" s="27" t="s">
        <v>34</v>
      </c>
    </row>
    <row r="53" spans="1:21" x14ac:dyDescent="0.25">
      <c r="A53" s="2" t="s">
        <v>36</v>
      </c>
      <c r="B53" s="34">
        <v>299.73100906871036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-18.183946517148289</v>
      </c>
      <c r="D57" s="4">
        <f ca="1">-1*A57*SIN(RADIANS(-1*$B$53))+B57*COS(RADIANS(-1*$B$53))</f>
        <v>1.1309309842677893</v>
      </c>
      <c r="F57" t="s">
        <v>40</v>
      </c>
      <c r="G57">
        <f ca="1">MAX(D57:D61)-MIN(D57:D61)</f>
        <v>32.245126043893421</v>
      </c>
      <c r="H57" t="s">
        <v>6</v>
      </c>
      <c r="T57" t="s">
        <v>82</v>
      </c>
    </row>
    <row r="58" spans="1:21" x14ac:dyDescent="0.25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-8.2653723529339267</v>
      </c>
      <c r="D58" s="4">
        <f t="shared" ref="D58:D61" ca="1" si="9">-1*A58*SIN(RADIANS(-1*$B$53))+B58*COS(RADIANS(-1*$B$53))</f>
        <v>-16.236333813304093</v>
      </c>
      <c r="F58" t="s">
        <v>62</v>
      </c>
      <c r="G58" s="7">
        <f ca="1">MAX(D57:D61)</f>
        <v>16.008792230589332</v>
      </c>
      <c r="T58" t="s">
        <v>0</v>
      </c>
      <c r="U58" t="s">
        <v>1</v>
      </c>
    </row>
    <row r="59" spans="1:21" x14ac:dyDescent="0.25">
      <c r="A59" s="6">
        <f ca="1">D5-$D$49</f>
        <v>10</v>
      </c>
      <c r="B59" s="7">
        <f t="shared" ca="1" si="7"/>
        <v>14.770590430693439</v>
      </c>
      <c r="C59" s="4">
        <f t="shared" ca="1" si="8"/>
        <v>17.785524843423893</v>
      </c>
      <c r="D59" s="4">
        <f t="shared" ca="1" si="9"/>
        <v>-1.3584725669825497</v>
      </c>
      <c r="T59">
        <f ca="1">MAX(MAX(C57:C61),MAX(D57:D61))</f>
        <v>17.785524843423893</v>
      </c>
      <c r="U59">
        <f ca="1">T59</f>
        <v>17.785524843423893</v>
      </c>
    </row>
    <row r="60" spans="1:21" x14ac:dyDescent="0.25">
      <c r="A60" s="6">
        <f ca="1">D6-$D$49</f>
        <v>-10</v>
      </c>
      <c r="B60" s="7">
        <f t="shared" ca="1" si="7"/>
        <v>14.770590430693439</v>
      </c>
      <c r="C60" s="4">
        <f t="shared" ca="1" si="8"/>
        <v>7.8669506792095314</v>
      </c>
      <c r="D60" s="4">
        <f t="shared" ca="1" si="9"/>
        <v>16.008792230589332</v>
      </c>
      <c r="T60">
        <f ca="1">-1*T59</f>
        <v>-17.785524843423893</v>
      </c>
      <c r="U60">
        <f ca="1">-1*U59</f>
        <v>-17.785524843423893</v>
      </c>
    </row>
    <row r="61" spans="1:21" x14ac:dyDescent="0.25">
      <c r="A61" s="6">
        <f ca="1">D7-$D$49</f>
        <v>-10</v>
      </c>
      <c r="B61" s="7">
        <f t="shared" ca="1" si="7"/>
        <v>-15.229409569306561</v>
      </c>
      <c r="C61" s="4">
        <f t="shared" ca="1" si="8"/>
        <v>-18.183946517148289</v>
      </c>
      <c r="D61" s="4">
        <f t="shared" ca="1" si="9"/>
        <v>1.1309309842677893</v>
      </c>
    </row>
    <row r="62" spans="1:21" x14ac:dyDescent="0.25">
      <c r="A62" s="6"/>
    </row>
    <row r="63" spans="1:21" x14ac:dyDescent="0.25">
      <c r="A63" s="28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-12.726778724791041</v>
      </c>
      <c r="G64" s="4">
        <f ca="1">IF(C64&gt;0,-1*D64*SIN(RADIANS(-1*$B$53))+E64*COS(RADIANS(-1*$B$53)),0)</f>
        <v>-0.35880714240371425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-6.7756342262624241</v>
      </c>
      <c r="G65" s="4">
        <f t="shared" ref="G65:G75" ca="1" si="14">IF(C65&gt;0,-1*D65*SIN(RADIANS(-1*$B$53))+E65*COS(RADIANS(-1*$B$53)),0)</f>
        <v>-10.779166020946843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6.3772125525380261</v>
      </c>
      <c r="G66" s="4">
        <f t="shared" ca="1" si="14"/>
        <v>10.551624438232082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9.3527848018023345</v>
      </c>
      <c r="G67" s="4">
        <f t="shared" ca="1" si="14"/>
        <v>5.3414449989605179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12.328357051066643</v>
      </c>
      <c r="G68" s="4">
        <f t="shared" ca="1" si="14"/>
        <v>0.13126555968895381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>
        <f ca="1">MIN(G64:G75)</f>
        <v>-10.779166020946843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4">
        <v>7.0346485702709352</v>
      </c>
      <c r="C78" t="s">
        <v>6</v>
      </c>
      <c r="D78" s="4">
        <f ca="1">MIN(C57:C61)</f>
        <v>-18.183946517148289</v>
      </c>
      <c r="E78" s="4">
        <f ca="1">MAX(D57:D61)-B78</f>
        <v>8.9741436603183971</v>
      </c>
    </row>
    <row r="79" spans="1:7" x14ac:dyDescent="0.25">
      <c r="A79" s="2"/>
      <c r="D79" s="4">
        <f ca="1">MAX(C57:C61)</f>
        <v>17.785524843423893</v>
      </c>
      <c r="E79" s="4">
        <f ca="1">E78</f>
        <v>8.9741436603183971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5.6277188562167479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-18.183946517148289</v>
      </c>
      <c r="E82" s="4">
        <f ca="1">MAX(D57:D61)-B81</f>
        <v>10.381073374372583</v>
      </c>
    </row>
    <row r="83" spans="1:12" x14ac:dyDescent="0.25">
      <c r="D83" s="4">
        <f ca="1">MAX(C57:C61)</f>
        <v>17.785524843423893</v>
      </c>
      <c r="E83" s="4">
        <f ca="1">E82</f>
        <v>10.381073374372583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-18.183946517148289</v>
      </c>
      <c r="C88" s="4">
        <f t="shared" ca="1" si="15"/>
        <v>1.1309309842677893</v>
      </c>
      <c r="D88" s="4">
        <f t="shared" ref="D88:E91" ca="1" si="16">C58</f>
        <v>-8.2653723529339267</v>
      </c>
      <c r="E88" s="4">
        <f t="shared" ca="1" si="16"/>
        <v>-16.236333813304093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-1.7509840134312813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5">
      <c r="A89">
        <v>2</v>
      </c>
      <c r="B89" s="4">
        <f t="shared" ca="1" si="15"/>
        <v>-8.2653723529339267</v>
      </c>
      <c r="C89" s="4">
        <f t="shared" ca="1" si="15"/>
        <v>-16.236333813304093</v>
      </c>
      <c r="D89" s="4">
        <f t="shared" ca="1" si="16"/>
        <v>17.785524843423893</v>
      </c>
      <c r="E89" s="4">
        <f t="shared" ca="1" si="16"/>
        <v>-1.3584725669825497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0.57110744148963977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4">
        <f t="shared" ca="1" si="15"/>
        <v>17.785524843423893</v>
      </c>
      <c r="C90" s="4">
        <f t="shared" ca="1" si="15"/>
        <v>-1.3584725669825497</v>
      </c>
      <c r="D90" s="4">
        <f t="shared" ca="1" si="16"/>
        <v>7.8669506792095314</v>
      </c>
      <c r="E90" s="4">
        <f t="shared" ca="1" si="16"/>
        <v>16.008792230589332</v>
      </c>
      <c r="F90" s="1">
        <f t="shared" ca="1" si="17"/>
        <v>1</v>
      </c>
      <c r="G90" s="1">
        <f t="shared" ca="1" si="18"/>
        <v>-1.7509840134312813</v>
      </c>
      <c r="H90" s="4">
        <f t="shared" ca="1" si="19"/>
        <v>11.080982796606479</v>
      </c>
      <c r="I90" s="4">
        <f t="shared" ca="1" si="20"/>
        <v>10.381073374372583</v>
      </c>
      <c r="J90" s="5">
        <f t="shared" ref="J90:J91" ca="1" si="23">IF(F90=0,0,IF(F90=1,-0.5*B$85*(H90+D90)*(I90-E90),IF(F90=2,-0.5*B$85*(B90+H90)*(C90-I90),IF(F90=3,-0.5*B$85*(B90+D90)*(C90-E90),0))))</f>
        <v>226.59649032990444</v>
      </c>
      <c r="K90" s="5">
        <f t="shared" ca="1" si="21"/>
        <v>2953.8740176657552</v>
      </c>
      <c r="L90" s="5">
        <f t="shared" ca="1" si="22"/>
        <v>1083.6784305612437</v>
      </c>
    </row>
    <row r="91" spans="1:12" ht="15.75" thickBot="1" x14ac:dyDescent="0.3">
      <c r="A91">
        <v>4</v>
      </c>
      <c r="B91" s="4">
        <f t="shared" ca="1" si="15"/>
        <v>7.8669506792095314</v>
      </c>
      <c r="C91" s="4">
        <f t="shared" ca="1" si="15"/>
        <v>16.008792230589332</v>
      </c>
      <c r="D91" s="4">
        <f t="shared" ca="1" si="16"/>
        <v>-18.183946517148289</v>
      </c>
      <c r="E91" s="4">
        <f t="shared" ca="1" si="16"/>
        <v>1.1309309842677893</v>
      </c>
      <c r="F91" s="1">
        <f t="shared" ca="1" si="17"/>
        <v>2</v>
      </c>
      <c r="G91" s="1">
        <f t="shared" ca="1" si="18"/>
        <v>0.57110744148963977</v>
      </c>
      <c r="H91" s="4">
        <f t="shared" ca="1" si="19"/>
        <v>-1.9870950701117702</v>
      </c>
      <c r="I91" s="4">
        <f t="shared" ca="1" si="20"/>
        <v>10.381073374372583</v>
      </c>
      <c r="J91" s="24">
        <f t="shared" ca="1" si="23"/>
        <v>-70.316620351696486</v>
      </c>
      <c r="K91" s="24">
        <f t="shared" ca="1" si="21"/>
        <v>-1038.3548301100843</v>
      </c>
      <c r="L91" s="24">
        <f t="shared" ca="1" si="22"/>
        <v>-200.13255697295898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156.27986997820796</v>
      </c>
      <c r="K92" s="5">
        <f ca="1">SUM(K88:K91)</f>
        <v>1915.5191875556709</v>
      </c>
      <c r="L92" s="5">
        <f ca="1">SUM(L88:L91)*-1</f>
        <v>-883.54587358828462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26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26" x14ac:dyDescent="0.25">
      <c r="A98" s="8">
        <f>A64</f>
        <v>1</v>
      </c>
      <c r="B98" s="7">
        <f ca="1">C13</f>
        <v>1.27</v>
      </c>
      <c r="C98">
        <f t="shared" ca="1" si="24"/>
        <v>-12.726778724791041</v>
      </c>
      <c r="D98">
        <f t="shared" ca="1" si="25"/>
        <v>-0.35880714240371425</v>
      </c>
      <c r="E98" s="7">
        <f ca="1">G$58-D98</f>
        <v>16.367599372993048</v>
      </c>
      <c r="F98" s="11">
        <f ca="1">IF(B98=0,0,((B$78-E98)/B$78)*B$96)</f>
        <v>-3.9801352019903369E-3</v>
      </c>
      <c r="G98" s="4">
        <f ca="1">IF(AND(F98&gt;0,E98&lt;=B$81),MIN((F98*B$11),B$10)-B$85,MAX(F98*B$11,-1*B$10))</f>
        <v>-60</v>
      </c>
      <c r="H98" s="4">
        <f ca="1">G98*B98</f>
        <v>-76.2</v>
      </c>
      <c r="I98" s="4">
        <f ca="1">H98*D98</f>
        <v>27.341104251163028</v>
      </c>
      <c r="J98" s="4">
        <f ca="1">H98*C98</f>
        <v>969.78053882907739</v>
      </c>
    </row>
    <row r="99" spans="1:26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-6.7756342262624241</v>
      </c>
      <c r="D99">
        <f t="shared" ca="1" si="25"/>
        <v>-10.779166020946843</v>
      </c>
      <c r="E99" s="7">
        <f t="shared" ref="E99:E109" ca="1" si="28">G$58-D99</f>
        <v>26.787958251536175</v>
      </c>
      <c r="F99" s="11">
        <f t="shared" ref="F99:F109" ca="1" si="29">IF(B99=0,0,((B$78-E99)/B$78)*B$96)</f>
        <v>-8.424007034869313E-3</v>
      </c>
      <c r="G99" s="4">
        <f t="shared" ref="G99:G109" ca="1" si="30">IF(AND(F99&gt;0,E99&lt;=B$81),MIN((F99*B$11),B$10)-B$85,MAX(F99*B$11,-1*B$10))</f>
        <v>-60</v>
      </c>
      <c r="H99" s="4">
        <f t="shared" ref="H99:H109" ca="1" si="31">G99*B99</f>
        <v>-76.2</v>
      </c>
      <c r="I99" s="4">
        <f t="shared" ref="I99:I109" ca="1" si="32">H99*D99</f>
        <v>821.37245079614945</v>
      </c>
      <c r="J99" s="4">
        <f t="shared" ref="J99:J109" ca="1" si="33">H99*C99</f>
        <v>516.30332804119678</v>
      </c>
    </row>
    <row r="100" spans="1:26" x14ac:dyDescent="0.25">
      <c r="A100" s="8">
        <f t="shared" si="26"/>
        <v>3</v>
      </c>
      <c r="B100" s="7">
        <f t="shared" ca="1" si="27"/>
        <v>1.27</v>
      </c>
      <c r="C100">
        <f t="shared" ca="1" si="24"/>
        <v>6.3772125525380261</v>
      </c>
      <c r="D100">
        <f t="shared" ca="1" si="25"/>
        <v>10.551624438232082</v>
      </c>
      <c r="E100" s="7">
        <f t="shared" ca="1" si="28"/>
        <v>5.4571677923572501</v>
      </c>
      <c r="F100" s="11">
        <f t="shared" ca="1" si="29"/>
        <v>6.7273329811254356E-4</v>
      </c>
      <c r="G100" s="4">
        <f t="shared" ca="1" si="30"/>
        <v>15.931998943376307</v>
      </c>
      <c r="H100" s="4">
        <f t="shared" ca="1" si="31"/>
        <v>20.233638658087909</v>
      </c>
      <c r="I100" s="4">
        <f t="shared" ca="1" si="32"/>
        <v>213.49775613903776</v>
      </c>
      <c r="J100" s="4">
        <f t="shared" ca="1" si="33"/>
        <v>129.03421443387688</v>
      </c>
    </row>
    <row r="101" spans="1:26" x14ac:dyDescent="0.25">
      <c r="A101" s="8">
        <f t="shared" si="26"/>
        <v>4</v>
      </c>
      <c r="B101" s="7">
        <f t="shared" ca="1" si="27"/>
        <v>1.27</v>
      </c>
      <c r="C101">
        <f t="shared" ca="1" si="24"/>
        <v>9.3527848018023345</v>
      </c>
      <c r="D101">
        <f t="shared" ca="1" si="25"/>
        <v>5.3414449989605179</v>
      </c>
      <c r="E101" s="7">
        <f t="shared" ca="1" si="28"/>
        <v>10.667347231628813</v>
      </c>
      <c r="F101" s="11">
        <f t="shared" ca="1" si="29"/>
        <v>-1.5492026183269452E-3</v>
      </c>
      <c r="G101" s="4">
        <f t="shared" ca="1" si="30"/>
        <v>-46.476078549808356</v>
      </c>
      <c r="H101" s="4">
        <f t="shared" ca="1" si="31"/>
        <v>-59.024619758256613</v>
      </c>
      <c r="I101" s="4">
        <f t="shared" ca="1" si="32"/>
        <v>-315.27676002328593</v>
      </c>
      <c r="J101" s="4">
        <f t="shared" ca="1" si="33"/>
        <v>-552.04456660718427</v>
      </c>
    </row>
    <row r="102" spans="1:26" x14ac:dyDescent="0.25">
      <c r="A102" s="8">
        <f t="shared" si="26"/>
        <v>5</v>
      </c>
      <c r="B102" s="7">
        <f t="shared" ca="1" si="27"/>
        <v>1.27</v>
      </c>
      <c r="C102">
        <f t="shared" ca="1" si="24"/>
        <v>12.328357051066643</v>
      </c>
      <c r="D102">
        <f t="shared" ca="1" si="25"/>
        <v>0.13126555968895381</v>
      </c>
      <c r="E102" s="7">
        <f t="shared" ca="1" si="28"/>
        <v>15.877526670900378</v>
      </c>
      <c r="F102" s="11">
        <f t="shared" ca="1" si="29"/>
        <v>-3.771138534766435E-3</v>
      </c>
      <c r="G102" s="4">
        <f t="shared" ca="1" si="30"/>
        <v>-60</v>
      </c>
      <c r="H102" s="4">
        <f t="shared" ca="1" si="31"/>
        <v>-76.2</v>
      </c>
      <c r="I102" s="4">
        <f t="shared" ca="1" si="32"/>
        <v>-10.002435648298281</v>
      </c>
      <c r="J102" s="4">
        <f t="shared" ca="1" si="33"/>
        <v>-939.42080729127827</v>
      </c>
    </row>
    <row r="103" spans="1:26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16.008792230589332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26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16.008792230589332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26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16.008792230589332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26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16.008792230589332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  <c r="M106">
        <v>1887.608125</v>
      </c>
      <c r="N106">
        <v>42.186489583333341</v>
      </c>
      <c r="O106">
        <v>0</v>
      </c>
      <c r="P106">
        <f>SQRT((N106*N106)+(O106*O106)+(M106*M106))</f>
        <v>1888.0794828262344</v>
      </c>
      <c r="Q106" s="56">
        <f>N106/P106</f>
        <v>2.2343598332091982E-2</v>
      </c>
      <c r="R106" s="56">
        <f>O106/P106</f>
        <v>0</v>
      </c>
      <c r="S106" s="56">
        <f>M106/P106</f>
        <v>0.99975035064438655</v>
      </c>
      <c r="T106">
        <f>M106-M107</f>
        <v>2230.507513</v>
      </c>
      <c r="U106">
        <f>N106-N107</f>
        <v>105.05072458353759</v>
      </c>
      <c r="V106">
        <f>O106-O107</f>
        <v>4.1003171749731214E-14</v>
      </c>
      <c r="W106">
        <f>SQRT((U106*U106)+(V106*V106)+(T106*T106))</f>
        <v>2232.9799417560766</v>
      </c>
      <c r="X106" s="56">
        <f>U106/W106</f>
        <v>4.7045082053411916E-2</v>
      </c>
      <c r="Y106" s="56">
        <f>V106/W106</f>
        <v>1.8362534737990165E-17</v>
      </c>
      <c r="Z106" s="56">
        <f>T106/W106</f>
        <v>0.99889276714499631</v>
      </c>
    </row>
    <row r="107" spans="1:26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16.008792230589332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  <c r="M107">
        <v>-342.89938800000016</v>
      </c>
      <c r="N107">
        <v>-62.864235000204246</v>
      </c>
      <c r="O107">
        <v>-4.1003171749731214E-14</v>
      </c>
      <c r="P107">
        <f>SQRT((N107*N107)+(O107*O107)+(M107*M107))</f>
        <v>348.61426008259554</v>
      </c>
      <c r="Q107" s="56">
        <f>N107/P107</f>
        <v>-0.18032605718799374</v>
      </c>
      <c r="R107" s="56">
        <f>O107/P107</f>
        <v>-1.1761759757049677E-16</v>
      </c>
      <c r="S107" s="56">
        <f>M107/P107</f>
        <v>-0.98360688951380992</v>
      </c>
    </row>
    <row r="108" spans="1:26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16.008792230589332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26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16.008792230589332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26" ht="15.75" thickTop="1" x14ac:dyDescent="0.25">
      <c r="F110" s="11">
        <f ca="1">MIN(F98:F109)</f>
        <v>-8.424007034869313E-3</v>
      </c>
      <c r="H110" s="4">
        <f ca="1">SUM(H98:H109)</f>
        <v>-267.39098110016874</v>
      </c>
      <c r="I110" s="4">
        <f ca="1">SUM(I98:I109)</f>
        <v>736.932115514766</v>
      </c>
      <c r="J110" s="4">
        <f ca="1">SUM(J98:J109)*-1</f>
        <v>-123.6527074056886</v>
      </c>
    </row>
    <row r="112" spans="1:26" x14ac:dyDescent="0.25">
      <c r="M112" t="s">
        <v>110</v>
      </c>
      <c r="U112" t="s">
        <v>105</v>
      </c>
    </row>
    <row r="113" spans="1:27" x14ac:dyDescent="0.25">
      <c r="A113" s="2" t="s">
        <v>67</v>
      </c>
      <c r="B113" s="31">
        <f ca="1">J92+H110</f>
        <v>-111.11111112196079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  <c r="M113">
        <f ca="1">SQRT((J114*J114)+(J115*J115)+(J116*J116))</f>
        <v>233.78747961614499</v>
      </c>
      <c r="N113" s="56">
        <f ca="1">J114/M113</f>
        <v>0.69439700836083496</v>
      </c>
      <c r="O113" s="56">
        <f ca="1">J115/M113</f>
        <v>0.57866417363284661</v>
      </c>
      <c r="P113" s="56">
        <f ca="1">J116/M113</f>
        <v>-0.4277389027588408</v>
      </c>
      <c r="U113" t="s">
        <v>106</v>
      </c>
      <c r="V113">
        <f ca="1">-1*J118</f>
        <v>342.9</v>
      </c>
      <c r="W113">
        <f ca="1">J116+V113</f>
        <v>242.89999999023524</v>
      </c>
      <c r="X113">
        <f ca="1">B118+V113</f>
        <v>242.89999999999998</v>
      </c>
    </row>
    <row r="114" spans="1:27" x14ac:dyDescent="0.25">
      <c r="A114" s="2" t="s">
        <v>69</v>
      </c>
      <c r="B114" s="4">
        <f ca="1">(((K92+I110)*COS(RADIANS(B53)))+((L92+J110)*SIN(RADIANS(B53))))</f>
        <v>2190.0409713166064</v>
      </c>
      <c r="C114" t="s">
        <v>23</v>
      </c>
      <c r="D114" s="4">
        <f ca="1">(B113*(E49-H7))</f>
        <v>-25.48995214766251</v>
      </c>
      <c r="E114" t="s">
        <v>23</v>
      </c>
      <c r="F114" s="4">
        <f ca="1">B114+D114</f>
        <v>2164.5510191689436</v>
      </c>
      <c r="G114" s="10" t="str">
        <f>"= Mnx,gc"</f>
        <v>= Mnx,gc</v>
      </c>
      <c r="H114" s="4">
        <f ca="1">F114/12</f>
        <v>180.37925159741198</v>
      </c>
      <c r="I114" t="s">
        <v>72</v>
      </c>
      <c r="J114" s="29">
        <f ca="1">H114*J113</f>
        <v>162.34132643767077</v>
      </c>
      <c r="K114" t="s">
        <v>72</v>
      </c>
      <c r="P114" t="s">
        <v>87</v>
      </c>
      <c r="U114" t="s">
        <v>107</v>
      </c>
      <c r="V114">
        <v>62.86499923500012</v>
      </c>
      <c r="W114" s="6">
        <f ca="1">J114+V114</f>
        <v>225.20632567267089</v>
      </c>
      <c r="X114">
        <f>B119+V114</f>
        <v>122.86499923500011</v>
      </c>
    </row>
    <row r="115" spans="1:27" x14ac:dyDescent="0.25">
      <c r="A115" s="2" t="s">
        <v>70</v>
      </c>
      <c r="B115" s="4">
        <f ca="1">(-1*(K92+I110)*SIN(RADIANS(B53)))+((L92+J110)*COS(RADIANS(B53)))</f>
        <v>1803.7925159704334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1803.7925159704334</v>
      </c>
      <c r="G115" s="10" t="str">
        <f>"= Mny,gc"</f>
        <v>= Mny,gc</v>
      </c>
      <c r="H115" s="4">
        <f ca="1">F115/12</f>
        <v>150.31604299753613</v>
      </c>
      <c r="I115" t="s">
        <v>72</v>
      </c>
      <c r="J115" s="29">
        <f ca="1">H115*J113</f>
        <v>135.28443869778252</v>
      </c>
      <c r="K115" t="s">
        <v>72</v>
      </c>
      <c r="M115" t="s">
        <v>79</v>
      </c>
      <c r="N115" s="9">
        <f ca="1">IF(DEGREES(ATAN2(J114,J115))&lt;0,DEGREES(ATAN2(J114,J115))+360,DEGREES(ATAN2(J114,J115)))</f>
        <v>39.805571092207614</v>
      </c>
      <c r="P115">
        <f ca="1">(-1*0.003*MAX(E98:E109))/(0.002-0.003)</f>
        <v>80.363874754608531</v>
      </c>
      <c r="U115" t="s">
        <v>108</v>
      </c>
      <c r="V115">
        <v>4.1003079420655878E-14</v>
      </c>
      <c r="W115" s="6">
        <f ca="1">J115+V115</f>
        <v>135.28443869778255</v>
      </c>
      <c r="X115" s="6">
        <f>B120+V115</f>
        <v>50.000000000000043</v>
      </c>
    </row>
    <row r="116" spans="1:27" x14ac:dyDescent="0.25">
      <c r="J116" s="30">
        <f ca="1">B113*J113</f>
        <v>-100.00000000976472</v>
      </c>
      <c r="K116" t="s">
        <v>20</v>
      </c>
      <c r="W116">
        <f ca="1">IF(DEGREES(ATAN2(W114,W115))&lt;0,DEGREES(ATAN2(W114,W115))+360,DEGREES(ATAN2(W114,W115)))</f>
        <v>30.993798546499658</v>
      </c>
      <c r="X116">
        <f>IF(DEGREES(ATAN2(X114,X115))&lt;0,DEGREES(ATAN2(X114,X115))+360,DEGREES(ATAN2(X114,X115)))</f>
        <v>22.143900864264591</v>
      </c>
    </row>
    <row r="117" spans="1:27" x14ac:dyDescent="0.25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211.32104869916878</v>
      </c>
      <c r="N117" t="s">
        <v>109</v>
      </c>
      <c r="O117">
        <f ca="1">J114/M117</f>
        <v>0.76822127959801922</v>
      </c>
      <c r="P117">
        <f ca="1">J115/M117</f>
        <v>0.64018439966370777</v>
      </c>
    </row>
    <row r="118" spans="1:27" x14ac:dyDescent="0.25">
      <c r="A118" s="2" t="s">
        <v>75</v>
      </c>
      <c r="B118" s="34">
        <v>-100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</row>
    <row r="119" spans="1:27" x14ac:dyDescent="0.25">
      <c r="A119" s="2" t="s">
        <v>76</v>
      </c>
      <c r="B119" s="34">
        <v>60</v>
      </c>
      <c r="C119" t="s">
        <v>72</v>
      </c>
      <c r="G119" s="2" t="s">
        <v>80</v>
      </c>
      <c r="H119" s="33">
        <v>100</v>
      </c>
      <c r="L119">
        <f ca="1">B118-J116</f>
        <v>9.764718811311468E-9</v>
      </c>
      <c r="M119" s="48">
        <f ca="1">N115-B121</f>
        <v>-5.7582383305998519E-11</v>
      </c>
      <c r="O119">
        <f>B119/E120</f>
        <v>0.76822127959737585</v>
      </c>
      <c r="P119">
        <f>B120/E120</f>
        <v>0.64018439966447993</v>
      </c>
    </row>
    <row r="120" spans="1:27" x14ac:dyDescent="0.25">
      <c r="A120" s="2" t="s">
        <v>77</v>
      </c>
      <c r="B120" s="34">
        <v>50</v>
      </c>
      <c r="C120" t="s">
        <v>72</v>
      </c>
      <c r="D120">
        <f>B118</f>
        <v>-100</v>
      </c>
      <c r="E120">
        <f>SQRT((B119*B119)+(B120*B120))</f>
        <v>78.10249675906654</v>
      </c>
      <c r="G120" s="2" t="s">
        <v>81</v>
      </c>
      <c r="H120" s="1">
        <v>34</v>
      </c>
      <c r="O120">
        <f>ABS(O119)/O119</f>
        <v>1</v>
      </c>
      <c r="P120">
        <f>ABS(P119)/P119</f>
        <v>1</v>
      </c>
      <c r="Q120">
        <f>P120*O120</f>
        <v>1</v>
      </c>
      <c r="R120">
        <f ca="1">Q120*Q118</f>
        <v>1</v>
      </c>
    </row>
    <row r="121" spans="1:27" x14ac:dyDescent="0.25">
      <c r="A121" s="2" t="s">
        <v>78</v>
      </c>
      <c r="B121" s="12">
        <f>IF(DEGREES(ATAN2(B119,B120))&lt;0,DEGREES(ATAN2(B119,B120))+360,DEGREES(ATAN2(B119,B120)))</f>
        <v>39.805571092265197</v>
      </c>
    </row>
    <row r="122" spans="1:27" x14ac:dyDescent="0.25">
      <c r="Q122">
        <f>D120</f>
        <v>-100</v>
      </c>
      <c r="R122">
        <f>E120</f>
        <v>78.10249675906654</v>
      </c>
      <c r="U122">
        <v>4</v>
      </c>
    </row>
    <row r="123" spans="1:27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-100</v>
      </c>
      <c r="R123">
        <f ca="1">SQRT((J114*J114)+(J115*J115))</f>
        <v>211.32104869916878</v>
      </c>
    </row>
    <row r="124" spans="1:27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5.75" thickBot="1" x14ac:dyDescent="0.3">
      <c r="A125" s="16"/>
      <c r="B125" s="20"/>
      <c r="C125" s="15"/>
      <c r="D125" s="16"/>
      <c r="E125" s="17"/>
      <c r="F125" s="17"/>
      <c r="G125" s="16"/>
      <c r="H125" s="20">
        <f ca="1">J114</f>
        <v>162.34132643767077</v>
      </c>
      <c r="I125" s="3">
        <f ca="1">J115</f>
        <v>135.28443869778252</v>
      </c>
      <c r="J125" s="16"/>
      <c r="K125" s="17"/>
      <c r="L125" s="13"/>
      <c r="M125" s="16"/>
      <c r="N125" s="17"/>
    </row>
    <row r="126" spans="1:27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0" t="s">
        <v>94</v>
      </c>
      <c r="W126" s="49"/>
      <c r="X126" s="49"/>
      <c r="Y126" s="49"/>
      <c r="Z126" s="49"/>
      <c r="AA126" s="41"/>
    </row>
    <row r="127" spans="1:27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25</v>
      </c>
      <c r="V127" s="50" t="s">
        <v>103</v>
      </c>
      <c r="W127" s="51">
        <v>1.0000000000000001E-5</v>
      </c>
      <c r="X127" s="51"/>
      <c r="Y127" s="51"/>
      <c r="Z127" s="51"/>
      <c r="AA127" s="52"/>
    </row>
    <row r="128" spans="1:27" ht="17.25" x14ac:dyDescent="0.25">
      <c r="A128" s="16" t="s">
        <v>85</v>
      </c>
      <c r="B128" s="17" t="s">
        <v>76</v>
      </c>
      <c r="C128" s="18" t="s">
        <v>77</v>
      </c>
      <c r="D128" s="16" t="s">
        <v>111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0"/>
      <c r="W128" s="51"/>
      <c r="X128" s="51"/>
      <c r="Y128" s="51" t="s">
        <v>104</v>
      </c>
      <c r="Z128" s="51"/>
      <c r="AA128" s="52"/>
    </row>
    <row r="129" spans="1:27" ht="15.75" thickBot="1" x14ac:dyDescent="0.3">
      <c r="A129" s="37">
        <v>0</v>
      </c>
      <c r="B129" s="57">
        <v>200.84017433013869</v>
      </c>
      <c r="C129" s="57">
        <v>0</v>
      </c>
      <c r="D129" s="58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-342.9</v>
      </c>
      <c r="R129" s="39" t="e">
        <v>#N/A</v>
      </c>
      <c r="S129" s="39">
        <v>179.99999784136165</v>
      </c>
      <c r="V129" s="53" t="s">
        <v>99</v>
      </c>
      <c r="W129" s="54"/>
      <c r="X129" s="54"/>
      <c r="Y129" s="54"/>
      <c r="Z129" s="54"/>
      <c r="AA129" s="52"/>
    </row>
    <row r="130" spans="1:27" x14ac:dyDescent="0.25">
      <c r="A130" s="38">
        <v>-1</v>
      </c>
      <c r="B130" s="57">
        <v>200.18081502017588</v>
      </c>
      <c r="C130" s="57">
        <v>7.3726579826172056</v>
      </c>
      <c r="D130" s="58">
        <f t="shared" ref="D130:D193" si="34">IF(DEGREES(ATAN2(B130,C130))&lt;0,DEGREES(ATAN2(B130,C130))+360,DEGREES(ATAN2(B130,C130)))</f>
        <v>2.1092497974366116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-342.899</v>
      </c>
      <c r="R130" t="e">
        <v>#N/A</v>
      </c>
      <c r="S130" s="39">
        <v>179.99999999999997</v>
      </c>
      <c r="V130" s="40" t="s">
        <v>95</v>
      </c>
      <c r="W130" s="41" t="s">
        <v>96</v>
      </c>
      <c r="X130" s="54" t="str">
        <f>"="</f>
        <v>=</v>
      </c>
      <c r="Y130" s="40">
        <v>-0.50308167374168988</v>
      </c>
      <c r="Z130" s="41">
        <v>-8.1862481238204044E-4</v>
      </c>
      <c r="AA130" s="52"/>
    </row>
    <row r="131" spans="1:27" ht="15.75" thickBot="1" x14ac:dyDescent="0.3">
      <c r="A131" s="38">
        <v>-2</v>
      </c>
      <c r="B131" s="57">
        <v>199.45637085814033</v>
      </c>
      <c r="C131" s="57">
        <v>14.390094286765734</v>
      </c>
      <c r="D131" s="58">
        <f t="shared" si="34"/>
        <v>4.1265445101431739</v>
      </c>
      <c r="E131" s="15"/>
      <c r="F131" s="15"/>
      <c r="G131" s="15"/>
      <c r="H131" s="15"/>
      <c r="I131" s="15"/>
      <c r="P131" s="39">
        <v>2</v>
      </c>
      <c r="Q131">
        <v>-268.77958000000001</v>
      </c>
      <c r="R131">
        <v>33.470681758339971</v>
      </c>
      <c r="S131" s="39">
        <v>39.805571097820433</v>
      </c>
      <c r="V131" s="42" t="s">
        <v>97</v>
      </c>
      <c r="W131" s="43" t="s">
        <v>98</v>
      </c>
      <c r="X131" s="54"/>
      <c r="Y131" s="42">
        <v>7289240.597334587</v>
      </c>
      <c r="Z131" s="43">
        <v>7289241.2363148499</v>
      </c>
      <c r="AA131" s="52"/>
    </row>
    <row r="132" spans="1:27" ht="15.75" thickBot="1" x14ac:dyDescent="0.3">
      <c r="A132" s="37">
        <v>-3</v>
      </c>
      <c r="B132" s="57">
        <v>198.66737323528926</v>
      </c>
      <c r="C132" s="57">
        <v>21.100159246484218</v>
      </c>
      <c r="D132" s="58">
        <f t="shared" si="34"/>
        <v>6.0625699305529936</v>
      </c>
      <c r="E132" s="15"/>
      <c r="F132" s="15"/>
      <c r="G132" s="15"/>
      <c r="H132" s="15"/>
      <c r="I132" s="15"/>
      <c r="P132" s="39">
        <v>3</v>
      </c>
      <c r="Q132">
        <v>-194.66016000000002</v>
      </c>
      <c r="R132">
        <v>116.99811354264081</v>
      </c>
      <c r="S132" s="39">
        <v>39.805571090513432</v>
      </c>
      <c r="V132" s="53"/>
      <c r="W132" s="54"/>
      <c r="X132" s="54"/>
      <c r="Y132" s="54"/>
      <c r="Z132" s="54"/>
      <c r="AA132" s="52"/>
    </row>
    <row r="133" spans="1:27" x14ac:dyDescent="0.25">
      <c r="A133" s="37">
        <v>-4</v>
      </c>
      <c r="B133" s="57">
        <v>197.81409628141427</v>
      </c>
      <c r="C133" s="57">
        <v>27.543522730584254</v>
      </c>
      <c r="D133" s="58">
        <f t="shared" si="34"/>
        <v>7.9268663905826751</v>
      </c>
      <c r="E133" s="15"/>
      <c r="F133" s="15"/>
      <c r="G133" s="15"/>
      <c r="H133" s="15"/>
      <c r="I133" s="15"/>
      <c r="P133" s="39">
        <v>4</v>
      </c>
      <c r="Q133">
        <v>-120.54074000000001</v>
      </c>
      <c r="R133">
        <v>193.24625651779962</v>
      </c>
      <c r="S133" s="39">
        <v>39.805571095458163</v>
      </c>
      <c r="V133" s="53" t="str">
        <f>"-1*R,vector = "</f>
        <v xml:space="preserve">-1*R,vector = </v>
      </c>
      <c r="W133" s="44" t="s">
        <v>75</v>
      </c>
      <c r="X133" s="54" t="str">
        <f>"="</f>
        <v>=</v>
      </c>
      <c r="Y133" s="46">
        <f ca="1">(B118-J116)*-1</f>
        <v>-9.764718811311468E-9</v>
      </c>
      <c r="Z133" s="54"/>
      <c r="AA133" s="52"/>
    </row>
    <row r="134" spans="1:27" ht="15.75" thickBot="1" x14ac:dyDescent="0.3">
      <c r="A134" s="38">
        <v>-5</v>
      </c>
      <c r="B134" s="57">
        <v>196.89656435680058</v>
      </c>
      <c r="C134" s="57">
        <v>33.755027699949558</v>
      </c>
      <c r="D134" s="58">
        <f t="shared" si="34"/>
        <v>9.7279547938133213</v>
      </c>
      <c r="E134" s="15"/>
      <c r="F134" s="15"/>
      <c r="G134" s="15"/>
      <c r="H134" s="15"/>
      <c r="I134" s="15"/>
      <c r="P134" s="39">
        <v>5</v>
      </c>
      <c r="Q134">
        <v>-46.421320000000009</v>
      </c>
      <c r="R134">
        <v>256.34568606544508</v>
      </c>
      <c r="S134" s="39">
        <v>39.805571091068579</v>
      </c>
      <c r="V134" s="53"/>
      <c r="W134" s="45" t="s">
        <v>49</v>
      </c>
      <c r="X134" s="54"/>
      <c r="Y134" s="47">
        <f ca="1">(SQRT(POWER(B119-J114,2)+POWER(B120-J115,2)))*-1</f>
        <v>-133.21855194010223</v>
      </c>
      <c r="Z134" s="54"/>
      <c r="AA134" s="52"/>
    </row>
    <row r="135" spans="1:27" ht="15.75" thickBot="1" x14ac:dyDescent="0.3">
      <c r="A135" s="38">
        <v>-6</v>
      </c>
      <c r="B135" s="57">
        <v>195.91455776033138</v>
      </c>
      <c r="C135" s="57">
        <v>39.764752666212559</v>
      </c>
      <c r="D135" s="58">
        <f t="shared" si="34"/>
        <v>11.47345509688772</v>
      </c>
      <c r="E135" s="15"/>
      <c r="F135" s="15"/>
      <c r="G135" s="15"/>
      <c r="H135" s="15"/>
      <c r="I135" s="15"/>
      <c r="P135" s="39">
        <v>6</v>
      </c>
      <c r="Q135">
        <v>27.698099999999997</v>
      </c>
      <c r="R135">
        <v>312.15864400466273</v>
      </c>
      <c r="S135" s="39">
        <v>39.805571100472292</v>
      </c>
      <c r="V135" s="53"/>
      <c r="W135" s="54"/>
      <c r="X135" s="54"/>
      <c r="Y135" s="54"/>
      <c r="Z135" s="54"/>
      <c r="AA135" s="52"/>
    </row>
    <row r="136" spans="1:27" x14ac:dyDescent="0.25">
      <c r="A136" s="37">
        <v>-7</v>
      </c>
      <c r="B136" s="57">
        <v>194.86761682815481</v>
      </c>
      <c r="C136" s="57">
        <v>45.598853856788004</v>
      </c>
      <c r="D136" s="58">
        <f t="shared" si="34"/>
        <v>13.170194932124916</v>
      </c>
      <c r="E136" s="15"/>
      <c r="F136" s="15"/>
      <c r="G136" s="15"/>
      <c r="H136" s="15"/>
      <c r="I136" s="15"/>
      <c r="P136" s="39">
        <v>7</v>
      </c>
      <c r="Q136">
        <v>101.81752</v>
      </c>
      <c r="R136">
        <v>357.44693507136344</v>
      </c>
      <c r="S136" s="39">
        <v>39.805571093023644</v>
      </c>
      <c r="V136" s="53"/>
      <c r="W136" s="54" t="str">
        <f>"J^-1*R"</f>
        <v>J^-1*R</v>
      </c>
      <c r="X136" s="54" t="s">
        <v>100</v>
      </c>
      <c r="Y136" s="46" cm="1">
        <f t="array" aca="1" ref="Y136:Y137" ca="1">MMULT(MINVERSE(Y130:Z131),Y133:Y134)</f>
        <v>4.9229081269932062E-8</v>
      </c>
      <c r="Z136" s="54"/>
      <c r="AA136" s="52"/>
    </row>
    <row r="137" spans="1:27" ht="15.75" thickBot="1" x14ac:dyDescent="0.3">
      <c r="A137" s="37">
        <v>-8</v>
      </c>
      <c r="B137" s="57">
        <v>193.75504438782238</v>
      </c>
      <c r="C137" s="57">
        <v>51.280238896005201</v>
      </c>
      <c r="D137" s="58">
        <f t="shared" si="34"/>
        <v>14.824307545210834</v>
      </c>
      <c r="E137" s="15"/>
      <c r="F137" s="15"/>
      <c r="G137" s="15"/>
      <c r="H137" s="15"/>
      <c r="I137" s="15"/>
      <c r="P137" s="39">
        <v>8</v>
      </c>
      <c r="Q137">
        <v>175.93693999999999</v>
      </c>
      <c r="R137">
        <v>387.2139553255447</v>
      </c>
      <c r="S137" s="39">
        <v>39.805571091911752</v>
      </c>
      <c r="V137" s="53"/>
      <c r="W137" s="54"/>
      <c r="X137" s="54"/>
      <c r="Y137" s="47">
        <f ca="1"/>
        <v>-1.8325281085826146E-5</v>
      </c>
      <c r="Z137" s="54"/>
      <c r="AA137" s="52"/>
    </row>
    <row r="138" spans="1:27" x14ac:dyDescent="0.25">
      <c r="A138" s="38">
        <v>-9</v>
      </c>
      <c r="B138" s="57">
        <v>192.5759065706923</v>
      </c>
      <c r="C138" s="57">
        <v>56.82911036557195</v>
      </c>
      <c r="D138" s="58">
        <f t="shared" si="34"/>
        <v>16.441319105778359</v>
      </c>
      <c r="E138" s="15"/>
      <c r="F138" s="15"/>
      <c r="G138" s="15"/>
      <c r="H138" s="15"/>
      <c r="I138" s="15"/>
      <c r="P138" s="39">
        <v>9</v>
      </c>
      <c r="Q138">
        <v>250.05635999999998</v>
      </c>
      <c r="R138">
        <v>405.21654627390217</v>
      </c>
      <c r="S138" s="39">
        <v>39.805571096381769</v>
      </c>
      <c r="V138" s="53"/>
      <c r="W138" s="54" t="s">
        <v>102</v>
      </c>
      <c r="X138" s="54" t="str">
        <f>"= "</f>
        <v xml:space="preserve">= </v>
      </c>
      <c r="Y138" s="46">
        <f ca="1">Y136+B78</f>
        <v>7.0346486195000164</v>
      </c>
      <c r="Z138" s="54"/>
      <c r="AA138" s="52"/>
    </row>
    <row r="139" spans="1:27" ht="15.75" thickBot="1" x14ac:dyDescent="0.3">
      <c r="A139" s="38">
        <v>-10</v>
      </c>
      <c r="B139" s="57">
        <v>191.32966099638696</v>
      </c>
      <c r="C139" s="57">
        <v>62.261478876662792</v>
      </c>
      <c r="D139" s="58">
        <f t="shared" si="34"/>
        <v>18.025648148418689</v>
      </c>
      <c r="E139" s="15"/>
      <c r="F139" s="15"/>
      <c r="G139" s="15"/>
      <c r="H139" s="15"/>
      <c r="I139" s="15"/>
      <c r="P139" s="39">
        <v>10</v>
      </c>
      <c r="Q139">
        <v>324.17577999999997</v>
      </c>
      <c r="R139">
        <v>422.12671863735704</v>
      </c>
      <c r="S139" s="39">
        <v>39.805571098217968</v>
      </c>
      <c r="V139" s="53"/>
      <c r="W139" s="54" t="s">
        <v>101</v>
      </c>
      <c r="X139" s="54"/>
      <c r="Y139" s="47">
        <f ca="1">Y137+B53</f>
        <v>299.73099074342929</v>
      </c>
      <c r="Z139" s="54"/>
      <c r="AA139" s="52"/>
    </row>
    <row r="140" spans="1:27" ht="15.75" thickBot="1" x14ac:dyDescent="0.3">
      <c r="A140" s="37">
        <v>-11</v>
      </c>
      <c r="B140" s="57">
        <v>190.16164556702103</v>
      </c>
      <c r="C140" s="57">
        <v>67.167220798025525</v>
      </c>
      <c r="D140" s="58">
        <f t="shared" si="34"/>
        <v>19.453790540367645</v>
      </c>
      <c r="E140" s="15"/>
      <c r="F140" s="15"/>
      <c r="G140" s="15"/>
      <c r="H140" s="15"/>
      <c r="I140" s="15"/>
      <c r="P140" s="39">
        <v>11</v>
      </c>
      <c r="Q140">
        <v>398.29519999999997</v>
      </c>
      <c r="R140">
        <v>437.05227769569188</v>
      </c>
      <c r="S140" s="39">
        <v>39.805571101364826</v>
      </c>
      <c r="V140" s="42"/>
      <c r="W140" s="55"/>
      <c r="X140" s="55"/>
      <c r="Y140" s="55"/>
      <c r="Z140" s="55"/>
      <c r="AA140" s="43"/>
    </row>
    <row r="141" spans="1:27" x14ac:dyDescent="0.25">
      <c r="A141" s="37">
        <v>-12</v>
      </c>
      <c r="B141" s="57">
        <v>189.15338023997168</v>
      </c>
      <c r="C141" s="57">
        <v>71.39243796339828</v>
      </c>
      <c r="D141" s="58">
        <f t="shared" si="34"/>
        <v>20.678084770398304</v>
      </c>
      <c r="E141" s="15"/>
      <c r="F141" s="15"/>
      <c r="G141" s="15"/>
      <c r="H141" s="15"/>
      <c r="I141" s="15"/>
      <c r="P141" s="39">
        <v>12</v>
      </c>
      <c r="Q141">
        <v>472.41461999999996</v>
      </c>
      <c r="R141">
        <v>447.753227420305</v>
      </c>
      <c r="S141" s="39">
        <v>39.805571087895714</v>
      </c>
    </row>
    <row r="142" spans="1:27" x14ac:dyDescent="0.25">
      <c r="A142" s="38">
        <v>-13</v>
      </c>
      <c r="B142" s="57">
        <v>188.27012301436986</v>
      </c>
      <c r="C142" s="57">
        <v>75.114620124318961</v>
      </c>
      <c r="D142" s="58">
        <f t="shared" si="34"/>
        <v>21.750645142144784</v>
      </c>
      <c r="E142" s="15"/>
      <c r="F142" s="15"/>
      <c r="G142" s="15"/>
      <c r="H142" s="15"/>
      <c r="I142" s="15"/>
      <c r="P142" s="39">
        <v>13</v>
      </c>
      <c r="Q142">
        <v>546.53404</v>
      </c>
      <c r="R142">
        <v>455.41227626506452</v>
      </c>
      <c r="S142" s="39">
        <v>39.805571085350991</v>
      </c>
    </row>
    <row r="143" spans="1:27" x14ac:dyDescent="0.25">
      <c r="A143" s="38">
        <v>-14</v>
      </c>
      <c r="B143" s="57">
        <v>187.48615910974226</v>
      </c>
      <c r="C143" s="57">
        <v>78.455347869280885</v>
      </c>
      <c r="D143" s="58">
        <f t="shared" si="34"/>
        <v>22.707331159099144</v>
      </c>
      <c r="E143" s="15"/>
      <c r="F143" s="15"/>
      <c r="G143" s="15"/>
      <c r="H143" s="15"/>
      <c r="I143" s="15"/>
      <c r="P143" s="39">
        <v>14</v>
      </c>
      <c r="Q143">
        <v>620.65346</v>
      </c>
      <c r="R143">
        <v>466.23643065050999</v>
      </c>
      <c r="S143" s="39">
        <v>39.805571094597077</v>
      </c>
    </row>
    <row r="144" spans="1:27" x14ac:dyDescent="0.25">
      <c r="A144" s="37">
        <v>-15</v>
      </c>
      <c r="B144" s="57">
        <v>186.7820117717531</v>
      </c>
      <c r="C144" s="57">
        <v>81.500472884344831</v>
      </c>
      <c r="D144" s="58">
        <f t="shared" si="34"/>
        <v>23.573571093071504</v>
      </c>
      <c r="E144" s="15"/>
      <c r="F144" s="15"/>
      <c r="G144" s="15"/>
      <c r="H144" s="16"/>
      <c r="I144" s="19"/>
      <c r="P144" s="39">
        <v>15</v>
      </c>
      <c r="Q144">
        <v>694.77287999999999</v>
      </c>
      <c r="R144">
        <v>474.17192541561218</v>
      </c>
      <c r="S144" s="39">
        <v>39.805571091326016</v>
      </c>
    </row>
    <row r="145" spans="1:19" x14ac:dyDescent="0.25">
      <c r="A145" s="37">
        <v>-16</v>
      </c>
      <c r="B145" s="57">
        <v>186.14263076428554</v>
      </c>
      <c r="C145" s="57">
        <v>84.312246270569673</v>
      </c>
      <c r="D145" s="58">
        <f t="shared" si="34"/>
        <v>24.367879025112892</v>
      </c>
      <c r="E145" s="15"/>
      <c r="F145" s="15"/>
      <c r="G145" s="15"/>
      <c r="H145" s="16"/>
      <c r="I145" s="19"/>
      <c r="P145" s="39">
        <v>16</v>
      </c>
      <c r="Q145">
        <v>768.89229999999998</v>
      </c>
      <c r="R145">
        <v>479.20723511828095</v>
      </c>
      <c r="S145" s="39">
        <v>39.805571086181196</v>
      </c>
    </row>
    <row r="146" spans="1:19" x14ac:dyDescent="0.25">
      <c r="A146" s="38">
        <v>-17</v>
      </c>
      <c r="B146" s="57">
        <v>185.55617879587342</v>
      </c>
      <c r="C146" s="57">
        <v>86.936878202697628</v>
      </c>
      <c r="D146" s="58">
        <f t="shared" si="34"/>
        <v>25.104054485932785</v>
      </c>
      <c r="E146" s="15"/>
      <c r="F146" s="15"/>
      <c r="G146" s="15"/>
      <c r="H146" s="15"/>
      <c r="I146" s="15"/>
      <c r="P146" s="39">
        <v>17</v>
      </c>
      <c r="Q146">
        <v>843.01171999999997</v>
      </c>
      <c r="R146">
        <v>481.02005887794172</v>
      </c>
      <c r="S146" s="39">
        <v>39.805571093932834</v>
      </c>
    </row>
    <row r="147" spans="1:19" x14ac:dyDescent="0.25">
      <c r="A147" s="38">
        <v>-18</v>
      </c>
      <c r="B147" s="59">
        <v>185.013196501679</v>
      </c>
      <c r="C147" s="59">
        <v>89.409400878371954</v>
      </c>
      <c r="D147" s="58">
        <f t="shared" si="34"/>
        <v>25.792601191349984</v>
      </c>
      <c r="P147" s="39">
        <v>18</v>
      </c>
      <c r="Q147">
        <v>917.13113999999996</v>
      </c>
      <c r="R147">
        <v>479.08604807180672</v>
      </c>
      <c r="S147" s="39">
        <v>39.805571088756878</v>
      </c>
    </row>
    <row r="148" spans="1:19" x14ac:dyDescent="0.25">
      <c r="A148" s="37">
        <v>-19</v>
      </c>
      <c r="B148" s="59">
        <v>184.50601421888257</v>
      </c>
      <c r="C148" s="59">
        <v>91.756884308421903</v>
      </c>
      <c r="D148" s="58">
        <f t="shared" si="34"/>
        <v>26.441667424866637</v>
      </c>
      <c r="P148" s="39">
        <v>19</v>
      </c>
      <c r="Q148">
        <v>991.25055999999995</v>
      </c>
      <c r="R148">
        <v>473.33543873612655</v>
      </c>
      <c r="S148" s="39">
        <v>39.805571097777218</v>
      </c>
    </row>
    <row r="149" spans="1:19" x14ac:dyDescent="0.25">
      <c r="A149" s="37">
        <v>-20</v>
      </c>
      <c r="B149" s="59">
        <v>184.02832886069731</v>
      </c>
      <c r="C149" s="59">
        <v>94.000615439037233</v>
      </c>
      <c r="D149" s="58">
        <f t="shared" si="34"/>
        <v>27.057684713799976</v>
      </c>
      <c r="P149" s="39">
        <v>20</v>
      </c>
      <c r="Q149">
        <v>1065.3699799999999</v>
      </c>
      <c r="R149">
        <v>463.74746180315219</v>
      </c>
      <c r="S149" s="39">
        <v>39.805571093097093</v>
      </c>
    </row>
    <row r="150" spans="1:19" x14ac:dyDescent="0.25">
      <c r="A150" s="38">
        <v>-21</v>
      </c>
      <c r="B150" s="59">
        <v>183.57489404154219</v>
      </c>
      <c r="C150" s="59">
        <v>96.1576073570197</v>
      </c>
      <c r="D150" s="58">
        <f t="shared" si="34"/>
        <v>27.645811155711105</v>
      </c>
      <c r="P150" s="39">
        <v>21</v>
      </c>
      <c r="Q150">
        <v>1139.4893999999999</v>
      </c>
      <c r="R150">
        <v>450.05578043136097</v>
      </c>
      <c r="S150" s="39">
        <v>39.805571086626969</v>
      </c>
    </row>
    <row r="151" spans="1:19" x14ac:dyDescent="0.25">
      <c r="A151" s="38">
        <v>-22</v>
      </c>
      <c r="B151" s="59">
        <v>183.14128913492402</v>
      </c>
      <c r="C151" s="59">
        <v>98.241665253070892</v>
      </c>
      <c r="D151" s="58">
        <f t="shared" si="34"/>
        <v>28.210245300374392</v>
      </c>
      <c r="P151" s="39">
        <v>22</v>
      </c>
      <c r="Q151">
        <v>1213.6088199999999</v>
      </c>
      <c r="R151">
        <v>432.04639301058842</v>
      </c>
      <c r="S151" s="39">
        <v>39.805571092146586</v>
      </c>
    </row>
    <row r="152" spans="1:19" x14ac:dyDescent="0.25">
      <c r="A152" s="37">
        <v>-23</v>
      </c>
      <c r="B152" s="59">
        <v>182.72374456561178</v>
      </c>
      <c r="C152" s="59">
        <v>100.26415287185209</v>
      </c>
      <c r="D152" s="58">
        <f t="shared" si="34"/>
        <v>28.75445240679802</v>
      </c>
      <c r="P152" s="39">
        <v>23</v>
      </c>
      <c r="Q152">
        <v>1287.7282399999999</v>
      </c>
      <c r="R152">
        <v>409.44083248055495</v>
      </c>
      <c r="S152" s="39">
        <v>39.805571083852477</v>
      </c>
    </row>
    <row r="153" spans="1:19" x14ac:dyDescent="0.25">
      <c r="A153" s="37">
        <v>-24</v>
      </c>
      <c r="B153" s="59">
        <v>182.27009340553371</v>
      </c>
      <c r="C153" s="59">
        <v>101.59017797784911</v>
      </c>
      <c r="D153" s="58">
        <f t="shared" si="34"/>
        <v>29.133575361591831</v>
      </c>
      <c r="P153" s="39">
        <v>24</v>
      </c>
      <c r="Q153">
        <v>1361.8476599999999</v>
      </c>
      <c r="R153">
        <v>381.90517697410473</v>
      </c>
      <c r="S153" s="39">
        <v>39.805571091985591</v>
      </c>
    </row>
    <row r="154" spans="1:19" x14ac:dyDescent="0.25">
      <c r="A154" s="38">
        <v>-25</v>
      </c>
      <c r="B154" s="59">
        <v>181.82125867432745</v>
      </c>
      <c r="C154" s="59">
        <v>102.73047438684603</v>
      </c>
      <c r="D154" s="58">
        <f t="shared" si="34"/>
        <v>29.466797795043203</v>
      </c>
      <c r="P154" s="39">
        <v>25</v>
      </c>
      <c r="Q154">
        <v>1435.9670799999999</v>
      </c>
      <c r="R154">
        <v>349.0551768492823</v>
      </c>
      <c r="S154" s="39">
        <v>39.805571094019541</v>
      </c>
    </row>
    <row r="155" spans="1:19" x14ac:dyDescent="0.25">
      <c r="A155" s="38">
        <v>-26</v>
      </c>
      <c r="B155" s="59">
        <v>181.38504988336598</v>
      </c>
      <c r="C155" s="59">
        <v>103.82117086437084</v>
      </c>
      <c r="D155" s="58">
        <f t="shared" si="34"/>
        <v>29.785957801648195</v>
      </c>
      <c r="P155" s="39">
        <v>26</v>
      </c>
      <c r="Q155">
        <v>1510.0864999999999</v>
      </c>
      <c r="R155">
        <v>310.44276023680942</v>
      </c>
      <c r="S155" s="39">
        <v>39.805571089800083</v>
      </c>
    </row>
    <row r="156" spans="1:19" x14ac:dyDescent="0.25">
      <c r="A156" s="37">
        <v>-27</v>
      </c>
      <c r="B156" s="59">
        <v>180.95931710320298</v>
      </c>
      <c r="C156" s="59">
        <v>104.86915026485235</v>
      </c>
      <c r="D156" s="58">
        <f t="shared" si="34"/>
        <v>30.093056522808919</v>
      </c>
      <c r="P156" s="39">
        <v>27</v>
      </c>
      <c r="Q156">
        <v>1510.0864999999999</v>
      </c>
      <c r="R156">
        <v>0</v>
      </c>
      <c r="S156" s="39">
        <v>1.1436942106687148E-4</v>
      </c>
    </row>
    <row r="157" spans="1:19" x14ac:dyDescent="0.25">
      <c r="A157" s="37">
        <v>-28</v>
      </c>
      <c r="B157" s="59">
        <v>180.54213135384254</v>
      </c>
      <c r="C157" s="59">
        <v>105.88030274862876</v>
      </c>
      <c r="D157" s="58">
        <f t="shared" si="34"/>
        <v>30.389814858900969</v>
      </c>
      <c r="P157" s="39">
        <v>28</v>
      </c>
      <c r="S157" s="39">
        <v>1.1480487495487748E-4</v>
      </c>
    </row>
    <row r="158" spans="1:19" x14ac:dyDescent="0.25">
      <c r="A158" s="38">
        <v>-29</v>
      </c>
      <c r="B158" s="59">
        <v>180.1317444621933</v>
      </c>
      <c r="C158" s="59">
        <v>106.85971141824361</v>
      </c>
      <c r="D158" s="58">
        <f t="shared" si="34"/>
        <v>30.677726323411385</v>
      </c>
      <c r="P158" s="39">
        <v>29</v>
      </c>
      <c r="S158" s="39">
        <v>1.1511023221944411E-4</v>
      </c>
    </row>
    <row r="159" spans="1:19" x14ac:dyDescent="0.25">
      <c r="A159" s="38">
        <v>-30</v>
      </c>
      <c r="B159" s="59">
        <v>179.72655577372092</v>
      </c>
      <c r="C159" s="59">
        <v>107.81179929515758</v>
      </c>
      <c r="D159" s="58">
        <f t="shared" si="34"/>
        <v>30.958098967087135</v>
      </c>
      <c r="P159" s="39">
        <v>30</v>
      </c>
      <c r="S159" s="39">
        <v>1.1530983086435449E-4</v>
      </c>
    </row>
    <row r="160" spans="1:19" x14ac:dyDescent="0.25">
      <c r="A160" s="37">
        <v>-31</v>
      </c>
      <c r="B160" s="59">
        <v>179.32508423065377</v>
      </c>
      <c r="C160" s="59">
        <v>108.74044676357389</v>
      </c>
      <c r="D160" s="58">
        <f t="shared" si="34"/>
        <v>31.232088966863557</v>
      </c>
      <c r="P160" s="39">
        <v>31</v>
      </c>
      <c r="S160" s="39">
        <v>1.1359231998936261E-4</v>
      </c>
    </row>
    <row r="161" spans="1:19" x14ac:dyDescent="0.25">
      <c r="A161" s="37">
        <v>-32</v>
      </c>
      <c r="B161" s="59">
        <v>178.92594472836228</v>
      </c>
      <c r="C161" s="59">
        <v>109.64908627439193</v>
      </c>
      <c r="D161" s="58">
        <f t="shared" si="34"/>
        <v>31.500727799565588</v>
      </c>
      <c r="P161" s="39">
        <v>32</v>
      </c>
      <c r="S161" s="39">
        <v>1.1438032508283007E-4</v>
      </c>
    </row>
    <row r="162" spans="1:19" x14ac:dyDescent="0.25">
      <c r="A162" s="38">
        <v>-33</v>
      </c>
      <c r="B162" s="59">
        <v>178.52782780687917</v>
      </c>
      <c r="C162" s="59">
        <v>110.54077937691849</v>
      </c>
      <c r="D162" s="58">
        <f t="shared" si="34"/>
        <v>31.764944446090105</v>
      </c>
      <c r="P162" s="39">
        <v>33</v>
      </c>
      <c r="S162" s="39">
        <v>1.1442466435222766E-4</v>
      </c>
    </row>
    <row r="163" spans="1:19" x14ac:dyDescent="0.25">
      <c r="A163" s="38">
        <v>-34</v>
      </c>
      <c r="B163" s="59">
        <v>178.12948180243984</v>
      </c>
      <c r="C163" s="59">
        <v>111.41827987314126</v>
      </c>
      <c r="D163" s="58">
        <f t="shared" si="34"/>
        <v>32.025583730683991</v>
      </c>
      <c r="P163" s="39">
        <v>34</v>
      </c>
      <c r="S163" s="39">
        <v>1.1443142969650408E-4</v>
      </c>
    </row>
    <row r="164" spans="1:19" x14ac:dyDescent="0.25">
      <c r="A164" s="37">
        <v>-35</v>
      </c>
      <c r="B164" s="59">
        <v>177.72969713729481</v>
      </c>
      <c r="C164" s="59">
        <v>112.28408611880693</v>
      </c>
      <c r="D164" s="58">
        <f t="shared" si="34"/>
        <v>32.283421616412468</v>
      </c>
      <c r="P164" s="39">
        <v>35</v>
      </c>
      <c r="S164" s="39">
        <v>1.1441151503780602E-4</v>
      </c>
    </row>
    <row r="165" spans="1:19" x14ac:dyDescent="0.25">
      <c r="A165" s="37">
        <v>-36</v>
      </c>
      <c r="B165" s="59">
        <v>177.32729201007831</v>
      </c>
      <c r="C165" s="59">
        <v>113.14048465557387</v>
      </c>
      <c r="D165" s="58">
        <f t="shared" si="34"/>
        <v>32.539178123864389</v>
      </c>
      <c r="P165" s="39">
        <v>36</v>
      </c>
      <c r="S165" s="39">
        <v>1.1437423483980957E-4</v>
      </c>
    </row>
    <row r="166" spans="1:19" x14ac:dyDescent="0.25">
      <c r="A166" s="38">
        <v>-37</v>
      </c>
      <c r="B166" s="59">
        <v>176.92109936782498</v>
      </c>
      <c r="C166" s="59">
        <v>113.98958703487459</v>
      </c>
      <c r="D166" s="58">
        <f t="shared" si="34"/>
        <v>32.793528363033424</v>
      </c>
      <c r="P166" s="39">
        <v>37</v>
      </c>
      <c r="S166" s="39">
        <v>1.143275427579576E-4</v>
      </c>
    </row>
    <row r="167" spans="1:19" x14ac:dyDescent="0.25">
      <c r="A167" s="38">
        <v>-38</v>
      </c>
      <c r="B167" s="59">
        <v>176.50995445211529</v>
      </c>
      <c r="C167" s="59">
        <v>114.83336109876375</v>
      </c>
      <c r="D167" s="58">
        <f t="shared" si="34"/>
        <v>33.047112106621945</v>
      </c>
      <c r="P167" s="39">
        <v>38</v>
      </c>
      <c r="S167" s="39">
        <v>1.1427821462258463E-4</v>
      </c>
    </row>
    <row r="168" spans="1:19" x14ac:dyDescent="0.25">
      <c r="A168" s="37">
        <v>-39</v>
      </c>
      <c r="B168" s="59">
        <v>176.09268307082303</v>
      </c>
      <c r="C168" s="59">
        <v>115.67365797406342</v>
      </c>
      <c r="D168" s="58">
        <f t="shared" si="34"/>
        <v>33.300542198467369</v>
      </c>
      <c r="P168" s="39">
        <v>39</v>
      </c>
      <c r="S168" s="39">
        <v>1.1554501637991708E-4</v>
      </c>
    </row>
    <row r="169" spans="1:19" x14ac:dyDescent="0.25">
      <c r="A169" s="37">
        <v>-40</v>
      </c>
      <c r="B169" s="59">
        <v>175.73680456879535</v>
      </c>
      <c r="C169" s="59">
        <v>115.71028909609706</v>
      </c>
      <c r="D169" s="58">
        <f t="shared" si="34"/>
        <v>33.362084535174148</v>
      </c>
      <c r="P169" s="39">
        <v>40</v>
      </c>
      <c r="S169" s="39">
        <v>1.1419379975492927E-4</v>
      </c>
    </row>
    <row r="170" spans="1:19" x14ac:dyDescent="0.25">
      <c r="A170" s="38">
        <v>-41</v>
      </c>
      <c r="B170" s="59">
        <v>175.28836938228463</v>
      </c>
      <c r="C170" s="59">
        <v>116.56213064615042</v>
      </c>
      <c r="D170" s="58">
        <f t="shared" si="34"/>
        <v>33.62285565965604</v>
      </c>
      <c r="P170" s="39">
        <v>41</v>
      </c>
      <c r="S170" s="39">
        <v>1.1539531169528693E-4</v>
      </c>
    </row>
    <row r="171" spans="1:19" x14ac:dyDescent="0.25">
      <c r="A171" s="38">
        <v>-42</v>
      </c>
      <c r="B171" s="59">
        <v>174.8297570634827</v>
      </c>
      <c r="C171" s="59">
        <v>117.41522475859745</v>
      </c>
      <c r="D171" s="58">
        <f t="shared" si="34"/>
        <v>33.885209947128246</v>
      </c>
      <c r="P171" s="39">
        <v>42</v>
      </c>
      <c r="S171" s="39">
        <v>1.1415718227674472E-4</v>
      </c>
    </row>
    <row r="172" spans="1:19" x14ac:dyDescent="0.25">
      <c r="A172" s="37">
        <v>-43</v>
      </c>
      <c r="B172" s="59">
        <v>174.35960915514917</v>
      </c>
      <c r="C172" s="59">
        <v>118.27119866971529</v>
      </c>
      <c r="D172" s="58">
        <f t="shared" si="34"/>
        <v>34.149736921505593</v>
      </c>
      <c r="P172" s="39">
        <v>43</v>
      </c>
      <c r="S172" s="39">
        <v>1.1531830331008223E-4</v>
      </c>
    </row>
    <row r="173" spans="1:19" x14ac:dyDescent="0.25">
      <c r="A173" s="37">
        <v>-44</v>
      </c>
      <c r="B173" s="59">
        <v>173.87649527644803</v>
      </c>
      <c r="C173" s="59">
        <v>119.13165569274065</v>
      </c>
      <c r="D173" s="58">
        <f t="shared" si="34"/>
        <v>34.417031800395769</v>
      </c>
      <c r="P173" s="39">
        <v>44</v>
      </c>
      <c r="S173" s="39">
        <v>1.1419393356349556E-4</v>
      </c>
    </row>
    <row r="174" spans="1:19" x14ac:dyDescent="0.25">
      <c r="A174" s="38">
        <v>-45</v>
      </c>
      <c r="B174" s="59">
        <v>173.37889874465623</v>
      </c>
      <c r="C174" s="59">
        <v>119.99819024415254</v>
      </c>
      <c r="D174" s="58">
        <f t="shared" si="34"/>
        <v>34.687701517219445</v>
      </c>
      <c r="P174" s="39">
        <v>45</v>
      </c>
      <c r="S174" s="39">
        <v>1.1533365483476519E-4</v>
      </c>
    </row>
    <row r="175" spans="1:19" x14ac:dyDescent="0.25">
      <c r="A175" s="38">
        <v>-46</v>
      </c>
      <c r="B175" s="59">
        <v>172.86520092243759</v>
      </c>
      <c r="C175" s="59">
        <v>120.87240227908295</v>
      </c>
      <c r="D175" s="58">
        <f t="shared" si="34"/>
        <v>34.962370837536334</v>
      </c>
      <c r="P175" s="39">
        <v>46</v>
      </c>
      <c r="S175" s="39">
        <v>1.1432177067621976E-4</v>
      </c>
    </row>
    <row r="176" spans="1:19" x14ac:dyDescent="0.25">
      <c r="A176" s="37">
        <v>-47</v>
      </c>
      <c r="B176" s="59">
        <v>172.33366396247632</v>
      </c>
      <c r="C176" s="59">
        <v>121.75591143873848</v>
      </c>
      <c r="D176" s="58">
        <f t="shared" si="34"/>
        <v>35.241688704833187</v>
      </c>
      <c r="P176" s="39">
        <v>47</v>
      </c>
      <c r="S176" s="39">
        <v>1.1545461081281464E-4</v>
      </c>
    </row>
    <row r="177" spans="1:19" x14ac:dyDescent="0.25">
      <c r="A177" s="37">
        <v>-48</v>
      </c>
      <c r="B177" s="59">
        <v>171.7824114175954</v>
      </c>
      <c r="C177" s="59">
        <v>122.65037113390461</v>
      </c>
      <c r="D177" s="58">
        <f t="shared" si="34"/>
        <v>35.526334967704145</v>
      </c>
      <c r="P177" s="39">
        <v>48</v>
      </c>
      <c r="S177" s="39">
        <v>1.1455267872689169E-4</v>
      </c>
    </row>
    <row r="178" spans="1:19" x14ac:dyDescent="0.25">
      <c r="A178" s="38">
        <v>-49</v>
      </c>
      <c r="B178" s="59">
        <v>171.20940660891227</v>
      </c>
      <c r="C178" s="59">
        <v>123.55748296959004</v>
      </c>
      <c r="D178" s="58">
        <f t="shared" si="34"/>
        <v>35.817027617423634</v>
      </c>
      <c r="P178" s="39">
        <v>49</v>
      </c>
      <c r="S178" s="39">
        <v>1.1372895126827476E-4</v>
      </c>
    </row>
    <row r="179" spans="1:19" x14ac:dyDescent="0.25">
      <c r="A179" s="38">
        <v>-50</v>
      </c>
      <c r="B179" s="59">
        <v>170.61242785552687</v>
      </c>
      <c r="C179" s="59">
        <v>124.47901164327988</v>
      </c>
      <c r="D179" s="58">
        <f t="shared" si="34"/>
        <v>36.114530731665852</v>
      </c>
      <c r="P179" s="39">
        <v>50</v>
      </c>
      <c r="S179" s="39">
        <v>1.1489453834208548E-4</v>
      </c>
    </row>
    <row r="180" spans="1:19" x14ac:dyDescent="0.25">
      <c r="A180" s="37">
        <v>-51</v>
      </c>
      <c r="B180" s="59">
        <v>169.98904024480873</v>
      </c>
      <c r="C180" s="59">
        <v>125.41680072252036</v>
      </c>
      <c r="D180" s="58">
        <f t="shared" si="34"/>
        <v>36.419663296767659</v>
      </c>
      <c r="P180" s="39">
        <v>51</v>
      </c>
      <c r="S180" s="39">
        <v>1.1417288532851906E-4</v>
      </c>
    </row>
    <row r="181" spans="1:19" x14ac:dyDescent="0.25">
      <c r="A181" s="37">
        <v>-52</v>
      </c>
      <c r="B181" s="59">
        <v>169.3365630593847</v>
      </c>
      <c r="C181" s="59">
        <v>126.37278955920053</v>
      </c>
      <c r="D181" s="58">
        <f t="shared" si="34"/>
        <v>36.733309143685247</v>
      </c>
      <c r="P181" s="39">
        <v>52</v>
      </c>
      <c r="S181" s="39">
        <v>1.1535236526133615E-4</v>
      </c>
    </row>
    <row r="182" spans="1:19" x14ac:dyDescent="0.25">
      <c r="A182" s="38">
        <v>-53</v>
      </c>
      <c r="B182" s="59">
        <v>168.65203210808585</v>
      </c>
      <c r="C182" s="59">
        <v>127.34903174569439</v>
      </c>
      <c r="D182" s="58">
        <f t="shared" si="34"/>
        <v>37.056428254293756</v>
      </c>
      <c r="P182" s="39">
        <v>53</v>
      </c>
      <c r="S182" s="39">
        <v>1.1472946436607629E-4</v>
      </c>
    </row>
    <row r="183" spans="1:19" x14ac:dyDescent="0.25">
      <c r="A183" s="38">
        <v>-54</v>
      </c>
      <c r="B183" s="59">
        <v>167.9321556139584</v>
      </c>
      <c r="C183" s="59">
        <v>128.34771540213256</v>
      </c>
      <c r="D183" s="58">
        <f t="shared" si="34"/>
        <v>37.390069777773107</v>
      </c>
      <c r="P183" s="39">
        <v>54</v>
      </c>
      <c r="S183" s="39">
        <v>1.1488629804834413E-4</v>
      </c>
    </row>
    <row r="184" spans="1:19" x14ac:dyDescent="0.25">
      <c r="A184" s="37">
        <v>-55</v>
      </c>
      <c r="B184" s="59">
        <v>167.17326275897352</v>
      </c>
      <c r="C184" s="59">
        <v>129.37118593276301</v>
      </c>
      <c r="D184" s="58">
        <f t="shared" si="34"/>
        <v>37.735387116541084</v>
      </c>
      <c r="P184" s="39">
        <v>55</v>
      </c>
      <c r="S184" s="39">
        <v>1.1361479934411671E-4</v>
      </c>
    </row>
    <row r="185" spans="1:19" x14ac:dyDescent="0.25">
      <c r="A185" s="37">
        <v>-56</v>
      </c>
      <c r="B185" s="59">
        <v>166.37124281371857</v>
      </c>
      <c r="C185" s="59">
        <v>130.42197161851732</v>
      </c>
      <c r="D185" s="58">
        <f t="shared" si="34"/>
        <v>38.093655593938344</v>
      </c>
      <c r="P185" s="39">
        <v>56</v>
      </c>
      <c r="S185" s="39">
        <v>1.1405064842455882E-4</v>
      </c>
    </row>
    <row r="186" spans="1:19" x14ac:dyDescent="0.25">
      <c r="A186" s="38">
        <v>-57</v>
      </c>
      <c r="B186" s="59">
        <v>165.5214730015563</v>
      </c>
      <c r="C186" s="59">
        <v>131.50281277463128</v>
      </c>
      <c r="D186" s="58">
        <f t="shared" si="34"/>
        <v>38.466293287961342</v>
      </c>
      <c r="P186" s="39">
        <v>57</v>
      </c>
      <c r="S186" s="39">
        <v>1.1459597825107784E-4</v>
      </c>
    </row>
    <row r="187" spans="1:19" x14ac:dyDescent="0.25">
      <c r="A187" s="38">
        <v>-58</v>
      </c>
      <c r="B187" s="59">
        <v>164.618732582636</v>
      </c>
      <c r="C187" s="59">
        <v>132.6166952821703</v>
      </c>
      <c r="D187" s="58">
        <f t="shared" si="34"/>
        <v>38.854885777919272</v>
      </c>
      <c r="P187" s="39">
        <v>58</v>
      </c>
      <c r="S187" s="39">
        <v>1.1379415354437601E-4</v>
      </c>
    </row>
    <row r="188" spans="1:19" x14ac:dyDescent="0.25">
      <c r="A188" s="37">
        <v>-59</v>
      </c>
      <c r="B188" s="59">
        <v>163.65709981187567</v>
      </c>
      <c r="C188" s="59">
        <v>133.76688940925848</v>
      </c>
      <c r="D188" s="58">
        <f t="shared" si="34"/>
        <v>39.261215762169329</v>
      </c>
      <c r="P188" s="39">
        <v>59</v>
      </c>
      <c r="S188" s="39">
        <v>1.138043836764545E-4</v>
      </c>
    </row>
    <row r="189" spans="1:19" x14ac:dyDescent="0.25">
      <c r="A189" s="37">
        <v>-60</v>
      </c>
      <c r="B189" s="59">
        <v>162.62982756994762</v>
      </c>
      <c r="C189" s="59">
        <v>134.95699507047607</v>
      </c>
      <c r="D189" s="58">
        <f t="shared" si="34"/>
        <v>39.687298766332106</v>
      </c>
      <c r="P189" s="39">
        <v>60</v>
      </c>
      <c r="S189" s="39">
        <v>1.1372790082994236E-4</v>
      </c>
    </row>
    <row r="190" spans="1:19" x14ac:dyDescent="0.25">
      <c r="A190" s="38">
        <v>-61</v>
      </c>
      <c r="B190" s="59">
        <v>161.52919247273695</v>
      </c>
      <c r="C190" s="59">
        <v>136.19099503754086</v>
      </c>
      <c r="D190" s="58">
        <f t="shared" si="34"/>
        <v>40.135426497237205</v>
      </c>
      <c r="P190" s="39">
        <v>61</v>
      </c>
      <c r="S190" s="39">
        <v>1.1368249298623459E-4</v>
      </c>
    </row>
    <row r="191" spans="1:19" x14ac:dyDescent="0.25">
      <c r="A191" s="38">
        <v>-62</v>
      </c>
      <c r="B191" s="59">
        <v>160.34631069328466</v>
      </c>
      <c r="C191" s="59">
        <v>137.47331798428232</v>
      </c>
      <c r="D191" s="58">
        <f t="shared" si="34"/>
        <v>40.608219865808877</v>
      </c>
      <c r="P191" s="39">
        <v>62</v>
      </c>
      <c r="S191" s="39">
        <v>1.1367012706679487E-4</v>
      </c>
    </row>
    <row r="192" spans="1:19" x14ac:dyDescent="0.25">
      <c r="A192" s="37">
        <v>-63</v>
      </c>
      <c r="B192" s="59">
        <v>159.07091133805608</v>
      </c>
      <c r="C192" s="59">
        <v>138.80891359572831</v>
      </c>
      <c r="D192" s="58">
        <f t="shared" si="34"/>
        <v>41.1086943571785</v>
      </c>
      <c r="P192" s="39">
        <v>63</v>
      </c>
      <c r="S192" s="39">
        <v>1.1369278677324301E-4</v>
      </c>
    </row>
    <row r="193" spans="1:19" x14ac:dyDescent="0.25">
      <c r="A193" s="37">
        <v>-64</v>
      </c>
      <c r="B193" s="59">
        <v>157.69105569705363</v>
      </c>
      <c r="C193" s="59">
        <v>140.20334274669989</v>
      </c>
      <c r="D193" s="58">
        <f t="shared" si="34"/>
        <v>41.640341263229253</v>
      </c>
      <c r="P193" s="39">
        <v>64</v>
      </c>
      <c r="S193" s="39">
        <v>1.1375248182299467E-4</v>
      </c>
    </row>
    <row r="194" spans="1:19" x14ac:dyDescent="0.25">
      <c r="A194" s="38">
        <v>-65</v>
      </c>
      <c r="B194" s="59">
        <v>156.19278696412866</v>
      </c>
      <c r="C194" s="59">
        <v>141.66288668133583</v>
      </c>
      <c r="D194" s="58">
        <f t="shared" ref="D194:D257" si="35">IF(DEGREES(ATAN2(B194,C194))&lt;0,DEGREES(ATAN2(B194,C194))+360,DEGREES(ATAN2(B194,C194)))</f>
        <v>42.207229464740287</v>
      </c>
      <c r="P194" s="39">
        <v>65</v>
      </c>
      <c r="S194" s="39">
        <v>1.138512582405674E-4</v>
      </c>
    </row>
    <row r="195" spans="1:19" x14ac:dyDescent="0.25">
      <c r="A195" s="38">
        <v>-66</v>
      </c>
      <c r="B195" s="59">
        <v>154.55968935564684</v>
      </c>
      <c r="C195" s="59">
        <v>143.19468012275368</v>
      </c>
      <c r="D195" s="58">
        <f t="shared" si="35"/>
        <v>42.814134124360912</v>
      </c>
      <c r="P195" s="39">
        <v>66</v>
      </c>
      <c r="S195" s="39">
        <v>1.1399120972401314E-4</v>
      </c>
    </row>
    <row r="196" spans="1:19" x14ac:dyDescent="0.25">
      <c r="A196" s="37">
        <v>-67</v>
      </c>
      <c r="B196" s="59">
        <v>152.77232812698563</v>
      </c>
      <c r="C196" s="59">
        <v>144.80687481557277</v>
      </c>
      <c r="D196" s="58">
        <f t="shared" si="35"/>
        <v>43.466700970126517</v>
      </c>
      <c r="P196" s="39">
        <v>67</v>
      </c>
      <c r="S196" s="39">
        <v>1.1417449012545789E-4</v>
      </c>
    </row>
    <row r="197" spans="1:19" x14ac:dyDescent="0.25">
      <c r="A197" s="37">
        <v>-68</v>
      </c>
      <c r="B197" s="59">
        <v>150.80753209359989</v>
      </c>
      <c r="C197" s="59">
        <v>146.50884249809477</v>
      </c>
      <c r="D197" s="58">
        <f t="shared" si="35"/>
        <v>44.171658097915369</v>
      </c>
      <c r="P197" s="39">
        <v>68</v>
      </c>
      <c r="S197" s="39">
        <v>1.1440332717834946E-4</v>
      </c>
    </row>
    <row r="198" spans="1:19" x14ac:dyDescent="0.25">
      <c r="A198" s="38">
        <v>-69</v>
      </c>
      <c r="B198" s="59">
        <v>148.63746407899981</v>
      </c>
      <c r="C198" s="59">
        <v>148.31142881323203</v>
      </c>
      <c r="D198" s="58">
        <f t="shared" si="35"/>
        <v>44.937092080012214</v>
      </c>
      <c r="P198" s="39">
        <v>69</v>
      </c>
      <c r="S198" s="39">
        <v>1.1468003730710613E-4</v>
      </c>
    </row>
    <row r="199" spans="1:19" x14ac:dyDescent="0.25">
      <c r="A199" s="38">
        <v>-70</v>
      </c>
      <c r="B199" s="59">
        <v>147.41159139202659</v>
      </c>
      <c r="C199" s="59">
        <v>149.65769086980416</v>
      </c>
      <c r="D199" s="58">
        <f t="shared" si="35"/>
        <v>45.433197156069923</v>
      </c>
      <c r="P199" s="39">
        <v>70</v>
      </c>
      <c r="S199" s="39">
        <v>1.1500704206812386E-4</v>
      </c>
    </row>
    <row r="200" spans="1:19" x14ac:dyDescent="0.25">
      <c r="A200" s="37">
        <v>-71</v>
      </c>
      <c r="B200" s="59">
        <v>145.3513669259938</v>
      </c>
      <c r="C200" s="59">
        <v>150.39164083363306</v>
      </c>
      <c r="D200" s="58">
        <f t="shared" si="35"/>
        <v>45.976383075656585</v>
      </c>
      <c r="P200" s="39">
        <v>71</v>
      </c>
      <c r="S200" s="39">
        <v>1.1538688602615956E-4</v>
      </c>
    </row>
    <row r="201" spans="1:19" x14ac:dyDescent="0.25">
      <c r="A201" s="37">
        <v>-72</v>
      </c>
      <c r="B201" s="59">
        <v>143.0912624309826</v>
      </c>
      <c r="C201" s="59">
        <v>151.15718245423318</v>
      </c>
      <c r="D201" s="58">
        <f t="shared" si="35"/>
        <v>46.570195125056713</v>
      </c>
      <c r="P201" s="39">
        <v>72</v>
      </c>
      <c r="S201" s="39">
        <v>1.1444342029035993E-4</v>
      </c>
    </row>
    <row r="202" spans="1:19" x14ac:dyDescent="0.25">
      <c r="A202" s="38">
        <v>-73</v>
      </c>
      <c r="B202" s="59">
        <v>140.59647889143474</v>
      </c>
      <c r="C202" s="59">
        <v>151.95932150517936</v>
      </c>
      <c r="D202" s="58">
        <f t="shared" si="35"/>
        <v>47.224245240032921</v>
      </c>
      <c r="P202" s="39">
        <v>73</v>
      </c>
      <c r="S202" s="39">
        <v>1.1493129035431644E-4</v>
      </c>
    </row>
    <row r="203" spans="1:19" x14ac:dyDescent="0.25">
      <c r="A203" s="38">
        <v>-74</v>
      </c>
      <c r="B203" s="59">
        <v>137.82366059090495</v>
      </c>
      <c r="C203" s="59">
        <v>152.80404175178967</v>
      </c>
      <c r="D203" s="58">
        <f t="shared" si="35"/>
        <v>47.95069490772859</v>
      </c>
      <c r="P203" s="39">
        <v>74</v>
      </c>
      <c r="S203" s="39">
        <v>1.1408852313845552E-4</v>
      </c>
    </row>
    <row r="204" spans="1:19" x14ac:dyDescent="0.25">
      <c r="A204" s="37">
        <v>-75</v>
      </c>
      <c r="B204" s="59">
        <v>134.71807366139296</v>
      </c>
      <c r="C204" s="59">
        <v>153.69858478218399</v>
      </c>
      <c r="D204" s="58">
        <f t="shared" si="35"/>
        <v>48.765168448167948</v>
      </c>
      <c r="P204" s="39">
        <v>75</v>
      </c>
      <c r="S204" s="39">
        <v>1.1469360073707552E-4</v>
      </c>
    </row>
    <row r="205" spans="1:19" x14ac:dyDescent="0.25">
      <c r="A205" s="37">
        <v>-76</v>
      </c>
      <c r="B205" s="59">
        <v>131.20958666002571</v>
      </c>
      <c r="C205" s="59">
        <v>154.65183372624088</v>
      </c>
      <c r="D205" s="58">
        <f t="shared" si="35"/>
        <v>49.688086506076338</v>
      </c>
      <c r="P205" s="39">
        <v>76</v>
      </c>
      <c r="S205" s="39">
        <v>1.1536522297528895E-4</v>
      </c>
    </row>
    <row r="206" spans="1:19" x14ac:dyDescent="0.25">
      <c r="A206" s="38">
        <v>-77</v>
      </c>
      <c r="B206" s="59">
        <v>127.20681342196795</v>
      </c>
      <c r="C206" s="59">
        <v>155.67485036232992</v>
      </c>
      <c r="D206" s="58">
        <f t="shared" si="35"/>
        <v>50.746661726628858</v>
      </c>
      <c r="P206" s="39">
        <v>77</v>
      </c>
      <c r="S206" s="39">
        <v>1.1469113380405062E-4</v>
      </c>
    </row>
    <row r="207" spans="1:19" x14ac:dyDescent="0.25">
      <c r="A207" s="38">
        <v>-78</v>
      </c>
      <c r="B207" s="59">
        <v>122.5883548067842</v>
      </c>
      <c r="C207" s="59">
        <v>156.78164434160021</v>
      </c>
      <c r="D207" s="58">
        <f t="shared" si="35"/>
        <v>51.977969554130787</v>
      </c>
      <c r="P207">
        <v>78</v>
      </c>
      <c r="S207">
        <v>1.140713575224357E-4</v>
      </c>
    </row>
    <row r="208" spans="1:19" x14ac:dyDescent="0.25">
      <c r="A208" s="37">
        <v>-79</v>
      </c>
      <c r="B208" s="59">
        <v>117.18930867365144</v>
      </c>
      <c r="C208" s="59">
        <v>157.99030466328514</v>
      </c>
      <c r="D208" s="58">
        <f t="shared" si="35"/>
        <v>53.433823929606085</v>
      </c>
      <c r="P208">
        <v>79</v>
      </c>
      <c r="S208">
        <v>1.1494415634730567E-4</v>
      </c>
    </row>
    <row r="209" spans="1:19" x14ac:dyDescent="0.25">
      <c r="A209" s="37">
        <v>-80</v>
      </c>
      <c r="B209" s="59">
        <v>110.7797634489082</v>
      </c>
      <c r="C209" s="59">
        <v>159.32471564947213</v>
      </c>
      <c r="D209" s="58">
        <f t="shared" si="35"/>
        <v>55.188798404268745</v>
      </c>
      <c r="P209">
        <v>80</v>
      </c>
      <c r="S209">
        <v>1.1444947348927509E-4</v>
      </c>
    </row>
    <row r="210" spans="1:19" x14ac:dyDescent="0.25">
      <c r="A210" s="38">
        <v>-81</v>
      </c>
      <c r="B210" s="59">
        <v>103.02909359435979</v>
      </c>
      <c r="C210" s="59">
        <v>160.81725505676289</v>
      </c>
      <c r="D210" s="58">
        <f t="shared" si="35"/>
        <v>57.353960544858182</v>
      </c>
      <c r="P210">
        <v>81</v>
      </c>
      <c r="S210">
        <v>1.1401506962531917E-4</v>
      </c>
    </row>
    <row r="211" spans="1:19" x14ac:dyDescent="0.25">
      <c r="A211" s="38">
        <v>-82</v>
      </c>
      <c r="B211" s="59">
        <v>93.443741701243908</v>
      </c>
      <c r="C211" s="59">
        <v>162.51322279108174</v>
      </c>
      <c r="D211" s="58">
        <f t="shared" si="35"/>
        <v>60.101458878481928</v>
      </c>
      <c r="P211">
        <v>82</v>
      </c>
      <c r="S211">
        <v>1.1511891562949493E-4</v>
      </c>
    </row>
    <row r="212" spans="1:19" x14ac:dyDescent="0.25">
      <c r="A212" s="37">
        <v>-83</v>
      </c>
      <c r="B212" s="59">
        <v>81.252211019685348</v>
      </c>
      <c r="C212" s="59">
        <v>164.47850128766589</v>
      </c>
      <c r="D212" s="58">
        <f t="shared" si="35"/>
        <v>63.71067528755141</v>
      </c>
      <c r="P212">
        <v>83</v>
      </c>
      <c r="S212">
        <v>1.1482695882121101E-4</v>
      </c>
    </row>
    <row r="213" spans="1:19" x14ac:dyDescent="0.25">
      <c r="A213" s="37">
        <v>-84</v>
      </c>
      <c r="B213" s="59">
        <v>65.21713349968843</v>
      </c>
      <c r="C213" s="59">
        <v>166.8086973962337</v>
      </c>
      <c r="D213" s="58">
        <f t="shared" si="35"/>
        <v>68.646011320285751</v>
      </c>
      <c r="P213">
        <v>84</v>
      </c>
      <c r="S213">
        <v>1.1460363898857395E-4</v>
      </c>
    </row>
    <row r="214" spans="1:19" x14ac:dyDescent="0.25">
      <c r="A214" s="38">
        <v>-85</v>
      </c>
      <c r="B214" s="59">
        <v>46.976099019522827</v>
      </c>
      <c r="C214" s="59">
        <v>169.22708937308096</v>
      </c>
      <c r="D214" s="58">
        <f t="shared" si="35"/>
        <v>74.485767242815754</v>
      </c>
      <c r="P214">
        <v>85</v>
      </c>
      <c r="S214">
        <v>1.1445200165179897E-4</v>
      </c>
    </row>
    <row r="215" spans="1:19" x14ac:dyDescent="0.25">
      <c r="A215" s="38">
        <v>-86</v>
      </c>
      <c r="B215" s="59">
        <v>28.183258140979984</v>
      </c>
      <c r="C215" s="59">
        <v>171.51514756329439</v>
      </c>
      <c r="D215" s="58">
        <f t="shared" si="35"/>
        <v>80.668583642202137</v>
      </c>
      <c r="P215">
        <v>86</v>
      </c>
      <c r="S215">
        <v>1.1437547788581438E-4</v>
      </c>
    </row>
    <row r="216" spans="1:19" x14ac:dyDescent="0.25">
      <c r="A216" s="37">
        <v>-87</v>
      </c>
      <c r="B216" s="59">
        <v>8.4624892378640499</v>
      </c>
      <c r="C216" s="59">
        <v>173.64827220014402</v>
      </c>
      <c r="D216" s="58">
        <f t="shared" si="35"/>
        <v>87.209983068995896</v>
      </c>
      <c r="P216">
        <v>87</v>
      </c>
      <c r="S216">
        <v>1.1437794096685293E-4</v>
      </c>
    </row>
    <row r="217" spans="1:19" x14ac:dyDescent="0.25">
      <c r="A217" s="37">
        <v>-88</v>
      </c>
      <c r="B217" s="59">
        <v>-13.462965918415348</v>
      </c>
      <c r="C217" s="59">
        <v>175.52614308946025</v>
      </c>
      <c r="D217" s="58">
        <f t="shared" si="35"/>
        <v>94.386034894552026</v>
      </c>
      <c r="P217">
        <v>88</v>
      </c>
      <c r="S217">
        <v>1.1446377223819839E-4</v>
      </c>
    </row>
    <row r="218" spans="1:19" x14ac:dyDescent="0.25">
      <c r="A218" s="38">
        <v>-89</v>
      </c>
      <c r="B218" s="59">
        <v>-37.096439489441806</v>
      </c>
      <c r="C218" s="59">
        <v>177.24488398511764</v>
      </c>
      <c r="D218" s="58">
        <f t="shared" si="35"/>
        <v>101.82107740299089</v>
      </c>
      <c r="P218">
        <v>89</v>
      </c>
      <c r="S218">
        <v>1.1463793863777012E-4</v>
      </c>
    </row>
    <row r="219" spans="1:19" x14ac:dyDescent="0.25">
      <c r="A219" s="38">
        <v>-90</v>
      </c>
      <c r="B219" s="59">
        <v>-62.864999999999853</v>
      </c>
      <c r="C219" s="59">
        <v>178.8033663246477</v>
      </c>
      <c r="D219" s="58">
        <f t="shared" si="35"/>
        <v>109.37102871096631</v>
      </c>
      <c r="P219">
        <v>90</v>
      </c>
      <c r="S219">
        <v>1.149060836749189E-4</v>
      </c>
    </row>
    <row r="220" spans="1:19" x14ac:dyDescent="0.25">
      <c r="A220" s="37">
        <v>-91</v>
      </c>
      <c r="B220" s="59">
        <v>-88.633560510558041</v>
      </c>
      <c r="C220" s="59">
        <v>177.24488398511781</v>
      </c>
      <c r="D220" s="58">
        <f t="shared" si="35"/>
        <v>116.56792642247498</v>
      </c>
      <c r="P220">
        <v>91</v>
      </c>
      <c r="S220">
        <v>1.1360398904194305E-4</v>
      </c>
    </row>
    <row r="221" spans="1:19" x14ac:dyDescent="0.25">
      <c r="A221" s="37">
        <v>-92</v>
      </c>
      <c r="B221" s="59">
        <v>-112.26703408158457</v>
      </c>
      <c r="C221" s="59">
        <v>175.52614308946048</v>
      </c>
      <c r="D221" s="58">
        <f t="shared" si="35"/>
        <v>122.60310021428201</v>
      </c>
      <c r="P221">
        <v>92</v>
      </c>
      <c r="S221">
        <v>1.140487170566467E-4</v>
      </c>
    </row>
    <row r="222" spans="1:19" x14ac:dyDescent="0.25">
      <c r="A222" s="38">
        <v>-93</v>
      </c>
      <c r="B222" s="59">
        <v>-134.19248923786384</v>
      </c>
      <c r="C222" s="59">
        <v>173.64827220014425</v>
      </c>
      <c r="D222" s="58">
        <f t="shared" si="35"/>
        <v>127.69625128539703</v>
      </c>
      <c r="P222">
        <v>93</v>
      </c>
      <c r="S222">
        <v>1.1460692901527146E-4</v>
      </c>
    </row>
    <row r="223" spans="1:19" x14ac:dyDescent="0.25">
      <c r="A223" s="38">
        <v>-94</v>
      </c>
      <c r="B223" s="59">
        <v>-153.9132581409801</v>
      </c>
      <c r="C223" s="59">
        <v>171.51514756329448</v>
      </c>
      <c r="D223" s="58">
        <f t="shared" si="35"/>
        <v>131.90398196926512</v>
      </c>
      <c r="P223">
        <v>94</v>
      </c>
      <c r="S223">
        <v>1.1528802483900336E-4</v>
      </c>
    </row>
    <row r="224" spans="1:19" x14ac:dyDescent="0.25">
      <c r="A224" s="37">
        <v>-95</v>
      </c>
      <c r="B224" s="59">
        <v>-172.70609901952301</v>
      </c>
      <c r="C224" s="59">
        <v>169.22708937308099</v>
      </c>
      <c r="D224" s="58">
        <f t="shared" si="35"/>
        <v>135.58293753998254</v>
      </c>
      <c r="P224">
        <v>95</v>
      </c>
      <c r="S224">
        <v>1.1428874321027834E-4</v>
      </c>
    </row>
    <row r="225" spans="1:19" x14ac:dyDescent="0.25">
      <c r="A225" s="37">
        <v>-96</v>
      </c>
      <c r="B225" s="59">
        <v>-190.9471334996885</v>
      </c>
      <c r="C225" s="59">
        <v>166.80869739623355</v>
      </c>
      <c r="D225" s="58">
        <f t="shared" si="35"/>
        <v>138.85999998759357</v>
      </c>
      <c r="P225">
        <v>96</v>
      </c>
      <c r="S225">
        <v>1.1520580965817398E-4</v>
      </c>
    </row>
    <row r="226" spans="1:19" x14ac:dyDescent="0.25">
      <c r="A226" s="38">
        <v>-97</v>
      </c>
      <c r="B226" s="59">
        <v>-206.98221101968525</v>
      </c>
      <c r="C226" s="59">
        <v>164.47850128766603</v>
      </c>
      <c r="D226" s="58">
        <f t="shared" si="35"/>
        <v>141.52757534345756</v>
      </c>
      <c r="P226">
        <v>97</v>
      </c>
      <c r="S226">
        <v>1.1437354484983728E-4</v>
      </c>
    </row>
    <row r="227" spans="1:19" x14ac:dyDescent="0.25">
      <c r="A227" s="38">
        <v>-98</v>
      </c>
      <c r="B227" s="59">
        <v>-219.1737417012439</v>
      </c>
      <c r="C227" s="59">
        <v>162.51322279108189</v>
      </c>
      <c r="D227" s="58">
        <f t="shared" si="35"/>
        <v>143.44375788611185</v>
      </c>
      <c r="P227">
        <v>98</v>
      </c>
      <c r="S227">
        <v>1.1360966510132576E-4</v>
      </c>
    </row>
    <row r="228" spans="1:19" x14ac:dyDescent="0.25">
      <c r="A228" s="37">
        <v>-99</v>
      </c>
      <c r="B228" s="59">
        <v>-228.75909359435974</v>
      </c>
      <c r="C228" s="59">
        <v>160.81725505676292</v>
      </c>
      <c r="D228" s="58">
        <f t="shared" si="35"/>
        <v>144.89284668085742</v>
      </c>
      <c r="P228">
        <v>99</v>
      </c>
      <c r="S228">
        <v>1.1493494285739327E-4</v>
      </c>
    </row>
    <row r="229" spans="1:19" x14ac:dyDescent="0.25">
      <c r="A229" s="37">
        <v>-100</v>
      </c>
      <c r="B229" s="59">
        <v>-236.50976344890816</v>
      </c>
      <c r="C229" s="59">
        <v>159.32471564947221</v>
      </c>
      <c r="D229" s="58">
        <f t="shared" si="35"/>
        <v>146.03383590178532</v>
      </c>
      <c r="P229">
        <v>100</v>
      </c>
      <c r="S229">
        <v>1.1438519873751413E-4</v>
      </c>
    </row>
    <row r="230" spans="1:19" x14ac:dyDescent="0.25">
      <c r="A230" s="38">
        <v>-101</v>
      </c>
      <c r="B230" s="59">
        <v>-242.91930867365141</v>
      </c>
      <c r="C230" s="59">
        <v>157.99030466328523</v>
      </c>
      <c r="D230" s="58">
        <f t="shared" si="35"/>
        <v>146.96075566740893</v>
      </c>
      <c r="P230">
        <v>101</v>
      </c>
      <c r="S230">
        <v>1.1392643976728028E-4</v>
      </c>
    </row>
    <row r="231" spans="1:19" x14ac:dyDescent="0.25">
      <c r="A231" s="38">
        <v>-102</v>
      </c>
      <c r="B231" s="59">
        <v>-248.31835480678427</v>
      </c>
      <c r="C231" s="59">
        <v>156.78164434160038</v>
      </c>
      <c r="D231" s="58">
        <f t="shared" si="35"/>
        <v>147.73276860792816</v>
      </c>
    </row>
    <row r="232" spans="1:19" x14ac:dyDescent="0.25">
      <c r="A232" s="37">
        <v>-103</v>
      </c>
      <c r="B232" s="59">
        <v>-252.93681342196805</v>
      </c>
      <c r="C232" s="59">
        <v>155.67485036232989</v>
      </c>
      <c r="D232" s="58">
        <f t="shared" si="35"/>
        <v>148.38897744620687</v>
      </c>
    </row>
    <row r="233" spans="1:19" x14ac:dyDescent="0.25">
      <c r="A233" s="37">
        <v>-104</v>
      </c>
      <c r="B233" s="59">
        <v>-256.93958666002567</v>
      </c>
      <c r="C233" s="59">
        <v>154.65183372624088</v>
      </c>
      <c r="D233" s="58">
        <f t="shared" si="35"/>
        <v>148.95628192582686</v>
      </c>
    </row>
    <row r="234" spans="1:19" x14ac:dyDescent="0.25">
      <c r="A234" s="38">
        <v>-105</v>
      </c>
      <c r="B234" s="59">
        <v>-260.44807366139293</v>
      </c>
      <c r="C234" s="59">
        <v>153.69858478218404</v>
      </c>
      <c r="D234" s="58">
        <f t="shared" si="35"/>
        <v>149.4538110761045</v>
      </c>
    </row>
    <row r="235" spans="1:19" x14ac:dyDescent="0.25">
      <c r="A235" s="38">
        <v>-106</v>
      </c>
      <c r="B235" s="59">
        <v>-263.55366059090494</v>
      </c>
      <c r="C235" s="59">
        <v>152.80404175178958</v>
      </c>
      <c r="D235" s="58">
        <f t="shared" si="35"/>
        <v>149.89555335795063</v>
      </c>
    </row>
    <row r="236" spans="1:19" x14ac:dyDescent="0.25">
      <c r="A236" s="37">
        <v>-107</v>
      </c>
      <c r="B236" s="59">
        <v>-266.32647889143476</v>
      </c>
      <c r="C236" s="59">
        <v>151.95932150517945</v>
      </c>
      <c r="D236" s="58">
        <f t="shared" si="35"/>
        <v>150.2919851508708</v>
      </c>
    </row>
    <row r="237" spans="1:19" x14ac:dyDescent="0.25">
      <c r="A237" s="37">
        <v>-108</v>
      </c>
      <c r="B237" s="59">
        <v>-268.82126243098259</v>
      </c>
      <c r="C237" s="59">
        <v>151.15718245423315</v>
      </c>
      <c r="D237" s="58">
        <f t="shared" si="35"/>
        <v>150.65111618709943</v>
      </c>
    </row>
    <row r="238" spans="1:19" x14ac:dyDescent="0.25">
      <c r="A238" s="38">
        <v>-109</v>
      </c>
      <c r="B238" s="59">
        <v>-271.08136692599379</v>
      </c>
      <c r="C238" s="59">
        <v>150.39164083363303</v>
      </c>
      <c r="D238" s="58">
        <f t="shared" si="35"/>
        <v>150.979181911952</v>
      </c>
    </row>
    <row r="239" spans="1:19" x14ac:dyDescent="0.25">
      <c r="A239" s="38">
        <v>-110</v>
      </c>
      <c r="B239" s="59">
        <v>-273.14159139202667</v>
      </c>
      <c r="C239" s="59">
        <v>149.65769086980421</v>
      </c>
      <c r="D239" s="58">
        <f t="shared" si="35"/>
        <v>151.28111461584416</v>
      </c>
    </row>
    <row r="240" spans="1:19" x14ac:dyDescent="0.25">
      <c r="A240" s="37">
        <v>-111</v>
      </c>
      <c r="B240" s="59">
        <v>-273.97983465255442</v>
      </c>
      <c r="C240" s="59">
        <v>149.33822356339249</v>
      </c>
      <c r="D240" s="58">
        <f t="shared" si="35"/>
        <v>151.40651813909972</v>
      </c>
    </row>
    <row r="241" spans="1:4" x14ac:dyDescent="0.25">
      <c r="A241" s="37">
        <v>-112</v>
      </c>
      <c r="B241" s="59">
        <v>-275.78337052560494</v>
      </c>
      <c r="C241" s="59">
        <v>148.6345837407475</v>
      </c>
      <c r="D241" s="58">
        <f t="shared" si="35"/>
        <v>151.67736956135269</v>
      </c>
    </row>
    <row r="242" spans="1:4" x14ac:dyDescent="0.25">
      <c r="A242" s="38">
        <v>-113</v>
      </c>
      <c r="B242" s="59">
        <v>-277.45368438887829</v>
      </c>
      <c r="C242" s="59">
        <v>147.95166257076232</v>
      </c>
      <c r="D242" s="58">
        <f t="shared" si="35"/>
        <v>151.93131322454471</v>
      </c>
    </row>
    <row r="243" spans="1:4" x14ac:dyDescent="0.25">
      <c r="A243" s="38">
        <v>-114</v>
      </c>
      <c r="B243" s="59">
        <v>-279.00730521302813</v>
      </c>
      <c r="C243" s="59">
        <v>147.28670281187888</v>
      </c>
      <c r="D243" s="58">
        <f t="shared" si="35"/>
        <v>152.1706280639205</v>
      </c>
    </row>
    <row r="244" spans="1:4" x14ac:dyDescent="0.25">
      <c r="A244" s="37">
        <v>-115</v>
      </c>
      <c r="B244" s="59">
        <v>-280.45817178128868</v>
      </c>
      <c r="C244" s="59">
        <v>146.63727537690363</v>
      </c>
      <c r="D244" s="58">
        <f t="shared" si="35"/>
        <v>152.39722658075871</v>
      </c>
    </row>
    <row r="245" spans="1:4" x14ac:dyDescent="0.25">
      <c r="A245" s="37">
        <v>-116</v>
      </c>
      <c r="B245" s="59">
        <v>-281.81812637623386</v>
      </c>
      <c r="C245" s="59">
        <v>146.00122073173455</v>
      </c>
      <c r="D245" s="58">
        <f t="shared" si="35"/>
        <v>152.61272869321061</v>
      </c>
    </row>
    <row r="246" spans="1:4" x14ac:dyDescent="0.25">
      <c r="A246" s="38">
        <v>-117</v>
      </c>
      <c r="B246" s="59">
        <v>-283.09729958207754</v>
      </c>
      <c r="C246" s="59">
        <v>145.37660159141163</v>
      </c>
      <c r="D246" s="58">
        <f t="shared" si="35"/>
        <v>152.8185185354065</v>
      </c>
    </row>
    <row r="247" spans="1:4" x14ac:dyDescent="0.25">
      <c r="A247" s="38">
        <v>-118</v>
      </c>
      <c r="B247" s="59">
        <v>-284.30441352092157</v>
      </c>
      <c r="C247" s="59">
        <v>144.76166451041996</v>
      </c>
      <c r="D247" s="58">
        <f t="shared" si="35"/>
        <v>153.01578865191721</v>
      </c>
    </row>
    <row r="248" spans="1:4" x14ac:dyDescent="0.25">
      <c r="A248" s="37">
        <v>-119</v>
      </c>
      <c r="B248" s="59">
        <v>-285.4470229677143</v>
      </c>
      <c r="C248" s="59">
        <v>144.15480827249431</v>
      </c>
      <c r="D248" s="58">
        <f t="shared" si="35"/>
        <v>153.20557476928826</v>
      </c>
    </row>
    <row r="249" spans="1:4" x14ac:dyDescent="0.25">
      <c r="A249" s="37">
        <v>-120</v>
      </c>
      <c r="B249" s="59">
        <v>-286.53170862445455</v>
      </c>
      <c r="C249" s="59">
        <v>143.55455750753282</v>
      </c>
      <c r="D249" s="58">
        <f t="shared" si="35"/>
        <v>153.38878344157243</v>
      </c>
    </row>
    <row r="250" spans="1:4" x14ac:dyDescent="0.25">
      <c r="A250" s="38">
        <v>-121</v>
      </c>
      <c r="B250" s="59">
        <v>-287.564233568313</v>
      </c>
      <c r="C250" s="59">
        <v>142.9595406129888</v>
      </c>
      <c r="D250" s="58">
        <f t="shared" si="35"/>
        <v>153.56621423877431</v>
      </c>
    </row>
    <row r="251" spans="1:4" x14ac:dyDescent="0.25">
      <c r="A251" s="38">
        <v>-122</v>
      </c>
      <c r="B251" s="59">
        <v>-288.54967055567636</v>
      </c>
      <c r="C251" s="59">
        <v>142.36847084126865</v>
      </c>
      <c r="D251" s="58">
        <f t="shared" si="35"/>
        <v>153.73857773348109</v>
      </c>
    </row>
    <row r="252" spans="1:4" x14ac:dyDescent="0.25">
      <c r="A252" s="37">
        <v>-123</v>
      </c>
      <c r="B252" s="59">
        <v>-289.49250663471997</v>
      </c>
      <c r="C252" s="59">
        <v>141.78013010065064</v>
      </c>
      <c r="D252" s="58">
        <f t="shared" si="35"/>
        <v>153.90651020769289</v>
      </c>
    </row>
    <row r="253" spans="1:4" x14ac:dyDescent="0.25">
      <c r="A253" s="37">
        <v>-124</v>
      </c>
      <c r="B253" s="59">
        <v>-290.39672945332342</v>
      </c>
      <c r="C253" s="59">
        <v>141.19335472176022</v>
      </c>
      <c r="D253" s="58">
        <f t="shared" si="35"/>
        <v>154.07058579494702</v>
      </c>
    </row>
    <row r="254" spans="1:4" x14ac:dyDescent="0.25">
      <c r="A254" s="38">
        <v>-125</v>
      </c>
      <c r="B254" s="59">
        <v>-291.26589911674807</v>
      </c>
      <c r="C254" s="59">
        <v>140.60702290759812</v>
      </c>
      <c r="D254" s="58">
        <f t="shared" si="35"/>
        <v>154.23132659236751</v>
      </c>
    </row>
    <row r="255" spans="1:4" x14ac:dyDescent="0.25">
      <c r="A255" s="38">
        <v>-126</v>
      </c>
      <c r="B255" s="59">
        <v>-292.10320827569637</v>
      </c>
      <c r="C255" s="59">
        <v>140.02004341415841</v>
      </c>
      <c r="D255" s="58">
        <f t="shared" si="35"/>
        <v>154.38921116526308</v>
      </c>
    </row>
    <row r="256" spans="1:4" x14ac:dyDescent="0.25">
      <c r="A256" s="37">
        <v>-127</v>
      </c>
      <c r="B256" s="59">
        <v>-292.91153262806569</v>
      </c>
      <c r="C256" s="59">
        <v>139.43134514704374</v>
      </c>
      <c r="D256" s="58">
        <f t="shared" si="35"/>
        <v>154.54468177197109</v>
      </c>
    </row>
    <row r="257" spans="1:4" x14ac:dyDescent="0.25">
      <c r="A257" s="37">
        <v>-128</v>
      </c>
      <c r="B257" s="59">
        <v>-293.69347383195918</v>
      </c>
      <c r="C257" s="59">
        <v>138.83986757208751</v>
      </c>
      <c r="D257" s="58">
        <f t="shared" si="35"/>
        <v>154.69815056226813</v>
      </c>
    </row>
    <row r="258" spans="1:4" x14ac:dyDescent="0.25">
      <c r="A258" s="38">
        <v>-129</v>
      </c>
      <c r="B258" s="59">
        <v>-294.45139590432569</v>
      </c>
      <c r="C258" s="59">
        <v>138.24455152035625</v>
      </c>
      <c r="D258" s="58">
        <f t="shared" ref="D258:D321" si="36">IF(DEGREES(ATAN2(B258,C258))&lt;0,DEGREES(ATAN2(B258,C258))+360,DEGREES(ATAN2(B258,C258)))</f>
        <v>154.85000496320663</v>
      </c>
    </row>
    <row r="259" spans="1:4" x14ac:dyDescent="0.25">
      <c r="A259" s="38">
        <v>-130</v>
      </c>
      <c r="B259" s="59">
        <v>-295.18745644889282</v>
      </c>
      <c r="C259" s="59">
        <v>137.64433033192748</v>
      </c>
      <c r="D259" s="58">
        <f t="shared" si="36"/>
        <v>155.00061241442177</v>
      </c>
    </row>
    <row r="260" spans="1:4" x14ac:dyDescent="0.25">
      <c r="A260" s="37">
        <v>-131</v>
      </c>
      <c r="B260" s="59">
        <v>-295.90363358107794</v>
      </c>
      <c r="C260" s="59">
        <v>137.03812113433031</v>
      </c>
      <c r="D260" s="58">
        <f t="shared" si="36"/>
        <v>155.15032459099487</v>
      </c>
    </row>
    <row r="261" spans="1:4" x14ac:dyDescent="0.25">
      <c r="A261" s="37">
        <v>-132</v>
      </c>
      <c r="B261" s="59">
        <v>-296.6017492109894</v>
      </c>
      <c r="C261" s="59">
        <v>136.42481604375095</v>
      </c>
      <c r="D261" s="58">
        <f t="shared" si="36"/>
        <v>155.2994812293139</v>
      </c>
    </row>
    <row r="262" spans="1:4" x14ac:dyDescent="0.25">
      <c r="A262" s="38">
        <v>-133</v>
      </c>
      <c r="B262" s="59">
        <v>-297.28348936912261</v>
      </c>
      <c r="C262" s="59">
        <v>135.80327317288183</v>
      </c>
      <c r="D262" s="58">
        <f t="shared" si="36"/>
        <v>155.44841365122042</v>
      </c>
    </row>
    <row r="263" spans="1:4" x14ac:dyDescent="0.25">
      <c r="A263" s="38">
        <v>-134</v>
      </c>
      <c r="B263" s="59">
        <v>-297.95042210503993</v>
      </c>
      <c r="C263" s="59">
        <v>135.17230729574419</v>
      </c>
      <c r="D263" s="58">
        <f t="shared" si="36"/>
        <v>155.59744807021991</v>
      </c>
    </row>
    <row r="264" spans="1:4" x14ac:dyDescent="0.25">
      <c r="A264" s="37">
        <v>-135</v>
      </c>
      <c r="B264" s="59">
        <v>-298.60401327228902</v>
      </c>
      <c r="C264" s="59">
        <v>134.53067994036857</v>
      </c>
      <c r="D264" s="58">
        <f t="shared" si="36"/>
        <v>155.74690875627459</v>
      </c>
    </row>
    <row r="265" spans="1:4" x14ac:dyDescent="0.25">
      <c r="A265" s="37">
        <v>-136</v>
      </c>
      <c r="B265" s="59">
        <v>-299.24564062568089</v>
      </c>
      <c r="C265" s="59">
        <v>133.87708876911705</v>
      </c>
      <c r="D265" s="58">
        <f t="shared" si="36"/>
        <v>155.89712112667999</v>
      </c>
    </row>
    <row r="266" spans="1:4" x14ac:dyDescent="0.25">
      <c r="A266" s="38">
        <v>-137</v>
      </c>
      <c r="B266" s="59">
        <v>-299.87660649802115</v>
      </c>
      <c r="C266" s="59">
        <v>133.21015602846802</v>
      </c>
      <c r="D266" s="58">
        <f t="shared" si="36"/>
        <v>156.04841482878666</v>
      </c>
    </row>
    <row r="267" spans="1:4" x14ac:dyDescent="0.25">
      <c r="A267" s="38">
        <v>-138</v>
      </c>
      <c r="B267" s="59">
        <v>-300.49814937359452</v>
      </c>
      <c r="C267" s="59">
        <v>132.52841587391137</v>
      </c>
      <c r="D267" s="58">
        <f t="shared" si="36"/>
        <v>156.20112687814512</v>
      </c>
    </row>
    <row r="268" spans="1:4" x14ac:dyDescent="0.25">
      <c r="A268" s="37">
        <v>-139</v>
      </c>
      <c r="B268" s="59">
        <v>-301.11145446776436</v>
      </c>
      <c r="C268" s="59">
        <v>131.83030025208606</v>
      </c>
      <c r="D268" s="58">
        <f t="shared" si="36"/>
        <v>156.3556049190037</v>
      </c>
    </row>
    <row r="269" spans="1:4" x14ac:dyDescent="0.25">
      <c r="A269" s="37">
        <v>-140</v>
      </c>
      <c r="B269" s="59">
        <v>-301.71766366708175</v>
      </c>
      <c r="C269" s="59">
        <v>131.11412312009972</v>
      </c>
      <c r="D269" s="58">
        <f t="shared" si="36"/>
        <v>156.51221067473864</v>
      </c>
    </row>
    <row r="270" spans="1:4" x14ac:dyDescent="0.25">
      <c r="A270" s="38">
        <v>-141</v>
      </c>
      <c r="B270" s="59">
        <v>-302.31788486082485</v>
      </c>
      <c r="C270" s="59">
        <v>130.37806257261798</v>
      </c>
      <c r="D270" s="58">
        <f t="shared" si="36"/>
        <v>156.6713236654268</v>
      </c>
    </row>
    <row r="271" spans="1:4" x14ac:dyDescent="0.25">
      <c r="A271" s="38">
        <v>-142</v>
      </c>
      <c r="B271" s="59">
        <v>-302.91320089666294</v>
      </c>
      <c r="C271" s="59">
        <v>129.62014049187673</v>
      </c>
      <c r="D271" s="58">
        <f t="shared" si="36"/>
        <v>156.83334527648239</v>
      </c>
    </row>
    <row r="272" spans="1:4" x14ac:dyDescent="0.25">
      <c r="A272" s="37">
        <v>-143</v>
      </c>
      <c r="B272" s="59">
        <v>-303.50336372791884</v>
      </c>
      <c r="C272" s="59">
        <v>128.71042391670326</v>
      </c>
      <c r="D272" s="58">
        <f t="shared" si="36"/>
        <v>157.01905561928251</v>
      </c>
    </row>
    <row r="273" spans="1:4" x14ac:dyDescent="0.25">
      <c r="A273" s="37">
        <v>-144</v>
      </c>
      <c r="B273" s="59">
        <v>-304.07518492113343</v>
      </c>
      <c r="C273" s="59">
        <v>126.86876325545512</v>
      </c>
      <c r="D273" s="58">
        <f t="shared" si="36"/>
        <v>157.35272302009119</v>
      </c>
    </row>
    <row r="274" spans="1:4" x14ac:dyDescent="0.25">
      <c r="A274" s="38">
        <v>-145</v>
      </c>
      <c r="B274" s="59">
        <v>-304.63477283483354</v>
      </c>
      <c r="C274" s="59">
        <v>125.02564757431297</v>
      </c>
      <c r="D274" s="58">
        <f t="shared" si="36"/>
        <v>157.68618412098812</v>
      </c>
    </row>
    <row r="275" spans="1:4" x14ac:dyDescent="0.25">
      <c r="A275" s="38">
        <v>-146</v>
      </c>
      <c r="B275" s="59">
        <v>-305.18363405073785</v>
      </c>
      <c r="C275" s="59">
        <v>123.17805228887198</v>
      </c>
      <c r="D275" s="58">
        <f t="shared" si="36"/>
        <v>158.02003847520734</v>
      </c>
    </row>
    <row r="276" spans="1:4" x14ac:dyDescent="0.25">
      <c r="A276" s="37">
        <v>-147</v>
      </c>
      <c r="B276" s="59">
        <v>-305.7232542775003</v>
      </c>
      <c r="C276" s="59">
        <v>121.32280786156718</v>
      </c>
      <c r="D276" s="58">
        <f t="shared" si="36"/>
        <v>158.35490811271626</v>
      </c>
    </row>
    <row r="277" spans="1:4" x14ac:dyDescent="0.25">
      <c r="A277" s="37">
        <v>-148</v>
      </c>
      <c r="B277" s="59">
        <v>-306.25511352885815</v>
      </c>
      <c r="C277" s="59">
        <v>119.45656101704533</v>
      </c>
      <c r="D277" s="58">
        <f t="shared" si="36"/>
        <v>158.69144503134663</v>
      </c>
    </row>
    <row r="278" spans="1:4" x14ac:dyDescent="0.25">
      <c r="A278" s="38">
        <v>-149</v>
      </c>
      <c r="B278" s="59">
        <v>-306.78070213869677</v>
      </c>
      <c r="C278" s="59">
        <v>117.57572974589326</v>
      </c>
      <c r="D278" s="58">
        <f t="shared" si="36"/>
        <v>159.03033975567556</v>
      </c>
    </row>
    <row r="279" spans="1:4" x14ac:dyDescent="0.25">
      <c r="A279" s="38">
        <v>-150</v>
      </c>
      <c r="B279" s="59">
        <v>-307.3015379260022</v>
      </c>
      <c r="C279" s="59">
        <v>115.67645039909644</v>
      </c>
      <c r="D279" s="58">
        <f t="shared" si="36"/>
        <v>159.372331267139</v>
      </c>
    </row>
    <row r="280" spans="1:4" x14ac:dyDescent="0.25">
      <c r="A280" s="37">
        <v>-151</v>
      </c>
      <c r="B280" s="59">
        <v>-307.81918507320938</v>
      </c>
      <c r="C280" s="59">
        <v>113.75451473593607</v>
      </c>
      <c r="D280" s="58">
        <f t="shared" si="36"/>
        <v>159.71821869774161</v>
      </c>
    </row>
    <row r="281" spans="1:4" x14ac:dyDescent="0.25">
      <c r="A281" s="37">
        <v>-152</v>
      </c>
      <c r="B281" s="59">
        <v>-308.33527525191693</v>
      </c>
      <c r="C281" s="59">
        <v>111.80529414937006</v>
      </c>
      <c r="D281" s="58">
        <f t="shared" si="36"/>
        <v>160.06887528351109</v>
      </c>
    </row>
    <row r="282" spans="1:4" x14ac:dyDescent="0.25">
      <c r="A282" s="38">
        <v>-153</v>
      </c>
      <c r="B282" s="59">
        <v>-308.85153173397947</v>
      </c>
      <c r="C282" s="59">
        <v>109.82364746190622</v>
      </c>
      <c r="D282" s="58">
        <f t="shared" si="36"/>
        <v>160.42526522476362</v>
      </c>
    </row>
    <row r="283" spans="1:4" x14ac:dyDescent="0.25">
      <c r="A283" s="38">
        <v>-154</v>
      </c>
      <c r="B283" s="59">
        <v>-309.36979744417692</v>
      </c>
      <c r="C283" s="59">
        <v>107.80380754253167</v>
      </c>
      <c r="D283" s="58">
        <f t="shared" si="36"/>
        <v>160.78846430349054</v>
      </c>
    </row>
    <row r="284" spans="1:4" x14ac:dyDescent="0.25">
      <c r="A284" s="37">
        <v>-155</v>
      </c>
      <c r="B284" s="59">
        <v>-309.8920681068409</v>
      </c>
      <c r="C284" s="59">
        <v>105.73924041109984</v>
      </c>
      <c r="D284" s="58">
        <f t="shared" si="36"/>
        <v>161.15968538382751</v>
      </c>
    </row>
    <row r="285" spans="1:4" x14ac:dyDescent="0.25">
      <c r="A285" s="37">
        <v>-156</v>
      </c>
      <c r="B285" s="59">
        <v>-310.42053180240924</v>
      </c>
      <c r="C285" s="59">
        <v>103.62246828556131</v>
      </c>
      <c r="D285" s="58">
        <f t="shared" si="36"/>
        <v>161.54031030097894</v>
      </c>
    </row>
    <row r="286" spans="1:4" x14ac:dyDescent="0.25">
      <c r="A286" s="38">
        <v>-157</v>
      </c>
      <c r="B286" s="59">
        <v>-310.69778955595416</v>
      </c>
      <c r="C286" s="59">
        <v>103.47749970606517</v>
      </c>
      <c r="D286" s="58">
        <f t="shared" si="36"/>
        <v>161.57972909296035</v>
      </c>
    </row>
    <row r="287" spans="1:4" x14ac:dyDescent="0.25">
      <c r="A287" s="38">
        <v>-158</v>
      </c>
      <c r="B287" s="59">
        <v>-311.23101299463008</v>
      </c>
      <c r="C287" s="59">
        <v>101.25699268581795</v>
      </c>
      <c r="D287" s="58">
        <f t="shared" si="36"/>
        <v>161.97803837593429</v>
      </c>
    </row>
    <row r="288" spans="1:4" x14ac:dyDescent="0.25">
      <c r="A288" s="37">
        <v>-159</v>
      </c>
      <c r="B288" s="59">
        <v>-311.7786681765059</v>
      </c>
      <c r="C288" s="59">
        <v>98.955907124743575</v>
      </c>
      <c r="D288" s="58">
        <f t="shared" si="36"/>
        <v>162.39100285518853</v>
      </c>
    </row>
    <row r="289" spans="1:4" x14ac:dyDescent="0.25">
      <c r="A289" s="37">
        <v>-160</v>
      </c>
      <c r="B289" s="59">
        <v>-312.3442952511362</v>
      </c>
      <c r="C289" s="59">
        <v>96.560348308753206</v>
      </c>
      <c r="D289" s="58">
        <f t="shared" si="36"/>
        <v>162.82115513802813</v>
      </c>
    </row>
    <row r="290" spans="1:4" x14ac:dyDescent="0.25">
      <c r="A290" s="38">
        <v>-161</v>
      </c>
      <c r="B290" s="59">
        <v>-312.93201852630614</v>
      </c>
      <c r="C290" s="59">
        <v>94.05351810298491</v>
      </c>
      <c r="D290" s="58">
        <f t="shared" si="36"/>
        <v>163.27154717672889</v>
      </c>
    </row>
    <row r="291" spans="1:4" x14ac:dyDescent="0.25">
      <c r="A291" s="38">
        <v>-162</v>
      </c>
      <c r="B291" s="59">
        <v>-313.54670085111576</v>
      </c>
      <c r="C291" s="59">
        <v>91.414849063852671</v>
      </c>
      <c r="D291" s="58">
        <f t="shared" si="36"/>
        <v>163.74590398161513</v>
      </c>
    </row>
    <row r="292" spans="1:4" x14ac:dyDescent="0.25">
      <c r="A292" s="37">
        <v>-163</v>
      </c>
      <c r="B292" s="59">
        <v>-314.19414667766046</v>
      </c>
      <c r="C292" s="59">
        <v>88.618814931968913</v>
      </c>
      <c r="D292" s="58">
        <f t="shared" si="36"/>
        <v>164.24883426758169</v>
      </c>
    </row>
    <row r="293" spans="1:4" x14ac:dyDescent="0.25">
      <c r="A293" s="37">
        <v>-164</v>
      </c>
      <c r="B293" s="59">
        <v>-314.88137346962009</v>
      </c>
      <c r="C293" s="59">
        <v>85.633268207239084</v>
      </c>
      <c r="D293" s="58">
        <f t="shared" si="36"/>
        <v>164.78612411491005</v>
      </c>
    </row>
    <row r="294" spans="1:4" x14ac:dyDescent="0.25">
      <c r="A294" s="38">
        <v>-165</v>
      </c>
      <c r="B294" s="59">
        <v>-315.61698022680719</v>
      </c>
      <c r="C294" s="59">
        <v>82.417072147999974</v>
      </c>
      <c r="D294" s="58">
        <f t="shared" si="36"/>
        <v>165.36515414015454</v>
      </c>
    </row>
    <row r="295" spans="1:4" x14ac:dyDescent="0.25">
      <c r="A295" s="38">
        <v>-166</v>
      </c>
      <c r="B295" s="59">
        <v>-316.41165735658609</v>
      </c>
      <c r="C295" s="59">
        <v>78.916655491836053</v>
      </c>
      <c r="D295" s="58">
        <f t="shared" si="36"/>
        <v>165.99550466881158</v>
      </c>
    </row>
    <row r="296" spans="1:4" x14ac:dyDescent="0.25">
      <c r="A296" s="37">
        <v>-167</v>
      </c>
      <c r="B296" s="59">
        <v>-317.27890682472275</v>
      </c>
      <c r="C296" s="59">
        <v>75.060879033550194</v>
      </c>
      <c r="D296" s="58">
        <f t="shared" si="36"/>
        <v>166.68985443089034</v>
      </c>
    </row>
    <row r="297" spans="1:4" x14ac:dyDescent="0.25">
      <c r="A297" s="37">
        <v>-168</v>
      </c>
      <c r="B297" s="59">
        <v>-318.23608295958877</v>
      </c>
      <c r="C297" s="59">
        <v>70.753177675799037</v>
      </c>
      <c r="D297" s="58">
        <f t="shared" si="36"/>
        <v>167.46535081320638</v>
      </c>
    </row>
    <row r="298" spans="1:4" x14ac:dyDescent="0.25">
      <c r="A298" s="38">
        <v>-169</v>
      </c>
      <c r="B298" s="59">
        <v>-319.30490653833908</v>
      </c>
      <c r="C298" s="59">
        <v>65.862549230475182</v>
      </c>
      <c r="D298" s="58">
        <f t="shared" si="36"/>
        <v>168.34514181577146</v>
      </c>
    </row>
    <row r="299" spans="1:4" x14ac:dyDescent="0.25">
      <c r="A299" s="38">
        <v>-170</v>
      </c>
      <c r="B299" s="59">
        <v>-320.38672677747496</v>
      </c>
      <c r="C299" s="59">
        <v>60.645328382990257</v>
      </c>
      <c r="D299" s="58">
        <f t="shared" si="36"/>
        <v>169.28141719995821</v>
      </c>
    </row>
    <row r="300" spans="1:4" x14ac:dyDescent="0.25">
      <c r="A300" s="37">
        <v>-171</v>
      </c>
      <c r="B300" s="59">
        <v>-321.40378141072478</v>
      </c>
      <c r="C300" s="59">
        <v>55.33746076200454</v>
      </c>
      <c r="D300" s="58">
        <f t="shared" si="36"/>
        <v>170.2309211030699</v>
      </c>
    </row>
    <row r="301" spans="1:4" x14ac:dyDescent="0.25">
      <c r="A301" s="37">
        <v>-172</v>
      </c>
      <c r="B301" s="59">
        <v>-322.35786025478228</v>
      </c>
      <c r="C301" s="59">
        <v>49.923072924870418</v>
      </c>
      <c r="D301" s="58">
        <f t="shared" si="36"/>
        <v>171.19662571809505</v>
      </c>
    </row>
    <row r="302" spans="1:4" x14ac:dyDescent="0.25">
      <c r="A302" s="38">
        <v>-173</v>
      </c>
      <c r="B302" s="59">
        <v>-323.25053497706671</v>
      </c>
      <c r="C302" s="59">
        <v>44.384337646339866</v>
      </c>
      <c r="D302" s="58">
        <f t="shared" si="36"/>
        <v>172.18181556279006</v>
      </c>
    </row>
    <row r="303" spans="1:4" x14ac:dyDescent="0.25">
      <c r="A303" s="38">
        <v>-174</v>
      </c>
      <c r="B303" s="59">
        <v>-324.08316069036817</v>
      </c>
      <c r="C303" s="59">
        <v>38.701093520230799</v>
      </c>
      <c r="D303" s="58">
        <f t="shared" si="36"/>
        <v>173.19014857493463</v>
      </c>
    </row>
    <row r="304" spans="1:4" x14ac:dyDescent="0.25">
      <c r="A304" s="37">
        <v>-175</v>
      </c>
      <c r="B304" s="59">
        <v>-324.85687529999035</v>
      </c>
      <c r="C304" s="59">
        <v>32.850380228820143</v>
      </c>
      <c r="D304" s="58">
        <f t="shared" si="36"/>
        <v>174.22572909684428</v>
      </c>
    </row>
    <row r="305" spans="1:4" x14ac:dyDescent="0.25">
      <c r="A305" s="37">
        <v>-176</v>
      </c>
      <c r="B305" s="59">
        <v>-325.57259692972991</v>
      </c>
      <c r="C305" s="59">
        <v>26.805866473779211</v>
      </c>
      <c r="D305" s="58">
        <f t="shared" si="36"/>
        <v>175.29319558200859</v>
      </c>
    </row>
    <row r="306" spans="1:4" x14ac:dyDescent="0.25">
      <c r="A306" s="38">
        <v>-177</v>
      </c>
      <c r="B306" s="59">
        <v>-326.23101874694612</v>
      </c>
      <c r="C306" s="59">
        <v>20.537140208815224</v>
      </c>
      <c r="D306" s="58">
        <f t="shared" si="36"/>
        <v>176.39782654976867</v>
      </c>
    </row>
    <row r="307" spans="1:4" x14ac:dyDescent="0.25">
      <c r="A307" s="38">
        <v>-178</v>
      </c>
      <c r="B307" s="59">
        <v>-326.83260175871897</v>
      </c>
      <c r="C307" s="59">
        <v>14.008820598173326</v>
      </c>
      <c r="D307" s="58">
        <f t="shared" si="36"/>
        <v>177.54566926003935</v>
      </c>
    </row>
    <row r="308" spans="1:4" x14ac:dyDescent="0.25">
      <c r="A308" s="37">
        <v>-179</v>
      </c>
      <c r="B308" s="59">
        <v>-327.37756474110688</v>
      </c>
      <c r="C308" s="59">
        <v>7.1794369753425382</v>
      </c>
      <c r="D308" s="58">
        <f t="shared" si="36"/>
        <v>178.74369670566173</v>
      </c>
    </row>
    <row r="309" spans="1:4" x14ac:dyDescent="0.25">
      <c r="A309" s="37">
        <v>-180</v>
      </c>
      <c r="B309" s="59">
        <v>-327.86587171676797</v>
      </c>
      <c r="C309" s="59">
        <v>3.1407706469839647E-14</v>
      </c>
      <c r="D309" s="58">
        <f t="shared" si="36"/>
        <v>180</v>
      </c>
    </row>
    <row r="310" spans="1:4" x14ac:dyDescent="0.25">
      <c r="A310" s="38">
        <v>-181</v>
      </c>
      <c r="B310" s="59">
        <v>-327.37756474110665</v>
      </c>
      <c r="C310" s="59">
        <v>-7.1794369753426297</v>
      </c>
      <c r="D310" s="58">
        <f t="shared" si="36"/>
        <v>181.2563032943383</v>
      </c>
    </row>
    <row r="311" spans="1:4" x14ac:dyDescent="0.25">
      <c r="A311" s="38">
        <v>-182</v>
      </c>
      <c r="B311" s="59">
        <v>-326.83260175871931</v>
      </c>
      <c r="C311" s="59">
        <v>-14.008820598173267</v>
      </c>
      <c r="D311" s="58">
        <f t="shared" si="36"/>
        <v>182.45433073996065</v>
      </c>
    </row>
    <row r="312" spans="1:4" x14ac:dyDescent="0.25">
      <c r="A312" s="37">
        <v>-183</v>
      </c>
      <c r="B312" s="59">
        <v>-326.23101874694623</v>
      </c>
      <c r="C312" s="59">
        <v>-20.537140208815131</v>
      </c>
      <c r="D312" s="58">
        <f t="shared" si="36"/>
        <v>183.60217345023131</v>
      </c>
    </row>
    <row r="313" spans="1:4" x14ac:dyDescent="0.25">
      <c r="A313" s="37">
        <v>-184</v>
      </c>
      <c r="B313" s="59">
        <v>-325.57259692973014</v>
      </c>
      <c r="C313" s="59">
        <v>-26.80586647377914</v>
      </c>
      <c r="D313" s="58">
        <f t="shared" si="36"/>
        <v>184.70680441799141</v>
      </c>
    </row>
    <row r="314" spans="1:4" x14ac:dyDescent="0.25">
      <c r="A314" s="38">
        <v>-185</v>
      </c>
      <c r="B314" s="59">
        <v>-324.85687529999063</v>
      </c>
      <c r="C314" s="59">
        <v>-32.850380228820043</v>
      </c>
      <c r="D314" s="58">
        <f t="shared" si="36"/>
        <v>185.7742709031557</v>
      </c>
    </row>
    <row r="315" spans="1:4" x14ac:dyDescent="0.25">
      <c r="A315" s="38">
        <v>-186</v>
      </c>
      <c r="B315" s="59">
        <v>-324.0831606903684</v>
      </c>
      <c r="C315" s="59">
        <v>-38.7010935202307</v>
      </c>
      <c r="D315" s="58">
        <f t="shared" si="36"/>
        <v>186.80985142506537</v>
      </c>
    </row>
    <row r="316" spans="1:4" x14ac:dyDescent="0.25">
      <c r="A316" s="37">
        <v>-187</v>
      </c>
      <c r="B316" s="59">
        <v>-323.25053497706693</v>
      </c>
      <c r="C316" s="59">
        <v>-44.384337646339766</v>
      </c>
      <c r="D316" s="58">
        <f t="shared" si="36"/>
        <v>187.81818443720991</v>
      </c>
    </row>
    <row r="317" spans="1:4" x14ac:dyDescent="0.25">
      <c r="A317" s="37">
        <v>-188</v>
      </c>
      <c r="B317" s="59">
        <v>-322.35786025478205</v>
      </c>
      <c r="C317" s="59">
        <v>-49.923072924870517</v>
      </c>
      <c r="D317" s="58">
        <f t="shared" si="36"/>
        <v>188.80337428190498</v>
      </c>
    </row>
    <row r="318" spans="1:4" x14ac:dyDescent="0.25">
      <c r="A318" s="38">
        <v>-189</v>
      </c>
      <c r="B318" s="59">
        <v>-321.40378141072512</v>
      </c>
      <c r="C318" s="59">
        <v>-55.33746076200444</v>
      </c>
      <c r="D318" s="58">
        <f t="shared" si="36"/>
        <v>189.76907889693007</v>
      </c>
    </row>
    <row r="319" spans="1:4" x14ac:dyDescent="0.25">
      <c r="A319" s="38">
        <v>-190</v>
      </c>
      <c r="B319" s="59">
        <v>-320.38672677747462</v>
      </c>
      <c r="C319" s="59">
        <v>-60.645328382990314</v>
      </c>
      <c r="D319" s="58">
        <f t="shared" si="36"/>
        <v>190.71858280004179</v>
      </c>
    </row>
    <row r="320" spans="1:4" x14ac:dyDescent="0.25">
      <c r="A320" s="37">
        <v>-191</v>
      </c>
      <c r="B320" s="59">
        <v>-319.30490653833931</v>
      </c>
      <c r="C320" s="59">
        <v>-65.862549230475082</v>
      </c>
      <c r="D320" s="58">
        <f t="shared" si="36"/>
        <v>191.65485818422852</v>
      </c>
    </row>
    <row r="321" spans="1:4" x14ac:dyDescent="0.25">
      <c r="A321" s="37">
        <v>-192</v>
      </c>
      <c r="B321" s="59">
        <v>-318.23608295958849</v>
      </c>
      <c r="C321" s="59">
        <v>-70.753177675799108</v>
      </c>
      <c r="D321" s="58">
        <f t="shared" si="36"/>
        <v>192.53464918679364</v>
      </c>
    </row>
    <row r="322" spans="1:4" x14ac:dyDescent="0.25">
      <c r="A322" s="38">
        <v>-193</v>
      </c>
      <c r="B322" s="59">
        <v>-317.27890682472338</v>
      </c>
      <c r="C322" s="59">
        <v>-75.060879033550123</v>
      </c>
      <c r="D322" s="58">
        <f t="shared" ref="D322:D385" si="37">IF(DEGREES(ATAN2(B322,C322))&lt;0,DEGREES(ATAN2(B322,C322))+360,DEGREES(ATAN2(B322,C322)))</f>
        <v>193.31014556910961</v>
      </c>
    </row>
    <row r="323" spans="1:4" x14ac:dyDescent="0.25">
      <c r="A323" s="38">
        <v>-194</v>
      </c>
      <c r="B323" s="59">
        <v>-316.41165735658649</v>
      </c>
      <c r="C323" s="59">
        <v>-78.916655491835982</v>
      </c>
      <c r="D323" s="58">
        <f t="shared" si="37"/>
        <v>194.00449533118837</v>
      </c>
    </row>
    <row r="324" spans="1:4" x14ac:dyDescent="0.25">
      <c r="A324" s="37">
        <v>-195</v>
      </c>
      <c r="B324" s="59">
        <v>-315.61698022680719</v>
      </c>
      <c r="C324" s="59">
        <v>-82.417072147999974</v>
      </c>
      <c r="D324" s="58">
        <f t="shared" si="37"/>
        <v>194.63484585984546</v>
      </c>
    </row>
    <row r="325" spans="1:4" x14ac:dyDescent="0.25">
      <c r="A325" s="37">
        <v>-196</v>
      </c>
      <c r="B325" s="59">
        <v>-314.88137346962026</v>
      </c>
      <c r="C325" s="59">
        <v>-85.633268207239055</v>
      </c>
      <c r="D325" s="58">
        <f t="shared" si="37"/>
        <v>195.21387588508992</v>
      </c>
    </row>
    <row r="326" spans="1:4" x14ac:dyDescent="0.25">
      <c r="A326" s="38">
        <v>-197</v>
      </c>
      <c r="B326" s="59">
        <v>-314.19414667766034</v>
      </c>
      <c r="C326" s="59">
        <v>-88.618814931968899</v>
      </c>
      <c r="D326" s="58">
        <f t="shared" si="37"/>
        <v>195.75116573241831</v>
      </c>
    </row>
    <row r="327" spans="1:4" x14ac:dyDescent="0.25">
      <c r="A327" s="38">
        <v>-198</v>
      </c>
      <c r="B327" s="59">
        <v>-313.54670085111576</v>
      </c>
      <c r="C327" s="59">
        <v>-91.414849063852643</v>
      </c>
      <c r="D327" s="58">
        <f t="shared" si="37"/>
        <v>196.25409601838487</v>
      </c>
    </row>
    <row r="328" spans="1:4" x14ac:dyDescent="0.25">
      <c r="A328" s="37">
        <v>-199</v>
      </c>
      <c r="B328" s="59">
        <v>-312.93201852630597</v>
      </c>
      <c r="C328" s="59">
        <v>-94.053518102984896</v>
      </c>
      <c r="D328" s="58">
        <f t="shared" si="37"/>
        <v>196.72845282327111</v>
      </c>
    </row>
    <row r="329" spans="1:4" x14ac:dyDescent="0.25">
      <c r="A329" s="37">
        <v>-200</v>
      </c>
      <c r="B329" s="59">
        <v>-312.34429525113632</v>
      </c>
      <c r="C329" s="59">
        <v>-96.560348308753248</v>
      </c>
      <c r="D329" s="58">
        <f t="shared" si="37"/>
        <v>197.17884486197187</v>
      </c>
    </row>
    <row r="330" spans="1:4" x14ac:dyDescent="0.25">
      <c r="A330" s="38">
        <v>-201</v>
      </c>
      <c r="B330" s="59">
        <v>-311.77866817650607</v>
      </c>
      <c r="C330" s="59">
        <v>-98.955907124743575</v>
      </c>
      <c r="D330" s="58">
        <f t="shared" si="37"/>
        <v>197.60899714481147</v>
      </c>
    </row>
    <row r="331" spans="1:4" x14ac:dyDescent="0.25">
      <c r="A331" s="38">
        <v>-202</v>
      </c>
      <c r="B331" s="59">
        <v>-311.23101299463019</v>
      </c>
      <c r="C331" s="59">
        <v>-101.25699268581798</v>
      </c>
      <c r="D331" s="58">
        <f t="shared" si="37"/>
        <v>198.02196162406571</v>
      </c>
    </row>
    <row r="332" spans="1:4" x14ac:dyDescent="0.25">
      <c r="A332" s="37">
        <v>-203</v>
      </c>
      <c r="B332" s="59">
        <v>-310.69778955595427</v>
      </c>
      <c r="C332" s="59">
        <v>-103.47749970606513</v>
      </c>
      <c r="D332" s="58">
        <f t="shared" si="37"/>
        <v>198.42027090703962</v>
      </c>
    </row>
    <row r="333" spans="1:4" x14ac:dyDescent="0.25">
      <c r="A333" s="37">
        <v>-204</v>
      </c>
      <c r="B333" s="59">
        <v>-310.42053180240936</v>
      </c>
      <c r="C333" s="59">
        <v>-103.62246828556133</v>
      </c>
      <c r="D333" s="58">
        <f t="shared" si="37"/>
        <v>198.45968969902106</v>
      </c>
    </row>
    <row r="334" spans="1:4" x14ac:dyDescent="0.25">
      <c r="A334" s="38">
        <v>-205</v>
      </c>
      <c r="B334" s="59">
        <v>-309.89206810684095</v>
      </c>
      <c r="C334" s="59">
        <v>-105.7392404110998</v>
      </c>
      <c r="D334" s="58">
        <f t="shared" si="37"/>
        <v>198.84031461617246</v>
      </c>
    </row>
    <row r="335" spans="1:4" x14ac:dyDescent="0.25">
      <c r="A335" s="38">
        <v>-206</v>
      </c>
      <c r="B335" s="59">
        <v>-309.36979744417687</v>
      </c>
      <c r="C335" s="59">
        <v>-107.80380754253177</v>
      </c>
      <c r="D335" s="58">
        <f t="shared" si="37"/>
        <v>199.21153569650949</v>
      </c>
    </row>
    <row r="336" spans="1:4" x14ac:dyDescent="0.25">
      <c r="A336" s="37">
        <v>-207</v>
      </c>
      <c r="B336" s="59">
        <v>-308.85153173397953</v>
      </c>
      <c r="C336" s="59">
        <v>-109.82364746190619</v>
      </c>
      <c r="D336" s="58">
        <f t="shared" si="37"/>
        <v>199.57473477523635</v>
      </c>
    </row>
    <row r="337" spans="1:4" x14ac:dyDescent="0.25">
      <c r="A337" s="37">
        <v>-208</v>
      </c>
      <c r="B337" s="59">
        <v>-308.33527525191693</v>
      </c>
      <c r="C337" s="59">
        <v>-111.80529414937004</v>
      </c>
      <c r="D337" s="58">
        <f t="shared" si="37"/>
        <v>199.93112471648891</v>
      </c>
    </row>
    <row r="338" spans="1:4" x14ac:dyDescent="0.25">
      <c r="A338" s="38">
        <v>-209</v>
      </c>
      <c r="B338" s="59">
        <v>-307.81918507320938</v>
      </c>
      <c r="C338" s="59">
        <v>-113.75451473593606</v>
      </c>
      <c r="D338" s="58">
        <f t="shared" si="37"/>
        <v>200.28178130225839</v>
      </c>
    </row>
    <row r="339" spans="1:4" x14ac:dyDescent="0.25">
      <c r="A339" s="38">
        <v>-210</v>
      </c>
      <c r="B339" s="59">
        <v>-307.3015379260022</v>
      </c>
      <c r="C339" s="59">
        <v>-115.6764503990965</v>
      </c>
      <c r="D339" s="58">
        <f t="shared" si="37"/>
        <v>200.62766873286103</v>
      </c>
    </row>
    <row r="340" spans="1:4" x14ac:dyDescent="0.25">
      <c r="A340" s="37">
        <v>-211</v>
      </c>
      <c r="B340" s="59">
        <v>-306.78070213869677</v>
      </c>
      <c r="C340" s="59">
        <v>-117.57572974589318</v>
      </c>
      <c r="D340" s="58">
        <f t="shared" si="37"/>
        <v>200.96966024432444</v>
      </c>
    </row>
    <row r="341" spans="1:4" x14ac:dyDescent="0.25">
      <c r="A341" s="37">
        <v>-212</v>
      </c>
      <c r="B341" s="59">
        <v>-306.25511352885832</v>
      </c>
      <c r="C341" s="59">
        <v>-119.45656101704537</v>
      </c>
      <c r="D341" s="58">
        <f t="shared" si="37"/>
        <v>201.30855496865337</v>
      </c>
    </row>
    <row r="342" spans="1:4" x14ac:dyDescent="0.25">
      <c r="A342" s="38">
        <v>-213</v>
      </c>
      <c r="B342" s="59">
        <v>-305.7232542775003</v>
      </c>
      <c r="C342" s="59">
        <v>-121.32280786156718</v>
      </c>
      <c r="D342" s="58">
        <f t="shared" si="37"/>
        <v>201.64509188728374</v>
      </c>
    </row>
    <row r="343" spans="1:4" x14ac:dyDescent="0.25">
      <c r="A343" s="38">
        <v>-214</v>
      </c>
      <c r="B343" s="59">
        <v>-305.18363405073825</v>
      </c>
      <c r="C343" s="59">
        <v>-123.17805228887204</v>
      </c>
      <c r="D343" s="58">
        <f t="shared" si="37"/>
        <v>201.97996152479263</v>
      </c>
    </row>
    <row r="344" spans="1:4" x14ac:dyDescent="0.25">
      <c r="A344" s="37">
        <v>-215</v>
      </c>
      <c r="B344" s="59">
        <v>-304.63477283483348</v>
      </c>
      <c r="C344" s="59">
        <v>-125.02564757431298</v>
      </c>
      <c r="D344" s="58">
        <f t="shared" si="37"/>
        <v>202.31381587901188</v>
      </c>
    </row>
    <row r="345" spans="1:4" x14ac:dyDescent="0.25">
      <c r="A345" s="37">
        <v>-216</v>
      </c>
      <c r="B345" s="59">
        <v>-304.07518492113371</v>
      </c>
      <c r="C345" s="59">
        <v>-126.86876325545522</v>
      </c>
      <c r="D345" s="58">
        <f t="shared" si="37"/>
        <v>202.64727697990881</v>
      </c>
    </row>
    <row r="346" spans="1:4" x14ac:dyDescent="0.25">
      <c r="A346" s="38">
        <v>-217</v>
      </c>
      <c r="B346" s="59">
        <v>-303.50336372791855</v>
      </c>
      <c r="C346" s="59">
        <v>-128.71042391670318</v>
      </c>
      <c r="D346" s="58">
        <f t="shared" si="37"/>
        <v>202.98094438071749</v>
      </c>
    </row>
    <row r="347" spans="1:4" x14ac:dyDescent="0.25">
      <c r="A347" s="38">
        <v>-218</v>
      </c>
      <c r="B347" s="59">
        <v>-302.91320089666294</v>
      </c>
      <c r="C347" s="59">
        <v>-129.6201404918767</v>
      </c>
      <c r="D347" s="58">
        <f t="shared" si="37"/>
        <v>203.16665472351761</v>
      </c>
    </row>
    <row r="348" spans="1:4" x14ac:dyDescent="0.25">
      <c r="A348" s="37">
        <v>-219</v>
      </c>
      <c r="B348" s="59">
        <v>-302.31788486082485</v>
      </c>
      <c r="C348" s="59">
        <v>-130.37806257261803</v>
      </c>
      <c r="D348" s="58">
        <f t="shared" si="37"/>
        <v>203.3286763345732</v>
      </c>
    </row>
    <row r="349" spans="1:4" x14ac:dyDescent="0.25">
      <c r="A349" s="37">
        <v>-220</v>
      </c>
      <c r="B349" s="59">
        <v>-301.71766366708169</v>
      </c>
      <c r="C349" s="59">
        <v>-131.11412312009969</v>
      </c>
      <c r="D349" s="58">
        <f t="shared" si="37"/>
        <v>203.48778932526136</v>
      </c>
    </row>
    <row r="350" spans="1:4" x14ac:dyDescent="0.25">
      <c r="A350" s="38">
        <v>-221</v>
      </c>
      <c r="B350" s="59">
        <v>-301.11145446776447</v>
      </c>
      <c r="C350" s="59">
        <v>-131.83030025208606</v>
      </c>
      <c r="D350" s="58">
        <f t="shared" si="37"/>
        <v>203.6443950809963</v>
      </c>
    </row>
    <row r="351" spans="1:4" x14ac:dyDescent="0.25">
      <c r="A351" s="38">
        <v>-222</v>
      </c>
      <c r="B351" s="59">
        <v>-300.49814937359457</v>
      </c>
      <c r="C351" s="59">
        <v>-132.52841587391137</v>
      </c>
      <c r="D351" s="58">
        <f t="shared" si="37"/>
        <v>203.79887312185488</v>
      </c>
    </row>
    <row r="352" spans="1:4" x14ac:dyDescent="0.25">
      <c r="A352" s="37">
        <v>-223</v>
      </c>
      <c r="B352" s="59">
        <v>-299.87660649802109</v>
      </c>
      <c r="C352" s="59">
        <v>-133.21015602846799</v>
      </c>
      <c r="D352" s="58">
        <f t="shared" si="37"/>
        <v>203.95158517121334</v>
      </c>
    </row>
    <row r="353" spans="1:4" x14ac:dyDescent="0.25">
      <c r="A353" s="37">
        <v>-224</v>
      </c>
      <c r="B353" s="59">
        <v>-299.24564062568089</v>
      </c>
      <c r="C353" s="59">
        <v>-133.87708876911711</v>
      </c>
      <c r="D353" s="58">
        <f t="shared" si="37"/>
        <v>204.10287887332001</v>
      </c>
    </row>
    <row r="354" spans="1:4" x14ac:dyDescent="0.25">
      <c r="A354" s="38">
        <v>-225</v>
      </c>
      <c r="B354" s="59">
        <v>-298.60401327228897</v>
      </c>
      <c r="C354" s="59">
        <v>-134.53067994036846</v>
      </c>
      <c r="D354" s="58">
        <f t="shared" si="37"/>
        <v>204.25309124372538</v>
      </c>
    </row>
    <row r="355" spans="1:4" x14ac:dyDescent="0.25">
      <c r="A355" s="38">
        <v>-226</v>
      </c>
      <c r="B355" s="59">
        <v>-297.95042210503988</v>
      </c>
      <c r="C355" s="59">
        <v>-135.17230729574419</v>
      </c>
      <c r="D355" s="58">
        <f t="shared" si="37"/>
        <v>204.40255192978009</v>
      </c>
    </row>
    <row r="356" spans="1:4" x14ac:dyDescent="0.25">
      <c r="A356" s="37">
        <v>-227</v>
      </c>
      <c r="B356" s="59">
        <v>-297.28348936912261</v>
      </c>
      <c r="C356" s="59">
        <v>-135.80327317288189</v>
      </c>
      <c r="D356" s="58">
        <f t="shared" si="37"/>
        <v>204.55158634877958</v>
      </c>
    </row>
    <row r="357" spans="1:4" x14ac:dyDescent="0.25">
      <c r="A357" s="37">
        <v>-228</v>
      </c>
      <c r="B357" s="59">
        <v>-296.60174921098945</v>
      </c>
      <c r="C357" s="59">
        <v>-136.42481604375101</v>
      </c>
      <c r="D357" s="58">
        <f t="shared" si="37"/>
        <v>204.7005187706861</v>
      </c>
    </row>
    <row r="358" spans="1:4" x14ac:dyDescent="0.25">
      <c r="A358" s="38">
        <v>-229</v>
      </c>
      <c r="B358" s="59">
        <v>-295.903633581078</v>
      </c>
      <c r="C358" s="59">
        <v>-137.03812113433025</v>
      </c>
      <c r="D358" s="58">
        <f t="shared" si="37"/>
        <v>204.8496754090051</v>
      </c>
    </row>
    <row r="359" spans="1:4" x14ac:dyDescent="0.25">
      <c r="A359" s="38">
        <v>-230</v>
      </c>
      <c r="B359" s="59">
        <v>-295.18745644889287</v>
      </c>
      <c r="C359" s="59">
        <v>-137.64433033192748</v>
      </c>
      <c r="D359" s="58">
        <f t="shared" si="37"/>
        <v>204.99938758557823</v>
      </c>
    </row>
    <row r="360" spans="1:4" x14ac:dyDescent="0.25">
      <c r="A360" s="37">
        <v>-231</v>
      </c>
      <c r="B360" s="59">
        <v>-294.45139590432575</v>
      </c>
      <c r="C360" s="59">
        <v>-138.24455152035628</v>
      </c>
      <c r="D360" s="58">
        <f t="shared" si="37"/>
        <v>205.14999503679337</v>
      </c>
    </row>
    <row r="361" spans="1:4" x14ac:dyDescent="0.25">
      <c r="A361" s="37">
        <v>-232</v>
      </c>
      <c r="B361" s="59">
        <v>-293.69347383195901</v>
      </c>
      <c r="C361" s="59">
        <v>-138.83986757208757</v>
      </c>
      <c r="D361" s="58">
        <f t="shared" si="37"/>
        <v>205.3018494377319</v>
      </c>
    </row>
    <row r="362" spans="1:4" x14ac:dyDescent="0.25">
      <c r="A362" s="38">
        <v>-233</v>
      </c>
      <c r="B362" s="59">
        <v>-292.91153262806574</v>
      </c>
      <c r="C362" s="59">
        <v>-139.43134514704377</v>
      </c>
      <c r="D362" s="58">
        <f t="shared" si="37"/>
        <v>205.45531822802891</v>
      </c>
    </row>
    <row r="363" spans="1:4" x14ac:dyDescent="0.25">
      <c r="A363" s="38">
        <v>-234</v>
      </c>
      <c r="B363" s="59">
        <v>-292.10320827569643</v>
      </c>
      <c r="C363" s="59">
        <v>-140.02004341415847</v>
      </c>
      <c r="D363" s="58">
        <f t="shared" si="37"/>
        <v>205.61078883473695</v>
      </c>
    </row>
    <row r="364" spans="1:4" x14ac:dyDescent="0.25">
      <c r="A364" s="37">
        <v>-235</v>
      </c>
      <c r="B364" s="59">
        <v>-291.26589911674813</v>
      </c>
      <c r="C364" s="59">
        <v>-140.60702290759818</v>
      </c>
      <c r="D364" s="58">
        <f t="shared" si="37"/>
        <v>205.76867340763249</v>
      </c>
    </row>
    <row r="365" spans="1:4" x14ac:dyDescent="0.25">
      <c r="A365" s="37">
        <v>-236</v>
      </c>
      <c r="B365" s="59">
        <v>-290.39672945332342</v>
      </c>
      <c r="C365" s="59">
        <v>-141.19335472176024</v>
      </c>
      <c r="D365" s="58">
        <f t="shared" si="37"/>
        <v>205.92941420505298</v>
      </c>
    </row>
    <row r="366" spans="1:4" x14ac:dyDescent="0.25">
      <c r="A366" s="38">
        <v>-237</v>
      </c>
      <c r="B366" s="59">
        <v>-289.49250663472003</v>
      </c>
      <c r="C366" s="59">
        <v>-141.78013010065069</v>
      </c>
      <c r="D366" s="58">
        <f t="shared" si="37"/>
        <v>206.09348979230711</v>
      </c>
    </row>
    <row r="367" spans="1:4" x14ac:dyDescent="0.25">
      <c r="A367" s="38">
        <v>-238</v>
      </c>
      <c r="B367" s="59">
        <v>-288.54967055567636</v>
      </c>
      <c r="C367" s="59">
        <v>-142.36847084126865</v>
      </c>
      <c r="D367" s="58">
        <f t="shared" si="37"/>
        <v>206.26142226651891</v>
      </c>
    </row>
    <row r="368" spans="1:4" x14ac:dyDescent="0.25">
      <c r="A368" s="37">
        <v>-239</v>
      </c>
      <c r="B368" s="59">
        <v>-287.56423356831306</v>
      </c>
      <c r="C368" s="59">
        <v>-142.9595406129888</v>
      </c>
      <c r="D368" s="58">
        <f t="shared" si="37"/>
        <v>206.43378576122569</v>
      </c>
    </row>
    <row r="369" spans="1:4" x14ac:dyDescent="0.25">
      <c r="A369" s="37">
        <v>-240</v>
      </c>
      <c r="B369" s="59">
        <v>-286.53170862445478</v>
      </c>
      <c r="C369" s="59">
        <v>-143.55455750753293</v>
      </c>
      <c r="D369" s="58">
        <f t="shared" si="37"/>
        <v>206.61121655842757</v>
      </c>
    </row>
    <row r="370" spans="1:4" x14ac:dyDescent="0.25">
      <c r="A370" s="38">
        <v>-241</v>
      </c>
      <c r="B370" s="59">
        <v>-285.44702296771425</v>
      </c>
      <c r="C370" s="59">
        <v>-144.15480827249434</v>
      </c>
      <c r="D370" s="58">
        <f t="shared" si="37"/>
        <v>206.79442523071177</v>
      </c>
    </row>
    <row r="371" spans="1:4" x14ac:dyDescent="0.25">
      <c r="A371" s="38">
        <v>-242</v>
      </c>
      <c r="B371" s="59">
        <v>-284.30441352092157</v>
      </c>
      <c r="C371" s="59">
        <v>-144.76166451042008</v>
      </c>
      <c r="D371" s="58">
        <f t="shared" si="37"/>
        <v>206.98421134808282</v>
      </c>
    </row>
    <row r="372" spans="1:4" x14ac:dyDescent="0.25">
      <c r="A372" s="37">
        <v>-243</v>
      </c>
      <c r="B372" s="59">
        <v>-283.09729958207743</v>
      </c>
      <c r="C372" s="59">
        <v>-145.3766015914116</v>
      </c>
      <c r="D372" s="58">
        <f t="shared" si="37"/>
        <v>207.1814814645935</v>
      </c>
    </row>
    <row r="373" spans="1:4" x14ac:dyDescent="0.25">
      <c r="A373" s="37">
        <v>-244</v>
      </c>
      <c r="B373" s="59">
        <v>-281.81812637623392</v>
      </c>
      <c r="C373" s="59">
        <v>-146.00122073173461</v>
      </c>
      <c r="D373" s="58">
        <f t="shared" si="37"/>
        <v>207.38727130678939</v>
      </c>
    </row>
    <row r="374" spans="1:4" x14ac:dyDescent="0.25">
      <c r="A374" s="38">
        <v>-245</v>
      </c>
      <c r="B374" s="59">
        <v>-280.45817178128863</v>
      </c>
      <c r="C374" s="59">
        <v>-146.63727537690357</v>
      </c>
      <c r="D374" s="58">
        <f t="shared" si="37"/>
        <v>207.60277341924129</v>
      </c>
    </row>
    <row r="375" spans="1:4" x14ac:dyDescent="0.25">
      <c r="A375" s="38">
        <v>-246</v>
      </c>
      <c r="B375" s="59">
        <v>-279.00730521302819</v>
      </c>
      <c r="C375" s="59">
        <v>-147.28670281187894</v>
      </c>
      <c r="D375" s="58">
        <f t="shared" si="37"/>
        <v>207.8293719360795</v>
      </c>
    </row>
    <row r="376" spans="1:4" x14ac:dyDescent="0.25">
      <c r="A376" s="37">
        <v>-247</v>
      </c>
      <c r="B376" s="59">
        <v>-277.45368438887834</v>
      </c>
      <c r="C376" s="59">
        <v>-147.95166257076229</v>
      </c>
      <c r="D376" s="58">
        <f t="shared" si="37"/>
        <v>208.06868677545529</v>
      </c>
    </row>
    <row r="377" spans="1:4" x14ac:dyDescent="0.25">
      <c r="A377" s="37">
        <v>-248</v>
      </c>
      <c r="B377" s="59">
        <v>-275.78337052560494</v>
      </c>
      <c r="C377" s="59">
        <v>-148.63458374074736</v>
      </c>
      <c r="D377" s="58">
        <f t="shared" si="37"/>
        <v>208.32263043864728</v>
      </c>
    </row>
    <row r="378" spans="1:4" x14ac:dyDescent="0.25">
      <c r="A378" s="38">
        <v>-249</v>
      </c>
      <c r="B378" s="59">
        <v>-273.97983465255442</v>
      </c>
      <c r="C378" s="59">
        <v>-149.33822356339238</v>
      </c>
      <c r="D378" s="58">
        <f t="shared" si="37"/>
        <v>208.59348186090028</v>
      </c>
    </row>
    <row r="379" spans="1:4" x14ac:dyDescent="0.25">
      <c r="A379" s="38">
        <v>-250</v>
      </c>
      <c r="B379" s="59">
        <v>-273.14159139202656</v>
      </c>
      <c r="C379" s="59">
        <v>-149.6576908698041</v>
      </c>
      <c r="D379" s="58">
        <f t="shared" si="37"/>
        <v>208.71888538415584</v>
      </c>
    </row>
    <row r="380" spans="1:4" x14ac:dyDescent="0.25">
      <c r="A380" s="37">
        <v>-251</v>
      </c>
      <c r="B380" s="59">
        <v>-271.08136692599368</v>
      </c>
      <c r="C380" s="59">
        <v>-150.39164083363301</v>
      </c>
      <c r="D380" s="58">
        <f t="shared" si="37"/>
        <v>209.020818088048</v>
      </c>
    </row>
    <row r="381" spans="1:4" x14ac:dyDescent="0.25">
      <c r="A381" s="37">
        <v>-252</v>
      </c>
      <c r="B381" s="59">
        <v>-268.82126243098276</v>
      </c>
      <c r="C381" s="59">
        <v>-151.15718245423321</v>
      </c>
      <c r="D381" s="58">
        <f t="shared" si="37"/>
        <v>209.34888381290054</v>
      </c>
    </row>
    <row r="382" spans="1:4" x14ac:dyDescent="0.25">
      <c r="A382" s="38">
        <v>-253</v>
      </c>
      <c r="B382" s="59">
        <v>-266.32647889143476</v>
      </c>
      <c r="C382" s="59">
        <v>-151.95932150517947</v>
      </c>
      <c r="D382" s="58">
        <f t="shared" si="37"/>
        <v>209.70801484912923</v>
      </c>
    </row>
    <row r="383" spans="1:4" x14ac:dyDescent="0.25">
      <c r="A383" s="38">
        <v>-254</v>
      </c>
      <c r="B383" s="59">
        <v>-263.553660590905</v>
      </c>
      <c r="C383" s="59">
        <v>-152.80404175178975</v>
      </c>
      <c r="D383" s="58">
        <f t="shared" si="37"/>
        <v>210.1044466420494</v>
      </c>
    </row>
    <row r="384" spans="1:4" x14ac:dyDescent="0.25">
      <c r="A384" s="37">
        <v>-255</v>
      </c>
      <c r="B384" s="59">
        <v>-260.44807366139281</v>
      </c>
      <c r="C384" s="59">
        <v>-153.69858478218399</v>
      </c>
      <c r="D384" s="58">
        <f t="shared" si="37"/>
        <v>210.5461889238955</v>
      </c>
    </row>
    <row r="385" spans="1:4" x14ac:dyDescent="0.25">
      <c r="A385" s="37">
        <v>-256</v>
      </c>
      <c r="B385" s="59">
        <v>-256.93958666002567</v>
      </c>
      <c r="C385" s="59">
        <v>-154.65183372624088</v>
      </c>
      <c r="D385" s="58">
        <f t="shared" si="37"/>
        <v>211.04371807417314</v>
      </c>
    </row>
    <row r="386" spans="1:4" x14ac:dyDescent="0.25">
      <c r="A386" s="38">
        <v>-257</v>
      </c>
      <c r="B386" s="59">
        <v>-252.93681342196803</v>
      </c>
      <c r="C386" s="59">
        <v>-155.67485036232986</v>
      </c>
      <c r="D386" s="58">
        <f t="shared" ref="D386:D449" si="38">IF(DEGREES(ATAN2(B386,C386))&lt;0,DEGREES(ATAN2(B386,C386))+360,DEGREES(ATAN2(B386,C386)))</f>
        <v>211.61102255379313</v>
      </c>
    </row>
    <row r="387" spans="1:4" x14ac:dyDescent="0.25">
      <c r="A387" s="38">
        <v>-258</v>
      </c>
      <c r="B387" s="59">
        <v>-248.31835480678436</v>
      </c>
      <c r="C387" s="59">
        <v>-156.78164434160027</v>
      </c>
      <c r="D387" s="58">
        <f t="shared" si="38"/>
        <v>212.26723139207181</v>
      </c>
    </row>
    <row r="388" spans="1:4" x14ac:dyDescent="0.25">
      <c r="A388" s="37">
        <v>-259</v>
      </c>
      <c r="B388" s="59">
        <v>-242.91930867365141</v>
      </c>
      <c r="C388" s="59">
        <v>-157.99030466328534</v>
      </c>
      <c r="D388" s="58">
        <f t="shared" si="38"/>
        <v>213.0392443325911</v>
      </c>
    </row>
    <row r="389" spans="1:4" x14ac:dyDescent="0.25">
      <c r="A389" s="37">
        <v>-260</v>
      </c>
      <c r="B389" s="59">
        <v>-236.50976344890825</v>
      </c>
      <c r="C389" s="59">
        <v>-159.32471564947221</v>
      </c>
      <c r="D389" s="58">
        <f t="shared" si="38"/>
        <v>213.96616409821468</v>
      </c>
    </row>
    <row r="390" spans="1:4" x14ac:dyDescent="0.25">
      <c r="A390" s="38">
        <v>-261</v>
      </c>
      <c r="B390" s="59">
        <v>-228.75909359435977</v>
      </c>
      <c r="C390" s="59">
        <v>-160.8172550567628</v>
      </c>
      <c r="D390" s="58">
        <f t="shared" si="38"/>
        <v>215.10715331914255</v>
      </c>
    </row>
    <row r="391" spans="1:4" x14ac:dyDescent="0.25">
      <c r="A391" s="38">
        <v>-262</v>
      </c>
      <c r="B391" s="59">
        <v>-219.1737417012441</v>
      </c>
      <c r="C391" s="59">
        <v>-162.51322279108169</v>
      </c>
      <c r="D391" s="58">
        <f t="shared" si="38"/>
        <v>216.55624211388809</v>
      </c>
    </row>
    <row r="392" spans="1:4" x14ac:dyDescent="0.25">
      <c r="A392" s="37">
        <v>-263</v>
      </c>
      <c r="B392" s="59">
        <v>-206.98221101968514</v>
      </c>
      <c r="C392" s="59">
        <v>-164.47850128766615</v>
      </c>
      <c r="D392" s="58">
        <f t="shared" si="38"/>
        <v>218.47242465654247</v>
      </c>
    </row>
    <row r="393" spans="1:4" x14ac:dyDescent="0.25">
      <c r="A393" s="37">
        <v>-264</v>
      </c>
      <c r="B393" s="59">
        <v>-190.9471334996885</v>
      </c>
      <c r="C393" s="59">
        <v>-166.8086973962339</v>
      </c>
      <c r="D393" s="58">
        <f t="shared" si="38"/>
        <v>221.14000001240649</v>
      </c>
    </row>
    <row r="394" spans="1:4" x14ac:dyDescent="0.25">
      <c r="A394" s="38">
        <v>-265</v>
      </c>
      <c r="B394" s="59">
        <v>-172.70609901952301</v>
      </c>
      <c r="C394" s="59">
        <v>-169.22708937308096</v>
      </c>
      <c r="D394" s="58">
        <f t="shared" si="38"/>
        <v>224.41706246001746</v>
      </c>
    </row>
    <row r="395" spans="1:4" x14ac:dyDescent="0.25">
      <c r="A395" s="38">
        <v>-266</v>
      </c>
      <c r="B395" s="59">
        <v>-153.91325814098022</v>
      </c>
      <c r="C395" s="59">
        <v>-171.51514756329411</v>
      </c>
      <c r="D395" s="58">
        <f t="shared" si="38"/>
        <v>228.0960180307348</v>
      </c>
    </row>
    <row r="396" spans="1:4" x14ac:dyDescent="0.25">
      <c r="A396" s="37">
        <v>-267</v>
      </c>
      <c r="B396" s="59">
        <v>-134.19248923786446</v>
      </c>
      <c r="C396" s="59">
        <v>-173.64827220014371</v>
      </c>
      <c r="D396" s="58">
        <f t="shared" si="38"/>
        <v>232.30374871460276</v>
      </c>
    </row>
    <row r="397" spans="1:4" x14ac:dyDescent="0.25">
      <c r="A397" s="37">
        <v>-268</v>
      </c>
      <c r="B397" s="59">
        <v>-112.26703408158424</v>
      </c>
      <c r="C397" s="59">
        <v>-175.52614308946079</v>
      </c>
      <c r="D397" s="58">
        <f t="shared" si="38"/>
        <v>237.39689978571809</v>
      </c>
    </row>
    <row r="398" spans="1:4" x14ac:dyDescent="0.25">
      <c r="A398" s="38">
        <v>-269</v>
      </c>
      <c r="B398" s="59">
        <v>-88.633560510557999</v>
      </c>
      <c r="C398" s="59">
        <v>-177.24488398511764</v>
      </c>
      <c r="D398" s="58">
        <f t="shared" si="38"/>
        <v>243.43207357752502</v>
      </c>
    </row>
    <row r="399" spans="1:4" x14ac:dyDescent="0.25">
      <c r="A399" s="38">
        <v>-270</v>
      </c>
      <c r="B399" s="59">
        <v>-62.865000000000329</v>
      </c>
      <c r="C399" s="59">
        <v>-178.8033663246475</v>
      </c>
      <c r="D399" s="58">
        <f t="shared" si="38"/>
        <v>250.62897128903353</v>
      </c>
    </row>
    <row r="400" spans="1:4" x14ac:dyDescent="0.25">
      <c r="A400" s="37">
        <v>-271</v>
      </c>
      <c r="B400" s="59">
        <v>-37.096439489442481</v>
      </c>
      <c r="C400" s="59">
        <v>-177.24488398511835</v>
      </c>
      <c r="D400" s="58">
        <f t="shared" si="38"/>
        <v>258.17892259700898</v>
      </c>
    </row>
    <row r="401" spans="1:4" x14ac:dyDescent="0.25">
      <c r="A401" s="37">
        <v>-272</v>
      </c>
      <c r="B401" s="59">
        <v>-13.462965918415071</v>
      </c>
      <c r="C401" s="59">
        <v>-175.52614308946013</v>
      </c>
      <c r="D401" s="58">
        <f t="shared" si="38"/>
        <v>265.61396510544807</v>
      </c>
    </row>
    <row r="402" spans="1:4" x14ac:dyDescent="0.25">
      <c r="A402" s="38">
        <v>-273</v>
      </c>
      <c r="B402" s="59">
        <v>8.4624892378640233</v>
      </c>
      <c r="C402" s="59">
        <v>-173.64827220014413</v>
      </c>
      <c r="D402" s="58">
        <f t="shared" si="38"/>
        <v>272.79001693100406</v>
      </c>
    </row>
    <row r="403" spans="1:4" x14ac:dyDescent="0.25">
      <c r="A403" s="38">
        <v>-274</v>
      </c>
      <c r="B403" s="59">
        <v>28.183258140980016</v>
      </c>
      <c r="C403" s="59">
        <v>-171.51514756329448</v>
      </c>
      <c r="D403" s="58">
        <f t="shared" si="38"/>
        <v>279.33141635779788</v>
      </c>
    </row>
    <row r="404" spans="1:4" x14ac:dyDescent="0.25">
      <c r="A404" s="37">
        <v>-275</v>
      </c>
      <c r="B404" s="59">
        <v>46.97609901952265</v>
      </c>
      <c r="C404" s="59">
        <v>-169.2270893730813</v>
      </c>
      <c r="D404" s="58">
        <f t="shared" si="38"/>
        <v>285.51423275718412</v>
      </c>
    </row>
    <row r="405" spans="1:4" x14ac:dyDescent="0.25">
      <c r="A405" s="37">
        <v>-276</v>
      </c>
      <c r="B405" s="59">
        <v>65.217133499688103</v>
      </c>
      <c r="C405" s="59">
        <v>-166.80869739623415</v>
      </c>
      <c r="D405" s="58">
        <f t="shared" si="38"/>
        <v>291.35398867971412</v>
      </c>
    </row>
    <row r="406" spans="1:4" x14ac:dyDescent="0.25">
      <c r="A406" s="38">
        <v>-277</v>
      </c>
      <c r="B406" s="59">
        <v>81.252211019685404</v>
      </c>
      <c r="C406" s="59">
        <v>-164.47850128766569</v>
      </c>
      <c r="D406" s="58">
        <f t="shared" si="38"/>
        <v>296.28932471244866</v>
      </c>
    </row>
    <row r="407" spans="1:4" x14ac:dyDescent="0.25">
      <c r="A407" s="38">
        <v>-278</v>
      </c>
      <c r="B407" s="59">
        <v>93.443741701243908</v>
      </c>
      <c r="C407" s="59">
        <v>-162.51322279108172</v>
      </c>
      <c r="D407" s="58">
        <f t="shared" si="38"/>
        <v>299.89854112151806</v>
      </c>
    </row>
    <row r="408" spans="1:4" x14ac:dyDescent="0.25">
      <c r="A408" s="37">
        <v>-279</v>
      </c>
      <c r="B408" s="59">
        <v>103.02909359435971</v>
      </c>
      <c r="C408" s="59">
        <v>-160.81725505676309</v>
      </c>
      <c r="D408" s="58">
        <f t="shared" si="38"/>
        <v>302.64603945514176</v>
      </c>
    </row>
    <row r="409" spans="1:4" x14ac:dyDescent="0.25">
      <c r="A409" s="37">
        <v>-280</v>
      </c>
      <c r="B409" s="59">
        <v>110.77976344890814</v>
      </c>
      <c r="C409" s="59">
        <v>-159.32471564947232</v>
      </c>
      <c r="D409" s="58">
        <f t="shared" si="38"/>
        <v>304.81120159573118</v>
      </c>
    </row>
    <row r="410" spans="1:4" x14ac:dyDescent="0.25">
      <c r="A410" s="38">
        <v>-281</v>
      </c>
      <c r="B410" s="59">
        <v>117.18930867365144</v>
      </c>
      <c r="C410" s="59">
        <v>-157.99030466328512</v>
      </c>
      <c r="D410" s="58">
        <f t="shared" si="38"/>
        <v>306.56617607039391</v>
      </c>
    </row>
    <row r="411" spans="1:4" x14ac:dyDescent="0.25">
      <c r="A411" s="38">
        <v>-282</v>
      </c>
      <c r="B411" s="59">
        <v>122.58835480678424</v>
      </c>
      <c r="C411" s="59">
        <v>-156.78164434160033</v>
      </c>
      <c r="D411" s="58">
        <f t="shared" si="38"/>
        <v>308.02203044586918</v>
      </c>
    </row>
    <row r="412" spans="1:4" x14ac:dyDescent="0.25">
      <c r="A412" s="37">
        <v>-283</v>
      </c>
      <c r="B412" s="59">
        <v>127.20681342196796</v>
      </c>
      <c r="C412" s="59">
        <v>-155.67485036232998</v>
      </c>
      <c r="D412" s="58">
        <f t="shared" si="38"/>
        <v>309.25333827337113</v>
      </c>
    </row>
    <row r="413" spans="1:4" x14ac:dyDescent="0.25">
      <c r="A413" s="37">
        <v>-284</v>
      </c>
      <c r="B413" s="59">
        <v>131.20958666002568</v>
      </c>
      <c r="C413" s="59">
        <v>-154.65183372624105</v>
      </c>
      <c r="D413" s="58">
        <f t="shared" si="38"/>
        <v>310.31191349392361</v>
      </c>
    </row>
    <row r="414" spans="1:4" x14ac:dyDescent="0.25">
      <c r="A414" s="38">
        <v>-285</v>
      </c>
      <c r="B414" s="59">
        <v>134.71807366139282</v>
      </c>
      <c r="C414" s="59">
        <v>-153.69858478218399</v>
      </c>
      <c r="D414" s="58">
        <f t="shared" si="38"/>
        <v>311.23483155183203</v>
      </c>
    </row>
    <row r="415" spans="1:4" x14ac:dyDescent="0.25">
      <c r="A415" s="38">
        <v>-286</v>
      </c>
      <c r="B415" s="59">
        <v>137.82366059090495</v>
      </c>
      <c r="C415" s="59">
        <v>-152.80404175178955</v>
      </c>
      <c r="D415" s="58">
        <f t="shared" si="38"/>
        <v>312.04930509227142</v>
      </c>
    </row>
    <row r="416" spans="1:4" x14ac:dyDescent="0.25">
      <c r="A416" s="37">
        <v>-287</v>
      </c>
      <c r="B416" s="59">
        <v>140.59647889143471</v>
      </c>
      <c r="C416" s="59">
        <v>-151.95932150517936</v>
      </c>
      <c r="D416" s="58">
        <f t="shared" si="38"/>
        <v>312.77575475996707</v>
      </c>
    </row>
    <row r="417" spans="1:4" x14ac:dyDescent="0.25">
      <c r="A417" s="37">
        <v>-288</v>
      </c>
      <c r="B417" s="59">
        <v>143.09126243098265</v>
      </c>
      <c r="C417" s="59">
        <v>-151.15718245423326</v>
      </c>
      <c r="D417" s="58">
        <f t="shared" si="38"/>
        <v>313.42980487494327</v>
      </c>
    </row>
    <row r="418" spans="1:4" x14ac:dyDescent="0.25">
      <c r="A418" s="38">
        <v>-289</v>
      </c>
      <c r="B418" s="59">
        <v>145.35136692599366</v>
      </c>
      <c r="C418" s="59">
        <v>-150.39164083363303</v>
      </c>
      <c r="D418" s="58">
        <f t="shared" si="38"/>
        <v>314.0236169243434</v>
      </c>
    </row>
    <row r="419" spans="1:4" x14ac:dyDescent="0.25">
      <c r="A419" s="38">
        <v>-290</v>
      </c>
      <c r="B419" s="59">
        <v>147.41159139202657</v>
      </c>
      <c r="C419" s="59">
        <v>-149.6576908698041</v>
      </c>
      <c r="D419" s="58">
        <f t="shared" si="38"/>
        <v>314.56680284393008</v>
      </c>
    </row>
    <row r="420" spans="1:4" x14ac:dyDescent="0.25">
      <c r="A420" s="37">
        <v>-291</v>
      </c>
      <c r="B420" s="59">
        <v>148.63746407899978</v>
      </c>
      <c r="C420" s="59">
        <v>-148.311428813232</v>
      </c>
      <c r="D420" s="58">
        <f t="shared" si="38"/>
        <v>315.06290791998777</v>
      </c>
    </row>
    <row r="421" spans="1:4" x14ac:dyDescent="0.25">
      <c r="A421" s="37">
        <v>-292</v>
      </c>
      <c r="B421" s="59">
        <v>150.80753209359989</v>
      </c>
      <c r="C421" s="59">
        <v>-146.50884249809477</v>
      </c>
      <c r="D421" s="58">
        <f t="shared" si="38"/>
        <v>315.82834190208462</v>
      </c>
    </row>
    <row r="422" spans="1:4" x14ac:dyDescent="0.25">
      <c r="A422" s="38">
        <v>-293</v>
      </c>
      <c r="B422" s="59">
        <v>152.77232812698568</v>
      </c>
      <c r="C422" s="59">
        <v>-144.80687481557288</v>
      </c>
      <c r="D422" s="58">
        <f t="shared" si="38"/>
        <v>316.53329902987349</v>
      </c>
    </row>
    <row r="423" spans="1:4" x14ac:dyDescent="0.25">
      <c r="A423" s="38">
        <v>-294</v>
      </c>
      <c r="B423" s="59">
        <v>154.5596893556467</v>
      </c>
      <c r="C423" s="59">
        <v>-143.19468012275371</v>
      </c>
      <c r="D423" s="58">
        <f t="shared" si="38"/>
        <v>317.18586587563908</v>
      </c>
    </row>
    <row r="424" spans="1:4" x14ac:dyDescent="0.25">
      <c r="A424" s="37">
        <v>-295</v>
      </c>
      <c r="B424" s="59">
        <v>156.19278696412877</v>
      </c>
      <c r="C424" s="59">
        <v>-141.66288668133592</v>
      </c>
      <c r="D424" s="58">
        <f t="shared" si="38"/>
        <v>317.79277053525971</v>
      </c>
    </row>
    <row r="425" spans="1:4" x14ac:dyDescent="0.25">
      <c r="A425" s="37">
        <v>-296</v>
      </c>
      <c r="B425" s="59">
        <v>157.69105569705354</v>
      </c>
      <c r="C425" s="59">
        <v>-140.20334274669975</v>
      </c>
      <c r="D425" s="58">
        <f t="shared" si="38"/>
        <v>318.35965873677077</v>
      </c>
    </row>
    <row r="426" spans="1:4" x14ac:dyDescent="0.25">
      <c r="A426" s="38">
        <v>-297</v>
      </c>
      <c r="B426" s="59">
        <v>159.07091133805613</v>
      </c>
      <c r="C426" s="59">
        <v>-138.80891359572837</v>
      </c>
      <c r="D426" s="58">
        <f t="shared" si="38"/>
        <v>318.89130564282152</v>
      </c>
    </row>
    <row r="427" spans="1:4" x14ac:dyDescent="0.25">
      <c r="A427" s="38">
        <v>-298</v>
      </c>
      <c r="B427" s="59">
        <v>160.34631069328478</v>
      </c>
      <c r="C427" s="59">
        <v>-137.47331798428252</v>
      </c>
      <c r="D427" s="58">
        <f t="shared" si="38"/>
        <v>319.39178013419109</v>
      </c>
    </row>
    <row r="428" spans="1:4" x14ac:dyDescent="0.25">
      <c r="A428" s="37">
        <v>-299</v>
      </c>
      <c r="B428" s="59">
        <v>161.52919247273695</v>
      </c>
      <c r="C428" s="59">
        <v>-136.19099503754092</v>
      </c>
      <c r="D428" s="58">
        <f t="shared" si="38"/>
        <v>319.86457350276277</v>
      </c>
    </row>
    <row r="429" spans="1:4" x14ac:dyDescent="0.25">
      <c r="A429" s="37">
        <v>-300</v>
      </c>
      <c r="B429" s="59">
        <v>162.62982756994759</v>
      </c>
      <c r="C429" s="59">
        <v>-134.95699507047604</v>
      </c>
      <c r="D429" s="58">
        <f t="shared" si="38"/>
        <v>320.31270123366789</v>
      </c>
    </row>
    <row r="430" spans="1:4" x14ac:dyDescent="0.25">
      <c r="A430" s="38">
        <v>-301</v>
      </c>
      <c r="B430" s="59">
        <v>163.65709981187564</v>
      </c>
      <c r="C430" s="59">
        <v>-133.76688940925848</v>
      </c>
      <c r="D430" s="58">
        <f t="shared" si="38"/>
        <v>320.73878423783066</v>
      </c>
    </row>
    <row r="431" spans="1:4" x14ac:dyDescent="0.25">
      <c r="A431" s="38">
        <v>-302</v>
      </c>
      <c r="B431" s="59">
        <v>164.61873258263597</v>
      </c>
      <c r="C431" s="59">
        <v>-132.6166952821703</v>
      </c>
      <c r="D431" s="58">
        <f t="shared" si="38"/>
        <v>321.14511422208074</v>
      </c>
    </row>
    <row r="432" spans="1:4" x14ac:dyDescent="0.25">
      <c r="A432" s="37">
        <v>-303</v>
      </c>
      <c r="B432" s="59">
        <v>165.52147300155616</v>
      </c>
      <c r="C432" s="59">
        <v>-131.50281277463114</v>
      </c>
      <c r="D432" s="58">
        <f t="shared" si="38"/>
        <v>321.53370671203868</v>
      </c>
    </row>
    <row r="433" spans="1:4" x14ac:dyDescent="0.25">
      <c r="A433" s="37">
        <v>-304</v>
      </c>
      <c r="B433" s="59">
        <v>166.37124281371874</v>
      </c>
      <c r="C433" s="59">
        <v>-130.42197161851732</v>
      </c>
      <c r="D433" s="58">
        <f t="shared" si="38"/>
        <v>321.90634440606169</v>
      </c>
    </row>
    <row r="434" spans="1:4" x14ac:dyDescent="0.25">
      <c r="A434" s="38">
        <v>-305</v>
      </c>
      <c r="B434" s="59">
        <v>167.17326275897344</v>
      </c>
      <c r="C434" s="59">
        <v>-129.37118593276296</v>
      </c>
      <c r="D434" s="58">
        <f t="shared" si="38"/>
        <v>322.26461288345894</v>
      </c>
    </row>
    <row r="435" spans="1:4" x14ac:dyDescent="0.25">
      <c r="A435" s="38">
        <v>-306</v>
      </c>
      <c r="B435" s="59">
        <v>167.93215561395834</v>
      </c>
      <c r="C435" s="59">
        <v>-128.34771540213256</v>
      </c>
      <c r="D435" s="58">
        <f t="shared" si="38"/>
        <v>322.60993022222686</v>
      </c>
    </row>
    <row r="436" spans="1:4" x14ac:dyDescent="0.25">
      <c r="A436" s="37">
        <v>-307</v>
      </c>
      <c r="B436" s="59">
        <v>168.65203210808568</v>
      </c>
      <c r="C436" s="59">
        <v>-127.34903174569436</v>
      </c>
      <c r="D436" s="58">
        <f t="shared" si="38"/>
        <v>322.94357174570621</v>
      </c>
    </row>
    <row r="437" spans="1:4" x14ac:dyDescent="0.25">
      <c r="A437" s="37">
        <v>-308</v>
      </c>
      <c r="B437" s="59">
        <v>169.33656305938467</v>
      </c>
      <c r="C437" s="59">
        <v>-126.37278955920048</v>
      </c>
      <c r="D437" s="58">
        <f t="shared" si="38"/>
        <v>323.26669085631477</v>
      </c>
    </row>
    <row r="438" spans="1:4" x14ac:dyDescent="0.25">
      <c r="A438" s="38">
        <v>-309</v>
      </c>
      <c r="B438" s="59">
        <v>169.98904024480868</v>
      </c>
      <c r="C438" s="59">
        <v>-125.41680072252034</v>
      </c>
      <c r="D438" s="58">
        <f t="shared" si="38"/>
        <v>323.58033670323232</v>
      </c>
    </row>
    <row r="439" spans="1:4" x14ac:dyDescent="0.25">
      <c r="A439" s="38">
        <v>-310</v>
      </c>
      <c r="B439" s="59">
        <v>170.61242785552693</v>
      </c>
      <c r="C439" s="59">
        <v>-124.47901164327988</v>
      </c>
      <c r="D439" s="58">
        <f t="shared" si="38"/>
        <v>323.88546926833413</v>
      </c>
    </row>
    <row r="440" spans="1:4" x14ac:dyDescent="0.25">
      <c r="A440" s="37">
        <v>-311</v>
      </c>
      <c r="B440" s="59">
        <v>171.20940660891222</v>
      </c>
      <c r="C440" s="59">
        <v>-123.55748296959001</v>
      </c>
      <c r="D440" s="58">
        <f t="shared" si="38"/>
        <v>324.18297238257639</v>
      </c>
    </row>
    <row r="441" spans="1:4" x14ac:dyDescent="0.25">
      <c r="A441" s="37">
        <v>-312</v>
      </c>
      <c r="B441" s="59">
        <v>171.78241141759509</v>
      </c>
      <c r="C441" s="59">
        <v>-122.65037113390453</v>
      </c>
      <c r="D441" s="58">
        <f t="shared" si="38"/>
        <v>324.4736650322958</v>
      </c>
    </row>
    <row r="442" spans="1:4" x14ac:dyDescent="0.25">
      <c r="A442" s="38">
        <v>-313</v>
      </c>
      <c r="B442" s="59">
        <v>172.33366396247632</v>
      </c>
      <c r="C442" s="59">
        <v>-121.75591143873842</v>
      </c>
      <c r="D442" s="58">
        <f t="shared" si="38"/>
        <v>324.75831129516683</v>
      </c>
    </row>
    <row r="443" spans="1:4" x14ac:dyDescent="0.25">
      <c r="A443" s="38">
        <v>-314</v>
      </c>
      <c r="B443" s="59">
        <v>172.86520092243762</v>
      </c>
      <c r="C443" s="59">
        <v>-120.87240227908298</v>
      </c>
      <c r="D443" s="58">
        <f t="shared" si="38"/>
        <v>325.03762916246365</v>
      </c>
    </row>
    <row r="444" spans="1:4" x14ac:dyDescent="0.25">
      <c r="A444" s="37">
        <v>-315</v>
      </c>
      <c r="B444" s="59">
        <v>173.37889874465614</v>
      </c>
      <c r="C444" s="59">
        <v>-119.9981902441525</v>
      </c>
      <c r="D444" s="58">
        <f t="shared" si="38"/>
        <v>325.31229848278053</v>
      </c>
    </row>
    <row r="445" spans="1:4" x14ac:dyDescent="0.25">
      <c r="A445" s="37">
        <v>-316</v>
      </c>
      <c r="B445" s="59">
        <v>173.87649527644794</v>
      </c>
      <c r="C445" s="59">
        <v>-119.13165569274068</v>
      </c>
      <c r="D445" s="58">
        <f t="shared" si="38"/>
        <v>325.58296819960424</v>
      </c>
    </row>
    <row r="446" spans="1:4" x14ac:dyDescent="0.25">
      <c r="A446" s="38">
        <v>-317</v>
      </c>
      <c r="B446" s="59">
        <v>174.35960915514926</v>
      </c>
      <c r="C446" s="59">
        <v>-118.27119866971529</v>
      </c>
      <c r="D446" s="58">
        <f t="shared" si="38"/>
        <v>325.85026307849444</v>
      </c>
    </row>
    <row r="447" spans="1:4" x14ac:dyDescent="0.25">
      <c r="A447" s="38">
        <v>-318</v>
      </c>
      <c r="B447" s="59">
        <v>174.82975706348248</v>
      </c>
      <c r="C447" s="59">
        <v>-117.41522475859738</v>
      </c>
      <c r="D447" s="58">
        <f t="shared" si="38"/>
        <v>326.11479005287174</v>
      </c>
    </row>
    <row r="448" spans="1:4" x14ac:dyDescent="0.25">
      <c r="A448" s="37">
        <v>-319</v>
      </c>
      <c r="B448" s="59">
        <v>175.28836938228454</v>
      </c>
      <c r="C448" s="59">
        <v>-116.56213064615038</v>
      </c>
      <c r="D448" s="58">
        <f t="shared" si="38"/>
        <v>326.37714434034399</v>
      </c>
    </row>
    <row r="449" spans="1:4" x14ac:dyDescent="0.25">
      <c r="A449" s="37">
        <v>-320</v>
      </c>
      <c r="B449" s="59">
        <v>175.73680456879535</v>
      </c>
      <c r="C449" s="59">
        <v>-115.71028909609707</v>
      </c>
      <c r="D449" s="58">
        <f t="shared" si="38"/>
        <v>326.63791546482582</v>
      </c>
    </row>
    <row r="450" spans="1:4" x14ac:dyDescent="0.25">
      <c r="A450" s="38">
        <v>-321</v>
      </c>
      <c r="B450" s="59">
        <v>176.09268307082291</v>
      </c>
      <c r="C450" s="59">
        <v>-115.67365797406345</v>
      </c>
      <c r="D450" s="58">
        <f t="shared" ref="D450:D490" si="39">IF(DEGREES(ATAN2(B450,C450))&lt;0,DEGREES(ATAN2(B450,C450))+360,DEGREES(ATAN2(B450,C450)))</f>
        <v>326.69945780153262</v>
      </c>
    </row>
    <row r="451" spans="1:4" x14ac:dyDescent="0.25">
      <c r="A451" s="38">
        <v>-322</v>
      </c>
      <c r="B451" s="59">
        <v>176.50995445211521</v>
      </c>
      <c r="C451" s="59">
        <v>-114.83336109876376</v>
      </c>
      <c r="D451" s="58">
        <f t="shared" si="39"/>
        <v>326.95288789337803</v>
      </c>
    </row>
    <row r="452" spans="1:4" x14ac:dyDescent="0.25">
      <c r="A452" s="37">
        <v>-323</v>
      </c>
      <c r="B452" s="59">
        <v>176.92109936782492</v>
      </c>
      <c r="C452" s="59">
        <v>-113.98958703487456</v>
      </c>
      <c r="D452" s="58">
        <f t="shared" si="39"/>
        <v>327.20647163696657</v>
      </c>
    </row>
    <row r="453" spans="1:4" x14ac:dyDescent="0.25">
      <c r="A453" s="37">
        <v>-324</v>
      </c>
      <c r="B453" s="59">
        <v>177.32729201007834</v>
      </c>
      <c r="C453" s="59">
        <v>-113.1404846555739</v>
      </c>
      <c r="D453" s="58">
        <f t="shared" si="39"/>
        <v>327.46082187613558</v>
      </c>
    </row>
    <row r="454" spans="1:4" x14ac:dyDescent="0.25">
      <c r="A454" s="38">
        <v>-325</v>
      </c>
      <c r="B454" s="59">
        <v>177.72969713729483</v>
      </c>
      <c r="C454" s="59">
        <v>-112.28408611880694</v>
      </c>
      <c r="D454" s="58">
        <f t="shared" si="39"/>
        <v>327.71657838358755</v>
      </c>
    </row>
    <row r="455" spans="1:4" x14ac:dyDescent="0.25">
      <c r="A455" s="38">
        <v>-326</v>
      </c>
      <c r="B455" s="59">
        <v>178.12948180244001</v>
      </c>
      <c r="C455" s="59">
        <v>-111.4182798731413</v>
      </c>
      <c r="D455" s="58">
        <f t="shared" si="39"/>
        <v>327.97441626931601</v>
      </c>
    </row>
    <row r="456" spans="1:4" x14ac:dyDescent="0.25">
      <c r="A456" s="37">
        <v>-327</v>
      </c>
      <c r="B456" s="59">
        <v>178.52782780687909</v>
      </c>
      <c r="C456" s="59">
        <v>-110.54077937691848</v>
      </c>
      <c r="D456" s="58">
        <f t="shared" si="39"/>
        <v>328.23505555390989</v>
      </c>
    </row>
    <row r="457" spans="1:4" x14ac:dyDescent="0.25">
      <c r="A457" s="37">
        <v>-328</v>
      </c>
      <c r="B457" s="59">
        <v>178.92594472836214</v>
      </c>
      <c r="C457" s="59">
        <v>-109.64908627439191</v>
      </c>
      <c r="D457" s="58">
        <f t="shared" si="39"/>
        <v>328.4992722004344</v>
      </c>
    </row>
    <row r="458" spans="1:4" x14ac:dyDescent="0.25">
      <c r="A458" s="38">
        <v>-329</v>
      </c>
      <c r="B458" s="59">
        <v>179.32508423065366</v>
      </c>
      <c r="C458" s="59">
        <v>-108.74044676357389</v>
      </c>
      <c r="D458" s="58">
        <f t="shared" si="39"/>
        <v>328.76791103313644</v>
      </c>
    </row>
    <row r="459" spans="1:4" x14ac:dyDescent="0.25">
      <c r="A459" s="38">
        <v>-330</v>
      </c>
      <c r="B459" s="59">
        <v>179.72655577372075</v>
      </c>
      <c r="C459" s="59">
        <v>-107.81179929515758</v>
      </c>
      <c r="D459" s="58">
        <f t="shared" si="39"/>
        <v>329.04190103291285</v>
      </c>
    </row>
    <row r="460" spans="1:4" x14ac:dyDescent="0.25">
      <c r="A460" s="37">
        <v>-331</v>
      </c>
      <c r="B460" s="59">
        <v>180.13174446219327</v>
      </c>
      <c r="C460" s="59">
        <v>-106.85971141824359</v>
      </c>
      <c r="D460" s="58">
        <f t="shared" si="39"/>
        <v>329.32227367658862</v>
      </c>
    </row>
    <row r="461" spans="1:4" x14ac:dyDescent="0.25">
      <c r="A461" s="37">
        <v>-332</v>
      </c>
      <c r="B461" s="59">
        <v>180.54213135384259</v>
      </c>
      <c r="C461" s="59">
        <v>-105.88030274862881</v>
      </c>
      <c r="D461" s="58">
        <f t="shared" si="39"/>
        <v>329.61018514109901</v>
      </c>
    </row>
    <row r="462" spans="1:4" x14ac:dyDescent="0.25">
      <c r="A462" s="38">
        <v>-333</v>
      </c>
      <c r="B462" s="59">
        <v>180.95931710320289</v>
      </c>
      <c r="C462" s="59">
        <v>-104.86915026485238</v>
      </c>
      <c r="D462" s="58">
        <f t="shared" si="39"/>
        <v>329.90694347719108</v>
      </c>
    </row>
    <row r="463" spans="1:4" x14ac:dyDescent="0.25">
      <c r="A463" s="38">
        <v>-334</v>
      </c>
      <c r="B463" s="59">
        <v>181.38504988336578</v>
      </c>
      <c r="C463" s="59">
        <v>-103.8211708643708</v>
      </c>
      <c r="D463" s="58">
        <f t="shared" si="39"/>
        <v>330.21404219835176</v>
      </c>
    </row>
    <row r="464" spans="1:4" x14ac:dyDescent="0.25">
      <c r="A464" s="37">
        <v>-335</v>
      </c>
      <c r="B464" s="59">
        <v>181.82125867432751</v>
      </c>
      <c r="C464" s="59">
        <v>-102.73047438684605</v>
      </c>
      <c r="D464" s="58">
        <f t="shared" si="39"/>
        <v>330.53320220495681</v>
      </c>
    </row>
    <row r="465" spans="1:4" x14ac:dyDescent="0.25">
      <c r="A465" s="37">
        <v>-336</v>
      </c>
      <c r="B465" s="59">
        <v>182.27009340553383</v>
      </c>
      <c r="C465" s="59">
        <v>-101.59017797784914</v>
      </c>
      <c r="D465" s="58">
        <f t="shared" si="39"/>
        <v>330.8664246384082</v>
      </c>
    </row>
    <row r="466" spans="1:4" x14ac:dyDescent="0.25">
      <c r="A466" s="38">
        <v>-337</v>
      </c>
      <c r="B466" s="59">
        <v>182.72374456561178</v>
      </c>
      <c r="C466" s="59">
        <v>-100.2641528718521</v>
      </c>
      <c r="D466" s="58">
        <f t="shared" si="39"/>
        <v>331.24554759320199</v>
      </c>
    </row>
    <row r="467" spans="1:4" x14ac:dyDescent="0.25">
      <c r="A467" s="38">
        <v>-338</v>
      </c>
      <c r="B467" s="59">
        <v>183.14128913492368</v>
      </c>
      <c r="C467" s="59">
        <v>-98.241665253070906</v>
      </c>
      <c r="D467" s="58">
        <f t="shared" si="39"/>
        <v>331.78975469962558</v>
      </c>
    </row>
    <row r="468" spans="1:4" x14ac:dyDescent="0.25">
      <c r="A468" s="37">
        <v>-339</v>
      </c>
      <c r="B468" s="59">
        <v>183.57489404154174</v>
      </c>
      <c r="C468" s="59">
        <v>-96.157607357019756</v>
      </c>
      <c r="D468" s="58">
        <f t="shared" si="39"/>
        <v>332.35418884428884</v>
      </c>
    </row>
    <row r="469" spans="1:4" x14ac:dyDescent="0.25">
      <c r="A469" s="37">
        <v>-340</v>
      </c>
      <c r="B469" s="59">
        <v>184.02832886069754</v>
      </c>
      <c r="C469" s="59">
        <v>-94.000615439037205</v>
      </c>
      <c r="D469" s="58">
        <f t="shared" si="39"/>
        <v>332.94231528620008</v>
      </c>
    </row>
    <row r="470" spans="1:4" x14ac:dyDescent="0.25">
      <c r="A470" s="38">
        <v>-341</v>
      </c>
      <c r="B470" s="59">
        <v>184.50601421888257</v>
      </c>
      <c r="C470" s="59">
        <v>-91.756884308421903</v>
      </c>
      <c r="D470" s="58">
        <f t="shared" si="39"/>
        <v>333.55833257513336</v>
      </c>
    </row>
    <row r="471" spans="1:4" x14ac:dyDescent="0.25">
      <c r="A471" s="38">
        <v>-342</v>
      </c>
      <c r="B471" s="59">
        <v>185.013196501679</v>
      </c>
      <c r="C471" s="59">
        <v>-89.409400878371969</v>
      </c>
      <c r="D471" s="58">
        <f t="shared" si="39"/>
        <v>334.20739880865</v>
      </c>
    </row>
    <row r="472" spans="1:4" x14ac:dyDescent="0.25">
      <c r="A472" s="37">
        <v>-343</v>
      </c>
      <c r="B472" s="59">
        <v>185.55617879587294</v>
      </c>
      <c r="C472" s="59">
        <v>-86.936878202697656</v>
      </c>
      <c r="D472" s="58">
        <f t="shared" si="39"/>
        <v>334.89594551406714</v>
      </c>
    </row>
    <row r="473" spans="1:4" x14ac:dyDescent="0.25">
      <c r="A473" s="37">
        <v>-344</v>
      </c>
      <c r="B473" s="59">
        <v>186.14263076428563</v>
      </c>
      <c r="C473" s="59">
        <v>-84.312246270569631</v>
      </c>
      <c r="D473" s="58">
        <f t="shared" si="39"/>
        <v>335.63212097488713</v>
      </c>
    </row>
    <row r="474" spans="1:4" x14ac:dyDescent="0.25">
      <c r="A474" s="38">
        <v>-345</v>
      </c>
      <c r="B474" s="59">
        <v>186.78201177175302</v>
      </c>
      <c r="C474" s="59">
        <v>-81.500472884344831</v>
      </c>
      <c r="D474" s="58">
        <f t="shared" si="39"/>
        <v>336.42642890692849</v>
      </c>
    </row>
    <row r="475" spans="1:4" x14ac:dyDescent="0.25">
      <c r="A475" s="38">
        <v>-346</v>
      </c>
      <c r="B475" s="59">
        <v>187.48615910974229</v>
      </c>
      <c r="C475" s="59">
        <v>-78.455347869280928</v>
      </c>
      <c r="D475" s="58">
        <f t="shared" si="39"/>
        <v>337.29266884090083</v>
      </c>
    </row>
    <row r="476" spans="1:4" x14ac:dyDescent="0.25">
      <c r="A476" s="37">
        <v>-347</v>
      </c>
      <c r="B476" s="59">
        <v>188.27012301436935</v>
      </c>
      <c r="C476" s="59">
        <v>-75.114620124319032</v>
      </c>
      <c r="D476" s="58">
        <f t="shared" si="39"/>
        <v>338.24935485785517</v>
      </c>
    </row>
    <row r="477" spans="1:4" x14ac:dyDescent="0.25">
      <c r="A477" s="37">
        <v>-348</v>
      </c>
      <c r="B477" s="59">
        <v>189.1533802399712</v>
      </c>
      <c r="C477" s="59">
        <v>-71.392437963398379</v>
      </c>
      <c r="D477" s="58">
        <f t="shared" si="39"/>
        <v>339.32191522960164</v>
      </c>
    </row>
    <row r="478" spans="1:4" x14ac:dyDescent="0.25">
      <c r="A478" s="38">
        <v>-349</v>
      </c>
      <c r="B478" s="59">
        <v>190.16164556702148</v>
      </c>
      <c r="C478" s="59">
        <v>-67.167220798025468</v>
      </c>
      <c r="D478" s="58">
        <f t="shared" si="39"/>
        <v>340.54620945963239</v>
      </c>
    </row>
    <row r="479" spans="1:4" x14ac:dyDescent="0.25">
      <c r="A479" s="38">
        <v>-350</v>
      </c>
      <c r="B479" s="59">
        <v>191.32966099638691</v>
      </c>
      <c r="C479" s="59">
        <v>-62.261478876662821</v>
      </c>
      <c r="D479" s="58">
        <f t="shared" si="39"/>
        <v>341.97435185158128</v>
      </c>
    </row>
    <row r="480" spans="1:4" x14ac:dyDescent="0.25">
      <c r="A480" s="37">
        <v>-351</v>
      </c>
      <c r="B480" s="59">
        <v>192.57590657069187</v>
      </c>
      <c r="C480" s="59">
        <v>-56.829110365572028</v>
      </c>
      <c r="D480" s="58">
        <f t="shared" si="39"/>
        <v>343.5586808942216</v>
      </c>
    </row>
    <row r="481" spans="1:4" x14ac:dyDescent="0.25">
      <c r="A481" s="37">
        <v>-352</v>
      </c>
      <c r="B481" s="59">
        <v>193.75504438782158</v>
      </c>
      <c r="C481" s="59">
        <v>-51.280238896005379</v>
      </c>
      <c r="D481" s="58">
        <f t="shared" si="39"/>
        <v>345.17569245478904</v>
      </c>
    </row>
    <row r="482" spans="1:4" x14ac:dyDescent="0.25">
      <c r="A482" s="38">
        <v>-353</v>
      </c>
      <c r="B482" s="59">
        <v>194.86761682815521</v>
      </c>
      <c r="C482" s="59">
        <v>-45.59885385678794</v>
      </c>
      <c r="D482" s="58">
        <f t="shared" si="39"/>
        <v>346.8298050678751</v>
      </c>
    </row>
    <row r="483" spans="1:4" x14ac:dyDescent="0.25">
      <c r="A483" s="38">
        <v>-354</v>
      </c>
      <c r="B483" s="59">
        <v>195.9145577603316</v>
      </c>
      <c r="C483" s="59">
        <v>-39.764752666212509</v>
      </c>
      <c r="D483" s="58">
        <f t="shared" si="39"/>
        <v>348.52654490311232</v>
      </c>
    </row>
    <row r="484" spans="1:4" x14ac:dyDescent="0.25">
      <c r="A484" s="37">
        <v>-355</v>
      </c>
      <c r="B484" s="59">
        <v>196.89656435680021</v>
      </c>
      <c r="C484" s="59">
        <v>-33.755027699949629</v>
      </c>
      <c r="D484" s="58">
        <f t="shared" si="39"/>
        <v>350.27204520618665</v>
      </c>
    </row>
    <row r="485" spans="1:4" x14ac:dyDescent="0.25">
      <c r="A485" s="37">
        <v>-356</v>
      </c>
      <c r="B485" s="59">
        <v>197.81409628141375</v>
      </c>
      <c r="C485" s="59">
        <v>-27.543522730584382</v>
      </c>
      <c r="D485" s="58">
        <f t="shared" si="39"/>
        <v>352.07313360941725</v>
      </c>
    </row>
    <row r="486" spans="1:4" x14ac:dyDescent="0.25">
      <c r="A486" s="38">
        <v>-357</v>
      </c>
      <c r="B486" s="59">
        <v>198.66737323528858</v>
      </c>
      <c r="C486" s="59">
        <v>-21.100159246484427</v>
      </c>
      <c r="D486" s="58">
        <f t="shared" si="39"/>
        <v>353.93743006944692</v>
      </c>
    </row>
    <row r="487" spans="1:4" x14ac:dyDescent="0.25">
      <c r="A487" s="38">
        <v>-358</v>
      </c>
      <c r="B487" s="59">
        <v>199.45637085814064</v>
      </c>
      <c r="C487" s="59">
        <v>-14.390094286765656</v>
      </c>
      <c r="D487" s="58">
        <f t="shared" si="39"/>
        <v>355.87345548985684</v>
      </c>
    </row>
    <row r="488" spans="1:4" x14ac:dyDescent="0.25">
      <c r="A488" s="37">
        <v>-359</v>
      </c>
      <c r="B488" s="59">
        <v>200.18081502017606</v>
      </c>
      <c r="C488" s="59">
        <v>-7.3726579826172332</v>
      </c>
      <c r="D488" s="58">
        <f t="shared" si="39"/>
        <v>357.89075020256337</v>
      </c>
    </row>
    <row r="489" spans="1:4" x14ac:dyDescent="0.25">
      <c r="A489" s="37">
        <v>-360</v>
      </c>
      <c r="B489" s="59">
        <v>200.84017433013852</v>
      </c>
      <c r="C489" s="59">
        <v>-1.0936583028901326E-13</v>
      </c>
      <c r="D489" s="58">
        <f t="shared" si="39"/>
        <v>359.99999999999994</v>
      </c>
    </row>
    <row r="490" spans="1:4" x14ac:dyDescent="0.25">
      <c r="A490" s="39"/>
      <c r="B490" s="59">
        <f>B129</f>
        <v>200.84017433013869</v>
      </c>
      <c r="C490" s="59">
        <f>C129</f>
        <v>0</v>
      </c>
      <c r="D490" s="58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2020-01-20T17:58:49Z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