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kyDrive\Work\In_Development\"/>
    </mc:Choice>
  </mc:AlternateContent>
  <xr:revisionPtr revIDLastSave="517311" documentId="13_ncr:1_{919F7C75-A13A-459D-89F8-F61B89280548}" xr6:coauthVersionLast="45" xr6:coauthVersionMax="45" xr10:uidLastSave="{BCF13FB7-6993-4188-8AA9-DB332FF61F66}"/>
  <bookViews>
    <workbookView xWindow="-120" yWindow="-120" windowWidth="29040" windowHeight="15840" xr2:uid="{A97B9A5E-BB54-4E55-BD22-158AAF84A460}"/>
  </bookViews>
  <sheets>
    <sheet name="Cross Section Analysis" sheetId="1" r:id="rId1"/>
    <sheet name="failure_surface" sheetId="3" r:id="rId2"/>
    <sheet name="Reference" sheetId="2" r:id="rId3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'Cross Section Analysis'!$B$53</definedName>
    <definedName name="solver_lhs2" localSheetId="0" hidden="1">'Cross Section Analysis'!$B$53</definedName>
    <definedName name="solver_lhs3" localSheetId="0" hidden="1">'Cross Section Analysis'!$B$78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'Cross Section Analysis'!$M$119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360</definedName>
    <definedName name="solver_rhs2" localSheetId="0" hidden="1">0</definedName>
    <definedName name="solver_rhs3" localSheetId="0" hidden="1">0.0001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" i="3" l="1" a="1"/>
  <c r="S2" i="3" s="1"/>
  <c r="N2" i="2" l="1" a="1"/>
  <c r="N2" i="2" s="1"/>
  <c r="T80" i="1"/>
  <c r="O3" i="2" l="1"/>
  <c r="N3" i="2"/>
  <c r="O2" i="2"/>
  <c r="C14" i="3"/>
  <c r="C13" i="3"/>
  <c r="A4" i="3"/>
  <c r="A3" i="3"/>
  <c r="B8" i="3"/>
  <c r="B9" i="3"/>
  <c r="R3" i="3"/>
  <c r="R2" i="3"/>
  <c r="T2" i="3" s="1"/>
  <c r="U2" i="3" l="1"/>
  <c r="U3" i="3" s="1"/>
  <c r="T3" i="3"/>
  <c r="J19" i="3"/>
  <c r="I19" i="3"/>
  <c r="H19" i="3"/>
  <c r="K6" i="3"/>
  <c r="J6" i="3"/>
  <c r="I6" i="3"/>
  <c r="I2" i="3" l="1"/>
  <c r="J2" i="3"/>
  <c r="K2" i="3"/>
  <c r="M2" i="3"/>
  <c r="L2" i="3"/>
  <c r="N2" i="3"/>
  <c r="G262" i="1"/>
  <c r="G261" i="1"/>
  <c r="F262" i="1"/>
  <c r="F261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129" i="1"/>
  <c r="A127" i="1"/>
  <c r="B121" i="1"/>
  <c r="AD39" i="3" l="1"/>
  <c r="AD27" i="3"/>
  <c r="AD35" i="3"/>
  <c r="AD19" i="3"/>
  <c r="AD97" i="3"/>
  <c r="AD117" i="3"/>
  <c r="AD40" i="3"/>
  <c r="AD44" i="3"/>
  <c r="AD48" i="3"/>
  <c r="AD52" i="3"/>
  <c r="AD56" i="3"/>
  <c r="AD60" i="3"/>
  <c r="AD64" i="3"/>
  <c r="AD68" i="3"/>
  <c r="AD72" i="3"/>
  <c r="AD76" i="3"/>
  <c r="AD80" i="3"/>
  <c r="AD84" i="3"/>
  <c r="AD88" i="3"/>
  <c r="AD92" i="3"/>
  <c r="AD96" i="3"/>
  <c r="AD100" i="3"/>
  <c r="AD104" i="3"/>
  <c r="AD108" i="3"/>
  <c r="AD112" i="3"/>
  <c r="AD116" i="3"/>
  <c r="AD20" i="3"/>
  <c r="AD28" i="3"/>
  <c r="AD36" i="3"/>
  <c r="AD85" i="3"/>
  <c r="AD113" i="3"/>
  <c r="AD21" i="3"/>
  <c r="AD29" i="3"/>
  <c r="AD37" i="3"/>
  <c r="AD93" i="3"/>
  <c r="AD109" i="3"/>
  <c r="AD30" i="3"/>
  <c r="AD41" i="3"/>
  <c r="AD45" i="3"/>
  <c r="AD49" i="3"/>
  <c r="AD53" i="3"/>
  <c r="AD57" i="3"/>
  <c r="AD61" i="3"/>
  <c r="AD65" i="3"/>
  <c r="AD69" i="3"/>
  <c r="AD73" i="3"/>
  <c r="AD77" i="3"/>
  <c r="AD81" i="3"/>
  <c r="AD89" i="3"/>
  <c r="AD101" i="3"/>
  <c r="AD105" i="3"/>
  <c r="AD22" i="3"/>
  <c r="AD38" i="3"/>
  <c r="AD23" i="3"/>
  <c r="AD31" i="3"/>
  <c r="AD34" i="3"/>
  <c r="AD42" i="3"/>
  <c r="AD46" i="3"/>
  <c r="AD50" i="3"/>
  <c r="AD54" i="3"/>
  <c r="AD58" i="3"/>
  <c r="AD62" i="3"/>
  <c r="AD66" i="3"/>
  <c r="AD70" i="3"/>
  <c r="AD74" i="3"/>
  <c r="AD78" i="3"/>
  <c r="AD82" i="3"/>
  <c r="AD86" i="3"/>
  <c r="AD90" i="3"/>
  <c r="AD94" i="3"/>
  <c r="AD98" i="3"/>
  <c r="AD102" i="3"/>
  <c r="AD106" i="3"/>
  <c r="AD110" i="3"/>
  <c r="AD114" i="3"/>
  <c r="AD118" i="3"/>
  <c r="AD24" i="3"/>
  <c r="AD32" i="3"/>
  <c r="AD25" i="3"/>
  <c r="AD33" i="3"/>
  <c r="AD26" i="3"/>
  <c r="AD43" i="3"/>
  <c r="AD47" i="3"/>
  <c r="AD51" i="3"/>
  <c r="AD55" i="3"/>
  <c r="AD59" i="3"/>
  <c r="AD63" i="3"/>
  <c r="AD67" i="3"/>
  <c r="AD71" i="3"/>
  <c r="AD75" i="3"/>
  <c r="AD79" i="3"/>
  <c r="AD83" i="3"/>
  <c r="AD87" i="3"/>
  <c r="AD91" i="3"/>
  <c r="AD95" i="3"/>
  <c r="AD99" i="3"/>
  <c r="AD103" i="3"/>
  <c r="AD107" i="3"/>
  <c r="AD111" i="3"/>
  <c r="AD115" i="3"/>
  <c r="AD119" i="3"/>
  <c r="AC40" i="3"/>
  <c r="AC44" i="3"/>
  <c r="AC48" i="3"/>
  <c r="AC52" i="3"/>
  <c r="AC56" i="3"/>
  <c r="AC60" i="3"/>
  <c r="AC64" i="3"/>
  <c r="AC68" i="3"/>
  <c r="AC72" i="3"/>
  <c r="AC76" i="3"/>
  <c r="AC80" i="3"/>
  <c r="AC84" i="3"/>
  <c r="AC88" i="3"/>
  <c r="AC92" i="3"/>
  <c r="AC96" i="3"/>
  <c r="AC100" i="3"/>
  <c r="AC104" i="3"/>
  <c r="AC108" i="3"/>
  <c r="AC112" i="3"/>
  <c r="AC116" i="3"/>
  <c r="AC23" i="3"/>
  <c r="AC31" i="3"/>
  <c r="AC24" i="3"/>
  <c r="AC19" i="3"/>
  <c r="AC33" i="3"/>
  <c r="AC26" i="3"/>
  <c r="AC30" i="3"/>
  <c r="AC32" i="3"/>
  <c r="AC34" i="3"/>
  <c r="AC41" i="3"/>
  <c r="AC45" i="3"/>
  <c r="AC49" i="3"/>
  <c r="AC53" i="3"/>
  <c r="AC57" i="3"/>
  <c r="AC61" i="3"/>
  <c r="AC65" i="3"/>
  <c r="AC69" i="3"/>
  <c r="AC73" i="3"/>
  <c r="AC77" i="3"/>
  <c r="AC81" i="3"/>
  <c r="AC85" i="3"/>
  <c r="AC89" i="3"/>
  <c r="AC93" i="3"/>
  <c r="AC97" i="3"/>
  <c r="AC101" i="3"/>
  <c r="AC105" i="3"/>
  <c r="AC109" i="3"/>
  <c r="AC113" i="3"/>
  <c r="AC117" i="3"/>
  <c r="AC25" i="3"/>
  <c r="AC42" i="3"/>
  <c r="AC46" i="3"/>
  <c r="AC50" i="3"/>
  <c r="AC54" i="3"/>
  <c r="AC58" i="3"/>
  <c r="AC62" i="3"/>
  <c r="AC66" i="3"/>
  <c r="AC70" i="3"/>
  <c r="AC74" i="3"/>
  <c r="AC78" i="3"/>
  <c r="AC82" i="3"/>
  <c r="AC86" i="3"/>
  <c r="AC90" i="3"/>
  <c r="AC94" i="3"/>
  <c r="AC98" i="3"/>
  <c r="AC102" i="3"/>
  <c r="AC106" i="3"/>
  <c r="AC110" i="3"/>
  <c r="AC114" i="3"/>
  <c r="AC118" i="3"/>
  <c r="AC39" i="3"/>
  <c r="AC27" i="3"/>
  <c r="AC35" i="3"/>
  <c r="AC111" i="3"/>
  <c r="AC119" i="3"/>
  <c r="AC21" i="3"/>
  <c r="AC37" i="3"/>
  <c r="AC20" i="3"/>
  <c r="AC28" i="3"/>
  <c r="AC36" i="3"/>
  <c r="AC107" i="3"/>
  <c r="AC115" i="3"/>
  <c r="AC29" i="3"/>
  <c r="AC38" i="3"/>
  <c r="AC43" i="3"/>
  <c r="AC47" i="3"/>
  <c r="AC51" i="3"/>
  <c r="AC55" i="3"/>
  <c r="AC59" i="3"/>
  <c r="AC63" i="3"/>
  <c r="AC67" i="3"/>
  <c r="AC71" i="3"/>
  <c r="AC75" i="3"/>
  <c r="AC79" i="3"/>
  <c r="AC83" i="3"/>
  <c r="AC87" i="3"/>
  <c r="AC91" i="3"/>
  <c r="AC95" i="3"/>
  <c r="AC99" i="3"/>
  <c r="AC103" i="3"/>
  <c r="AC22" i="3"/>
  <c r="M19" i="3"/>
  <c r="L19" i="3"/>
  <c r="E1836" i="3"/>
  <c r="E1817" i="3"/>
  <c r="E1493" i="3"/>
  <c r="E1754" i="3"/>
  <c r="E867" i="3"/>
  <c r="E1202" i="3"/>
  <c r="E917" i="3"/>
  <c r="E429" i="3"/>
  <c r="E1475" i="3"/>
  <c r="E1716" i="3"/>
  <c r="E1012" i="3"/>
  <c r="E1647" i="3"/>
  <c r="E1460" i="3"/>
  <c r="E741" i="3"/>
  <c r="E1337" i="3"/>
  <c r="E439" i="3"/>
  <c r="E1579" i="3"/>
  <c r="E1081" i="3"/>
  <c r="E383" i="3"/>
  <c r="E1358" i="3"/>
  <c r="E1606" i="3"/>
  <c r="E1128" i="3"/>
  <c r="E1765" i="3"/>
  <c r="E1033" i="3"/>
  <c r="E862" i="3"/>
  <c r="E3" i="3"/>
  <c r="E1785" i="3"/>
  <c r="E1623" i="3"/>
  <c r="E1774" i="3"/>
  <c r="E1718" i="3"/>
  <c r="E1574" i="3"/>
  <c r="E1372" i="3"/>
  <c r="E1461" i="3"/>
  <c r="E1684" i="3"/>
  <c r="E1411" i="3"/>
  <c r="E1170" i="3"/>
  <c r="E1305" i="3"/>
  <c r="E1042" i="3"/>
  <c r="E1096" i="3"/>
  <c r="E830" i="3"/>
  <c r="E885" i="3"/>
  <c r="E980" i="3"/>
  <c r="E541" i="3"/>
  <c r="E835" i="3"/>
  <c r="E688" i="3"/>
  <c r="E747" i="3"/>
  <c r="E484" i="3"/>
  <c r="E1797" i="3"/>
  <c r="E1703" i="3"/>
  <c r="E1786" i="3"/>
  <c r="E1429" i="3"/>
  <c r="E1542" i="3"/>
  <c r="E1131" i="3"/>
  <c r="E1408" i="3"/>
  <c r="E1652" i="3"/>
  <c r="E1343" i="3"/>
  <c r="E1138" i="3"/>
  <c r="E1273" i="3"/>
  <c r="E1320" i="3"/>
  <c r="E1064" i="3"/>
  <c r="E798" i="3"/>
  <c r="E853" i="3"/>
  <c r="E948" i="3"/>
  <c r="E569" i="3"/>
  <c r="E803" i="3"/>
  <c r="E656" i="3"/>
  <c r="E691" i="3"/>
  <c r="E215" i="3"/>
  <c r="E1806" i="3"/>
  <c r="E1332" i="3"/>
  <c r="E1510" i="3"/>
  <c r="E1653" i="3"/>
  <c r="E1350" i="3"/>
  <c r="E1620" i="3"/>
  <c r="E1119" i="3"/>
  <c r="E1106" i="3"/>
  <c r="E1241" i="3"/>
  <c r="E1288" i="3"/>
  <c r="E716" i="3"/>
  <c r="E765" i="3"/>
  <c r="E821" i="3"/>
  <c r="E916" i="3"/>
  <c r="E1027" i="3"/>
  <c r="E771" i="3"/>
  <c r="E624" i="3"/>
  <c r="E623" i="3"/>
  <c r="E150" i="3"/>
  <c r="E1535" i="3"/>
  <c r="E1829" i="3"/>
  <c r="E1479" i="3"/>
  <c r="E1818" i="3"/>
  <c r="E1115" i="3"/>
  <c r="E1478" i="3"/>
  <c r="E1621" i="3"/>
  <c r="E1191" i="3"/>
  <c r="E1588" i="3"/>
  <c r="E649" i="3"/>
  <c r="E1074" i="3"/>
  <c r="E1209" i="3"/>
  <c r="E1256" i="3"/>
  <c r="E990" i="3"/>
  <c r="E589" i="3"/>
  <c r="E789" i="3"/>
  <c r="E884" i="3"/>
  <c r="E995" i="3"/>
  <c r="E597" i="3"/>
  <c r="E592" i="3"/>
  <c r="E539" i="3"/>
  <c r="E248" i="3"/>
  <c r="E1670" i="3"/>
  <c r="E1849" i="3"/>
  <c r="E1650" i="3"/>
  <c r="E1838" i="3"/>
  <c r="E1400" i="3"/>
  <c r="E1441" i="3"/>
  <c r="E1589" i="3"/>
  <c r="E1430" i="3"/>
  <c r="E1556" i="3"/>
  <c r="E1298" i="3"/>
  <c r="E752" i="3"/>
  <c r="E1177" i="3"/>
  <c r="E1224" i="3"/>
  <c r="E958" i="3"/>
  <c r="E1013" i="3"/>
  <c r="E744" i="3"/>
  <c r="E852" i="3"/>
  <c r="E963" i="3"/>
  <c r="E689" i="3"/>
  <c r="E560" i="3"/>
  <c r="E746" i="3"/>
  <c r="E1583" i="3"/>
  <c r="E1698" i="3"/>
  <c r="E1861" i="3"/>
  <c r="E1671" i="3"/>
  <c r="E1850" i="3"/>
  <c r="E1203" i="3"/>
  <c r="E1378" i="3"/>
  <c r="E1557" i="3"/>
  <c r="E1283" i="3"/>
  <c r="E1524" i="3"/>
  <c r="E1266" i="3"/>
  <c r="E1401" i="3"/>
  <c r="E1145" i="3"/>
  <c r="E1192" i="3"/>
  <c r="E926" i="3"/>
  <c r="E981" i="3"/>
  <c r="E549" i="3"/>
  <c r="E820" i="3"/>
  <c r="E931" i="3"/>
  <c r="E486" i="3"/>
  <c r="E528" i="3"/>
  <c r="E586" i="3"/>
  <c r="E1711" i="3"/>
  <c r="E1753" i="3"/>
  <c r="E1303" i="3"/>
  <c r="E1722" i="3"/>
  <c r="E1638" i="3"/>
  <c r="E1295" i="3"/>
  <c r="E1525" i="3"/>
  <c r="E1748" i="3"/>
  <c r="E1492" i="3"/>
  <c r="E1234" i="3"/>
  <c r="E1369" i="3"/>
  <c r="E1113" i="3"/>
  <c r="E1160" i="3"/>
  <c r="E894" i="3"/>
  <c r="E949" i="3"/>
  <c r="E609" i="3"/>
  <c r="E788" i="3"/>
  <c r="E899" i="3"/>
  <c r="E291" i="3"/>
  <c r="E387" i="3"/>
  <c r="E353" i="3"/>
  <c r="E1271" i="3"/>
  <c r="E1659" i="3"/>
  <c r="E1739" i="3"/>
  <c r="E1781" i="3"/>
  <c r="E1813" i="3"/>
  <c r="E1845" i="3"/>
  <c r="E1045" i="3"/>
  <c r="E1603" i="3"/>
  <c r="E1749" i="3"/>
  <c r="E1607" i="3"/>
  <c r="E1713" i="3"/>
  <c r="E1770" i="3"/>
  <c r="E1802" i="3"/>
  <c r="E1834" i="3"/>
  <c r="E1866" i="3"/>
  <c r="E1547" i="3"/>
  <c r="E1709" i="3"/>
  <c r="E1438" i="3"/>
  <c r="E1348" i="3"/>
  <c r="E1147" i="3"/>
  <c r="E1405" i="3"/>
  <c r="E1235" i="3"/>
  <c r="E1642" i="3"/>
  <c r="E1610" i="3"/>
  <c r="E1578" i="3"/>
  <c r="E1546" i="3"/>
  <c r="E1514" i="3"/>
  <c r="E1482" i="3"/>
  <c r="E1450" i="3"/>
  <c r="E1383" i="3"/>
  <c r="E1319" i="3"/>
  <c r="E1071" i="3"/>
  <c r="E1388" i="3"/>
  <c r="E1163" i="3"/>
  <c r="E1657" i="3"/>
  <c r="E1625" i="3"/>
  <c r="E1593" i="3"/>
  <c r="E1561" i="3"/>
  <c r="E1529" i="3"/>
  <c r="E1497" i="3"/>
  <c r="E1465" i="3"/>
  <c r="E1417" i="3"/>
  <c r="E1355" i="3"/>
  <c r="E1223" i="3"/>
  <c r="E1439" i="3"/>
  <c r="E1344" i="3"/>
  <c r="E1752" i="3"/>
  <c r="E1720" i="3"/>
  <c r="E1688" i="3"/>
  <c r="E1656" i="3"/>
  <c r="E1624" i="3"/>
  <c r="E1592" i="3"/>
  <c r="E1560" i="3"/>
  <c r="E1528" i="3"/>
  <c r="E1496" i="3"/>
  <c r="E1464" i="3"/>
  <c r="E1416" i="3"/>
  <c r="E1354" i="3"/>
  <c r="E1151" i="3"/>
  <c r="E1002" i="3"/>
  <c r="E1302" i="3"/>
  <c r="E1270" i="3"/>
  <c r="E1238" i="3"/>
  <c r="E1206" i="3"/>
  <c r="E1174" i="3"/>
  <c r="E1142" i="3"/>
  <c r="E1110" i="3"/>
  <c r="E1078" i="3"/>
  <c r="E1022" i="3"/>
  <c r="E585" i="3"/>
  <c r="E1373" i="3"/>
  <c r="E1341" i="3"/>
  <c r="E1309" i="3"/>
  <c r="E1277" i="3"/>
  <c r="E1245" i="3"/>
  <c r="E1213" i="3"/>
  <c r="E1181" i="3"/>
  <c r="E1149" i="3"/>
  <c r="E1117" i="3"/>
  <c r="E1085" i="3"/>
  <c r="E1047" i="3"/>
  <c r="E1324" i="3"/>
  <c r="E1292" i="3"/>
  <c r="E1260" i="3"/>
  <c r="E1228" i="3"/>
  <c r="E1196" i="3"/>
  <c r="E1164" i="3"/>
  <c r="E1132" i="3"/>
  <c r="E1100" i="3"/>
  <c r="E1068" i="3"/>
  <c r="E1006" i="3"/>
  <c r="E994" i="3"/>
  <c r="E962" i="3"/>
  <c r="E930" i="3"/>
  <c r="E898" i="3"/>
  <c r="E866" i="3"/>
  <c r="E834" i="3"/>
  <c r="E802" i="3"/>
  <c r="E770" i="3"/>
  <c r="E621" i="3"/>
  <c r="E1017" i="3"/>
  <c r="E985" i="3"/>
  <c r="E953" i="3"/>
  <c r="E921" i="3"/>
  <c r="E889" i="3"/>
  <c r="E857" i="3"/>
  <c r="E825" i="3"/>
  <c r="E793" i="3"/>
  <c r="E757" i="3"/>
  <c r="E581" i="3"/>
  <c r="E641" i="3"/>
  <c r="E1016" i="3"/>
  <c r="E984" i="3"/>
  <c r="E952" i="3"/>
  <c r="E920" i="3"/>
  <c r="E888" i="3"/>
  <c r="E856" i="3"/>
  <c r="E824" i="3"/>
  <c r="E792" i="3"/>
  <c r="E749" i="3"/>
  <c r="E573" i="3"/>
  <c r="E601" i="3"/>
  <c r="E1031" i="3"/>
  <c r="E999" i="3"/>
  <c r="E967" i="3"/>
  <c r="E935" i="3"/>
  <c r="E903" i="3"/>
  <c r="E871" i="3"/>
  <c r="E839" i="3"/>
  <c r="E807" i="3"/>
  <c r="E775" i="3"/>
  <c r="E629" i="3"/>
  <c r="E708" i="3"/>
  <c r="E511" i="3"/>
  <c r="E367" i="3"/>
  <c r="E446" i="3"/>
  <c r="E692" i="3"/>
  <c r="E660" i="3"/>
  <c r="E628" i="3"/>
  <c r="E596" i="3"/>
  <c r="E564" i="3"/>
  <c r="E532" i="3"/>
  <c r="E419" i="3"/>
  <c r="E430" i="3"/>
  <c r="E751" i="3"/>
  <c r="E699" i="3"/>
  <c r="E635" i="3"/>
  <c r="E547" i="3"/>
  <c r="E754" i="3"/>
  <c r="E618" i="3"/>
  <c r="E386" i="3"/>
  <c r="E461" i="3"/>
  <c r="E95" i="3"/>
  <c r="E323" i="3"/>
  <c r="E182" i="3"/>
  <c r="E280" i="3"/>
  <c r="E24" i="3"/>
  <c r="E1701" i="3"/>
  <c r="E1471" i="3"/>
  <c r="E1675" i="3"/>
  <c r="E1789" i="3"/>
  <c r="E1821" i="3"/>
  <c r="E1853" i="3"/>
  <c r="E1363" i="3"/>
  <c r="E1685" i="3"/>
  <c r="E1079" i="3"/>
  <c r="E1655" i="3"/>
  <c r="E1731" i="3"/>
  <c r="E1778" i="3"/>
  <c r="E1810" i="3"/>
  <c r="E1842" i="3"/>
  <c r="E1111" i="3"/>
  <c r="E1611" i="3"/>
  <c r="E1727" i="3"/>
  <c r="E1420" i="3"/>
  <c r="E1323" i="3"/>
  <c r="E1083" i="3"/>
  <c r="E1384" i="3"/>
  <c r="E1171" i="3"/>
  <c r="E1634" i="3"/>
  <c r="E1602" i="3"/>
  <c r="E1570" i="3"/>
  <c r="E1538" i="3"/>
  <c r="E1506" i="3"/>
  <c r="E1474" i="3"/>
  <c r="E1432" i="3"/>
  <c r="E1367" i="3"/>
  <c r="E1263" i="3"/>
  <c r="E1445" i="3"/>
  <c r="E1356" i="3"/>
  <c r="E1099" i="3"/>
  <c r="E1649" i="3"/>
  <c r="E1617" i="3"/>
  <c r="E1585" i="3"/>
  <c r="E1553" i="3"/>
  <c r="E1521" i="3"/>
  <c r="E1489" i="3"/>
  <c r="E1457" i="3"/>
  <c r="E1403" i="3"/>
  <c r="E1339" i="3"/>
  <c r="E1159" i="3"/>
  <c r="E1421" i="3"/>
  <c r="E1251" i="3"/>
  <c r="E1744" i="3"/>
  <c r="E1712" i="3"/>
  <c r="E1680" i="3"/>
  <c r="E1648" i="3"/>
  <c r="E1616" i="3"/>
  <c r="E1584" i="3"/>
  <c r="E1552" i="3"/>
  <c r="E1520" i="3"/>
  <c r="E1488" i="3"/>
  <c r="E1456" i="3"/>
  <c r="E1402" i="3"/>
  <c r="E1338" i="3"/>
  <c r="E1087" i="3"/>
  <c r="E1326" i="3"/>
  <c r="E1294" i="3"/>
  <c r="E1262" i="3"/>
  <c r="E1230" i="3"/>
  <c r="E1198" i="3"/>
  <c r="E1166" i="3"/>
  <c r="E1134" i="3"/>
  <c r="E1102" i="3"/>
  <c r="E1070" i="3"/>
  <c r="E617" i="3"/>
  <c r="E1397" i="3"/>
  <c r="E1365" i="3"/>
  <c r="E1333" i="3"/>
  <c r="E1301" i="3"/>
  <c r="E1269" i="3"/>
  <c r="E1237" i="3"/>
  <c r="E1205" i="3"/>
  <c r="E1173" i="3"/>
  <c r="E1141" i="3"/>
  <c r="E1109" i="3"/>
  <c r="E1077" i="3"/>
  <c r="E553" i="3"/>
  <c r="E1316" i="3"/>
  <c r="E1284" i="3"/>
  <c r="E1252" i="3"/>
  <c r="E1220" i="3"/>
  <c r="E1188" i="3"/>
  <c r="E1156" i="3"/>
  <c r="E1124" i="3"/>
  <c r="E1092" i="3"/>
  <c r="E1060" i="3"/>
  <c r="E1059" i="3"/>
  <c r="E986" i="3"/>
  <c r="E954" i="3"/>
  <c r="E922" i="3"/>
  <c r="E890" i="3"/>
  <c r="E858" i="3"/>
  <c r="E826" i="3"/>
  <c r="E794" i="3"/>
  <c r="E745" i="3"/>
  <c r="E557" i="3"/>
  <c r="E1009" i="3"/>
  <c r="E977" i="3"/>
  <c r="E945" i="3"/>
  <c r="E913" i="3"/>
  <c r="E881" i="3"/>
  <c r="E849" i="3"/>
  <c r="E817" i="3"/>
  <c r="E785" i="3"/>
  <c r="E736" i="3"/>
  <c r="E516" i="3"/>
  <c r="E577" i="3"/>
  <c r="E1008" i="3"/>
  <c r="E976" i="3"/>
  <c r="E944" i="3"/>
  <c r="E912" i="3"/>
  <c r="E880" i="3"/>
  <c r="E848" i="3"/>
  <c r="E816" i="3"/>
  <c r="E784" i="3"/>
  <c r="E733" i="3"/>
  <c r="E761" i="3"/>
  <c r="E537" i="3"/>
  <c r="E1023" i="3"/>
  <c r="E991" i="3"/>
  <c r="E959" i="3"/>
  <c r="E927" i="3"/>
  <c r="E895" i="3"/>
  <c r="E863" i="3"/>
  <c r="E831" i="3"/>
  <c r="E799" i="3"/>
  <c r="E748" i="3"/>
  <c r="E565" i="3"/>
  <c r="E657" i="3"/>
  <c r="E479" i="3"/>
  <c r="E137" i="3"/>
  <c r="E431" i="3"/>
  <c r="E684" i="3"/>
  <c r="E652" i="3"/>
  <c r="E620" i="3"/>
  <c r="E588" i="3"/>
  <c r="E556" i="3"/>
  <c r="E524" i="3"/>
  <c r="E318" i="3"/>
  <c r="E350" i="3"/>
  <c r="E739" i="3"/>
  <c r="E687" i="3"/>
  <c r="E611" i="3"/>
  <c r="E507" i="3"/>
  <c r="E722" i="3"/>
  <c r="E554" i="3"/>
  <c r="E257" i="3"/>
  <c r="E397" i="3"/>
  <c r="E452" i="3"/>
  <c r="E91" i="3"/>
  <c r="E118" i="3"/>
  <c r="E216" i="3"/>
  <c r="E1705" i="3"/>
  <c r="E1591" i="3"/>
  <c r="E1757" i="3"/>
  <c r="E1503" i="3"/>
  <c r="E1689" i="3"/>
  <c r="E1761" i="3"/>
  <c r="E1793" i="3"/>
  <c r="E1825" i="3"/>
  <c r="E1857" i="3"/>
  <c r="E1442" i="3"/>
  <c r="E1694" i="3"/>
  <c r="E1410" i="3"/>
  <c r="E1666" i="3"/>
  <c r="E1745" i="3"/>
  <c r="E1782" i="3"/>
  <c r="E1814" i="3"/>
  <c r="E1846" i="3"/>
  <c r="E1331" i="3"/>
  <c r="E1635" i="3"/>
  <c r="E1741" i="3"/>
  <c r="E1415" i="3"/>
  <c r="E1307" i="3"/>
  <c r="E1446" i="3"/>
  <c r="E1368" i="3"/>
  <c r="E1139" i="3"/>
  <c r="E1630" i="3"/>
  <c r="E1598" i="3"/>
  <c r="E1566" i="3"/>
  <c r="E1534" i="3"/>
  <c r="E1502" i="3"/>
  <c r="E1470" i="3"/>
  <c r="E1427" i="3"/>
  <c r="E1362" i="3"/>
  <c r="E1231" i="3"/>
  <c r="E1436" i="3"/>
  <c r="E1340" i="3"/>
  <c r="E1067" i="3"/>
  <c r="E1645" i="3"/>
  <c r="E1613" i="3"/>
  <c r="E1581" i="3"/>
  <c r="E1549" i="3"/>
  <c r="E1517" i="3"/>
  <c r="E1485" i="3"/>
  <c r="E1453" i="3"/>
  <c r="E1398" i="3"/>
  <c r="E1334" i="3"/>
  <c r="E1127" i="3"/>
  <c r="E1412" i="3"/>
  <c r="E1219" i="3"/>
  <c r="E1740" i="3"/>
  <c r="E1708" i="3"/>
  <c r="E1676" i="3"/>
  <c r="E1644" i="3"/>
  <c r="E1612" i="3"/>
  <c r="E1580" i="3"/>
  <c r="E1548" i="3"/>
  <c r="E1516" i="3"/>
  <c r="E1484" i="3"/>
  <c r="E1452" i="3"/>
  <c r="E1391" i="3"/>
  <c r="E1311" i="3"/>
  <c r="E1054" i="3"/>
  <c r="E1322" i="3"/>
  <c r="E1290" i="3"/>
  <c r="E1258" i="3"/>
  <c r="E1226" i="3"/>
  <c r="E1194" i="3"/>
  <c r="E1162" i="3"/>
  <c r="E1130" i="3"/>
  <c r="E1098" i="3"/>
  <c r="E1066" i="3"/>
  <c r="E1057" i="3"/>
  <c r="E1393" i="3"/>
  <c r="E1361" i="3"/>
  <c r="E1329" i="3"/>
  <c r="E1297" i="3"/>
  <c r="E1265" i="3"/>
  <c r="E1233" i="3"/>
  <c r="E1201" i="3"/>
  <c r="E1169" i="3"/>
  <c r="E1137" i="3"/>
  <c r="E1105" i="3"/>
  <c r="E1073" i="3"/>
  <c r="E1056" i="3"/>
  <c r="E1312" i="3"/>
  <c r="E1280" i="3"/>
  <c r="E1248" i="3"/>
  <c r="E1216" i="3"/>
  <c r="E1184" i="3"/>
  <c r="E1152" i="3"/>
  <c r="E1120" i="3"/>
  <c r="E1088" i="3"/>
  <c r="E1055" i="3"/>
  <c r="E1050" i="3"/>
  <c r="E982" i="3"/>
  <c r="E950" i="3"/>
  <c r="E918" i="3"/>
  <c r="E886" i="3"/>
  <c r="E854" i="3"/>
  <c r="E822" i="3"/>
  <c r="E790" i="3"/>
  <c r="E737" i="3"/>
  <c r="E525" i="3"/>
  <c r="E1005" i="3"/>
  <c r="E973" i="3"/>
  <c r="E941" i="3"/>
  <c r="E909" i="3"/>
  <c r="E877" i="3"/>
  <c r="E845" i="3"/>
  <c r="E813" i="3"/>
  <c r="E781" i="3"/>
  <c r="E725" i="3"/>
  <c r="E466" i="3"/>
  <c r="E545" i="3"/>
  <c r="E1004" i="3"/>
  <c r="E972" i="3"/>
  <c r="E940" i="3"/>
  <c r="E908" i="3"/>
  <c r="E876" i="3"/>
  <c r="E844" i="3"/>
  <c r="E812" i="3"/>
  <c r="E780" i="3"/>
  <c r="E712" i="3"/>
  <c r="E732" i="3"/>
  <c r="E498" i="3"/>
  <c r="E1019" i="3"/>
  <c r="E987" i="3"/>
  <c r="E955" i="3"/>
  <c r="E923" i="3"/>
  <c r="E891" i="3"/>
  <c r="E859" i="3"/>
  <c r="E827" i="3"/>
  <c r="E795" i="3"/>
  <c r="E740" i="3"/>
  <c r="E533" i="3"/>
  <c r="E625" i="3"/>
  <c r="E454" i="3"/>
  <c r="E520" i="3"/>
  <c r="E391" i="3"/>
  <c r="E680" i="3"/>
  <c r="E648" i="3"/>
  <c r="E616" i="3"/>
  <c r="E584" i="3"/>
  <c r="E552" i="3"/>
  <c r="E515" i="3"/>
  <c r="E519" i="3"/>
  <c r="E313" i="3"/>
  <c r="E735" i="3"/>
  <c r="E675" i="3"/>
  <c r="E603" i="3"/>
  <c r="E475" i="3"/>
  <c r="E714" i="3"/>
  <c r="E522" i="3"/>
  <c r="E129" i="3"/>
  <c r="E365" i="3"/>
  <c r="E420" i="3"/>
  <c r="E59" i="3"/>
  <c r="E86" i="3"/>
  <c r="E184" i="3"/>
  <c r="E1767" i="3"/>
  <c r="E1715" i="3"/>
  <c r="E1374" i="3"/>
  <c r="E1643" i="3"/>
  <c r="E1750" i="3"/>
  <c r="E1406" i="3"/>
  <c r="E1275" i="3"/>
  <c r="E1437" i="3"/>
  <c r="E1352" i="3"/>
  <c r="E1107" i="3"/>
  <c r="E1626" i="3"/>
  <c r="E1594" i="3"/>
  <c r="E1562" i="3"/>
  <c r="E1530" i="3"/>
  <c r="E1498" i="3"/>
  <c r="E1466" i="3"/>
  <c r="E1418" i="3"/>
  <c r="E1351" i="3"/>
  <c r="E1199" i="3"/>
  <c r="E1431" i="3"/>
  <c r="E1291" i="3"/>
  <c r="E1673" i="3"/>
  <c r="E1641" i="3"/>
  <c r="E1609" i="3"/>
  <c r="E1577" i="3"/>
  <c r="E1545" i="3"/>
  <c r="E1513" i="3"/>
  <c r="E1481" i="3"/>
  <c r="E1449" i="3"/>
  <c r="E1387" i="3"/>
  <c r="E1327" i="3"/>
  <c r="E1095" i="3"/>
  <c r="E1407" i="3"/>
  <c r="E1187" i="3"/>
  <c r="E1736" i="3"/>
  <c r="E1704" i="3"/>
  <c r="E1672" i="3"/>
  <c r="E1640" i="3"/>
  <c r="E1608" i="3"/>
  <c r="E1576" i="3"/>
  <c r="E1544" i="3"/>
  <c r="E1512" i="3"/>
  <c r="E1480" i="3"/>
  <c r="E1448" i="3"/>
  <c r="E1386" i="3"/>
  <c r="E1279" i="3"/>
  <c r="E681" i="3"/>
  <c r="E1318" i="3"/>
  <c r="E1286" i="3"/>
  <c r="E1254" i="3"/>
  <c r="E1222" i="3"/>
  <c r="E1190" i="3"/>
  <c r="E1158" i="3"/>
  <c r="E1126" i="3"/>
  <c r="E1094" i="3"/>
  <c r="E1062" i="3"/>
  <c r="E1048" i="3"/>
  <c r="E1389" i="3"/>
  <c r="E1357" i="3"/>
  <c r="E1325" i="3"/>
  <c r="E1293" i="3"/>
  <c r="E1261" i="3"/>
  <c r="E1229" i="3"/>
  <c r="E1197" i="3"/>
  <c r="E1165" i="3"/>
  <c r="E1133" i="3"/>
  <c r="E1101" i="3"/>
  <c r="E1069" i="3"/>
  <c r="E1051" i="3"/>
  <c r="E1308" i="3"/>
  <c r="E1276" i="3"/>
  <c r="E1244" i="3"/>
  <c r="E1212" i="3"/>
  <c r="E1180" i="3"/>
  <c r="E1148" i="3"/>
  <c r="E1116" i="3"/>
  <c r="E1084" i="3"/>
  <c r="E1046" i="3"/>
  <c r="E1026" i="3"/>
  <c r="E978" i="3"/>
  <c r="E946" i="3"/>
  <c r="E914" i="3"/>
  <c r="E882" i="3"/>
  <c r="E850" i="3"/>
  <c r="E818" i="3"/>
  <c r="E786" i="3"/>
  <c r="E728" i="3"/>
  <c r="E423" i="3"/>
  <c r="E1001" i="3"/>
  <c r="E969" i="3"/>
  <c r="E937" i="3"/>
  <c r="E905" i="3"/>
  <c r="E873" i="3"/>
  <c r="E841" i="3"/>
  <c r="E809" i="3"/>
  <c r="E777" i="3"/>
  <c r="E704" i="3"/>
  <c r="E363" i="3"/>
  <c r="E459" i="3"/>
  <c r="E1000" i="3"/>
  <c r="E968" i="3"/>
  <c r="E936" i="3"/>
  <c r="E904" i="3"/>
  <c r="E872" i="3"/>
  <c r="E840" i="3"/>
  <c r="E808" i="3"/>
  <c r="E776" i="3"/>
  <c r="E701" i="3"/>
  <c r="E721" i="3"/>
  <c r="E233" i="3"/>
  <c r="E1015" i="3"/>
  <c r="E983" i="3"/>
  <c r="E951" i="3"/>
  <c r="E919" i="3"/>
  <c r="E887" i="3"/>
  <c r="E855" i="3"/>
  <c r="E823" i="3"/>
  <c r="E791" i="3"/>
  <c r="E720" i="3"/>
  <c r="E491" i="3"/>
  <c r="E593" i="3"/>
  <c r="E447" i="3"/>
  <c r="E510" i="3"/>
  <c r="E359" i="3"/>
  <c r="E676" i="3"/>
  <c r="E644" i="3"/>
  <c r="E612" i="3"/>
  <c r="E580" i="3"/>
  <c r="E548" i="3"/>
  <c r="E490" i="3"/>
  <c r="E502" i="3"/>
  <c r="E163" i="3"/>
  <c r="E731" i="3"/>
  <c r="E667" i="3"/>
  <c r="E591" i="3"/>
  <c r="E259" i="3"/>
  <c r="E690" i="3"/>
  <c r="E336" i="3"/>
  <c r="E325" i="3"/>
  <c r="E281" i="3"/>
  <c r="E388" i="3"/>
  <c r="E27" i="3"/>
  <c r="E54" i="3"/>
  <c r="E152" i="3"/>
  <c r="E1799" i="3"/>
  <c r="E1772" i="3"/>
  <c r="F20" i="3"/>
  <c r="F24" i="3"/>
  <c r="F28" i="3"/>
  <c r="F32" i="3"/>
  <c r="F36" i="3"/>
  <c r="F40" i="3"/>
  <c r="F44" i="3"/>
  <c r="F48" i="3"/>
  <c r="F52" i="3"/>
  <c r="F56" i="3"/>
  <c r="F60" i="3"/>
  <c r="F64" i="3"/>
  <c r="F68" i="3"/>
  <c r="F72" i="3"/>
  <c r="F76" i="3"/>
  <c r="F80" i="3"/>
  <c r="F84" i="3"/>
  <c r="F88" i="3"/>
  <c r="F21" i="3"/>
  <c r="F25" i="3"/>
  <c r="F29" i="3"/>
  <c r="F33" i="3"/>
  <c r="F37" i="3"/>
  <c r="F41" i="3"/>
  <c r="F45" i="3"/>
  <c r="F49" i="3"/>
  <c r="F53" i="3"/>
  <c r="F57" i="3"/>
  <c r="F61" i="3"/>
  <c r="F65" i="3"/>
  <c r="F69" i="3"/>
  <c r="F73" i="3"/>
  <c r="F77" i="3"/>
  <c r="F81" i="3"/>
  <c r="F85" i="3"/>
  <c r="F89" i="3"/>
  <c r="F93" i="3"/>
  <c r="F97" i="3"/>
  <c r="F101" i="3"/>
  <c r="F105" i="3"/>
  <c r="F109" i="3"/>
  <c r="F113" i="3"/>
  <c r="F117" i="3"/>
  <c r="F121" i="3"/>
  <c r="F125" i="3"/>
  <c r="F129" i="3"/>
  <c r="F133" i="3"/>
  <c r="F137" i="3"/>
  <c r="F141" i="3"/>
  <c r="F145" i="3"/>
  <c r="F149" i="3"/>
  <c r="F153" i="3"/>
  <c r="F157" i="3"/>
  <c r="F161" i="3"/>
  <c r="F165" i="3"/>
  <c r="F169" i="3"/>
  <c r="F173" i="3"/>
  <c r="F177" i="3"/>
  <c r="F181" i="3"/>
  <c r="F185" i="3"/>
  <c r="F189" i="3"/>
  <c r="F193" i="3"/>
  <c r="F197" i="3"/>
  <c r="F201" i="3"/>
  <c r="F205" i="3"/>
  <c r="F209" i="3"/>
  <c r="F213" i="3"/>
  <c r="F217" i="3"/>
  <c r="F221" i="3"/>
  <c r="F225" i="3"/>
  <c r="F229" i="3"/>
  <c r="F233" i="3"/>
  <c r="F237" i="3"/>
  <c r="F241" i="3"/>
  <c r="F245" i="3"/>
  <c r="F249" i="3"/>
  <c r="F253" i="3"/>
  <c r="F257" i="3"/>
  <c r="F261" i="3"/>
  <c r="F265" i="3"/>
  <c r="F269" i="3"/>
  <c r="F273" i="3"/>
  <c r="F277" i="3"/>
  <c r="F281" i="3"/>
  <c r="F285" i="3"/>
  <c r="F289" i="3"/>
  <c r="F293" i="3"/>
  <c r="F297" i="3"/>
  <c r="F301" i="3"/>
  <c r="F305" i="3"/>
  <c r="F309" i="3"/>
  <c r="F313" i="3"/>
  <c r="F317" i="3"/>
  <c r="F321" i="3"/>
  <c r="F325" i="3"/>
  <c r="F329" i="3"/>
  <c r="F333" i="3"/>
  <c r="F337" i="3"/>
  <c r="F341" i="3"/>
  <c r="F345" i="3"/>
  <c r="F349" i="3"/>
  <c r="F353" i="3"/>
  <c r="F357" i="3"/>
  <c r="F22" i="3"/>
  <c r="F26" i="3"/>
  <c r="F30" i="3"/>
  <c r="F34" i="3"/>
  <c r="F38" i="3"/>
  <c r="F42" i="3"/>
  <c r="F46" i="3"/>
  <c r="F50" i="3"/>
  <c r="F54" i="3"/>
  <c r="F58" i="3"/>
  <c r="F62" i="3"/>
  <c r="F66" i="3"/>
  <c r="F70" i="3"/>
  <c r="F74" i="3"/>
  <c r="F78" i="3"/>
  <c r="F82" i="3"/>
  <c r="F86" i="3"/>
  <c r="F90" i="3"/>
  <c r="F23" i="3"/>
  <c r="F27" i="3"/>
  <c r="F31" i="3"/>
  <c r="F35" i="3"/>
  <c r="F39" i="3"/>
  <c r="F43" i="3"/>
  <c r="F47" i="3"/>
  <c r="F51" i="3"/>
  <c r="F55" i="3"/>
  <c r="F59" i="3"/>
  <c r="F63" i="3"/>
  <c r="F67" i="3"/>
  <c r="F71" i="3"/>
  <c r="F99" i="3"/>
  <c r="F106" i="3"/>
  <c r="F112" i="3"/>
  <c r="F131" i="3"/>
  <c r="F138" i="3"/>
  <c r="F144" i="3"/>
  <c r="F163" i="3"/>
  <c r="F170" i="3"/>
  <c r="F176" i="3"/>
  <c r="F195" i="3"/>
  <c r="F202" i="3"/>
  <c r="F208" i="3"/>
  <c r="F227" i="3"/>
  <c r="F234" i="3"/>
  <c r="F240" i="3"/>
  <c r="F259" i="3"/>
  <c r="F266" i="3"/>
  <c r="F272" i="3"/>
  <c r="F291" i="3"/>
  <c r="F298" i="3"/>
  <c r="F304" i="3"/>
  <c r="F318" i="3"/>
  <c r="F327" i="3"/>
  <c r="F336" i="3"/>
  <c r="F350" i="3"/>
  <c r="F359" i="3"/>
  <c r="F363" i="3"/>
  <c r="F367" i="3"/>
  <c r="F371" i="3"/>
  <c r="F375" i="3"/>
  <c r="F379" i="3"/>
  <c r="F383" i="3"/>
  <c r="F387" i="3"/>
  <c r="F391" i="3"/>
  <c r="F395" i="3"/>
  <c r="F399" i="3"/>
  <c r="F403" i="3"/>
  <c r="F407" i="3"/>
  <c r="F411" i="3"/>
  <c r="F415" i="3"/>
  <c r="F419" i="3"/>
  <c r="F423" i="3"/>
  <c r="F427" i="3"/>
  <c r="F431" i="3"/>
  <c r="F435" i="3"/>
  <c r="F75" i="3"/>
  <c r="F94" i="3"/>
  <c r="F100" i="3"/>
  <c r="F119" i="3"/>
  <c r="F126" i="3"/>
  <c r="F132" i="3"/>
  <c r="F151" i="3"/>
  <c r="F158" i="3"/>
  <c r="F164" i="3"/>
  <c r="F183" i="3"/>
  <c r="F190" i="3"/>
  <c r="F196" i="3"/>
  <c r="F215" i="3"/>
  <c r="F222" i="3"/>
  <c r="F228" i="3"/>
  <c r="F247" i="3"/>
  <c r="F254" i="3"/>
  <c r="F260" i="3"/>
  <c r="F279" i="3"/>
  <c r="F286" i="3"/>
  <c r="F292" i="3"/>
  <c r="F314" i="3"/>
  <c r="F323" i="3"/>
  <c r="F332" i="3"/>
  <c r="F346" i="3"/>
  <c r="F355" i="3"/>
  <c r="F79" i="3"/>
  <c r="F107" i="3"/>
  <c r="F114" i="3"/>
  <c r="F120" i="3"/>
  <c r="F139" i="3"/>
  <c r="F146" i="3"/>
  <c r="F152" i="3"/>
  <c r="F171" i="3"/>
  <c r="F178" i="3"/>
  <c r="F184" i="3"/>
  <c r="F203" i="3"/>
  <c r="F210" i="3"/>
  <c r="F216" i="3"/>
  <c r="F235" i="3"/>
  <c r="F242" i="3"/>
  <c r="F248" i="3"/>
  <c r="F267" i="3"/>
  <c r="F274" i="3"/>
  <c r="F280" i="3"/>
  <c r="F299" i="3"/>
  <c r="F310" i="3"/>
  <c r="F319" i="3"/>
  <c r="F328" i="3"/>
  <c r="F342" i="3"/>
  <c r="F351" i="3"/>
  <c r="F360" i="3"/>
  <c r="F364" i="3"/>
  <c r="F368" i="3"/>
  <c r="F372" i="3"/>
  <c r="F376" i="3"/>
  <c r="F380" i="3"/>
  <c r="F384" i="3"/>
  <c r="F388" i="3"/>
  <c r="F392" i="3"/>
  <c r="F396" i="3"/>
  <c r="F400" i="3"/>
  <c r="F404" i="3"/>
  <c r="F408" i="3"/>
  <c r="F412" i="3"/>
  <c r="F416" i="3"/>
  <c r="F420" i="3"/>
  <c r="F424" i="3"/>
  <c r="F428" i="3"/>
  <c r="F432" i="3"/>
  <c r="F436" i="3"/>
  <c r="F440" i="3"/>
  <c r="F444" i="3"/>
  <c r="F448" i="3"/>
  <c r="F452" i="3"/>
  <c r="F456" i="3"/>
  <c r="F460" i="3"/>
  <c r="F464" i="3"/>
  <c r="F468" i="3"/>
  <c r="F472" i="3"/>
  <c r="F476" i="3"/>
  <c r="F480" i="3"/>
  <c r="F484" i="3"/>
  <c r="F488" i="3"/>
  <c r="F492" i="3"/>
  <c r="F496" i="3"/>
  <c r="F500" i="3"/>
  <c r="F504" i="3"/>
  <c r="F508" i="3"/>
  <c r="F512" i="3"/>
  <c r="F83" i="3"/>
  <c r="F95" i="3"/>
  <c r="F102" i="3"/>
  <c r="F108" i="3"/>
  <c r="F127" i="3"/>
  <c r="F134" i="3"/>
  <c r="F140" i="3"/>
  <c r="F159" i="3"/>
  <c r="F166" i="3"/>
  <c r="F172" i="3"/>
  <c r="F191" i="3"/>
  <c r="F198" i="3"/>
  <c r="F204" i="3"/>
  <c r="F223" i="3"/>
  <c r="F230" i="3"/>
  <c r="F236" i="3"/>
  <c r="F255" i="3"/>
  <c r="F262" i="3"/>
  <c r="F268" i="3"/>
  <c r="F287" i="3"/>
  <c r="F294" i="3"/>
  <c r="F300" i="3"/>
  <c r="F306" i="3"/>
  <c r="F315" i="3"/>
  <c r="F324" i="3"/>
  <c r="F338" i="3"/>
  <c r="F347" i="3"/>
  <c r="F356" i="3"/>
  <c r="F87" i="3"/>
  <c r="F96" i="3"/>
  <c r="F115" i="3"/>
  <c r="F122" i="3"/>
  <c r="F128" i="3"/>
  <c r="F147" i="3"/>
  <c r="F154" i="3"/>
  <c r="F160" i="3"/>
  <c r="F179" i="3"/>
  <c r="F186" i="3"/>
  <c r="F192" i="3"/>
  <c r="F211" i="3"/>
  <c r="F218" i="3"/>
  <c r="F224" i="3"/>
  <c r="F243" i="3"/>
  <c r="F250" i="3"/>
  <c r="F256" i="3"/>
  <c r="F275" i="3"/>
  <c r="F282" i="3"/>
  <c r="F288" i="3"/>
  <c r="F311" i="3"/>
  <c r="F320" i="3"/>
  <c r="F334" i="3"/>
  <c r="F343" i="3"/>
  <c r="F352" i="3"/>
  <c r="F361" i="3"/>
  <c r="F365" i="3"/>
  <c r="F369" i="3"/>
  <c r="F373" i="3"/>
  <c r="F377" i="3"/>
  <c r="F381" i="3"/>
  <c r="F385" i="3"/>
  <c r="F389" i="3"/>
  <c r="F393" i="3"/>
  <c r="F397" i="3"/>
  <c r="F401" i="3"/>
  <c r="F405" i="3"/>
  <c r="F409" i="3"/>
  <c r="F413" i="3"/>
  <c r="F417" i="3"/>
  <c r="F421" i="3"/>
  <c r="F425" i="3"/>
  <c r="F103" i="3"/>
  <c r="F110" i="3"/>
  <c r="F116" i="3"/>
  <c r="F135" i="3"/>
  <c r="F142" i="3"/>
  <c r="F148" i="3"/>
  <c r="F167" i="3"/>
  <c r="F174" i="3"/>
  <c r="F180" i="3"/>
  <c r="F199" i="3"/>
  <c r="F206" i="3"/>
  <c r="F212" i="3"/>
  <c r="F231" i="3"/>
  <c r="F238" i="3"/>
  <c r="F244" i="3"/>
  <c r="F263" i="3"/>
  <c r="F270" i="3"/>
  <c r="F276" i="3"/>
  <c r="F295" i="3"/>
  <c r="F302" i="3"/>
  <c r="F307" i="3"/>
  <c r="F316" i="3"/>
  <c r="F330" i="3"/>
  <c r="F339" i="3"/>
  <c r="F348" i="3"/>
  <c r="F91" i="3"/>
  <c r="F98" i="3"/>
  <c r="F104" i="3"/>
  <c r="F123" i="3"/>
  <c r="F130" i="3"/>
  <c r="F136" i="3"/>
  <c r="F155" i="3"/>
  <c r="F162" i="3"/>
  <c r="F168" i="3"/>
  <c r="F187" i="3"/>
  <c r="F194" i="3"/>
  <c r="F200" i="3"/>
  <c r="F219" i="3"/>
  <c r="F226" i="3"/>
  <c r="F232" i="3"/>
  <c r="F251" i="3"/>
  <c r="F258" i="3"/>
  <c r="F264" i="3"/>
  <c r="F283" i="3"/>
  <c r="F290" i="3"/>
  <c r="F296" i="3"/>
  <c r="F312" i="3"/>
  <c r="F326" i="3"/>
  <c r="F335" i="3"/>
  <c r="F344" i="3"/>
  <c r="F358" i="3"/>
  <c r="F362" i="3"/>
  <c r="F366" i="3"/>
  <c r="F370" i="3"/>
  <c r="F374" i="3"/>
  <c r="F378" i="3"/>
  <c r="F382" i="3"/>
  <c r="F386" i="3"/>
  <c r="F390" i="3"/>
  <c r="F394" i="3"/>
  <c r="F398" i="3"/>
  <c r="F402" i="3"/>
  <c r="F406" i="3"/>
  <c r="F410" i="3"/>
  <c r="F414" i="3"/>
  <c r="F418" i="3"/>
  <c r="F92" i="3"/>
  <c r="F143" i="3"/>
  <c r="F246" i="3"/>
  <c r="F426" i="3"/>
  <c r="F434" i="3"/>
  <c r="F447" i="3"/>
  <c r="F454" i="3"/>
  <c r="F461" i="3"/>
  <c r="F479" i="3"/>
  <c r="F486" i="3"/>
  <c r="F493" i="3"/>
  <c r="F511" i="3"/>
  <c r="F517" i="3"/>
  <c r="F150" i="3"/>
  <c r="F252" i="3"/>
  <c r="F303" i="3"/>
  <c r="F340" i="3"/>
  <c r="F442" i="3"/>
  <c r="F449" i="3"/>
  <c r="F467" i="3"/>
  <c r="F474" i="3"/>
  <c r="F481" i="3"/>
  <c r="F499" i="3"/>
  <c r="F506" i="3"/>
  <c r="F513" i="3"/>
  <c r="F522" i="3"/>
  <c r="F526" i="3"/>
  <c r="F530" i="3"/>
  <c r="F534" i="3"/>
  <c r="F538" i="3"/>
  <c r="F542" i="3"/>
  <c r="F546" i="3"/>
  <c r="F550" i="3"/>
  <c r="F554" i="3"/>
  <c r="F558" i="3"/>
  <c r="F562" i="3"/>
  <c r="F566" i="3"/>
  <c r="F570" i="3"/>
  <c r="F574" i="3"/>
  <c r="F578" i="3"/>
  <c r="F582" i="3"/>
  <c r="F586" i="3"/>
  <c r="F590" i="3"/>
  <c r="F594" i="3"/>
  <c r="F598" i="3"/>
  <c r="F602" i="3"/>
  <c r="F606" i="3"/>
  <c r="F610" i="3"/>
  <c r="F614" i="3"/>
  <c r="F618" i="3"/>
  <c r="F622" i="3"/>
  <c r="F626" i="3"/>
  <c r="F630" i="3"/>
  <c r="F634" i="3"/>
  <c r="F638" i="3"/>
  <c r="F642" i="3"/>
  <c r="F646" i="3"/>
  <c r="F650" i="3"/>
  <c r="F654" i="3"/>
  <c r="F658" i="3"/>
  <c r="F662" i="3"/>
  <c r="F666" i="3"/>
  <c r="F670" i="3"/>
  <c r="F674" i="3"/>
  <c r="F678" i="3"/>
  <c r="F682" i="3"/>
  <c r="F686" i="3"/>
  <c r="F690" i="3"/>
  <c r="F694" i="3"/>
  <c r="F698" i="3"/>
  <c r="F702" i="3"/>
  <c r="F706" i="3"/>
  <c r="F710" i="3"/>
  <c r="F714" i="3"/>
  <c r="F718" i="3"/>
  <c r="F722" i="3"/>
  <c r="F726" i="3"/>
  <c r="F730" i="3"/>
  <c r="F734" i="3"/>
  <c r="F738" i="3"/>
  <c r="F742" i="3"/>
  <c r="F746" i="3"/>
  <c r="F750" i="3"/>
  <c r="F754" i="3"/>
  <c r="F758" i="3"/>
  <c r="F762" i="3"/>
  <c r="F156" i="3"/>
  <c r="F207" i="3"/>
  <c r="F308" i="3"/>
  <c r="F429" i="3"/>
  <c r="F437" i="3"/>
  <c r="F455" i="3"/>
  <c r="F462" i="3"/>
  <c r="F469" i="3"/>
  <c r="F487" i="3"/>
  <c r="F494" i="3"/>
  <c r="F501" i="3"/>
  <c r="F518" i="3"/>
  <c r="F111" i="3"/>
  <c r="F214" i="3"/>
  <c r="F443" i="3"/>
  <c r="F450" i="3"/>
  <c r="F457" i="3"/>
  <c r="F475" i="3"/>
  <c r="F482" i="3"/>
  <c r="F489" i="3"/>
  <c r="F507" i="3"/>
  <c r="F514" i="3"/>
  <c r="F523" i="3"/>
  <c r="F527" i="3"/>
  <c r="F531" i="3"/>
  <c r="F535" i="3"/>
  <c r="F539" i="3"/>
  <c r="F543" i="3"/>
  <c r="F547" i="3"/>
  <c r="F551" i="3"/>
  <c r="F555" i="3"/>
  <c r="F559" i="3"/>
  <c r="F563" i="3"/>
  <c r="F567" i="3"/>
  <c r="F571" i="3"/>
  <c r="F575" i="3"/>
  <c r="F579" i="3"/>
  <c r="F583" i="3"/>
  <c r="F587" i="3"/>
  <c r="F591" i="3"/>
  <c r="F595" i="3"/>
  <c r="F599" i="3"/>
  <c r="F603" i="3"/>
  <c r="F607" i="3"/>
  <c r="F611" i="3"/>
  <c r="F615" i="3"/>
  <c r="F619" i="3"/>
  <c r="F623" i="3"/>
  <c r="F627" i="3"/>
  <c r="F631" i="3"/>
  <c r="F635" i="3"/>
  <c r="F639" i="3"/>
  <c r="F643" i="3"/>
  <c r="F647" i="3"/>
  <c r="F651" i="3"/>
  <c r="F655" i="3"/>
  <c r="F659" i="3"/>
  <c r="F663" i="3"/>
  <c r="F667" i="3"/>
  <c r="F671" i="3"/>
  <c r="F675" i="3"/>
  <c r="F679" i="3"/>
  <c r="F683" i="3"/>
  <c r="F687" i="3"/>
  <c r="F691" i="3"/>
  <c r="F695" i="3"/>
  <c r="F699" i="3"/>
  <c r="F703" i="3"/>
  <c r="F707" i="3"/>
  <c r="F711" i="3"/>
  <c r="F715" i="3"/>
  <c r="F719" i="3"/>
  <c r="F723" i="3"/>
  <c r="F727" i="3"/>
  <c r="F731" i="3"/>
  <c r="F735" i="3"/>
  <c r="F739" i="3"/>
  <c r="F743" i="3"/>
  <c r="F747" i="3"/>
  <c r="F118" i="3"/>
  <c r="F220" i="3"/>
  <c r="F271" i="3"/>
  <c r="F354" i="3"/>
  <c r="F430" i="3"/>
  <c r="F438" i="3"/>
  <c r="F445" i="3"/>
  <c r="F463" i="3"/>
  <c r="F470" i="3"/>
  <c r="F477" i="3"/>
  <c r="F495" i="3"/>
  <c r="F502" i="3"/>
  <c r="F509" i="3"/>
  <c r="F519" i="3"/>
  <c r="F124" i="3"/>
  <c r="F175" i="3"/>
  <c r="F278" i="3"/>
  <c r="F322" i="3"/>
  <c r="F422" i="3"/>
  <c r="F451" i="3"/>
  <c r="F458" i="3"/>
  <c r="F465" i="3"/>
  <c r="F483" i="3"/>
  <c r="F490" i="3"/>
  <c r="F497" i="3"/>
  <c r="F515" i="3"/>
  <c r="F524" i="3"/>
  <c r="F528" i="3"/>
  <c r="F532" i="3"/>
  <c r="F536" i="3"/>
  <c r="F540" i="3"/>
  <c r="F544" i="3"/>
  <c r="F548" i="3"/>
  <c r="F552" i="3"/>
  <c r="F556" i="3"/>
  <c r="F560" i="3"/>
  <c r="F564" i="3"/>
  <c r="F568" i="3"/>
  <c r="F572" i="3"/>
  <c r="F576" i="3"/>
  <c r="F580" i="3"/>
  <c r="F584" i="3"/>
  <c r="F588" i="3"/>
  <c r="F592" i="3"/>
  <c r="F596" i="3"/>
  <c r="F600" i="3"/>
  <c r="F604" i="3"/>
  <c r="F608" i="3"/>
  <c r="F612" i="3"/>
  <c r="F616" i="3"/>
  <c r="F620" i="3"/>
  <c r="F624" i="3"/>
  <c r="F628" i="3"/>
  <c r="F632" i="3"/>
  <c r="F636" i="3"/>
  <c r="F640" i="3"/>
  <c r="F644" i="3"/>
  <c r="F648" i="3"/>
  <c r="F652" i="3"/>
  <c r="F656" i="3"/>
  <c r="F660" i="3"/>
  <c r="F664" i="3"/>
  <c r="F668" i="3"/>
  <c r="F672" i="3"/>
  <c r="F676" i="3"/>
  <c r="F680" i="3"/>
  <c r="F684" i="3"/>
  <c r="F688" i="3"/>
  <c r="F692" i="3"/>
  <c r="F696" i="3"/>
  <c r="F700" i="3"/>
  <c r="F704" i="3"/>
  <c r="F708" i="3"/>
  <c r="F712" i="3"/>
  <c r="F716" i="3"/>
  <c r="F720" i="3"/>
  <c r="F724" i="3"/>
  <c r="F728" i="3"/>
  <c r="F732" i="3"/>
  <c r="F188" i="3"/>
  <c r="F239" i="3"/>
  <c r="F331" i="3"/>
  <c r="F441" i="3"/>
  <c r="F459" i="3"/>
  <c r="F466" i="3"/>
  <c r="F473" i="3"/>
  <c r="F491" i="3"/>
  <c r="F498" i="3"/>
  <c r="F505" i="3"/>
  <c r="F516" i="3"/>
  <c r="F521" i="3"/>
  <c r="F525" i="3"/>
  <c r="F529" i="3"/>
  <c r="F533" i="3"/>
  <c r="F537" i="3"/>
  <c r="F541" i="3"/>
  <c r="F545" i="3"/>
  <c r="F549" i="3"/>
  <c r="F553" i="3"/>
  <c r="F557" i="3"/>
  <c r="F561" i="3"/>
  <c r="F565" i="3"/>
  <c r="F569" i="3"/>
  <c r="F573" i="3"/>
  <c r="F577" i="3"/>
  <c r="F581" i="3"/>
  <c r="F585" i="3"/>
  <c r="F589" i="3"/>
  <c r="F593" i="3"/>
  <c r="F597" i="3"/>
  <c r="F601" i="3"/>
  <c r="F605" i="3"/>
  <c r="F609" i="3"/>
  <c r="F613" i="3"/>
  <c r="F617" i="3"/>
  <c r="F621" i="3"/>
  <c r="F625" i="3"/>
  <c r="F629" i="3"/>
  <c r="F633" i="3"/>
  <c r="F637" i="3"/>
  <c r="F641" i="3"/>
  <c r="F645" i="3"/>
  <c r="F649" i="3"/>
  <c r="F653" i="3"/>
  <c r="F657" i="3"/>
  <c r="F661" i="3"/>
  <c r="F665" i="3"/>
  <c r="F669" i="3"/>
  <c r="F673" i="3"/>
  <c r="F677" i="3"/>
  <c r="F681" i="3"/>
  <c r="F685" i="3"/>
  <c r="F689" i="3"/>
  <c r="F693" i="3"/>
  <c r="F697" i="3"/>
  <c r="F433" i="3"/>
  <c r="F485" i="3"/>
  <c r="F717" i="3"/>
  <c r="F737" i="3"/>
  <c r="F745" i="3"/>
  <c r="F765" i="3"/>
  <c r="F770" i="3"/>
  <c r="F774" i="3"/>
  <c r="F778" i="3"/>
  <c r="F782" i="3"/>
  <c r="F786" i="3"/>
  <c r="F790" i="3"/>
  <c r="F794" i="3"/>
  <c r="F798" i="3"/>
  <c r="F802" i="3"/>
  <c r="F806" i="3"/>
  <c r="F810" i="3"/>
  <c r="F814" i="3"/>
  <c r="F818" i="3"/>
  <c r="F822" i="3"/>
  <c r="F826" i="3"/>
  <c r="F830" i="3"/>
  <c r="F834" i="3"/>
  <c r="F838" i="3"/>
  <c r="F842" i="3"/>
  <c r="F846" i="3"/>
  <c r="F850" i="3"/>
  <c r="F854" i="3"/>
  <c r="F858" i="3"/>
  <c r="F862" i="3"/>
  <c r="F866" i="3"/>
  <c r="F870" i="3"/>
  <c r="F874" i="3"/>
  <c r="F878" i="3"/>
  <c r="F882" i="3"/>
  <c r="F886" i="3"/>
  <c r="F890" i="3"/>
  <c r="F894" i="3"/>
  <c r="F898" i="3"/>
  <c r="F902" i="3"/>
  <c r="F906" i="3"/>
  <c r="F910" i="3"/>
  <c r="F914" i="3"/>
  <c r="F918" i="3"/>
  <c r="F922" i="3"/>
  <c r="F926" i="3"/>
  <c r="F930" i="3"/>
  <c r="F934" i="3"/>
  <c r="F938" i="3"/>
  <c r="F942" i="3"/>
  <c r="F946" i="3"/>
  <c r="F950" i="3"/>
  <c r="F954" i="3"/>
  <c r="F958" i="3"/>
  <c r="F962" i="3"/>
  <c r="F966" i="3"/>
  <c r="F970" i="3"/>
  <c r="F974" i="3"/>
  <c r="F978" i="3"/>
  <c r="F982" i="3"/>
  <c r="F986" i="3"/>
  <c r="F990" i="3"/>
  <c r="F994" i="3"/>
  <c r="F998" i="3"/>
  <c r="F1002" i="3"/>
  <c r="F1006" i="3"/>
  <c r="F1010" i="3"/>
  <c r="F1014" i="3"/>
  <c r="F1018" i="3"/>
  <c r="F1022" i="3"/>
  <c r="F1026" i="3"/>
  <c r="F1030" i="3"/>
  <c r="F1034" i="3"/>
  <c r="F1038" i="3"/>
  <c r="F182" i="3"/>
  <c r="F439" i="3"/>
  <c r="F729" i="3"/>
  <c r="F753" i="3"/>
  <c r="F760" i="3"/>
  <c r="F766" i="3"/>
  <c r="F446" i="3"/>
  <c r="F709" i="3"/>
  <c r="F740" i="3"/>
  <c r="F748" i="3"/>
  <c r="F755" i="3"/>
  <c r="F767" i="3"/>
  <c r="F771" i="3"/>
  <c r="F775" i="3"/>
  <c r="F779" i="3"/>
  <c r="F783" i="3"/>
  <c r="F787" i="3"/>
  <c r="F791" i="3"/>
  <c r="F795" i="3"/>
  <c r="F799" i="3"/>
  <c r="F803" i="3"/>
  <c r="F807" i="3"/>
  <c r="F811" i="3"/>
  <c r="F815" i="3"/>
  <c r="F819" i="3"/>
  <c r="F823" i="3"/>
  <c r="F827" i="3"/>
  <c r="F831" i="3"/>
  <c r="F835" i="3"/>
  <c r="F839" i="3"/>
  <c r="F843" i="3"/>
  <c r="F847" i="3"/>
  <c r="F851" i="3"/>
  <c r="F855" i="3"/>
  <c r="F859" i="3"/>
  <c r="F863" i="3"/>
  <c r="F867" i="3"/>
  <c r="F871" i="3"/>
  <c r="F875" i="3"/>
  <c r="F879" i="3"/>
  <c r="F883" i="3"/>
  <c r="F887" i="3"/>
  <c r="F891" i="3"/>
  <c r="F895" i="3"/>
  <c r="F899" i="3"/>
  <c r="F903" i="3"/>
  <c r="F907" i="3"/>
  <c r="F911" i="3"/>
  <c r="F915" i="3"/>
  <c r="F919" i="3"/>
  <c r="F923" i="3"/>
  <c r="F927" i="3"/>
  <c r="F931" i="3"/>
  <c r="F935" i="3"/>
  <c r="F939" i="3"/>
  <c r="F943" i="3"/>
  <c r="F947" i="3"/>
  <c r="F951" i="3"/>
  <c r="F955" i="3"/>
  <c r="F959" i="3"/>
  <c r="F963" i="3"/>
  <c r="F967" i="3"/>
  <c r="F971" i="3"/>
  <c r="F975" i="3"/>
  <c r="F979" i="3"/>
  <c r="F983" i="3"/>
  <c r="F987" i="3"/>
  <c r="F991" i="3"/>
  <c r="F995" i="3"/>
  <c r="F999" i="3"/>
  <c r="F1003" i="3"/>
  <c r="F1007" i="3"/>
  <c r="F1011" i="3"/>
  <c r="F1015" i="3"/>
  <c r="F1019" i="3"/>
  <c r="F1023" i="3"/>
  <c r="F1027" i="3"/>
  <c r="F1031" i="3"/>
  <c r="F1035" i="3"/>
  <c r="F1039" i="3"/>
  <c r="F1043" i="3"/>
  <c r="F1047" i="3"/>
  <c r="F1051" i="3"/>
  <c r="F1055" i="3"/>
  <c r="F1059" i="3"/>
  <c r="F284" i="3"/>
  <c r="F453" i="3"/>
  <c r="F503" i="3"/>
  <c r="F721" i="3"/>
  <c r="F761" i="3"/>
  <c r="F510" i="3"/>
  <c r="F701" i="3"/>
  <c r="F733" i="3"/>
  <c r="F741" i="3"/>
  <c r="F749" i="3"/>
  <c r="F756" i="3"/>
  <c r="F763" i="3"/>
  <c r="F768" i="3"/>
  <c r="F772" i="3"/>
  <c r="F776" i="3"/>
  <c r="F780" i="3"/>
  <c r="F784" i="3"/>
  <c r="F788" i="3"/>
  <c r="F792" i="3"/>
  <c r="F796" i="3"/>
  <c r="F800" i="3"/>
  <c r="F804" i="3"/>
  <c r="F808" i="3"/>
  <c r="F812" i="3"/>
  <c r="F816" i="3"/>
  <c r="F820" i="3"/>
  <c r="F824" i="3"/>
  <c r="F828" i="3"/>
  <c r="F832" i="3"/>
  <c r="F836" i="3"/>
  <c r="F840" i="3"/>
  <c r="F844" i="3"/>
  <c r="F848" i="3"/>
  <c r="F852" i="3"/>
  <c r="F856" i="3"/>
  <c r="F860" i="3"/>
  <c r="F864" i="3"/>
  <c r="F868" i="3"/>
  <c r="F872" i="3"/>
  <c r="F876" i="3"/>
  <c r="F880" i="3"/>
  <c r="F884" i="3"/>
  <c r="F888" i="3"/>
  <c r="F892" i="3"/>
  <c r="F896" i="3"/>
  <c r="F900" i="3"/>
  <c r="F904" i="3"/>
  <c r="F908" i="3"/>
  <c r="F912" i="3"/>
  <c r="F916" i="3"/>
  <c r="F920" i="3"/>
  <c r="F924" i="3"/>
  <c r="F928" i="3"/>
  <c r="F932" i="3"/>
  <c r="F936" i="3"/>
  <c r="F940" i="3"/>
  <c r="F944" i="3"/>
  <c r="F948" i="3"/>
  <c r="F952" i="3"/>
  <c r="F956" i="3"/>
  <c r="F960" i="3"/>
  <c r="F964" i="3"/>
  <c r="F968" i="3"/>
  <c r="F972" i="3"/>
  <c r="F976" i="3"/>
  <c r="F980" i="3"/>
  <c r="F984" i="3"/>
  <c r="F988" i="3"/>
  <c r="F713" i="3"/>
  <c r="F751" i="3"/>
  <c r="F478" i="3"/>
  <c r="F705" i="3"/>
  <c r="F752" i="3"/>
  <c r="F759" i="3"/>
  <c r="F769" i="3"/>
  <c r="F801" i="3"/>
  <c r="F833" i="3"/>
  <c r="F865" i="3"/>
  <c r="F897" i="3"/>
  <c r="F929" i="3"/>
  <c r="F961" i="3"/>
  <c r="F992" i="3"/>
  <c r="F1005" i="3"/>
  <c r="F1016" i="3"/>
  <c r="F1033" i="3"/>
  <c r="F1040" i="3"/>
  <c r="F1045" i="3"/>
  <c r="F1054" i="3"/>
  <c r="F1063" i="3"/>
  <c r="F1067" i="3"/>
  <c r="F1071" i="3"/>
  <c r="F1075" i="3"/>
  <c r="F1079" i="3"/>
  <c r="F1083" i="3"/>
  <c r="F1087" i="3"/>
  <c r="F1091" i="3"/>
  <c r="F1095" i="3"/>
  <c r="F1099" i="3"/>
  <c r="F1103" i="3"/>
  <c r="F1107" i="3"/>
  <c r="F1111" i="3"/>
  <c r="F1115" i="3"/>
  <c r="F1119" i="3"/>
  <c r="F1123" i="3"/>
  <c r="F1127" i="3"/>
  <c r="F1131" i="3"/>
  <c r="F1135" i="3"/>
  <c r="F1139" i="3"/>
  <c r="F1143" i="3"/>
  <c r="F1147" i="3"/>
  <c r="F1151" i="3"/>
  <c r="F1155" i="3"/>
  <c r="F1159" i="3"/>
  <c r="F1163" i="3"/>
  <c r="F1167" i="3"/>
  <c r="F1171" i="3"/>
  <c r="F1175" i="3"/>
  <c r="F1179" i="3"/>
  <c r="F1183" i="3"/>
  <c r="F1187" i="3"/>
  <c r="F1191" i="3"/>
  <c r="F1195" i="3"/>
  <c r="F1199" i="3"/>
  <c r="F1203" i="3"/>
  <c r="F1207" i="3"/>
  <c r="F1211" i="3"/>
  <c r="F1215" i="3"/>
  <c r="F1219" i="3"/>
  <c r="F1223" i="3"/>
  <c r="F1227" i="3"/>
  <c r="F1231" i="3"/>
  <c r="F1235" i="3"/>
  <c r="F1239" i="3"/>
  <c r="F1243" i="3"/>
  <c r="F1247" i="3"/>
  <c r="F1251" i="3"/>
  <c r="F1255" i="3"/>
  <c r="F1259" i="3"/>
  <c r="F1263" i="3"/>
  <c r="F1267" i="3"/>
  <c r="F1271" i="3"/>
  <c r="F1275" i="3"/>
  <c r="F1279" i="3"/>
  <c r="F1283" i="3"/>
  <c r="F1287" i="3"/>
  <c r="F1291" i="3"/>
  <c r="F1295" i="3"/>
  <c r="F1299" i="3"/>
  <c r="F1303" i="3"/>
  <c r="F1307" i="3"/>
  <c r="F1311" i="3"/>
  <c r="F1315" i="3"/>
  <c r="F1319" i="3"/>
  <c r="F1323" i="3"/>
  <c r="F1327" i="3"/>
  <c r="F1331" i="3"/>
  <c r="F1335" i="3"/>
  <c r="F1339" i="3"/>
  <c r="F1343" i="3"/>
  <c r="F1347" i="3"/>
  <c r="F1351" i="3"/>
  <c r="F1355" i="3"/>
  <c r="F1359" i="3"/>
  <c r="F1363" i="3"/>
  <c r="F1367" i="3"/>
  <c r="F1371" i="3"/>
  <c r="F1375" i="3"/>
  <c r="F1379" i="3"/>
  <c r="F1383" i="3"/>
  <c r="F1387" i="3"/>
  <c r="F1391" i="3"/>
  <c r="F1395" i="3"/>
  <c r="F1399" i="3"/>
  <c r="F1403" i="3"/>
  <c r="F1407" i="3"/>
  <c r="F1411" i="3"/>
  <c r="F1415" i="3"/>
  <c r="F1419" i="3"/>
  <c r="F1423" i="3"/>
  <c r="F1427" i="3"/>
  <c r="F1431" i="3"/>
  <c r="F1435" i="3"/>
  <c r="F1439" i="3"/>
  <c r="F1443" i="3"/>
  <c r="F1447" i="3"/>
  <c r="F471" i="3"/>
  <c r="F773" i="3"/>
  <c r="F805" i="3"/>
  <c r="F837" i="3"/>
  <c r="F869" i="3"/>
  <c r="F901" i="3"/>
  <c r="F933" i="3"/>
  <c r="F965" i="3"/>
  <c r="F993" i="3"/>
  <c r="F1017" i="3"/>
  <c r="F1050" i="3"/>
  <c r="F520" i="3"/>
  <c r="F725" i="3"/>
  <c r="F777" i="3"/>
  <c r="F809" i="3"/>
  <c r="F841" i="3"/>
  <c r="F873" i="3"/>
  <c r="F905" i="3"/>
  <c r="F937" i="3"/>
  <c r="F969" i="3"/>
  <c r="F996" i="3"/>
  <c r="F1008" i="3"/>
  <c r="F1028" i="3"/>
  <c r="F1041" i="3"/>
  <c r="F1046" i="3"/>
  <c r="F1060" i="3"/>
  <c r="F1064" i="3"/>
  <c r="F1068" i="3"/>
  <c r="F1072" i="3"/>
  <c r="F1076" i="3"/>
  <c r="F1080" i="3"/>
  <c r="F1084" i="3"/>
  <c r="F1088" i="3"/>
  <c r="F1092" i="3"/>
  <c r="F1096" i="3"/>
  <c r="F1100" i="3"/>
  <c r="F1104" i="3"/>
  <c r="F1108" i="3"/>
  <c r="F1112" i="3"/>
  <c r="F1116" i="3"/>
  <c r="F1120" i="3"/>
  <c r="F1124" i="3"/>
  <c r="F1128" i="3"/>
  <c r="F1132" i="3"/>
  <c r="F1136" i="3"/>
  <c r="F1140" i="3"/>
  <c r="F1144" i="3"/>
  <c r="F1148" i="3"/>
  <c r="F1152" i="3"/>
  <c r="F1156" i="3"/>
  <c r="F1160" i="3"/>
  <c r="F1164" i="3"/>
  <c r="F1168" i="3"/>
  <c r="F1172" i="3"/>
  <c r="F1176" i="3"/>
  <c r="F1180" i="3"/>
  <c r="F1184" i="3"/>
  <c r="F1188" i="3"/>
  <c r="F1192" i="3"/>
  <c r="F1196" i="3"/>
  <c r="F1200" i="3"/>
  <c r="F1204" i="3"/>
  <c r="F1208" i="3"/>
  <c r="F1212" i="3"/>
  <c r="F1216" i="3"/>
  <c r="F1220" i="3"/>
  <c r="F1224" i="3"/>
  <c r="F1228" i="3"/>
  <c r="F1232" i="3"/>
  <c r="F1236" i="3"/>
  <c r="F1240" i="3"/>
  <c r="F1244" i="3"/>
  <c r="F1248" i="3"/>
  <c r="F1252" i="3"/>
  <c r="F1256" i="3"/>
  <c r="F1260" i="3"/>
  <c r="F1264" i="3"/>
  <c r="F1268" i="3"/>
  <c r="F1272" i="3"/>
  <c r="F1276" i="3"/>
  <c r="F1280" i="3"/>
  <c r="F1284" i="3"/>
  <c r="F1288" i="3"/>
  <c r="F1292" i="3"/>
  <c r="F1296" i="3"/>
  <c r="F1300" i="3"/>
  <c r="F1304" i="3"/>
  <c r="F1308" i="3"/>
  <c r="F1312" i="3"/>
  <c r="F1316" i="3"/>
  <c r="F1320" i="3"/>
  <c r="F1324" i="3"/>
  <c r="F1328" i="3"/>
  <c r="F736" i="3"/>
  <c r="F781" i="3"/>
  <c r="F813" i="3"/>
  <c r="F845" i="3"/>
  <c r="F877" i="3"/>
  <c r="F909" i="3"/>
  <c r="F941" i="3"/>
  <c r="F973" i="3"/>
  <c r="F997" i="3"/>
  <c r="F1009" i="3"/>
  <c r="F1020" i="3"/>
  <c r="F1029" i="3"/>
  <c r="F1036" i="3"/>
  <c r="F1056" i="3"/>
  <c r="F744" i="3"/>
  <c r="F785" i="3"/>
  <c r="F817" i="3"/>
  <c r="F849" i="3"/>
  <c r="F881" i="3"/>
  <c r="F913" i="3"/>
  <c r="F945" i="3"/>
  <c r="F977" i="3"/>
  <c r="F1000" i="3"/>
  <c r="F1021" i="3"/>
  <c r="F1042" i="3"/>
  <c r="F1052" i="3"/>
  <c r="F1061" i="3"/>
  <c r="F1065" i="3"/>
  <c r="F1069" i="3"/>
  <c r="F1073" i="3"/>
  <c r="F1077" i="3"/>
  <c r="F1081" i="3"/>
  <c r="F1085" i="3"/>
  <c r="F1089" i="3"/>
  <c r="F1093" i="3"/>
  <c r="F1097" i="3"/>
  <c r="F1101" i="3"/>
  <c r="F1105" i="3"/>
  <c r="F1109" i="3"/>
  <c r="F1113" i="3"/>
  <c r="F1117" i="3"/>
  <c r="F1121" i="3"/>
  <c r="F1125" i="3"/>
  <c r="F1129" i="3"/>
  <c r="F1133" i="3"/>
  <c r="F1137" i="3"/>
  <c r="F1141" i="3"/>
  <c r="F1145" i="3"/>
  <c r="F1149" i="3"/>
  <c r="F1153" i="3"/>
  <c r="F1157" i="3"/>
  <c r="F1161" i="3"/>
  <c r="F1165" i="3"/>
  <c r="F1169" i="3"/>
  <c r="F1173" i="3"/>
  <c r="F1177" i="3"/>
  <c r="F1181" i="3"/>
  <c r="F1185" i="3"/>
  <c r="F1189" i="3"/>
  <c r="F1193" i="3"/>
  <c r="F1197" i="3"/>
  <c r="F1201" i="3"/>
  <c r="F1205" i="3"/>
  <c r="F1209" i="3"/>
  <c r="F1213" i="3"/>
  <c r="F1217" i="3"/>
  <c r="F1221" i="3"/>
  <c r="F1225" i="3"/>
  <c r="F1229" i="3"/>
  <c r="F1233" i="3"/>
  <c r="F1237" i="3"/>
  <c r="F1241" i="3"/>
  <c r="F1245" i="3"/>
  <c r="F1249" i="3"/>
  <c r="F1253" i="3"/>
  <c r="F1257" i="3"/>
  <c r="F1261" i="3"/>
  <c r="F1265" i="3"/>
  <c r="F1269" i="3"/>
  <c r="F1273" i="3"/>
  <c r="F1277" i="3"/>
  <c r="F1281" i="3"/>
  <c r="F1285" i="3"/>
  <c r="F1289" i="3"/>
  <c r="F1293" i="3"/>
  <c r="F1297" i="3"/>
  <c r="F1301" i="3"/>
  <c r="F1305" i="3"/>
  <c r="F1309" i="3"/>
  <c r="F789" i="3"/>
  <c r="F821" i="3"/>
  <c r="F853" i="3"/>
  <c r="F885" i="3"/>
  <c r="F917" i="3"/>
  <c r="F949" i="3"/>
  <c r="F981" i="3"/>
  <c r="F1001" i="3"/>
  <c r="F1012" i="3"/>
  <c r="F1037" i="3"/>
  <c r="F1048" i="3"/>
  <c r="F1057" i="3"/>
  <c r="F757" i="3"/>
  <c r="F793" i="3"/>
  <c r="F825" i="3"/>
  <c r="F857" i="3"/>
  <c r="F889" i="3"/>
  <c r="F921" i="3"/>
  <c r="F953" i="3"/>
  <c r="F985" i="3"/>
  <c r="F1013" i="3"/>
  <c r="F1024" i="3"/>
  <c r="F1032" i="3"/>
  <c r="F1044" i="3"/>
  <c r="F1053" i="3"/>
  <c r="F1062" i="3"/>
  <c r="F1066" i="3"/>
  <c r="F1070" i="3"/>
  <c r="F1074" i="3"/>
  <c r="F1078" i="3"/>
  <c r="F1082" i="3"/>
  <c r="F1086" i="3"/>
  <c r="F1090" i="3"/>
  <c r="F1094" i="3"/>
  <c r="F1098" i="3"/>
  <c r="F1102" i="3"/>
  <c r="F1106" i="3"/>
  <c r="F1110" i="3"/>
  <c r="F1114" i="3"/>
  <c r="F1118" i="3"/>
  <c r="F1122" i="3"/>
  <c r="F1126" i="3"/>
  <c r="F1130" i="3"/>
  <c r="F1134" i="3"/>
  <c r="F1138" i="3"/>
  <c r="F1142" i="3"/>
  <c r="F1146" i="3"/>
  <c r="F1150" i="3"/>
  <c r="F1154" i="3"/>
  <c r="F1158" i="3"/>
  <c r="F1162" i="3"/>
  <c r="F1166" i="3"/>
  <c r="F1170" i="3"/>
  <c r="F1174" i="3"/>
  <c r="F1178" i="3"/>
  <c r="F1182" i="3"/>
  <c r="F1186" i="3"/>
  <c r="F1190" i="3"/>
  <c r="F1194" i="3"/>
  <c r="F1198" i="3"/>
  <c r="F1202" i="3"/>
  <c r="F1206" i="3"/>
  <c r="F1210" i="3"/>
  <c r="F1214" i="3"/>
  <c r="F1218" i="3"/>
  <c r="F1222" i="3"/>
  <c r="F1226" i="3"/>
  <c r="F1230" i="3"/>
  <c r="F1234" i="3"/>
  <c r="F1238" i="3"/>
  <c r="F1242" i="3"/>
  <c r="F1246" i="3"/>
  <c r="F1250" i="3"/>
  <c r="F1254" i="3"/>
  <c r="F1258" i="3"/>
  <c r="F1262" i="3"/>
  <c r="F1266" i="3"/>
  <c r="F1270" i="3"/>
  <c r="F1274" i="3"/>
  <c r="F1278" i="3"/>
  <c r="F1282" i="3"/>
  <c r="F1286" i="3"/>
  <c r="F1290" i="3"/>
  <c r="F1294" i="3"/>
  <c r="F1298" i="3"/>
  <c r="F1302" i="3"/>
  <c r="F1306" i="3"/>
  <c r="F1310" i="3"/>
  <c r="F1314" i="3"/>
  <c r="F1318" i="3"/>
  <c r="F989" i="3"/>
  <c r="F1325" i="3"/>
  <c r="F1332" i="3"/>
  <c r="F1348" i="3"/>
  <c r="F1364" i="3"/>
  <c r="F1380" i="3"/>
  <c r="F1396" i="3"/>
  <c r="F1406" i="3"/>
  <c r="F1420" i="3"/>
  <c r="F1429" i="3"/>
  <c r="F1438" i="3"/>
  <c r="F764" i="3"/>
  <c r="F1004" i="3"/>
  <c r="F1058" i="3"/>
  <c r="F1313" i="3"/>
  <c r="F1326" i="3"/>
  <c r="F1333" i="3"/>
  <c r="F1338" i="3"/>
  <c r="F1349" i="3"/>
  <c r="F1354" i="3"/>
  <c r="F1365" i="3"/>
  <c r="F1370" i="3"/>
  <c r="F1381" i="3"/>
  <c r="F1386" i="3"/>
  <c r="F1397" i="3"/>
  <c r="F1402" i="3"/>
  <c r="F1416" i="3"/>
  <c r="F1425" i="3"/>
  <c r="F1434" i="3"/>
  <c r="F1448" i="3"/>
  <c r="F1452" i="3"/>
  <c r="F1456" i="3"/>
  <c r="F1460" i="3"/>
  <c r="F1464" i="3"/>
  <c r="F1468" i="3"/>
  <c r="F1472" i="3"/>
  <c r="F1476" i="3"/>
  <c r="F1480" i="3"/>
  <c r="F1484" i="3"/>
  <c r="F1488" i="3"/>
  <c r="F1492" i="3"/>
  <c r="F1496" i="3"/>
  <c r="F1500" i="3"/>
  <c r="F1504" i="3"/>
  <c r="F1508" i="3"/>
  <c r="F1512" i="3"/>
  <c r="F1516" i="3"/>
  <c r="F1520" i="3"/>
  <c r="F1524" i="3"/>
  <c r="F1528" i="3"/>
  <c r="F1532" i="3"/>
  <c r="F1536" i="3"/>
  <c r="F1540" i="3"/>
  <c r="F1544" i="3"/>
  <c r="F1548" i="3"/>
  <c r="F1552" i="3"/>
  <c r="F1556" i="3"/>
  <c r="F1560" i="3"/>
  <c r="F1564" i="3"/>
  <c r="F1568" i="3"/>
  <c r="F1572" i="3"/>
  <c r="F1576" i="3"/>
  <c r="F1580" i="3"/>
  <c r="F1584" i="3"/>
  <c r="F1588" i="3"/>
  <c r="F1592" i="3"/>
  <c r="F1596" i="3"/>
  <c r="F1600" i="3"/>
  <c r="F1604" i="3"/>
  <c r="F1608" i="3"/>
  <c r="F1612" i="3"/>
  <c r="F1616" i="3"/>
  <c r="F1620" i="3"/>
  <c r="F1624" i="3"/>
  <c r="F1628" i="3"/>
  <c r="F1632" i="3"/>
  <c r="F1636" i="3"/>
  <c r="F1640" i="3"/>
  <c r="F1644" i="3"/>
  <c r="F1648" i="3"/>
  <c r="F797" i="3"/>
  <c r="F1344" i="3"/>
  <c r="F1360" i="3"/>
  <c r="F1376" i="3"/>
  <c r="F1392" i="3"/>
  <c r="F1412" i="3"/>
  <c r="F1421" i="3"/>
  <c r="F1430" i="3"/>
  <c r="F1444" i="3"/>
  <c r="F829" i="3"/>
  <c r="F1025" i="3"/>
  <c r="F1317" i="3"/>
  <c r="F1329" i="3"/>
  <c r="F1334" i="3"/>
  <c r="F1345" i="3"/>
  <c r="F1350" i="3"/>
  <c r="F1361" i="3"/>
  <c r="F1366" i="3"/>
  <c r="F1377" i="3"/>
  <c r="F1382" i="3"/>
  <c r="F1393" i="3"/>
  <c r="F1398" i="3"/>
  <c r="F1408" i="3"/>
  <c r="F1417" i="3"/>
  <c r="F1426" i="3"/>
  <c r="F1440" i="3"/>
  <c r="F1449" i="3"/>
  <c r="F1453" i="3"/>
  <c r="F1457" i="3"/>
  <c r="F1461" i="3"/>
  <c r="F1465" i="3"/>
  <c r="F1469" i="3"/>
  <c r="F1473" i="3"/>
  <c r="F1477" i="3"/>
  <c r="F1481" i="3"/>
  <c r="F1485" i="3"/>
  <c r="F1489" i="3"/>
  <c r="F1493" i="3"/>
  <c r="F1497" i="3"/>
  <c r="F1501" i="3"/>
  <c r="F1505" i="3"/>
  <c r="F1509" i="3"/>
  <c r="F1513" i="3"/>
  <c r="F1517" i="3"/>
  <c r="F1521" i="3"/>
  <c r="F1525" i="3"/>
  <c r="F1529" i="3"/>
  <c r="F1533" i="3"/>
  <c r="F1537" i="3"/>
  <c r="F1541" i="3"/>
  <c r="F1545" i="3"/>
  <c r="F1549" i="3"/>
  <c r="F1553" i="3"/>
  <c r="F1557" i="3"/>
  <c r="F1561" i="3"/>
  <c r="F1565" i="3"/>
  <c r="F1569" i="3"/>
  <c r="F1573" i="3"/>
  <c r="F1577" i="3"/>
  <c r="F1581" i="3"/>
  <c r="F1585" i="3"/>
  <c r="F1589" i="3"/>
  <c r="F1593" i="3"/>
  <c r="F1597" i="3"/>
  <c r="F1601" i="3"/>
  <c r="F1605" i="3"/>
  <c r="F1609" i="3"/>
  <c r="F1613" i="3"/>
  <c r="F1617" i="3"/>
  <c r="F1621" i="3"/>
  <c r="F1625" i="3"/>
  <c r="F1629" i="3"/>
  <c r="F861" i="3"/>
  <c r="F1340" i="3"/>
  <c r="F1356" i="3"/>
  <c r="F1372" i="3"/>
  <c r="F1388" i="3"/>
  <c r="F1404" i="3"/>
  <c r="F1413" i="3"/>
  <c r="F1422" i="3"/>
  <c r="F1436" i="3"/>
  <c r="F1445" i="3"/>
  <c r="F893" i="3"/>
  <c r="F1321" i="3"/>
  <c r="F1330" i="3"/>
  <c r="F1341" i="3"/>
  <c r="F1346" i="3"/>
  <c r="F1357" i="3"/>
  <c r="F1362" i="3"/>
  <c r="F1373" i="3"/>
  <c r="F1378" i="3"/>
  <c r="F1389" i="3"/>
  <c r="F1394" i="3"/>
  <c r="F1409" i="3"/>
  <c r="F1418" i="3"/>
  <c r="F1432" i="3"/>
  <c r="F1441" i="3"/>
  <c r="F1450" i="3"/>
  <c r="F1454" i="3"/>
  <c r="F1458" i="3"/>
  <c r="F1462" i="3"/>
  <c r="F1466" i="3"/>
  <c r="F1470" i="3"/>
  <c r="F1474" i="3"/>
  <c r="F1478" i="3"/>
  <c r="F1482" i="3"/>
  <c r="F1486" i="3"/>
  <c r="F1490" i="3"/>
  <c r="F1494" i="3"/>
  <c r="F1498" i="3"/>
  <c r="F1502" i="3"/>
  <c r="F1506" i="3"/>
  <c r="F1510" i="3"/>
  <c r="F1514" i="3"/>
  <c r="F1518" i="3"/>
  <c r="F1522" i="3"/>
  <c r="F1526" i="3"/>
  <c r="F1530" i="3"/>
  <c r="F1534" i="3"/>
  <c r="F1538" i="3"/>
  <c r="F1542" i="3"/>
  <c r="F1546" i="3"/>
  <c r="F1550" i="3"/>
  <c r="F1554" i="3"/>
  <c r="F1558" i="3"/>
  <c r="F1562" i="3"/>
  <c r="F1566" i="3"/>
  <c r="F1570" i="3"/>
  <c r="F1574" i="3"/>
  <c r="F1578" i="3"/>
  <c r="F1582" i="3"/>
  <c r="F1586" i="3"/>
  <c r="F1590" i="3"/>
  <c r="F1594" i="3"/>
  <c r="F1598" i="3"/>
  <c r="F1602" i="3"/>
  <c r="F1606" i="3"/>
  <c r="F1610" i="3"/>
  <c r="F1614" i="3"/>
  <c r="F957" i="3"/>
  <c r="F1049" i="3"/>
  <c r="F1337" i="3"/>
  <c r="F1342" i="3"/>
  <c r="F1353" i="3"/>
  <c r="F1358" i="3"/>
  <c r="F1369" i="3"/>
  <c r="F1374" i="3"/>
  <c r="F1385" i="3"/>
  <c r="F1390" i="3"/>
  <c r="F1401" i="3"/>
  <c r="F1410" i="3"/>
  <c r="F1424" i="3"/>
  <c r="F1433" i="3"/>
  <c r="F1442" i="3"/>
  <c r="F1451" i="3"/>
  <c r="F1455" i="3"/>
  <c r="F1459" i="3"/>
  <c r="F1463" i="3"/>
  <c r="F1467" i="3"/>
  <c r="F1471" i="3"/>
  <c r="F1475" i="3"/>
  <c r="F1479" i="3"/>
  <c r="F1483" i="3"/>
  <c r="F1487" i="3"/>
  <c r="F1491" i="3"/>
  <c r="F1495" i="3"/>
  <c r="F1499" i="3"/>
  <c r="F1503" i="3"/>
  <c r="F1507" i="3"/>
  <c r="F1511" i="3"/>
  <c r="F1515" i="3"/>
  <c r="F1519" i="3"/>
  <c r="F1523" i="3"/>
  <c r="F1527" i="3"/>
  <c r="F1531" i="3"/>
  <c r="F1535" i="3"/>
  <c r="F1539" i="3"/>
  <c r="F1543" i="3"/>
  <c r="F1547" i="3"/>
  <c r="F1551" i="3"/>
  <c r="F1555" i="3"/>
  <c r="F1559" i="3"/>
  <c r="F1563" i="3"/>
  <c r="F1567" i="3"/>
  <c r="F1571" i="3"/>
  <c r="F1575" i="3"/>
  <c r="F1579" i="3"/>
  <c r="F1583" i="3"/>
  <c r="F1587" i="3"/>
  <c r="F1591" i="3"/>
  <c r="F1595" i="3"/>
  <c r="F1599" i="3"/>
  <c r="F1603" i="3"/>
  <c r="F1607" i="3"/>
  <c r="F1611" i="3"/>
  <c r="F1615" i="3"/>
  <c r="F925" i="3"/>
  <c r="F1400" i="3"/>
  <c r="F1437" i="3"/>
  <c r="F1622" i="3"/>
  <c r="F1631" i="3"/>
  <c r="F1639" i="3"/>
  <c r="F1647" i="3"/>
  <c r="F1664" i="3"/>
  <c r="F1679" i="3"/>
  <c r="F1684" i="3"/>
  <c r="F1693" i="3"/>
  <c r="F1702" i="3"/>
  <c r="F1711" i="3"/>
  <c r="F1716" i="3"/>
  <c r="F1725" i="3"/>
  <c r="F1734" i="3"/>
  <c r="F1743" i="3"/>
  <c r="F1748" i="3"/>
  <c r="F1797" i="3"/>
  <c r="F1801" i="3"/>
  <c r="F1805" i="3"/>
  <c r="F1809" i="3"/>
  <c r="F1813" i="3"/>
  <c r="F1817" i="3"/>
  <c r="F1821" i="3"/>
  <c r="F1825" i="3"/>
  <c r="F1829" i="3"/>
  <c r="F1833" i="3"/>
  <c r="F1837" i="3"/>
  <c r="F1841" i="3"/>
  <c r="F1845" i="3"/>
  <c r="F1849" i="3"/>
  <c r="F1853" i="3"/>
  <c r="F1857" i="3"/>
  <c r="F1861" i="3"/>
  <c r="F1865" i="3"/>
  <c r="F1669" i="3"/>
  <c r="F1697" i="3"/>
  <c r="F1752" i="3"/>
  <c r="F1776" i="3"/>
  <c r="F1788" i="3"/>
  <c r="F1816" i="3"/>
  <c r="F1828" i="3"/>
  <c r="F1852" i="3"/>
  <c r="F1860" i="3"/>
  <c r="F1405" i="3"/>
  <c r="F1633" i="3"/>
  <c r="F1641" i="3"/>
  <c r="F1649" i="3"/>
  <c r="F1654" i="3"/>
  <c r="F1659" i="3"/>
  <c r="F1665" i="3"/>
  <c r="F1670" i="3"/>
  <c r="F1675" i="3"/>
  <c r="F1680" i="3"/>
  <c r="F1689" i="3"/>
  <c r="F1698" i="3"/>
  <c r="F1707" i="3"/>
  <c r="F1712" i="3"/>
  <c r="F1721" i="3"/>
  <c r="F1730" i="3"/>
  <c r="F1739" i="3"/>
  <c r="F1744" i="3"/>
  <c r="F1753" i="3"/>
  <c r="F1757" i="3"/>
  <c r="F1761" i="3"/>
  <c r="F1765" i="3"/>
  <c r="F1769" i="3"/>
  <c r="F1773" i="3"/>
  <c r="F1777" i="3"/>
  <c r="F1781" i="3"/>
  <c r="F1785" i="3"/>
  <c r="F1789" i="3"/>
  <c r="F1793" i="3"/>
  <c r="F1720" i="3"/>
  <c r="F1764" i="3"/>
  <c r="F1804" i="3"/>
  <c r="F1836" i="3"/>
  <c r="F1322" i="3"/>
  <c r="F1368" i="3"/>
  <c r="F1446" i="3"/>
  <c r="F1623" i="3"/>
  <c r="F1634" i="3"/>
  <c r="F1642" i="3"/>
  <c r="F1660" i="3"/>
  <c r="F1676" i="3"/>
  <c r="F1685" i="3"/>
  <c r="F1694" i="3"/>
  <c r="F1703" i="3"/>
  <c r="F1708" i="3"/>
  <c r="F1717" i="3"/>
  <c r="F1726" i="3"/>
  <c r="F1735" i="3"/>
  <c r="F1740" i="3"/>
  <c r="F1749" i="3"/>
  <c r="F1810" i="3"/>
  <c r="F1822" i="3"/>
  <c r="F1830" i="3"/>
  <c r="F1838" i="3"/>
  <c r="F1846" i="3"/>
  <c r="F1854" i="3"/>
  <c r="F1858" i="3"/>
  <c r="F1866" i="3"/>
  <c r="F1688" i="3"/>
  <c r="F1800" i="3"/>
  <c r="F1856" i="3"/>
  <c r="F1414" i="3"/>
  <c r="F1626" i="3"/>
  <c r="F1650" i="3"/>
  <c r="F1655" i="3"/>
  <c r="F1661" i="3"/>
  <c r="F1666" i="3"/>
  <c r="F1671" i="3"/>
  <c r="F1681" i="3"/>
  <c r="F1690" i="3"/>
  <c r="F1699" i="3"/>
  <c r="F1704" i="3"/>
  <c r="F1713" i="3"/>
  <c r="F1722" i="3"/>
  <c r="F1731" i="3"/>
  <c r="F1736" i="3"/>
  <c r="F1745" i="3"/>
  <c r="F1754" i="3"/>
  <c r="F1758" i="3"/>
  <c r="F1762" i="3"/>
  <c r="F1766" i="3"/>
  <c r="F1770" i="3"/>
  <c r="F1774" i="3"/>
  <c r="F1778" i="3"/>
  <c r="F1782" i="3"/>
  <c r="F1786" i="3"/>
  <c r="F1790" i="3"/>
  <c r="F1794" i="3"/>
  <c r="F1798" i="3"/>
  <c r="F1802" i="3"/>
  <c r="F1806" i="3"/>
  <c r="F1814" i="3"/>
  <c r="F1818" i="3"/>
  <c r="F1826" i="3"/>
  <c r="F1834" i="3"/>
  <c r="F1842" i="3"/>
  <c r="F1850" i="3"/>
  <c r="F1862" i="3"/>
  <c r="F1756" i="3"/>
  <c r="F1784" i="3"/>
  <c r="F1812" i="3"/>
  <c r="F1840" i="3"/>
  <c r="F1336" i="3"/>
  <c r="F1635" i="3"/>
  <c r="F1643" i="3"/>
  <c r="F1656" i="3"/>
  <c r="F1672" i="3"/>
  <c r="F1677" i="3"/>
  <c r="F1686" i="3"/>
  <c r="F1695" i="3"/>
  <c r="F1700" i="3"/>
  <c r="F1709" i="3"/>
  <c r="F1718" i="3"/>
  <c r="F1727" i="3"/>
  <c r="F1732" i="3"/>
  <c r="F1741" i="3"/>
  <c r="F1750" i="3"/>
  <c r="F19" i="3"/>
  <c r="F1823" i="3"/>
  <c r="F1835" i="3"/>
  <c r="F1843" i="3"/>
  <c r="F1851" i="3"/>
  <c r="F1859" i="3"/>
  <c r="F1863" i="3"/>
  <c r="F1706" i="3"/>
  <c r="F1768" i="3"/>
  <c r="F1792" i="3"/>
  <c r="F1820" i="3"/>
  <c r="F1824" i="3"/>
  <c r="F1848" i="3"/>
  <c r="F1864" i="3"/>
  <c r="F1384" i="3"/>
  <c r="F1618" i="3"/>
  <c r="F1627" i="3"/>
  <c r="F1637" i="3"/>
  <c r="F1645" i="3"/>
  <c r="F1651" i="3"/>
  <c r="F1657" i="3"/>
  <c r="F1662" i="3"/>
  <c r="F1667" i="3"/>
  <c r="F1673" i="3"/>
  <c r="F1682" i="3"/>
  <c r="F1691" i="3"/>
  <c r="F1696" i="3"/>
  <c r="F1705" i="3"/>
  <c r="F1714" i="3"/>
  <c r="F1723" i="3"/>
  <c r="F1728" i="3"/>
  <c r="F1737" i="3"/>
  <c r="F1746" i="3"/>
  <c r="F1755" i="3"/>
  <c r="F1759" i="3"/>
  <c r="F1763" i="3"/>
  <c r="F1767" i="3"/>
  <c r="F1771" i="3"/>
  <c r="F1775" i="3"/>
  <c r="F1779" i="3"/>
  <c r="F1783" i="3"/>
  <c r="F1787" i="3"/>
  <c r="F1791" i="3"/>
  <c r="F1795" i="3"/>
  <c r="F1799" i="3"/>
  <c r="F1803" i="3"/>
  <c r="F1807" i="3"/>
  <c r="F1811" i="3"/>
  <c r="F1815" i="3"/>
  <c r="F1819" i="3"/>
  <c r="F1827" i="3"/>
  <c r="F1831" i="3"/>
  <c r="F1839" i="3"/>
  <c r="F1847" i="3"/>
  <c r="F1855" i="3"/>
  <c r="F1674" i="3"/>
  <c r="F1738" i="3"/>
  <c r="F1760" i="3"/>
  <c r="F1780" i="3"/>
  <c r="F1808" i="3"/>
  <c r="F1844" i="3"/>
  <c r="F1428" i="3"/>
  <c r="F1630" i="3"/>
  <c r="F1638" i="3"/>
  <c r="F1646" i="3"/>
  <c r="F1652" i="3"/>
  <c r="F1668" i="3"/>
  <c r="F1678" i="3"/>
  <c r="F1687" i="3"/>
  <c r="F1692" i="3"/>
  <c r="F1701" i="3"/>
  <c r="F1710" i="3"/>
  <c r="F1719" i="3"/>
  <c r="F1724" i="3"/>
  <c r="F1733" i="3"/>
  <c r="F1742" i="3"/>
  <c r="F1751" i="3"/>
  <c r="F1352" i="3"/>
  <c r="F1619" i="3"/>
  <c r="F1653" i="3"/>
  <c r="F1658" i="3"/>
  <c r="F1663" i="3"/>
  <c r="F1683" i="3"/>
  <c r="F1715" i="3"/>
  <c r="F1729" i="3"/>
  <c r="F1747" i="3"/>
  <c r="F1772" i="3"/>
  <c r="F1796" i="3"/>
  <c r="F1832" i="3"/>
  <c r="F4" i="3"/>
  <c r="E1567" i="3"/>
  <c r="E1707" i="3"/>
  <c r="E1769" i="3"/>
  <c r="E1801" i="3"/>
  <c r="E1833" i="3"/>
  <c r="E1865" i="3"/>
  <c r="E1507" i="3"/>
  <c r="E1717" i="3"/>
  <c r="E1511" i="3"/>
  <c r="E1681" i="3"/>
  <c r="E1758" i="3"/>
  <c r="E1790" i="3"/>
  <c r="E1822" i="3"/>
  <c r="E1854" i="3"/>
  <c r="E1451" i="3"/>
  <c r="E1677" i="3"/>
  <c r="E1239" i="3"/>
  <c r="E1396" i="3"/>
  <c r="E1243" i="3"/>
  <c r="E1428" i="3"/>
  <c r="E1336" i="3"/>
  <c r="E1075" i="3"/>
  <c r="E1622" i="3"/>
  <c r="E1590" i="3"/>
  <c r="E1558" i="3"/>
  <c r="E1526" i="3"/>
  <c r="E1494" i="3"/>
  <c r="E1462" i="3"/>
  <c r="E1409" i="3"/>
  <c r="E1346" i="3"/>
  <c r="E1167" i="3"/>
  <c r="E1422" i="3"/>
  <c r="E1259" i="3"/>
  <c r="E1669" i="3"/>
  <c r="E1637" i="3"/>
  <c r="E1605" i="3"/>
  <c r="E1573" i="3"/>
  <c r="E1541" i="3"/>
  <c r="E1509" i="3"/>
  <c r="E1477" i="3"/>
  <c r="E1440" i="3"/>
  <c r="E1382" i="3"/>
  <c r="E1315" i="3"/>
  <c r="E1063" i="3"/>
  <c r="E1392" i="3"/>
  <c r="E1155" i="3"/>
  <c r="E1732" i="3"/>
  <c r="E1700" i="3"/>
  <c r="E1668" i="3"/>
  <c r="E1636" i="3"/>
  <c r="E1604" i="3"/>
  <c r="E1572" i="3"/>
  <c r="E1540" i="3"/>
  <c r="E1508" i="3"/>
  <c r="E1476" i="3"/>
  <c r="E1443" i="3"/>
  <c r="E1375" i="3"/>
  <c r="E1247" i="3"/>
  <c r="E1058" i="3"/>
  <c r="E1314" i="3"/>
  <c r="E1282" i="3"/>
  <c r="E1250" i="3"/>
  <c r="E1218" i="3"/>
  <c r="E1186" i="3"/>
  <c r="E1154" i="3"/>
  <c r="E1122" i="3"/>
  <c r="E1090" i="3"/>
  <c r="E1053" i="3"/>
  <c r="E1037" i="3"/>
  <c r="E1385" i="3"/>
  <c r="E1353" i="3"/>
  <c r="E1321" i="3"/>
  <c r="E1289" i="3"/>
  <c r="E1257" i="3"/>
  <c r="E1225" i="3"/>
  <c r="E1193" i="3"/>
  <c r="E1161" i="3"/>
  <c r="E1129" i="3"/>
  <c r="E1097" i="3"/>
  <c r="E1065" i="3"/>
  <c r="E1036" i="3"/>
  <c r="E1304" i="3"/>
  <c r="E1272" i="3"/>
  <c r="E1240" i="3"/>
  <c r="E1208" i="3"/>
  <c r="E1176" i="3"/>
  <c r="E1144" i="3"/>
  <c r="E1112" i="3"/>
  <c r="E1080" i="3"/>
  <c r="E1041" i="3"/>
  <c r="E705" i="3"/>
  <c r="E974" i="3"/>
  <c r="E942" i="3"/>
  <c r="E910" i="3"/>
  <c r="E878" i="3"/>
  <c r="E846" i="3"/>
  <c r="E814" i="3"/>
  <c r="E782" i="3"/>
  <c r="E717" i="3"/>
  <c r="E1029" i="3"/>
  <c r="E997" i="3"/>
  <c r="E965" i="3"/>
  <c r="E933" i="3"/>
  <c r="E901" i="3"/>
  <c r="E869" i="3"/>
  <c r="E837" i="3"/>
  <c r="E805" i="3"/>
  <c r="E773" i="3"/>
  <c r="E677" i="3"/>
  <c r="E724" i="3"/>
  <c r="E327" i="3"/>
  <c r="E996" i="3"/>
  <c r="E964" i="3"/>
  <c r="E932" i="3"/>
  <c r="E900" i="3"/>
  <c r="E868" i="3"/>
  <c r="E836" i="3"/>
  <c r="E804" i="3"/>
  <c r="E772" i="3"/>
  <c r="E669" i="3"/>
  <c r="E697" i="3"/>
  <c r="E1043" i="3"/>
  <c r="E1011" i="3"/>
  <c r="E979" i="3"/>
  <c r="E947" i="3"/>
  <c r="E915" i="3"/>
  <c r="E883" i="3"/>
  <c r="E851" i="3"/>
  <c r="E819" i="3"/>
  <c r="E787" i="3"/>
  <c r="E709" i="3"/>
  <c r="E760" i="3"/>
  <c r="E561" i="3"/>
  <c r="E434" i="3"/>
  <c r="E503" i="3"/>
  <c r="E227" i="3"/>
  <c r="E672" i="3"/>
  <c r="E640" i="3"/>
  <c r="E608" i="3"/>
  <c r="E576" i="3"/>
  <c r="E544" i="3"/>
  <c r="E483" i="3"/>
  <c r="E495" i="3"/>
  <c r="E767" i="3"/>
  <c r="E723" i="3"/>
  <c r="E659" i="3"/>
  <c r="E579" i="3"/>
  <c r="E518" i="3"/>
  <c r="E682" i="3"/>
  <c r="E317" i="3"/>
  <c r="E231" i="3"/>
  <c r="E153" i="3"/>
  <c r="E351" i="3"/>
  <c r="E278" i="3"/>
  <c r="E22" i="3"/>
  <c r="E120" i="3"/>
  <c r="E1831" i="3"/>
  <c r="E1804" i="3"/>
  <c r="E1721" i="3"/>
  <c r="E1773" i="3"/>
  <c r="E1805" i="3"/>
  <c r="E1467" i="3"/>
  <c r="E1539" i="3"/>
  <c r="E1726" i="3"/>
  <c r="E1543" i="3"/>
  <c r="E1690" i="3"/>
  <c r="E1762" i="3"/>
  <c r="E1794" i="3"/>
  <c r="E1826" i="3"/>
  <c r="E1858" i="3"/>
  <c r="E1483" i="3"/>
  <c r="E1686" i="3"/>
  <c r="E1702" i="3"/>
  <c r="E1380" i="3"/>
  <c r="E1211" i="3"/>
  <c r="E1423" i="3"/>
  <c r="E1299" i="3"/>
  <c r="E1040" i="3"/>
  <c r="E1618" i="3"/>
  <c r="E1586" i="3"/>
  <c r="E1554" i="3"/>
  <c r="E1522" i="3"/>
  <c r="E1490" i="3"/>
  <c r="E1458" i="3"/>
  <c r="E1399" i="3"/>
  <c r="E1335" i="3"/>
  <c r="E1135" i="3"/>
  <c r="E1413" i="3"/>
  <c r="E1227" i="3"/>
  <c r="E1665" i="3"/>
  <c r="E1633" i="3"/>
  <c r="E1601" i="3"/>
  <c r="E1569" i="3"/>
  <c r="E1537" i="3"/>
  <c r="E1505" i="3"/>
  <c r="E1473" i="3"/>
  <c r="E1435" i="3"/>
  <c r="E1371" i="3"/>
  <c r="E1287" i="3"/>
  <c r="E1014" i="3"/>
  <c r="E1376" i="3"/>
  <c r="E1123" i="3"/>
  <c r="E1728" i="3"/>
  <c r="E1696" i="3"/>
  <c r="E1664" i="3"/>
  <c r="E1632" i="3"/>
  <c r="E1600" i="3"/>
  <c r="E1568" i="3"/>
  <c r="E1536" i="3"/>
  <c r="E1504" i="3"/>
  <c r="E1472" i="3"/>
  <c r="E1434" i="3"/>
  <c r="E1370" i="3"/>
  <c r="E1215" i="3"/>
  <c r="E1049" i="3"/>
  <c r="E1310" i="3"/>
  <c r="E1278" i="3"/>
  <c r="E1246" i="3"/>
  <c r="E1214" i="3"/>
  <c r="E1182" i="3"/>
  <c r="E1150" i="3"/>
  <c r="E1118" i="3"/>
  <c r="E1086" i="3"/>
  <c r="E1044" i="3"/>
  <c r="E1030" i="3"/>
  <c r="E1381" i="3"/>
  <c r="E1349" i="3"/>
  <c r="E1317" i="3"/>
  <c r="E1285" i="3"/>
  <c r="E1253" i="3"/>
  <c r="E1221" i="3"/>
  <c r="E1189" i="3"/>
  <c r="E1157" i="3"/>
  <c r="E1125" i="3"/>
  <c r="E1093" i="3"/>
  <c r="E1061" i="3"/>
  <c r="E1018" i="3"/>
  <c r="E1300" i="3"/>
  <c r="E1268" i="3"/>
  <c r="E1236" i="3"/>
  <c r="E1204" i="3"/>
  <c r="E1172" i="3"/>
  <c r="E1140" i="3"/>
  <c r="E1108" i="3"/>
  <c r="E1076" i="3"/>
  <c r="E1034" i="3"/>
  <c r="E395" i="3"/>
  <c r="E970" i="3"/>
  <c r="E938" i="3"/>
  <c r="E906" i="3"/>
  <c r="E874" i="3"/>
  <c r="E842" i="3"/>
  <c r="E810" i="3"/>
  <c r="E778" i="3"/>
  <c r="E685" i="3"/>
  <c r="E1025" i="3"/>
  <c r="E993" i="3"/>
  <c r="E961" i="3"/>
  <c r="E929" i="3"/>
  <c r="E897" i="3"/>
  <c r="E865" i="3"/>
  <c r="E833" i="3"/>
  <c r="E801" i="3"/>
  <c r="E769" i="3"/>
  <c r="E645" i="3"/>
  <c r="E713" i="3"/>
  <c r="E1024" i="3"/>
  <c r="E992" i="3"/>
  <c r="E960" i="3"/>
  <c r="E928" i="3"/>
  <c r="E896" i="3"/>
  <c r="E864" i="3"/>
  <c r="E832" i="3"/>
  <c r="E800" i="3"/>
  <c r="E768" i="3"/>
  <c r="E637" i="3"/>
  <c r="E665" i="3"/>
  <c r="E1039" i="3"/>
  <c r="E1007" i="3"/>
  <c r="E975" i="3"/>
  <c r="E943" i="3"/>
  <c r="E911" i="3"/>
  <c r="E879" i="3"/>
  <c r="E847" i="3"/>
  <c r="E815" i="3"/>
  <c r="E783" i="3"/>
  <c r="E693" i="3"/>
  <c r="E753" i="3"/>
  <c r="E529" i="3"/>
  <c r="E426" i="3"/>
  <c r="E478" i="3"/>
  <c r="E700" i="3"/>
  <c r="E668" i="3"/>
  <c r="E636" i="3"/>
  <c r="E604" i="3"/>
  <c r="E572" i="3"/>
  <c r="E540" i="3"/>
  <c r="E458" i="3"/>
  <c r="E463" i="3"/>
  <c r="E763" i="3"/>
  <c r="E719" i="3"/>
  <c r="E655" i="3"/>
  <c r="E571" i="3"/>
  <c r="E427" i="3"/>
  <c r="E658" i="3"/>
  <c r="E207" i="3"/>
  <c r="E103" i="3"/>
  <c r="E324" i="3"/>
  <c r="E273" i="3"/>
  <c r="E246" i="3"/>
  <c r="E57" i="3"/>
  <c r="E88" i="3"/>
  <c r="E1863" i="3"/>
  <c r="E1599" i="3"/>
  <c r="E1837" i="3"/>
  <c r="E14" i="3"/>
  <c r="E1143" i="3"/>
  <c r="E1864" i="3"/>
  <c r="E1828" i="3"/>
  <c r="E1796" i="3"/>
  <c r="E1764" i="3"/>
  <c r="E1697" i="3"/>
  <c r="E1527" i="3"/>
  <c r="E19" i="3"/>
  <c r="E1678" i="3"/>
  <c r="E1175" i="3"/>
  <c r="E1855" i="3"/>
  <c r="E1823" i="3"/>
  <c r="E1791" i="3"/>
  <c r="E1759" i="3"/>
  <c r="E1682" i="3"/>
  <c r="E1519" i="3"/>
  <c r="E32" i="3"/>
  <c r="E64" i="3"/>
  <c r="E96" i="3"/>
  <c r="E128" i="3"/>
  <c r="E160" i="3"/>
  <c r="E192" i="3"/>
  <c r="E224" i="3"/>
  <c r="E256" i="3"/>
  <c r="E288" i="3"/>
  <c r="E33" i="3"/>
  <c r="E65" i="3"/>
  <c r="E30" i="3"/>
  <c r="E62" i="3"/>
  <c r="E94" i="3"/>
  <c r="E126" i="3"/>
  <c r="E158" i="3"/>
  <c r="E190" i="3"/>
  <c r="E222" i="3"/>
  <c r="E254" i="3"/>
  <c r="E286" i="3"/>
  <c r="E35" i="3"/>
  <c r="E67" i="3"/>
  <c r="E119" i="3"/>
  <c r="E247" i="3"/>
  <c r="E341" i="3"/>
  <c r="E177" i="3"/>
  <c r="E305" i="3"/>
  <c r="E364" i="3"/>
  <c r="E396" i="3"/>
  <c r="E428" i="3"/>
  <c r="E460" i="3"/>
  <c r="E492" i="3"/>
  <c r="E127" i="3"/>
  <c r="E255" i="3"/>
  <c r="E338" i="3"/>
  <c r="E185" i="3"/>
  <c r="E320" i="3"/>
  <c r="E373" i="3"/>
  <c r="E405" i="3"/>
  <c r="E437" i="3"/>
  <c r="E469" i="3"/>
  <c r="E501" i="3"/>
  <c r="E135" i="3"/>
  <c r="E263" i="3"/>
  <c r="E339" i="3"/>
  <c r="E161" i="3"/>
  <c r="E289" i="3"/>
  <c r="E362" i="3"/>
  <c r="E394" i="3"/>
  <c r="E111" i="3"/>
  <c r="E239" i="3"/>
  <c r="E331" i="3"/>
  <c r="E403" i="3"/>
  <c r="E530" i="3"/>
  <c r="E562" i="3"/>
  <c r="E594" i="3"/>
  <c r="E626" i="3"/>
  <c r="E1693" i="3"/>
  <c r="E1856" i="3"/>
  <c r="E1824" i="3"/>
  <c r="E1792" i="3"/>
  <c r="E1760" i="3"/>
  <c r="E1683" i="3"/>
  <c r="E1495" i="3"/>
  <c r="E1751" i="3"/>
  <c r="E1587" i="3"/>
  <c r="E1743" i="3"/>
  <c r="E1851" i="3"/>
  <c r="E1819" i="3"/>
  <c r="E1787" i="3"/>
  <c r="E1755" i="3"/>
  <c r="E1667" i="3"/>
  <c r="E1487" i="3"/>
  <c r="E36" i="3"/>
  <c r="E68" i="3"/>
  <c r="E100" i="3"/>
  <c r="E132" i="3"/>
  <c r="E164" i="3"/>
  <c r="E196" i="3"/>
  <c r="E228" i="3"/>
  <c r="E260" i="3"/>
  <c r="E292" i="3"/>
  <c r="E37" i="3"/>
  <c r="E69" i="3"/>
  <c r="E34" i="3"/>
  <c r="E66" i="3"/>
  <c r="E98" i="3"/>
  <c r="E130" i="3"/>
  <c r="E162" i="3"/>
  <c r="E194" i="3"/>
  <c r="E226" i="3"/>
  <c r="E258" i="3"/>
  <c r="E290" i="3"/>
  <c r="E39" i="3"/>
  <c r="E71" i="3"/>
  <c r="E125" i="3"/>
  <c r="E253" i="3"/>
  <c r="E346" i="3"/>
  <c r="E203" i="3"/>
  <c r="E310" i="3"/>
  <c r="E368" i="3"/>
  <c r="E400" i="3"/>
  <c r="E432" i="3"/>
  <c r="E464" i="3"/>
  <c r="E496" i="3"/>
  <c r="E133" i="3"/>
  <c r="E261" i="3"/>
  <c r="E347" i="3"/>
  <c r="E211" i="3"/>
  <c r="E329" i="3"/>
  <c r="E377" i="3"/>
  <c r="E409" i="3"/>
  <c r="E441" i="3"/>
  <c r="E473" i="3"/>
  <c r="E505" i="3"/>
  <c r="E141" i="3"/>
  <c r="E269" i="3"/>
  <c r="E348" i="3"/>
  <c r="E187" i="3"/>
  <c r="E312" i="3"/>
  <c r="E366" i="3"/>
  <c r="E398" i="3"/>
  <c r="E117" i="3"/>
  <c r="E245" i="3"/>
  <c r="E340" i="3"/>
  <c r="E442" i="3"/>
  <c r="E534" i="3"/>
  <c r="E566" i="3"/>
  <c r="E598" i="3"/>
  <c r="E630" i="3"/>
  <c r="E662" i="3"/>
  <c r="E694" i="3"/>
  <c r="E726" i="3"/>
  <c r="E758" i="3"/>
  <c r="E435" i="3"/>
  <c r="E345" i="3"/>
  <c r="E514" i="3"/>
  <c r="E551" i="3"/>
  <c r="E583" i="3"/>
  <c r="E615" i="3"/>
  <c r="E647" i="3"/>
  <c r="E679" i="3"/>
  <c r="E711" i="3"/>
  <c r="E743" i="3"/>
  <c r="E265" i="3"/>
  <c r="E470" i="3"/>
  <c r="E1639" i="3"/>
  <c r="E1852" i="3"/>
  <c r="E1820" i="3"/>
  <c r="E1788" i="3"/>
  <c r="E1756" i="3"/>
  <c r="E1674" i="3"/>
  <c r="E1463" i="3"/>
  <c r="E1742" i="3"/>
  <c r="E1555" i="3"/>
  <c r="E1725" i="3"/>
  <c r="E1847" i="3"/>
  <c r="E1815" i="3"/>
  <c r="E1783" i="3"/>
  <c r="E1746" i="3"/>
  <c r="E1662" i="3"/>
  <c r="E1455" i="3"/>
  <c r="E40" i="3"/>
  <c r="E72" i="3"/>
  <c r="E104" i="3"/>
  <c r="E136" i="3"/>
  <c r="E168" i="3"/>
  <c r="E200" i="3"/>
  <c r="E232" i="3"/>
  <c r="E264" i="3"/>
  <c r="E296" i="3"/>
  <c r="E41" i="3"/>
  <c r="E73" i="3"/>
  <c r="E38" i="3"/>
  <c r="E70" i="3"/>
  <c r="E102" i="3"/>
  <c r="E134" i="3"/>
  <c r="E166" i="3"/>
  <c r="E198" i="3"/>
  <c r="E230" i="3"/>
  <c r="E262" i="3"/>
  <c r="E294" i="3"/>
  <c r="E43" i="3"/>
  <c r="E75" i="3"/>
  <c r="E151" i="3"/>
  <c r="E279" i="3"/>
  <c r="E355" i="3"/>
  <c r="E209" i="3"/>
  <c r="E319" i="3"/>
  <c r="E372" i="3"/>
  <c r="E404" i="3"/>
  <c r="E436" i="3"/>
  <c r="E468" i="3"/>
  <c r="E500" i="3"/>
  <c r="E159" i="3"/>
  <c r="E287" i="3"/>
  <c r="E356" i="3"/>
  <c r="E217" i="3"/>
  <c r="E334" i="3"/>
  <c r="E381" i="3"/>
  <c r="E413" i="3"/>
  <c r="E445" i="3"/>
  <c r="E477" i="3"/>
  <c r="E509" i="3"/>
  <c r="E167" i="3"/>
  <c r="E295" i="3"/>
  <c r="E357" i="3"/>
  <c r="E193" i="3"/>
  <c r="E321" i="3"/>
  <c r="E370" i="3"/>
  <c r="E402" i="3"/>
  <c r="E143" i="3"/>
  <c r="E271" i="3"/>
  <c r="E349" i="3"/>
  <c r="E467" i="3"/>
  <c r="E538" i="3"/>
  <c r="E570" i="3"/>
  <c r="E602" i="3"/>
  <c r="E634" i="3"/>
  <c r="E666" i="3"/>
  <c r="E698" i="3"/>
  <c r="E730" i="3"/>
  <c r="E762" i="3"/>
  <c r="E455" i="3"/>
  <c r="E379" i="3"/>
  <c r="E523" i="3"/>
  <c r="E555" i="3"/>
  <c r="E587" i="3"/>
  <c r="E619" i="3"/>
  <c r="E651" i="3"/>
  <c r="E683" i="3"/>
  <c r="E715" i="3"/>
  <c r="E1631" i="3"/>
  <c r="E1848" i="3"/>
  <c r="E1816" i="3"/>
  <c r="E1784" i="3"/>
  <c r="E1747" i="3"/>
  <c r="E1663" i="3"/>
  <c r="E1390" i="3"/>
  <c r="E1733" i="3"/>
  <c r="E1523" i="3"/>
  <c r="E1679" i="3"/>
  <c r="E1843" i="3"/>
  <c r="E1811" i="3"/>
  <c r="E1779" i="3"/>
  <c r="E1737" i="3"/>
  <c r="E1651" i="3"/>
  <c r="E1419" i="3"/>
  <c r="E44" i="3"/>
  <c r="E76" i="3"/>
  <c r="E108" i="3"/>
  <c r="E140" i="3"/>
  <c r="E172" i="3"/>
  <c r="E204" i="3"/>
  <c r="E236" i="3"/>
  <c r="E268" i="3"/>
  <c r="E300" i="3"/>
  <c r="E45" i="3"/>
  <c r="E77" i="3"/>
  <c r="E42" i="3"/>
  <c r="E74" i="3"/>
  <c r="E106" i="3"/>
  <c r="E138" i="3"/>
  <c r="E170" i="3"/>
  <c r="E202" i="3"/>
  <c r="E234" i="3"/>
  <c r="E266" i="3"/>
  <c r="E298" i="3"/>
  <c r="E47" i="3"/>
  <c r="E79" i="3"/>
  <c r="E157" i="3"/>
  <c r="E285" i="3"/>
  <c r="E107" i="3"/>
  <c r="E235" i="3"/>
  <c r="E328" i="3"/>
  <c r="E376" i="3"/>
  <c r="E408" i="3"/>
  <c r="E440" i="3"/>
  <c r="E472" i="3"/>
  <c r="E504" i="3"/>
  <c r="E165" i="3"/>
  <c r="E293" i="3"/>
  <c r="E115" i="3"/>
  <c r="E243" i="3"/>
  <c r="E343" i="3"/>
  <c r="E385" i="3"/>
  <c r="E417" i="3"/>
  <c r="E449" i="3"/>
  <c r="E481" i="3"/>
  <c r="E513" i="3"/>
  <c r="E173" i="3"/>
  <c r="E301" i="3"/>
  <c r="E89" i="3"/>
  <c r="E219" i="3"/>
  <c r="E326" i="3"/>
  <c r="E374" i="3"/>
  <c r="E406" i="3"/>
  <c r="E149" i="3"/>
  <c r="E277" i="3"/>
  <c r="E354" i="3"/>
  <c r="E474" i="3"/>
  <c r="E542" i="3"/>
  <c r="E574" i="3"/>
  <c r="E606" i="3"/>
  <c r="E638" i="3"/>
  <c r="E670" i="3"/>
  <c r="E702" i="3"/>
  <c r="E734" i="3"/>
  <c r="E766" i="3"/>
  <c r="E462" i="3"/>
  <c r="E411" i="3"/>
  <c r="E527" i="3"/>
  <c r="E1595" i="3"/>
  <c r="E1844" i="3"/>
  <c r="E1812" i="3"/>
  <c r="E1780" i="3"/>
  <c r="E1738" i="3"/>
  <c r="E1658" i="3"/>
  <c r="E1347" i="3"/>
  <c r="E1719" i="3"/>
  <c r="E1491" i="3"/>
  <c r="E1395" i="3"/>
  <c r="E1839" i="3"/>
  <c r="E1807" i="3"/>
  <c r="E1775" i="3"/>
  <c r="E1723" i="3"/>
  <c r="E1627" i="3"/>
  <c r="E1379" i="3"/>
  <c r="E48" i="3"/>
  <c r="E80" i="3"/>
  <c r="E112" i="3"/>
  <c r="E144" i="3"/>
  <c r="E176" i="3"/>
  <c r="E208" i="3"/>
  <c r="E240" i="3"/>
  <c r="E272" i="3"/>
  <c r="E304" i="3"/>
  <c r="E49" i="3"/>
  <c r="E81" i="3"/>
  <c r="E46" i="3"/>
  <c r="E78" i="3"/>
  <c r="E110" i="3"/>
  <c r="E142" i="3"/>
  <c r="E174" i="3"/>
  <c r="E206" i="3"/>
  <c r="E238" i="3"/>
  <c r="E270" i="3"/>
  <c r="E302" i="3"/>
  <c r="E51" i="3"/>
  <c r="E83" i="3"/>
  <c r="E183" i="3"/>
  <c r="E309" i="3"/>
  <c r="E113" i="3"/>
  <c r="E241" i="3"/>
  <c r="E337" i="3"/>
  <c r="E380" i="3"/>
  <c r="E412" i="3"/>
  <c r="E444" i="3"/>
  <c r="E476" i="3"/>
  <c r="E508" i="3"/>
  <c r="E191" i="3"/>
  <c r="E306" i="3"/>
  <c r="E121" i="3"/>
  <c r="E249" i="3"/>
  <c r="E352" i="3"/>
  <c r="E389" i="3"/>
  <c r="E421" i="3"/>
  <c r="E453" i="3"/>
  <c r="E485" i="3"/>
  <c r="E517" i="3"/>
  <c r="E199" i="3"/>
  <c r="E307" i="3"/>
  <c r="E97" i="3"/>
  <c r="E225" i="3"/>
  <c r="E335" i="3"/>
  <c r="E378" i="3"/>
  <c r="E410" i="3"/>
  <c r="E175" i="3"/>
  <c r="E303" i="3"/>
  <c r="E195" i="3"/>
  <c r="E499" i="3"/>
  <c r="E546" i="3"/>
  <c r="E578" i="3"/>
  <c r="E610" i="3"/>
  <c r="E642" i="3"/>
  <c r="E674" i="3"/>
  <c r="E706" i="3"/>
  <c r="E738" i="3"/>
  <c r="E99" i="3"/>
  <c r="E487" i="3"/>
  <c r="E443" i="3"/>
  <c r="E531" i="3"/>
  <c r="E563" i="3"/>
  <c r="E595" i="3"/>
  <c r="E627" i="3"/>
  <c r="E1563" i="3"/>
  <c r="E1840" i="3"/>
  <c r="E1808" i="3"/>
  <c r="E1776" i="3"/>
  <c r="E1729" i="3"/>
  <c r="E1619" i="3"/>
  <c r="E1207" i="3"/>
  <c r="E1710" i="3"/>
  <c r="E1459" i="3"/>
  <c r="E1860" i="3"/>
  <c r="E1835" i="3"/>
  <c r="E1803" i="3"/>
  <c r="E1771" i="3"/>
  <c r="E1714" i="3"/>
  <c r="E1615" i="3"/>
  <c r="E20" i="3"/>
  <c r="E52" i="3"/>
  <c r="E84" i="3"/>
  <c r="E116" i="3"/>
  <c r="E148" i="3"/>
  <c r="E180" i="3"/>
  <c r="E212" i="3"/>
  <c r="E244" i="3"/>
  <c r="E276" i="3"/>
  <c r="E21" i="3"/>
  <c r="E53" i="3"/>
  <c r="E85" i="3"/>
  <c r="E50" i="3"/>
  <c r="E82" i="3"/>
  <c r="E114" i="3"/>
  <c r="E146" i="3"/>
  <c r="E178" i="3"/>
  <c r="E210" i="3"/>
  <c r="E242" i="3"/>
  <c r="E274" i="3"/>
  <c r="E23" i="3"/>
  <c r="E55" i="3"/>
  <c r="E87" i="3"/>
  <c r="E189" i="3"/>
  <c r="E314" i="3"/>
  <c r="E139" i="3"/>
  <c r="E267" i="3"/>
  <c r="E342" i="3"/>
  <c r="E384" i="3"/>
  <c r="E416" i="3"/>
  <c r="E448" i="3"/>
  <c r="E480" i="3"/>
  <c r="E512" i="3"/>
  <c r="E197" i="3"/>
  <c r="E315" i="3"/>
  <c r="E147" i="3"/>
  <c r="E275" i="3"/>
  <c r="E361" i="3"/>
  <c r="E393" i="3"/>
  <c r="E425" i="3"/>
  <c r="E457" i="3"/>
  <c r="E489" i="3"/>
  <c r="E521" i="3"/>
  <c r="E205" i="3"/>
  <c r="E316" i="3"/>
  <c r="E123" i="3"/>
  <c r="E251" i="3"/>
  <c r="E344" i="3"/>
  <c r="E382" i="3"/>
  <c r="E414" i="3"/>
  <c r="E181" i="3"/>
  <c r="E308" i="3"/>
  <c r="E297" i="3"/>
  <c r="E506" i="3"/>
  <c r="E550" i="3"/>
  <c r="E582" i="3"/>
  <c r="E614" i="3"/>
  <c r="E646" i="3"/>
  <c r="E678" i="3"/>
  <c r="E710" i="3"/>
  <c r="E742" i="3"/>
  <c r="E201" i="3"/>
  <c r="E494" i="3"/>
  <c r="E450" i="3"/>
  <c r="E535" i="3"/>
  <c r="E567" i="3"/>
  <c r="E599" i="3"/>
  <c r="E631" i="3"/>
  <c r="E663" i="3"/>
  <c r="E695" i="3"/>
  <c r="E727" i="3"/>
  <c r="E759" i="3"/>
  <c r="E415" i="3"/>
  <c r="E169" i="3"/>
  <c r="E1499" i="3"/>
  <c r="E1832" i="3"/>
  <c r="E1800" i="3"/>
  <c r="E1768" i="3"/>
  <c r="E1706" i="3"/>
  <c r="E1559" i="3"/>
  <c r="E1433" i="3"/>
  <c r="E1687" i="3"/>
  <c r="E1342" i="3"/>
  <c r="E1859" i="3"/>
  <c r="E1827" i="3"/>
  <c r="E1795" i="3"/>
  <c r="E1763" i="3"/>
  <c r="E1691" i="3"/>
  <c r="E1551" i="3"/>
  <c r="E28" i="3"/>
  <c r="E60" i="3"/>
  <c r="E92" i="3"/>
  <c r="E124" i="3"/>
  <c r="E156" i="3"/>
  <c r="E188" i="3"/>
  <c r="E220" i="3"/>
  <c r="E252" i="3"/>
  <c r="E284" i="3"/>
  <c r="E29" i="3"/>
  <c r="E61" i="3"/>
  <c r="E26" i="3"/>
  <c r="E58" i="3"/>
  <c r="E90" i="3"/>
  <c r="E122" i="3"/>
  <c r="E154" i="3"/>
  <c r="E186" i="3"/>
  <c r="E218" i="3"/>
  <c r="E250" i="3"/>
  <c r="E282" i="3"/>
  <c r="E31" i="3"/>
  <c r="E63" i="3"/>
  <c r="E93" i="3"/>
  <c r="E221" i="3"/>
  <c r="E332" i="3"/>
  <c r="E171" i="3"/>
  <c r="E299" i="3"/>
  <c r="E360" i="3"/>
  <c r="E392" i="3"/>
  <c r="E424" i="3"/>
  <c r="E456" i="3"/>
  <c r="E488" i="3"/>
  <c r="E101" i="3"/>
  <c r="E229" i="3"/>
  <c r="E333" i="3"/>
  <c r="E179" i="3"/>
  <c r="E311" i="3"/>
  <c r="E369" i="3"/>
  <c r="E401" i="3"/>
  <c r="E433" i="3"/>
  <c r="E465" i="3"/>
  <c r="E497" i="3"/>
  <c r="E109" i="3"/>
  <c r="E237" i="3"/>
  <c r="E330" i="3"/>
  <c r="E155" i="3"/>
  <c r="E283" i="3"/>
  <c r="E358" i="3"/>
  <c r="E390" i="3"/>
  <c r="E422" i="3"/>
  <c r="E213" i="3"/>
  <c r="E322" i="3"/>
  <c r="E371" i="3"/>
  <c r="E526" i="3"/>
  <c r="E558" i="3"/>
  <c r="E590" i="3"/>
  <c r="E622" i="3"/>
  <c r="E654" i="3"/>
  <c r="E686" i="3"/>
  <c r="E718" i="3"/>
  <c r="E750" i="3"/>
  <c r="E407" i="3"/>
  <c r="E105" i="3"/>
  <c r="E482" i="3"/>
  <c r="E543" i="3"/>
  <c r="E575" i="3"/>
  <c r="E607" i="3"/>
  <c r="E639" i="3"/>
  <c r="E671" i="3"/>
  <c r="E703" i="3"/>
  <c r="E1654" i="3"/>
  <c r="E1730" i="3"/>
  <c r="E1777" i="3"/>
  <c r="E1809" i="3"/>
  <c r="E1841" i="3"/>
  <c r="E1734" i="3"/>
  <c r="E1571" i="3"/>
  <c r="E1735" i="3"/>
  <c r="E1575" i="3"/>
  <c r="E1699" i="3"/>
  <c r="E1766" i="3"/>
  <c r="E1798" i="3"/>
  <c r="E1830" i="3"/>
  <c r="E1862" i="3"/>
  <c r="E1515" i="3"/>
  <c r="E1695" i="3"/>
  <c r="E1447" i="3"/>
  <c r="E1364" i="3"/>
  <c r="E1179" i="3"/>
  <c r="E1414" i="3"/>
  <c r="E1267" i="3"/>
  <c r="E1646" i="3"/>
  <c r="E1614" i="3"/>
  <c r="E1582" i="3"/>
  <c r="E1550" i="3"/>
  <c r="E1518" i="3"/>
  <c r="E1486" i="3"/>
  <c r="E1454" i="3"/>
  <c r="E1394" i="3"/>
  <c r="E1330" i="3"/>
  <c r="E1103" i="3"/>
  <c r="E1404" i="3"/>
  <c r="E1195" i="3"/>
  <c r="E1661" i="3"/>
  <c r="E1629" i="3"/>
  <c r="E1597" i="3"/>
  <c r="E1565" i="3"/>
  <c r="E1533" i="3"/>
  <c r="E1501" i="3"/>
  <c r="E1469" i="3"/>
  <c r="E1426" i="3"/>
  <c r="E1366" i="3"/>
  <c r="E1255" i="3"/>
  <c r="E1444" i="3"/>
  <c r="E1360" i="3"/>
  <c r="E1091" i="3"/>
  <c r="E1724" i="3"/>
  <c r="E1692" i="3"/>
  <c r="E1660" i="3"/>
  <c r="E1628" i="3"/>
  <c r="E1596" i="3"/>
  <c r="E1564" i="3"/>
  <c r="E1532" i="3"/>
  <c r="E1500" i="3"/>
  <c r="E1468" i="3"/>
  <c r="E1425" i="3"/>
  <c r="E1359" i="3"/>
  <c r="E1183" i="3"/>
  <c r="E1038" i="3"/>
  <c r="E1306" i="3"/>
  <c r="E1274" i="3"/>
  <c r="E1242" i="3"/>
  <c r="E1210" i="3"/>
  <c r="E1178" i="3"/>
  <c r="E1146" i="3"/>
  <c r="E1114" i="3"/>
  <c r="E1082" i="3"/>
  <c r="E1032" i="3"/>
  <c r="E1010" i="3"/>
  <c r="E1377" i="3"/>
  <c r="E1345" i="3"/>
  <c r="E1313" i="3"/>
  <c r="E1281" i="3"/>
  <c r="E1249" i="3"/>
  <c r="E1217" i="3"/>
  <c r="E1185" i="3"/>
  <c r="E1153" i="3"/>
  <c r="E1121" i="3"/>
  <c r="E1089" i="3"/>
  <c r="E1052" i="3"/>
  <c r="E1328" i="3"/>
  <c r="E1296" i="3"/>
  <c r="E1264" i="3"/>
  <c r="E1232" i="3"/>
  <c r="E1200" i="3"/>
  <c r="E1168" i="3"/>
  <c r="E1136" i="3"/>
  <c r="E1104" i="3"/>
  <c r="E1072" i="3"/>
  <c r="E1028" i="3"/>
  <c r="E998" i="3"/>
  <c r="E966" i="3"/>
  <c r="E934" i="3"/>
  <c r="E902" i="3"/>
  <c r="E870" i="3"/>
  <c r="E838" i="3"/>
  <c r="E806" i="3"/>
  <c r="E774" i="3"/>
  <c r="E653" i="3"/>
  <c r="E1021" i="3"/>
  <c r="E989" i="3"/>
  <c r="E957" i="3"/>
  <c r="E925" i="3"/>
  <c r="E893" i="3"/>
  <c r="E861" i="3"/>
  <c r="E829" i="3"/>
  <c r="E797" i="3"/>
  <c r="E764" i="3"/>
  <c r="E613" i="3"/>
  <c r="E673" i="3"/>
  <c r="E1020" i="3"/>
  <c r="E988" i="3"/>
  <c r="E956" i="3"/>
  <c r="E924" i="3"/>
  <c r="E892" i="3"/>
  <c r="E860" i="3"/>
  <c r="E828" i="3"/>
  <c r="E796" i="3"/>
  <c r="E756" i="3"/>
  <c r="E605" i="3"/>
  <c r="E633" i="3"/>
  <c r="E1035" i="3"/>
  <c r="E1003" i="3"/>
  <c r="E971" i="3"/>
  <c r="E939" i="3"/>
  <c r="E907" i="3"/>
  <c r="E875" i="3"/>
  <c r="E843" i="3"/>
  <c r="E811" i="3"/>
  <c r="E779" i="3"/>
  <c r="E661" i="3"/>
  <c r="E729" i="3"/>
  <c r="E131" i="3"/>
  <c r="E399" i="3"/>
  <c r="E471" i="3"/>
  <c r="E696" i="3"/>
  <c r="E664" i="3"/>
  <c r="E632" i="3"/>
  <c r="E600" i="3"/>
  <c r="E568" i="3"/>
  <c r="E536" i="3"/>
  <c r="E451" i="3"/>
  <c r="E438" i="3"/>
  <c r="E755" i="3"/>
  <c r="E707" i="3"/>
  <c r="E643" i="3"/>
  <c r="E559" i="3"/>
  <c r="E375" i="3"/>
  <c r="E650" i="3"/>
  <c r="E418" i="3"/>
  <c r="E493" i="3"/>
  <c r="E223" i="3"/>
  <c r="E145" i="3"/>
  <c r="E214" i="3"/>
  <c r="E25" i="3"/>
  <c r="E56" i="3"/>
  <c r="E1424" i="3"/>
  <c r="E1531" i="3"/>
  <c r="F13" i="3"/>
  <c r="E8" i="3"/>
  <c r="F9" i="3"/>
  <c r="E9" i="3"/>
  <c r="F14" i="3"/>
  <c r="F8" i="3"/>
  <c r="E4" i="3"/>
  <c r="F3" i="3"/>
  <c r="E13" i="3"/>
  <c r="C35" i="1"/>
  <c r="C36" i="1"/>
  <c r="C37" i="1"/>
  <c r="C38" i="1"/>
  <c r="C39" i="1"/>
  <c r="C40" i="1"/>
  <c r="C41" i="1"/>
  <c r="C42" i="1"/>
  <c r="C43" i="1"/>
  <c r="C44" i="1"/>
  <c r="C45" i="1"/>
  <c r="C34" i="1"/>
  <c r="S99" i="1" l="1"/>
  <c r="R99" i="1"/>
  <c r="Q99" i="1"/>
  <c r="P100" i="1"/>
  <c r="S100" i="1" s="1"/>
  <c r="P99" i="1"/>
  <c r="Q100" i="1" l="1"/>
  <c r="R100" i="1"/>
  <c r="S111" i="1"/>
  <c r="U111" i="1" s="1"/>
  <c r="V111" i="1" l="1"/>
  <c r="T111" i="1"/>
  <c r="W111" i="1" l="1"/>
  <c r="E25" i="1"/>
  <c r="S6" i="1"/>
  <c r="S13" i="1" s="1"/>
  <c r="S4" i="1"/>
  <c r="S14" i="1" s="1"/>
  <c r="S11" i="1"/>
  <c r="S15" i="1" l="1"/>
  <c r="S16" i="1" s="1"/>
  <c r="S19" i="1" l="1"/>
  <c r="S20" i="1"/>
  <c r="S17" i="1"/>
  <c r="S18" i="1"/>
  <c r="F53" i="1"/>
  <c r="D120" i="1" l="1"/>
  <c r="V131" i="1" s="1"/>
  <c r="E120" i="1" l="1"/>
  <c r="W131" i="1" l="1"/>
  <c r="O119" i="1"/>
  <c r="O120" i="1" s="1"/>
  <c r="P119" i="1"/>
  <c r="P120" i="1" s="1"/>
  <c r="C490" i="1"/>
  <c r="B490" i="1"/>
  <c r="D490" i="1" s="1"/>
  <c r="Q120" i="1" l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C25" i="1" l="1"/>
  <c r="D25" i="1" s="1"/>
  <c r="F25" i="1" s="1"/>
  <c r="J117" i="1"/>
  <c r="J118" i="1"/>
  <c r="Q129" i="1" s="1"/>
  <c r="B98" i="1"/>
  <c r="B4" i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103" i="1"/>
  <c r="B104" i="1"/>
  <c r="B105" i="1"/>
  <c r="C72" i="1"/>
  <c r="B107" i="1"/>
  <c r="C74" i="1"/>
  <c r="C75" i="1"/>
  <c r="B34" i="1"/>
  <c r="F75" i="1" l="1"/>
  <c r="G75" i="1"/>
  <c r="B30" i="1"/>
  <c r="B43" i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E6" i="1"/>
  <c r="E5" i="1"/>
  <c r="D5" i="1"/>
  <c r="D4" i="1"/>
  <c r="B31" i="1" l="1"/>
  <c r="G3" i="1"/>
  <c r="H3" i="1" s="1"/>
  <c r="F34" i="1"/>
  <c r="E34" i="1"/>
  <c r="D43" i="1"/>
  <c r="E43" i="1" s="1"/>
  <c r="F39" i="1"/>
  <c r="E44" i="1"/>
  <c r="F44" i="1"/>
  <c r="F36" i="1"/>
  <c r="E36" i="1"/>
  <c r="E41" i="1"/>
  <c r="F42" i="1"/>
  <c r="F45" i="1"/>
  <c r="F37" i="1"/>
  <c r="F38" i="1"/>
  <c r="F40" i="1"/>
  <c r="E35" i="1"/>
  <c r="D46" i="1" l="1"/>
  <c r="B48" i="1" s="1"/>
  <c r="H117" i="1" s="1"/>
  <c r="F43" i="1"/>
  <c r="F46" i="1" s="1"/>
  <c r="B50" i="1" s="1"/>
  <c r="E46" i="1"/>
  <c r="B49" i="1" s="1"/>
  <c r="D49" i="1" l="1"/>
  <c r="A60" i="1" s="1"/>
  <c r="E49" i="1"/>
  <c r="B60" i="1" s="1"/>
  <c r="C60" i="1" l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F64" i="1" l="1"/>
  <c r="C98" i="1" s="1"/>
  <c r="F74" i="1"/>
  <c r="C108" i="1" s="1"/>
  <c r="G74" i="1"/>
  <c r="D108" i="1" s="1"/>
  <c r="F73" i="1"/>
  <c r="C107" i="1" s="1"/>
  <c r="G73" i="1"/>
  <c r="D107" i="1" s="1"/>
  <c r="F72" i="1"/>
  <c r="C106" i="1" s="1"/>
  <c r="G72" i="1"/>
  <c r="D106" i="1" s="1"/>
  <c r="F71" i="1"/>
  <c r="C105" i="1" s="1"/>
  <c r="G71" i="1"/>
  <c r="D105" i="1" s="1"/>
  <c r="F70" i="1"/>
  <c r="C104" i="1" s="1"/>
  <c r="G70" i="1"/>
  <c r="D104" i="1" s="1"/>
  <c r="F66" i="1"/>
  <c r="C100" i="1" s="1"/>
  <c r="G66" i="1"/>
  <c r="D100" i="1" s="1"/>
  <c r="F69" i="1"/>
  <c r="C103" i="1" s="1"/>
  <c r="G69" i="1"/>
  <c r="D103" i="1" s="1"/>
  <c r="G67" i="1"/>
  <c r="D101" i="1" s="1"/>
  <c r="G68" i="1"/>
  <c r="D102" i="1" s="1"/>
  <c r="G65" i="1"/>
  <c r="D99" i="1" s="1"/>
  <c r="F67" i="1"/>
  <c r="C101" i="1" s="1"/>
  <c r="G64" i="1"/>
  <c r="F68" i="1"/>
  <c r="C102" i="1" s="1"/>
  <c r="F65" i="1"/>
  <c r="C99" i="1" s="1"/>
  <c r="D61" i="1"/>
  <c r="E91" i="1" s="1"/>
  <c r="C58" i="1"/>
  <c r="D58" i="1"/>
  <c r="C57" i="1"/>
  <c r="C59" i="1"/>
  <c r="D89" i="1" s="1"/>
  <c r="D59" i="1"/>
  <c r="C61" i="1"/>
  <c r="D91" i="1" s="1"/>
  <c r="D57" i="1"/>
  <c r="C109" i="1"/>
  <c r="D109" i="1"/>
  <c r="D90" i="1"/>
  <c r="E90" i="1"/>
  <c r="S80" i="1" l="1"/>
  <c r="S81" i="1" s="1"/>
  <c r="S79" i="1"/>
  <c r="S78" i="1" s="1"/>
  <c r="C88" i="1"/>
  <c r="G76" i="1"/>
  <c r="D98" i="1"/>
  <c r="T59" i="1"/>
  <c r="D83" i="1"/>
  <c r="B90" i="1"/>
  <c r="B88" i="1"/>
  <c r="G91" i="1"/>
  <c r="G58" i="1"/>
  <c r="E88" i="1"/>
  <c r="C89" i="1"/>
  <c r="D79" i="1"/>
  <c r="G57" i="1"/>
  <c r="T67" i="1" s="1"/>
  <c r="E89" i="1"/>
  <c r="C90" i="1"/>
  <c r="D88" i="1"/>
  <c r="B89" i="1"/>
  <c r="D78" i="1"/>
  <c r="D82" i="1"/>
  <c r="E98" i="1" l="1"/>
  <c r="E103" i="1"/>
  <c r="U59" i="1"/>
  <c r="U60" i="1" s="1"/>
  <c r="T60" i="1"/>
  <c r="G88" i="1"/>
  <c r="G90" i="1"/>
  <c r="E108" i="1"/>
  <c r="F108" i="1" s="1"/>
  <c r="E106" i="1"/>
  <c r="F106" i="1" s="1"/>
  <c r="E100" i="1"/>
  <c r="E105" i="1"/>
  <c r="F105" i="1" s="1"/>
  <c r="E102" i="1"/>
  <c r="E104" i="1"/>
  <c r="F104" i="1" s="1"/>
  <c r="E107" i="1"/>
  <c r="F107" i="1" s="1"/>
  <c r="E109" i="1"/>
  <c r="F109" i="1" s="1"/>
  <c r="E99" i="1"/>
  <c r="E101" i="1"/>
  <c r="G89" i="1"/>
  <c r="T71" i="1" l="1"/>
  <c r="T70" i="1"/>
  <c r="T65" i="1"/>
  <c r="T66" i="1"/>
  <c r="T69" i="1"/>
  <c r="T68" i="1"/>
  <c r="P115" i="1"/>
  <c r="T79" i="1" l="1"/>
  <c r="F101" i="1" l="1"/>
  <c r="F102" i="1"/>
  <c r="E78" i="1"/>
  <c r="E79" i="1" s="1"/>
  <c r="B81" i="1"/>
  <c r="G108" i="1" s="1"/>
  <c r="H108" i="1" s="1"/>
  <c r="F100" i="1"/>
  <c r="F99" i="1"/>
  <c r="F98" i="1"/>
  <c r="F103" i="1"/>
  <c r="G103" i="1" l="1"/>
  <c r="H103" i="1" s="1"/>
  <c r="I103" i="1" s="1"/>
  <c r="G98" i="1"/>
  <c r="H98" i="1" s="1"/>
  <c r="I98" i="1" s="1"/>
  <c r="G99" i="1"/>
  <c r="H99" i="1" s="1"/>
  <c r="J99" i="1" s="1"/>
  <c r="G100" i="1"/>
  <c r="H100" i="1" s="1"/>
  <c r="I100" i="1" s="1"/>
  <c r="G104" i="1"/>
  <c r="H104" i="1" s="1"/>
  <c r="I104" i="1" s="1"/>
  <c r="G106" i="1"/>
  <c r="H106" i="1" s="1"/>
  <c r="I106" i="1" s="1"/>
  <c r="G105" i="1"/>
  <c r="H105" i="1" s="1"/>
  <c r="I105" i="1" s="1"/>
  <c r="G109" i="1"/>
  <c r="H109" i="1" s="1"/>
  <c r="I109" i="1" s="1"/>
  <c r="E82" i="1"/>
  <c r="E83" i="1" s="1"/>
  <c r="G102" i="1"/>
  <c r="H102" i="1" s="1"/>
  <c r="J102" i="1" s="1"/>
  <c r="G101" i="1"/>
  <c r="H101" i="1" s="1"/>
  <c r="I101" i="1" s="1"/>
  <c r="F110" i="1"/>
  <c r="J113" i="1" s="1"/>
  <c r="G107" i="1"/>
  <c r="H107" i="1" s="1"/>
  <c r="J107" i="1" s="1"/>
  <c r="J108" i="1"/>
  <c r="I108" i="1"/>
  <c r="J98" i="1" l="1"/>
  <c r="I99" i="1"/>
  <c r="J103" i="1"/>
  <c r="J109" i="1"/>
  <c r="J100" i="1"/>
  <c r="J104" i="1"/>
  <c r="J105" i="1"/>
  <c r="J106" i="1"/>
  <c r="F88" i="1"/>
  <c r="I88" i="1" s="1"/>
  <c r="F89" i="1"/>
  <c r="H89" i="1" s="1"/>
  <c r="F90" i="1"/>
  <c r="H90" i="1" s="1"/>
  <c r="J101" i="1"/>
  <c r="F91" i="1"/>
  <c r="H91" i="1" s="1"/>
  <c r="I102" i="1"/>
  <c r="I107" i="1"/>
  <c r="H110" i="1"/>
  <c r="I89" i="1" l="1"/>
  <c r="K89" i="1" s="1"/>
  <c r="J110" i="1"/>
  <c r="H88" i="1"/>
  <c r="K88" i="1" s="1"/>
  <c r="I90" i="1"/>
  <c r="J90" i="1" s="1"/>
  <c r="I91" i="1"/>
  <c r="J91" i="1" s="1"/>
  <c r="I110" i="1"/>
  <c r="L88" i="1" l="1"/>
  <c r="L90" i="1"/>
  <c r="K90" i="1"/>
  <c r="J88" i="1"/>
  <c r="L89" i="1"/>
  <c r="J89" i="1"/>
  <c r="K91" i="1"/>
  <c r="L91" i="1"/>
  <c r="K92" i="1" l="1"/>
  <c r="J92" i="1"/>
  <c r="B113" i="1" s="1"/>
  <c r="J116" i="1" s="1"/>
  <c r="L92" i="1"/>
  <c r="J20" i="3" l="1"/>
  <c r="I2" i="2"/>
  <c r="B115" i="1"/>
  <c r="L119" i="1"/>
  <c r="U117" i="1"/>
  <c r="V132" i="1"/>
  <c r="D114" i="1"/>
  <c r="D115" i="1"/>
  <c r="B114" i="1"/>
  <c r="F115" i="1" l="1"/>
  <c r="H115" i="1" s="1"/>
  <c r="J115" i="1" s="1"/>
  <c r="I20" i="3" s="1"/>
  <c r="F114" i="1"/>
  <c r="H114" i="1" s="1"/>
  <c r="J114" i="1" s="1"/>
  <c r="H20" i="3" s="1"/>
  <c r="L20" i="3" l="1"/>
  <c r="H125" i="1"/>
  <c r="M111" i="1"/>
  <c r="P111" i="1" s="1"/>
  <c r="AA111" i="1" s="1"/>
  <c r="M20" i="3"/>
  <c r="I125" i="1"/>
  <c r="M117" i="1"/>
  <c r="O117" i="1" s="1"/>
  <c r="O118" i="1" s="1"/>
  <c r="W132" i="1"/>
  <c r="N115" i="1"/>
  <c r="U118" i="1" l="1"/>
  <c r="I3" i="2"/>
  <c r="Q2" i="2" s="1" a="1"/>
  <c r="N111" i="1"/>
  <c r="Y111" i="1" s="1"/>
  <c r="O111" i="1"/>
  <c r="Z111" i="1" s="1"/>
  <c r="O121" i="1"/>
  <c r="P117" i="1"/>
  <c r="P121" i="1" s="1"/>
  <c r="M119" i="1"/>
  <c r="Q2" i="2" l="1"/>
  <c r="S2" i="2" s="1"/>
  <c r="Q3" i="2"/>
  <c r="S3" i="2" s="1"/>
  <c r="Q111" i="1"/>
  <c r="AB111" i="1"/>
  <c r="P118" i="1"/>
  <c r="Q11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<sst xmlns="http://schemas.openxmlformats.org/spreadsheetml/2006/main" count="240" uniqueCount="163">
  <si>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</si>
  <si>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</si>
  <si>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</si>
  <si>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</si>
  <si>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</si>
  <si>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</si>
  <si>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</si>
  <si>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</si>
  <si>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</si>
  <si>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</si>
  <si>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</si>
  <si>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</si>
  <si>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</si>
  <si>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</si>
  <si>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</si>
  <si>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</si>
  <si>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</si>
  <si>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</si>
  <si>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</si>
  <si>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</si>
  <si>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</si>
  <si>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</si>
  <si>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</si>
  <si>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</si>
  <si>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</si>
  <si>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</si>
  <si>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</si>
  <si>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</si>
  <si>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</si>
  <si>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</si>
  <si>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</si>
  <si>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</si>
  <si>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</si>
  <si>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</si>
  <si>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</si>
  <si>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</si>
  <si>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</si>
  <si>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</si>
  <si>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</si>
  <si>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</si>
  <si>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</si>
  <si>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</si>
  <si>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</si>
  <si>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</si>
  <si>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</si>
  <si>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</si>
  <si>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</si>
  <si>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</si>
  <si>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</si>
  <si>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</si>
  <si>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</si>
  <si>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</si>
  <si>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</si>
  <si>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</si>
  <si>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</si>
  <si>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</si>
  <si>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</si>
  <si>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</si>
  <si>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</si>
  <si>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</si>
  <si>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</si>
  <si>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</si>
  <si>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</si>
  <si>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</si>
  <si>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</si>
  <si>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</si>
  <si>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</si>
  <si>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</si>
  <si>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</si>
  <si>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</si>
  <si>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</si>
  <si>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</si>
  <si>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</si>
  <si>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</si>
  <si>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</si>
  <si>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</si>
  <si>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</si>
  <si>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</si>
  <si>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</si>
  <si>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</si>
  <si>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</si>
  <si>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</si>
  <si>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</si>
  <si>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</si>
  <si>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</si>
  <si>
    <t>Sign Convention Note:</t>
  </si>
  <si>
    <t>Right hand rule with compression positive</t>
  </si>
  <si>
    <t>this means that +Mx puts compression on the top</t>
  </si>
  <si>
    <t>of the cross-section and +My puts compression on</t>
  </si>
  <si>
    <t>the left of the cross section</t>
  </si>
  <si>
    <t>(See Sign Convention Note Above)</t>
  </si>
  <si>
    <t>Unit Vector:</t>
  </si>
  <si>
    <r>
      <t>Tan</t>
    </r>
    <r>
      <rPr>
        <vertAlign val="superscript"/>
        <sz val="11"/>
        <rFont val="Calibri"/>
        <family val="2"/>
        <scheme val="minor"/>
      </rPr>
      <t>-1</t>
    </r>
    <r>
      <rPr>
        <sz val="11"/>
        <rFont val="Calibri"/>
        <family val="2"/>
        <scheme val="minor"/>
      </rPr>
      <t>(Mx/My)</t>
    </r>
  </si>
  <si>
    <t>P-phiPn</t>
  </si>
  <si>
    <t>Coord. To plot goal</t>
  </si>
  <si>
    <t>phiTheta-theta</t>
  </si>
  <si>
    <t>Bar Layout Generator:</t>
  </si>
  <si>
    <t>XH:XB</t>
  </si>
  <si>
    <t>H</t>
  </si>
  <si>
    <t>B (inclusive of H bars)</t>
  </si>
  <si>
    <t>Bar Size</t>
  </si>
  <si>
    <t>Tie Bar</t>
  </si>
  <si>
    <t>1/2 Bar Ø</t>
  </si>
  <si>
    <t>Bar Ø (in)</t>
  </si>
  <si>
    <t>Total Bar Count (&lt;= 12)</t>
  </si>
  <si>
    <t>Tie Bar Ø (in) = C</t>
  </si>
  <si>
    <t>Cover to tie (in) = D</t>
  </si>
  <si>
    <t>E = max of two above</t>
  </si>
  <si>
    <t>XJ = B - X0 = End X coord</t>
  </si>
  <si>
    <t>X0, Y0= C+D+E= Bar Start X,Y coord</t>
  </si>
  <si>
    <t>YJ = H - Y0 = End Y Coord</t>
  </si>
  <si>
    <t>X Spacing</t>
  </si>
  <si>
    <t>Y Spacing</t>
  </si>
  <si>
    <t>Layout Calcs:</t>
  </si>
  <si>
    <t>Table A-3 in ACI SP-17(14)</t>
  </si>
  <si>
    <t>Pattern: (2:2 Min - 12 Total Bars Max)</t>
  </si>
  <si>
    <t>I.P. Total Iterations:</t>
  </si>
  <si>
    <t>I.P. Found:</t>
  </si>
  <si>
    <t>Global Tolerance</t>
  </si>
  <si>
    <t>NA_depth</t>
  </si>
  <si>
    <t>2*tie Ø  -Tie Bend Radius</t>
  </si>
  <si>
    <t>3D Unit Vector of Result:</t>
  </si>
  <si>
    <t>3D Unit Vector of applied Load:</t>
  </si>
  <si>
    <t>3D Difference Vector</t>
  </si>
  <si>
    <t>Pn</t>
  </si>
  <si>
    <t>Mxn</t>
  </si>
  <si>
    <t>Myn</t>
  </si>
  <si>
    <t>i</t>
  </si>
  <si>
    <t>k</t>
  </si>
  <si>
    <t>j</t>
  </si>
  <si>
    <t>Mcalc:</t>
  </si>
  <si>
    <t>: Mgoal</t>
  </si>
  <si>
    <t xml:space="preserve">theta,calc = </t>
  </si>
  <si>
    <t xml:space="preserve">Theta,goal = </t>
  </si>
  <si>
    <t>3D Unit Vector of max/min Pn:</t>
  </si>
  <si>
    <t>||V||</t>
  </si>
  <si>
    <t>radians</t>
  </si>
  <si>
    <t>Pnom</t>
  </si>
  <si>
    <t>Mnom</t>
  </si>
  <si>
    <t>max Pn</t>
  </si>
  <si>
    <t>x-axis</t>
  </si>
  <si>
    <t>p1</t>
  </si>
  <si>
    <t>p2</t>
  </si>
  <si>
    <t>q1</t>
  </si>
  <si>
    <t>q2</t>
  </si>
  <si>
    <t>r1</t>
  </si>
  <si>
    <t>z</t>
  </si>
  <si>
    <t>α</t>
  </si>
  <si>
    <t>β</t>
  </si>
  <si>
    <t>ϒ</t>
  </si>
  <si>
    <t>degrees</t>
  </si>
  <si>
    <t>y-axis</t>
  </si>
  <si>
    <t>z-axis</t>
  </si>
  <si>
    <t>Surface Coordinates</t>
  </si>
  <si>
    <t>Surface Projection Rotations</t>
  </si>
  <si>
    <t>na for -0.002</t>
  </si>
  <si>
    <t>na for 0.000</t>
  </si>
  <si>
    <t>na for -0.005</t>
  </si>
  <si>
    <t>P-M</t>
  </si>
  <si>
    <t>na for all -0.002</t>
  </si>
  <si>
    <t>na for 0.002</t>
  </si>
  <si>
    <t>na for 0.002 top</t>
  </si>
  <si>
    <t>na for all fy=60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</si>
</sst>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vertAlign val="superscript"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7" fontId="0" fillId="0" borderId="0" xfId="0" applyNumberFormat="1"/>
    <xf numFmtId="165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6" fontId="0" fillId="0" borderId="0" xfId="0" applyNumberFormat="1"/>
    <xf numFmtId="0" fontId="0" fillId="0" borderId="8" xfId="0" applyBorder="1"/>
    <xf numFmtId="0" fontId="0" fillId="0" borderId="7" xfId="0" applyBorder="1"/>
    <xf numFmtId="0" fontId="0" fillId="0" borderId="0" xfId="0" applyBorder="1"/>
    <xf numFmtId="0" fontId="0" fillId="0" borderId="2" xfId="0" applyBorder="1"/>
    <xf numFmtId="164" fontId="3" fillId="0" borderId="0" xfId="0" applyNumberFormat="1" applyFont="1" applyFill="1" applyAlignment="1" applyProtection="1">
      <alignment horizontal="center" vertical="center"/>
      <protection locked="0"/>
    </xf>
    <xf numFmtId="164" fontId="3" fillId="0" borderId="0" xfId="0" applyNumberFormat="1" applyFont="1" applyFill="1" applyAlignment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9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9" xfId="0" applyNumberFormat="1" applyBorder="1"/>
    <xf numFmtId="0" fontId="0" fillId="2" borderId="0" xfId="0" applyFill="1" applyAlignment="1">
      <alignment horizontal="center"/>
    </xf>
    <xf numFmtId="0" fontId="8" fillId="0" borderId="3" xfId="0" applyFont="1" applyBorder="1" applyAlignment="1">
      <alignment horizontal="left"/>
    </xf>
    <xf numFmtId="0" fontId="0" fillId="2" borderId="7" xfId="0" applyFill="1" applyBorder="1"/>
    <xf numFmtId="0" fontId="0" fillId="0" borderId="0" xfId="0" applyFill="1" applyBorder="1"/>
    <xf numFmtId="0" fontId="0" fillId="0" borderId="10" xfId="0" applyBorder="1"/>
    <xf numFmtId="0" fontId="0" fillId="2" borderId="7" xfId="0" applyFill="1" applyBorder="1" applyProtection="1">
      <protection locked="0"/>
    </xf>
    <xf numFmtId="0" fontId="0" fillId="0" borderId="11" xfId="0" applyBorder="1"/>
    <xf numFmtId="0" fontId="0" fillId="0" borderId="2" xfId="0" applyBorder="1" applyAlignment="1">
      <alignment horizontal="center"/>
    </xf>
    <xf numFmtId="11" fontId="0" fillId="0" borderId="9" xfId="0" applyNumberFormat="1" applyBorder="1"/>
    <xf numFmtId="167" fontId="0" fillId="0" borderId="7" xfId="0" applyNumberFormat="1" applyBorder="1"/>
    <xf numFmtId="164" fontId="0" fillId="5" borderId="2" xfId="0" applyNumberFormat="1" applyFill="1" applyBorder="1" applyAlignment="1">
      <alignment horizontal="center"/>
    </xf>
    <xf numFmtId="0" fontId="0" fillId="5" borderId="2" xfId="0" applyFill="1" applyBorder="1"/>
    <xf numFmtId="0" fontId="1" fillId="0" borderId="0" xfId="0" applyFont="1"/>
    <xf numFmtId="165" fontId="0" fillId="0" borderId="0" xfId="0" applyNumberFormat="1" applyBorder="1" applyAlignment="1">
      <alignment horizontal="center"/>
    </xf>
    <xf numFmtId="165" fontId="0" fillId="0" borderId="0" xfId="0" applyNumberFormat="1"/>
    <xf numFmtId="165" fontId="0" fillId="0" borderId="0" xfId="0" applyNumberFormat="1" applyBorder="1"/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right"/>
    </xf>
    <xf numFmtId="0" fontId="0" fillId="0" borderId="13" xfId="0" applyBorder="1"/>
    <xf numFmtId="0" fontId="0" fillId="0" borderId="12" xfId="0" applyBorder="1"/>
    <xf numFmtId="166" fontId="0" fillId="0" borderId="13" xfId="0" applyNumberFormat="1" applyBorder="1" applyAlignment="1">
      <alignment horizontal="left"/>
    </xf>
    <xf numFmtId="166" fontId="0" fillId="0" borderId="13" xfId="0" applyNumberFormat="1" applyBorder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 applyBorder="1" applyAlignment="1">
      <alignment horizontal="center"/>
    </xf>
    <xf numFmtId="0" fontId="9" fillId="0" borderId="0" xfId="0" applyFont="1"/>
    <xf numFmtId="164" fontId="0" fillId="2" borderId="0" xfId="0" applyNumberForma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</a:t>
            </a:r>
            <a:r>
              <a:rPr lang="en-US" baseline="0"/>
              <a:t> Section and Reinforcement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20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3.125</c:v>
                </c:pt>
                <c:pt idx="1">
                  <c:v>10</c:v>
                </c:pt>
                <c:pt idx="2">
                  <c:v>16.875</c:v>
                </c:pt>
                <c:pt idx="3">
                  <c:v>3.125</c:v>
                </c:pt>
                <c:pt idx="4">
                  <c:v>16.875</c:v>
                </c:pt>
                <c:pt idx="5">
                  <c:v>3.125</c:v>
                </c:pt>
                <c:pt idx="6">
                  <c:v>10</c:v>
                </c:pt>
                <c:pt idx="7">
                  <c:v>16.875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3.125</c:v>
                </c:pt>
                <c:pt idx="1">
                  <c:v>3.125</c:v>
                </c:pt>
                <c:pt idx="2">
                  <c:v>3.125</c:v>
                </c:pt>
                <c:pt idx="3">
                  <c:v>10</c:v>
                </c:pt>
                <c:pt idx="4">
                  <c:v>10</c:v>
                </c:pt>
                <c:pt idx="5">
                  <c:v>16.875</c:v>
                </c:pt>
                <c:pt idx="6">
                  <c:v>16.875</c:v>
                </c:pt>
                <c:pt idx="7">
                  <c:v>16.875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21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21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</a:t>
            </a:r>
            <a:r>
              <a:rPr lang="en-US" baseline="0"/>
              <a:t> Cross Section with Compression block</a:t>
            </a:r>
          </a:p>
          <a:p>
            <a:pPr>
              <a:defRPr/>
            </a:pPr>
            <a:r>
              <a:rPr lang="en-US" baseline="0"/>
              <a:t>(Translated so P.C. is 0,0 and rotated so NA is horizontal)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-14.142135623730951</c:v>
                </c:pt>
                <c:pt idx="1">
                  <c:v>0</c:v>
                </c:pt>
                <c:pt idx="2">
                  <c:v>14.142135623730951</c:v>
                </c:pt>
                <c:pt idx="3">
                  <c:v>0</c:v>
                </c:pt>
                <c:pt idx="4">
                  <c:v>-14.142135623730951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0</c:v>
                </c:pt>
                <c:pt idx="1">
                  <c:v>-14.142135623730951</c:v>
                </c:pt>
                <c:pt idx="2">
                  <c:v>0</c:v>
                </c:pt>
                <c:pt idx="3">
                  <c:v>14.142135623730951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-9.7227182413150288</c:v>
                </c:pt>
                <c:pt idx="1">
                  <c:v>-4.8613591206575135</c:v>
                </c:pt>
                <c:pt idx="2">
                  <c:v>8.8817841970012523E-16</c:v>
                </c:pt>
                <c:pt idx="3">
                  <c:v>-4.8613591206575144</c:v>
                </c:pt>
                <c:pt idx="4">
                  <c:v>4.8613591206575144</c:v>
                </c:pt>
                <c:pt idx="5">
                  <c:v>-8.8817841970012523E-16</c:v>
                </c:pt>
                <c:pt idx="6">
                  <c:v>4.8613591206575135</c:v>
                </c:pt>
                <c:pt idx="7">
                  <c:v>9.7227182413150288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-8.8817841970012523E-16</c:v>
                </c:pt>
                <c:pt idx="1">
                  <c:v>-4.8613591206575144</c:v>
                </c:pt>
                <c:pt idx="2">
                  <c:v>-9.7227182413150288</c:v>
                </c:pt>
                <c:pt idx="3">
                  <c:v>4.8613591206575135</c:v>
                </c:pt>
                <c:pt idx="4">
                  <c:v>-4.8613591206575135</c:v>
                </c:pt>
                <c:pt idx="5">
                  <c:v>9.7227182413150288</c:v>
                </c:pt>
                <c:pt idx="6">
                  <c:v>4.8613591206575144</c:v>
                </c:pt>
                <c:pt idx="7">
                  <c:v>8.8817841970012523E-16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-14.142135623730951</c:v>
                </c:pt>
                <c:pt idx="1">
                  <c:v>14.142135623730951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4.1082646298338581</c:v>
                </c:pt>
                <c:pt idx="1">
                  <c:v>4.1082646298338581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-14.142135623730951</c:v>
                </c:pt>
                <c:pt idx="1">
                  <c:v>14.142135623730951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6.1150388286132777</c:v>
                </c:pt>
                <c:pt idx="1">
                  <c:v>6.1150388286132777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8.0270967951176733</c:v>
                </c:pt>
                <c:pt idx="3">
                  <c:v>-8.0270967951176733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6.1150388286132777</c:v>
                </c:pt>
                <c:pt idx="3">
                  <c:v>6.1150388286132777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14.142135623730951</c:v>
                </c:pt>
                <c:pt idx="1">
                  <c:v>-14.142135623730951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14.142135623730951</c:v>
                </c:pt>
                <c:pt idx="1">
                  <c:v>-14.142135623730951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 vs My @ Goal P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Analysis'!$B$129:$B$490</c:f>
              <c:numCache>
                <c:formatCode>0.000</c:formatCode>
                <c:ptCount val="362"/>
                <c:pt idx="0">
                  <c:v>-283.46232815521159</c:v>
                </c:pt>
                <c:pt idx="1">
                  <c:v>-283.4126239234804</c:v>
                </c:pt>
                <c:pt idx="2">
                  <c:v>-283.29902827259355</c:v>
                </c:pt>
                <c:pt idx="3">
                  <c:v>-283.12105431393883</c:v>
                </c:pt>
                <c:pt idx="4">
                  <c:v>-282.94949631153816</c:v>
                </c:pt>
                <c:pt idx="5">
                  <c:v>-282.64319013986301</c:v>
                </c:pt>
                <c:pt idx="6">
                  <c:v>-282.27062409190574</c:v>
                </c:pt>
                <c:pt idx="7">
                  <c:v>-281.83099230494662</c:v>
                </c:pt>
                <c:pt idx="8">
                  <c:v>-281.32307688958031</c:v>
                </c:pt>
                <c:pt idx="9">
                  <c:v>-279.34720545775554</c:v>
                </c:pt>
                <c:pt idx="10">
                  <c:v>-277.30062813955692</c:v>
                </c:pt>
                <c:pt idx="11">
                  <c:v>-275.24575921993596</c:v>
                </c:pt>
                <c:pt idx="12">
                  <c:v>-273.17594052269413</c:v>
                </c:pt>
                <c:pt idx="13">
                  <c:v>-271.08471652523741</c:v>
                </c:pt>
                <c:pt idx="14">
                  <c:v>-268.9656758998596</c:v>
                </c:pt>
                <c:pt idx="15">
                  <c:v>-266.81271776638442</c:v>
                </c:pt>
                <c:pt idx="16">
                  <c:v>-264.61974348889669</c:v>
                </c:pt>
                <c:pt idx="17">
                  <c:v>-262.38068230594502</c:v>
                </c:pt>
                <c:pt idx="18">
                  <c:v>-260.08952503740562</c:v>
                </c:pt>
                <c:pt idx="19">
                  <c:v>-257.76684108084271</c:v>
                </c:pt>
                <c:pt idx="20">
                  <c:v>-254.60353834762009</c:v>
                </c:pt>
                <c:pt idx="21">
                  <c:v>-250.73518270350317</c:v>
                </c:pt>
                <c:pt idx="22">
                  <c:v>-247.10672489676622</c:v>
                </c:pt>
                <c:pt idx="23">
                  <c:v>-243.68910589834692</c:v>
                </c:pt>
                <c:pt idx="24">
                  <c:v>-240.45746760574963</c:v>
                </c:pt>
                <c:pt idx="25">
                  <c:v>-237.3904294455464</c:v>
                </c:pt>
                <c:pt idx="26">
                  <c:v>-234.46957738410205</c:v>
                </c:pt>
                <c:pt idx="27">
                  <c:v>-232.63254191552869</c:v>
                </c:pt>
                <c:pt idx="28">
                  <c:v>-229.95972656333348</c:v>
                </c:pt>
                <c:pt idx="29">
                  <c:v>-227.39059794337399</c:v>
                </c:pt>
                <c:pt idx="30">
                  <c:v>-224.91397116551602</c:v>
                </c:pt>
                <c:pt idx="31">
                  <c:v>-222.40089431163963</c:v>
                </c:pt>
                <c:pt idx="32">
                  <c:v>-218.99410120385454</c:v>
                </c:pt>
                <c:pt idx="33">
                  <c:v>-215.69864517531593</c:v>
                </c:pt>
                <c:pt idx="34">
                  <c:v>-212.50331857200422</c:v>
                </c:pt>
                <c:pt idx="35">
                  <c:v>-209.39787709308581</c:v>
                </c:pt>
                <c:pt idx="36">
                  <c:v>-206.37297293672725</c:v>
                </c:pt>
                <c:pt idx="37">
                  <c:v>-203.41995119017099</c:v>
                </c:pt>
                <c:pt idx="38">
                  <c:v>-200.53076974500451</c:v>
                </c:pt>
                <c:pt idx="39">
                  <c:v>-197.69791544449953</c:v>
                </c:pt>
                <c:pt idx="40">
                  <c:v>-194.9143314940157</c:v>
                </c:pt>
                <c:pt idx="41">
                  <c:v>-192.17328633617285</c:v>
                </c:pt>
                <c:pt idx="42">
                  <c:v>-189.46833581447703</c:v>
                </c:pt>
                <c:pt idx="43">
                  <c:v>-186.79330681720614</c:v>
                </c:pt>
                <c:pt idx="44">
                  <c:v>-184.14213431628346</c:v>
                </c:pt>
                <c:pt idx="45">
                  <c:v>-181.50890298302932</c:v>
                </c:pt>
                <c:pt idx="46">
                  <c:v>-178.88773960690909</c:v>
                </c:pt>
                <c:pt idx="47">
                  <c:v>-176.27275686141326</c:v>
                </c:pt>
                <c:pt idx="48">
                  <c:v>-173.65799658587542</c:v>
                </c:pt>
                <c:pt idx="49">
                  <c:v>-171.03741950714488</c:v>
                </c:pt>
                <c:pt idx="50">
                  <c:v>-168.40474636748849</c:v>
                </c:pt>
                <c:pt idx="51">
                  <c:v>-165.75348850110598</c:v>
                </c:pt>
                <c:pt idx="52">
                  <c:v>-163.07682664604724</c:v>
                </c:pt>
                <c:pt idx="53">
                  <c:v>-160.3674994575268</c:v>
                </c:pt>
                <c:pt idx="54">
                  <c:v>-157.61776014942333</c:v>
                </c:pt>
                <c:pt idx="55">
                  <c:v>-154.81925640089315</c:v>
                </c:pt>
                <c:pt idx="56">
                  <c:v>-151.96289447208284</c:v>
                </c:pt>
                <c:pt idx="57">
                  <c:v>-149.03866881374776</c:v>
                </c:pt>
                <c:pt idx="58">
                  <c:v>-146.03555511115738</c:v>
                </c:pt>
                <c:pt idx="59">
                  <c:v>-142.94123671076287</c:v>
                </c:pt>
                <c:pt idx="60">
                  <c:v>-140.45204412459134</c:v>
                </c:pt>
                <c:pt idx="61">
                  <c:v>-137.9731557297213</c:v>
                </c:pt>
                <c:pt idx="62">
                  <c:v>-135.41018720512395</c:v>
                </c:pt>
                <c:pt idx="63">
                  <c:v>-132.74956541360638</c:v>
                </c:pt>
                <c:pt idx="64">
                  <c:v>-129.94368015335436</c:v>
                </c:pt>
                <c:pt idx="65">
                  <c:v>-127.02020469171396</c:v>
                </c:pt>
                <c:pt idx="66">
                  <c:v>-123.94256853039499</c:v>
                </c:pt>
                <c:pt idx="67">
                  <c:v>-120.68543184104708</c:v>
                </c:pt>
                <c:pt idx="68">
                  <c:v>-117.21857539317155</c:v>
                </c:pt>
                <c:pt idx="69">
                  <c:v>-113.50563280097079</c:v>
                </c:pt>
                <c:pt idx="70">
                  <c:v>-109.50242336114493</c:v>
                </c:pt>
                <c:pt idx="71">
                  <c:v>-104.68425080014147</c:v>
                </c:pt>
                <c:pt idx="72">
                  <c:v>-99.024332374852904</c:v>
                </c:pt>
                <c:pt idx="73">
                  <c:v>-93.276237502521965</c:v>
                </c:pt>
                <c:pt idx="74">
                  <c:v>-87.500039122850538</c:v>
                </c:pt>
                <c:pt idx="75">
                  <c:v>-81.68727959920551</c:v>
                </c:pt>
                <c:pt idx="76">
                  <c:v>-75.829102613155683</c:v>
                </c:pt>
                <c:pt idx="77">
                  <c:v>-69.916174747420939</c:v>
                </c:pt>
                <c:pt idx="78">
                  <c:v>-63.938595305361858</c:v>
                </c:pt>
                <c:pt idx="79">
                  <c:v>-57.885836205180603</c:v>
                </c:pt>
                <c:pt idx="80">
                  <c:v>-51.746600547299892</c:v>
                </c:pt>
                <c:pt idx="81">
                  <c:v>-45.508712204428363</c:v>
                </c:pt>
                <c:pt idx="82">
                  <c:v>-39.23442854068584</c:v>
                </c:pt>
                <c:pt idx="83">
                  <c:v>-34.42982260298583</c:v>
                </c:pt>
                <c:pt idx="84">
                  <c:v>-29.564720223816238</c:v>
                </c:pt>
                <c:pt idx="85">
                  <c:v>-24.626889145905796</c:v>
                </c:pt>
                <c:pt idx="86">
                  <c:v>-19.602362885876982</c:v>
                </c:pt>
                <c:pt idx="87">
                  <c:v>-16.171768576533939</c:v>
                </c:pt>
                <c:pt idx="88">
                  <c:v>-10.932304804560998</c:v>
                </c:pt>
                <c:pt idx="89">
                  <c:v>-5.5505222304779629</c:v>
                </c:pt>
                <c:pt idx="90">
                  <c:v>2.0561613979128343E-14</c:v>
                </c:pt>
                <c:pt idx="91">
                  <c:v>5.5505222304780073</c:v>
                </c:pt>
                <c:pt idx="92">
                  <c:v>10.932304804561037</c:v>
                </c:pt>
                <c:pt idx="93">
                  <c:v>16.17176857653396</c:v>
                </c:pt>
                <c:pt idx="94">
                  <c:v>19.602362885877071</c:v>
                </c:pt>
                <c:pt idx="95">
                  <c:v>24.626889145905892</c:v>
                </c:pt>
                <c:pt idx="96">
                  <c:v>29.564720223816348</c:v>
                </c:pt>
                <c:pt idx="97">
                  <c:v>34.429822602985837</c:v>
                </c:pt>
                <c:pt idx="98">
                  <c:v>39.23442854068589</c:v>
                </c:pt>
                <c:pt idx="99">
                  <c:v>45.50871220442847</c:v>
                </c:pt>
                <c:pt idx="100">
                  <c:v>51.746600547299934</c:v>
                </c:pt>
                <c:pt idx="101">
                  <c:v>57.885836205180681</c:v>
                </c:pt>
                <c:pt idx="102">
                  <c:v>63.938595305361908</c:v>
                </c:pt>
                <c:pt idx="103">
                  <c:v>69.916174747421067</c:v>
                </c:pt>
                <c:pt idx="104">
                  <c:v>75.829102613155783</c:v>
                </c:pt>
                <c:pt idx="105">
                  <c:v>81.68727959920561</c:v>
                </c:pt>
                <c:pt idx="106">
                  <c:v>87.500039122850595</c:v>
                </c:pt>
                <c:pt idx="107">
                  <c:v>93.276237502521965</c:v>
                </c:pt>
                <c:pt idx="108">
                  <c:v>99.024332374852932</c:v>
                </c:pt>
                <c:pt idx="109">
                  <c:v>104.68425080014146</c:v>
                </c:pt>
                <c:pt idx="110">
                  <c:v>109.50242336114493</c:v>
                </c:pt>
                <c:pt idx="111">
                  <c:v>113.50563280097084</c:v>
                </c:pt>
                <c:pt idx="112">
                  <c:v>117.21857539317162</c:v>
                </c:pt>
                <c:pt idx="113">
                  <c:v>120.68543184104715</c:v>
                </c:pt>
                <c:pt idx="114">
                  <c:v>123.94256853039506</c:v>
                </c:pt>
                <c:pt idx="115">
                  <c:v>127.02020469171396</c:v>
                </c:pt>
                <c:pt idx="116">
                  <c:v>129.94368015335439</c:v>
                </c:pt>
                <c:pt idx="117">
                  <c:v>132.74956541360638</c:v>
                </c:pt>
                <c:pt idx="118">
                  <c:v>135.41018720512398</c:v>
                </c:pt>
                <c:pt idx="119">
                  <c:v>137.9731557297213</c:v>
                </c:pt>
                <c:pt idx="120">
                  <c:v>140.45204412459128</c:v>
                </c:pt>
                <c:pt idx="121">
                  <c:v>142.94123671076278</c:v>
                </c:pt>
                <c:pt idx="122">
                  <c:v>146.03555511115741</c:v>
                </c:pt>
                <c:pt idx="123">
                  <c:v>149.03866881374782</c:v>
                </c:pt>
                <c:pt idx="124">
                  <c:v>151.96289447208295</c:v>
                </c:pt>
                <c:pt idx="125">
                  <c:v>154.81925640089318</c:v>
                </c:pt>
                <c:pt idx="126">
                  <c:v>157.61776014942333</c:v>
                </c:pt>
                <c:pt idx="127">
                  <c:v>160.36749945752692</c:v>
                </c:pt>
                <c:pt idx="128">
                  <c:v>163.07682664604724</c:v>
                </c:pt>
                <c:pt idx="129">
                  <c:v>165.75348850110603</c:v>
                </c:pt>
                <c:pt idx="130">
                  <c:v>168.40474636748854</c:v>
                </c:pt>
                <c:pt idx="131">
                  <c:v>171.03741950714482</c:v>
                </c:pt>
                <c:pt idx="132">
                  <c:v>173.65799658587551</c:v>
                </c:pt>
                <c:pt idx="133">
                  <c:v>176.27275686141326</c:v>
                </c:pt>
                <c:pt idx="134">
                  <c:v>178.88773960690907</c:v>
                </c:pt>
                <c:pt idx="135">
                  <c:v>181.50890298302934</c:v>
                </c:pt>
                <c:pt idx="136">
                  <c:v>184.1421343162836</c:v>
                </c:pt>
                <c:pt idx="137">
                  <c:v>186.79330681720626</c:v>
                </c:pt>
                <c:pt idx="138">
                  <c:v>189.46833581447711</c:v>
                </c:pt>
                <c:pt idx="139">
                  <c:v>192.17328633617285</c:v>
                </c:pt>
                <c:pt idx="140">
                  <c:v>194.91433149401576</c:v>
                </c:pt>
                <c:pt idx="141">
                  <c:v>197.69791544449956</c:v>
                </c:pt>
                <c:pt idx="142">
                  <c:v>200.53076974500456</c:v>
                </c:pt>
                <c:pt idx="143">
                  <c:v>203.41995119017099</c:v>
                </c:pt>
                <c:pt idx="144">
                  <c:v>206.37297293672728</c:v>
                </c:pt>
                <c:pt idx="145">
                  <c:v>209.3978770930859</c:v>
                </c:pt>
                <c:pt idx="146">
                  <c:v>212.5033185720043</c:v>
                </c:pt>
                <c:pt idx="147">
                  <c:v>215.69864517531587</c:v>
                </c:pt>
                <c:pt idx="148">
                  <c:v>218.99410120385465</c:v>
                </c:pt>
                <c:pt idx="149">
                  <c:v>222.40089431163963</c:v>
                </c:pt>
                <c:pt idx="150">
                  <c:v>224.91397116551607</c:v>
                </c:pt>
                <c:pt idx="151">
                  <c:v>227.39059794337405</c:v>
                </c:pt>
                <c:pt idx="152">
                  <c:v>229.95972656333348</c:v>
                </c:pt>
                <c:pt idx="153">
                  <c:v>232.63254191552869</c:v>
                </c:pt>
                <c:pt idx="154">
                  <c:v>234.46957738410222</c:v>
                </c:pt>
                <c:pt idx="155">
                  <c:v>237.3904294455464</c:v>
                </c:pt>
                <c:pt idx="156">
                  <c:v>240.45746760574971</c:v>
                </c:pt>
                <c:pt idx="157">
                  <c:v>243.68910589834692</c:v>
                </c:pt>
                <c:pt idx="158">
                  <c:v>247.10672489676639</c:v>
                </c:pt>
                <c:pt idx="159">
                  <c:v>250.73518270350331</c:v>
                </c:pt>
                <c:pt idx="160">
                  <c:v>254.60353834762012</c:v>
                </c:pt>
                <c:pt idx="161">
                  <c:v>257.7668410808426</c:v>
                </c:pt>
                <c:pt idx="162">
                  <c:v>260.08952503740562</c:v>
                </c:pt>
                <c:pt idx="163">
                  <c:v>262.38068230594536</c:v>
                </c:pt>
                <c:pt idx="164">
                  <c:v>264.61974348889669</c:v>
                </c:pt>
                <c:pt idx="165">
                  <c:v>266.81271776638442</c:v>
                </c:pt>
                <c:pt idx="166">
                  <c:v>268.96567589985955</c:v>
                </c:pt>
                <c:pt idx="167">
                  <c:v>271.08471652523752</c:v>
                </c:pt>
                <c:pt idx="168">
                  <c:v>273.17594052269425</c:v>
                </c:pt>
                <c:pt idx="169">
                  <c:v>275.24575921993602</c:v>
                </c:pt>
                <c:pt idx="170">
                  <c:v>277.30062813955709</c:v>
                </c:pt>
                <c:pt idx="171">
                  <c:v>279.34720545775565</c:v>
                </c:pt>
                <c:pt idx="172">
                  <c:v>281.32307688958048</c:v>
                </c:pt>
                <c:pt idx="173">
                  <c:v>281.83099230494679</c:v>
                </c:pt>
                <c:pt idx="174">
                  <c:v>282.27062409190586</c:v>
                </c:pt>
                <c:pt idx="175">
                  <c:v>282.64319013986301</c:v>
                </c:pt>
                <c:pt idx="176">
                  <c:v>282.94949631153821</c:v>
                </c:pt>
                <c:pt idx="177">
                  <c:v>283.12105431393877</c:v>
                </c:pt>
                <c:pt idx="178">
                  <c:v>283.29902827259343</c:v>
                </c:pt>
                <c:pt idx="179">
                  <c:v>283.41262392348045</c:v>
                </c:pt>
                <c:pt idx="180">
                  <c:v>283.46232815521182</c:v>
                </c:pt>
                <c:pt idx="181">
                  <c:v>283.41262392348028</c:v>
                </c:pt>
                <c:pt idx="182">
                  <c:v>283.29902827259349</c:v>
                </c:pt>
                <c:pt idx="183">
                  <c:v>283.12105431393877</c:v>
                </c:pt>
                <c:pt idx="184">
                  <c:v>282.94949631153821</c:v>
                </c:pt>
                <c:pt idx="185">
                  <c:v>282.64319013986301</c:v>
                </c:pt>
                <c:pt idx="186">
                  <c:v>282.2706240919058</c:v>
                </c:pt>
                <c:pt idx="187">
                  <c:v>281.83099230494679</c:v>
                </c:pt>
                <c:pt idx="188">
                  <c:v>281.32307688958031</c:v>
                </c:pt>
                <c:pt idx="189">
                  <c:v>279.34720545775565</c:v>
                </c:pt>
                <c:pt idx="190">
                  <c:v>277.30062813955686</c:v>
                </c:pt>
                <c:pt idx="191">
                  <c:v>275.24575921993596</c:v>
                </c:pt>
                <c:pt idx="192">
                  <c:v>273.17594052269396</c:v>
                </c:pt>
                <c:pt idx="193">
                  <c:v>271.08471652523747</c:v>
                </c:pt>
                <c:pt idx="194">
                  <c:v>268.96567589985955</c:v>
                </c:pt>
                <c:pt idx="195">
                  <c:v>266.81271776638442</c:v>
                </c:pt>
                <c:pt idx="196">
                  <c:v>264.61974348889669</c:v>
                </c:pt>
                <c:pt idx="197">
                  <c:v>262.38068230594513</c:v>
                </c:pt>
                <c:pt idx="198">
                  <c:v>260.08952503740568</c:v>
                </c:pt>
                <c:pt idx="199">
                  <c:v>257.76684108084248</c:v>
                </c:pt>
                <c:pt idx="200">
                  <c:v>254.60353834762012</c:v>
                </c:pt>
                <c:pt idx="201">
                  <c:v>250.73518270350303</c:v>
                </c:pt>
                <c:pt idx="202">
                  <c:v>247.10672489676639</c:v>
                </c:pt>
                <c:pt idx="203">
                  <c:v>243.68910589834692</c:v>
                </c:pt>
                <c:pt idx="204">
                  <c:v>240.45746760574971</c:v>
                </c:pt>
                <c:pt idx="205">
                  <c:v>237.39042944554643</c:v>
                </c:pt>
                <c:pt idx="206">
                  <c:v>234.46957738410208</c:v>
                </c:pt>
                <c:pt idx="207">
                  <c:v>232.63254191552869</c:v>
                </c:pt>
                <c:pt idx="208">
                  <c:v>229.95972656333353</c:v>
                </c:pt>
                <c:pt idx="209">
                  <c:v>227.39059794337399</c:v>
                </c:pt>
                <c:pt idx="210">
                  <c:v>224.91397116551599</c:v>
                </c:pt>
                <c:pt idx="211">
                  <c:v>222.40089431163963</c:v>
                </c:pt>
                <c:pt idx="212">
                  <c:v>218.99410120385463</c:v>
                </c:pt>
                <c:pt idx="213">
                  <c:v>215.69864517531587</c:v>
                </c:pt>
                <c:pt idx="214">
                  <c:v>212.5033185720043</c:v>
                </c:pt>
                <c:pt idx="215">
                  <c:v>209.39787709308584</c:v>
                </c:pt>
                <c:pt idx="216">
                  <c:v>206.37297293672728</c:v>
                </c:pt>
                <c:pt idx="217">
                  <c:v>203.41995119017096</c:v>
                </c:pt>
                <c:pt idx="218">
                  <c:v>200.53076974500456</c:v>
                </c:pt>
                <c:pt idx="219">
                  <c:v>197.69791544449953</c:v>
                </c:pt>
                <c:pt idx="220">
                  <c:v>194.91433149401576</c:v>
                </c:pt>
                <c:pt idx="221">
                  <c:v>192.17328633617285</c:v>
                </c:pt>
                <c:pt idx="222">
                  <c:v>189.46833581447711</c:v>
                </c:pt>
                <c:pt idx="223">
                  <c:v>186.79330681720623</c:v>
                </c:pt>
                <c:pt idx="224">
                  <c:v>184.1421343162834</c:v>
                </c:pt>
                <c:pt idx="225">
                  <c:v>181.50890298302934</c:v>
                </c:pt>
                <c:pt idx="226">
                  <c:v>178.88773960690904</c:v>
                </c:pt>
                <c:pt idx="227">
                  <c:v>176.27275686141326</c:v>
                </c:pt>
                <c:pt idx="228">
                  <c:v>173.6579965858754</c:v>
                </c:pt>
                <c:pt idx="229">
                  <c:v>171.03741950714488</c:v>
                </c:pt>
                <c:pt idx="230">
                  <c:v>168.40474636748846</c:v>
                </c:pt>
                <c:pt idx="231">
                  <c:v>165.75348850110606</c:v>
                </c:pt>
                <c:pt idx="232">
                  <c:v>163.07682664604721</c:v>
                </c:pt>
                <c:pt idx="233">
                  <c:v>160.3674994575268</c:v>
                </c:pt>
                <c:pt idx="234">
                  <c:v>157.61776014942333</c:v>
                </c:pt>
                <c:pt idx="235">
                  <c:v>154.81925640089315</c:v>
                </c:pt>
                <c:pt idx="236">
                  <c:v>151.96289447208289</c:v>
                </c:pt>
                <c:pt idx="237">
                  <c:v>149.03866881374773</c:v>
                </c:pt>
                <c:pt idx="238">
                  <c:v>146.03555511115738</c:v>
                </c:pt>
                <c:pt idx="239">
                  <c:v>142.94123671076278</c:v>
                </c:pt>
                <c:pt idx="240">
                  <c:v>140.45204412459142</c:v>
                </c:pt>
                <c:pt idx="241">
                  <c:v>137.9731557297213</c:v>
                </c:pt>
                <c:pt idx="242">
                  <c:v>135.41018720512389</c:v>
                </c:pt>
                <c:pt idx="243">
                  <c:v>132.7495654136064</c:v>
                </c:pt>
                <c:pt idx="244">
                  <c:v>129.94368015335439</c:v>
                </c:pt>
                <c:pt idx="245">
                  <c:v>127.02020469171394</c:v>
                </c:pt>
                <c:pt idx="246">
                  <c:v>123.94256853039501</c:v>
                </c:pt>
                <c:pt idx="247">
                  <c:v>120.68543184104712</c:v>
                </c:pt>
                <c:pt idx="248">
                  <c:v>117.21857539317161</c:v>
                </c:pt>
                <c:pt idx="249">
                  <c:v>113.5056328009709</c:v>
                </c:pt>
                <c:pt idx="250">
                  <c:v>109.50242336114484</c:v>
                </c:pt>
                <c:pt idx="251">
                  <c:v>104.68425080014141</c:v>
                </c:pt>
                <c:pt idx="252">
                  <c:v>99.024332374852932</c:v>
                </c:pt>
                <c:pt idx="253">
                  <c:v>93.276237502522065</c:v>
                </c:pt>
                <c:pt idx="254">
                  <c:v>87.500039122850467</c:v>
                </c:pt>
                <c:pt idx="255">
                  <c:v>81.68727959920551</c:v>
                </c:pt>
                <c:pt idx="256">
                  <c:v>75.829102613155712</c:v>
                </c:pt>
                <c:pt idx="257">
                  <c:v>69.916174747421067</c:v>
                </c:pt>
                <c:pt idx="258">
                  <c:v>63.938595305361986</c:v>
                </c:pt>
                <c:pt idx="259">
                  <c:v>57.885836205180524</c:v>
                </c:pt>
                <c:pt idx="260">
                  <c:v>51.746600547299892</c:v>
                </c:pt>
                <c:pt idx="261">
                  <c:v>45.508712204428434</c:v>
                </c:pt>
                <c:pt idx="262">
                  <c:v>39.234428540685947</c:v>
                </c:pt>
                <c:pt idx="263">
                  <c:v>34.429822602985723</c:v>
                </c:pt>
                <c:pt idx="264">
                  <c:v>29.564720223816234</c:v>
                </c:pt>
                <c:pt idx="265">
                  <c:v>24.626889145905825</c:v>
                </c:pt>
                <c:pt idx="266">
                  <c:v>19.602362885877056</c:v>
                </c:pt>
                <c:pt idx="267">
                  <c:v>16.171768576534053</c:v>
                </c:pt>
                <c:pt idx="268">
                  <c:v>10.9323048045609</c:v>
                </c:pt>
                <c:pt idx="269">
                  <c:v>5.5505222304779416</c:v>
                </c:pt>
                <c:pt idx="270">
                  <c:v>1.7364171668207894E-14</c:v>
                </c:pt>
                <c:pt idx="271">
                  <c:v>-5.5505222304779105</c:v>
                </c:pt>
                <c:pt idx="272">
                  <c:v>-10.932304804561127</c:v>
                </c:pt>
                <c:pt idx="273">
                  <c:v>-16.171768576533992</c:v>
                </c:pt>
                <c:pt idx="274">
                  <c:v>-19.602362885877024</c:v>
                </c:pt>
                <c:pt idx="275">
                  <c:v>-24.62688914590581</c:v>
                </c:pt>
                <c:pt idx="276">
                  <c:v>-29.564720223816174</c:v>
                </c:pt>
                <c:pt idx="277">
                  <c:v>-34.429822602985929</c:v>
                </c:pt>
                <c:pt idx="278">
                  <c:v>-39.234428540685911</c:v>
                </c:pt>
                <c:pt idx="279">
                  <c:v>-45.50871220442837</c:v>
                </c:pt>
                <c:pt idx="280">
                  <c:v>-51.746600547299842</c:v>
                </c:pt>
                <c:pt idx="281">
                  <c:v>-57.885836205180759</c:v>
                </c:pt>
                <c:pt idx="282">
                  <c:v>-63.938595305361908</c:v>
                </c:pt>
                <c:pt idx="283">
                  <c:v>-69.91617474742101</c:v>
                </c:pt>
                <c:pt idx="284">
                  <c:v>-75.829102613155698</c:v>
                </c:pt>
                <c:pt idx="285">
                  <c:v>-81.687279599205468</c:v>
                </c:pt>
                <c:pt idx="286">
                  <c:v>-87.500039122850666</c:v>
                </c:pt>
                <c:pt idx="287">
                  <c:v>-93.276237502522008</c:v>
                </c:pt>
                <c:pt idx="288">
                  <c:v>-99.024332374852875</c:v>
                </c:pt>
                <c:pt idx="289">
                  <c:v>-104.68425080014136</c:v>
                </c:pt>
                <c:pt idx="290">
                  <c:v>-109.50242336114496</c:v>
                </c:pt>
                <c:pt idx="291">
                  <c:v>-113.50563280097084</c:v>
                </c:pt>
                <c:pt idx="292">
                  <c:v>-117.21857539317163</c:v>
                </c:pt>
                <c:pt idx="293">
                  <c:v>-120.68543184104708</c:v>
                </c:pt>
                <c:pt idx="294">
                  <c:v>-123.94256853039501</c:v>
                </c:pt>
                <c:pt idx="295">
                  <c:v>-127.02020469171408</c:v>
                </c:pt>
                <c:pt idx="296">
                  <c:v>-129.94368015335436</c:v>
                </c:pt>
                <c:pt idx="297">
                  <c:v>-132.74956541360638</c:v>
                </c:pt>
                <c:pt idx="298">
                  <c:v>-135.41018720512392</c:v>
                </c:pt>
                <c:pt idx="299">
                  <c:v>-137.97315572972138</c:v>
                </c:pt>
                <c:pt idx="300">
                  <c:v>-140.45204412459134</c:v>
                </c:pt>
                <c:pt idx="301">
                  <c:v>-142.94123671076287</c:v>
                </c:pt>
                <c:pt idx="302">
                  <c:v>-146.03555511115744</c:v>
                </c:pt>
                <c:pt idx="303">
                  <c:v>-149.03866881374779</c:v>
                </c:pt>
                <c:pt idx="304">
                  <c:v>-151.96289447208298</c:v>
                </c:pt>
                <c:pt idx="305">
                  <c:v>-154.81925640089315</c:v>
                </c:pt>
                <c:pt idx="306">
                  <c:v>-157.61776014942333</c:v>
                </c:pt>
                <c:pt idx="307">
                  <c:v>-160.36749945752678</c:v>
                </c:pt>
                <c:pt idx="308">
                  <c:v>-163.07682664604735</c:v>
                </c:pt>
                <c:pt idx="309">
                  <c:v>-165.75348850110606</c:v>
                </c:pt>
                <c:pt idx="310">
                  <c:v>-168.40474636748849</c:v>
                </c:pt>
                <c:pt idx="311">
                  <c:v>-171.03741950714488</c:v>
                </c:pt>
                <c:pt idx="312">
                  <c:v>-173.6579965858754</c:v>
                </c:pt>
                <c:pt idx="313">
                  <c:v>-176.27275686141326</c:v>
                </c:pt>
                <c:pt idx="314">
                  <c:v>-178.88773960690912</c:v>
                </c:pt>
                <c:pt idx="315">
                  <c:v>-181.50890298302932</c:v>
                </c:pt>
                <c:pt idx="316">
                  <c:v>-184.14213431628349</c:v>
                </c:pt>
                <c:pt idx="317">
                  <c:v>-186.79330681720623</c:v>
                </c:pt>
                <c:pt idx="318">
                  <c:v>-189.46833581447717</c:v>
                </c:pt>
                <c:pt idx="319">
                  <c:v>-192.17328633617285</c:v>
                </c:pt>
                <c:pt idx="320">
                  <c:v>-194.91433149401567</c:v>
                </c:pt>
                <c:pt idx="321">
                  <c:v>-197.69791544449947</c:v>
                </c:pt>
                <c:pt idx="322">
                  <c:v>-200.53076974500459</c:v>
                </c:pt>
                <c:pt idx="323">
                  <c:v>-203.41995119017096</c:v>
                </c:pt>
                <c:pt idx="324">
                  <c:v>-206.37297293672725</c:v>
                </c:pt>
                <c:pt idx="325">
                  <c:v>-209.39787709308578</c:v>
                </c:pt>
                <c:pt idx="326">
                  <c:v>-212.50331857200436</c:v>
                </c:pt>
                <c:pt idx="327">
                  <c:v>-215.69864517531593</c:v>
                </c:pt>
                <c:pt idx="328">
                  <c:v>-218.99410120385454</c:v>
                </c:pt>
                <c:pt idx="329">
                  <c:v>-222.40089431163963</c:v>
                </c:pt>
                <c:pt idx="330">
                  <c:v>-224.91397116551599</c:v>
                </c:pt>
                <c:pt idx="331">
                  <c:v>-227.39059794337413</c:v>
                </c:pt>
                <c:pt idx="332">
                  <c:v>-229.95972656333348</c:v>
                </c:pt>
                <c:pt idx="333">
                  <c:v>-232.63254191552869</c:v>
                </c:pt>
                <c:pt idx="334">
                  <c:v>-234.46957738410202</c:v>
                </c:pt>
                <c:pt idx="335">
                  <c:v>-237.39042944554663</c:v>
                </c:pt>
                <c:pt idx="336">
                  <c:v>-240.45746760574991</c:v>
                </c:pt>
                <c:pt idx="337">
                  <c:v>-243.68910589834687</c:v>
                </c:pt>
                <c:pt idx="338">
                  <c:v>-247.10672489676622</c:v>
                </c:pt>
                <c:pt idx="339">
                  <c:v>-250.73518270350303</c:v>
                </c:pt>
                <c:pt idx="340">
                  <c:v>-254.60353834762034</c:v>
                </c:pt>
                <c:pt idx="341">
                  <c:v>-257.76684108084271</c:v>
                </c:pt>
                <c:pt idx="342">
                  <c:v>-260.08952503740562</c:v>
                </c:pt>
                <c:pt idx="343">
                  <c:v>-262.38068230594502</c:v>
                </c:pt>
                <c:pt idx="344">
                  <c:v>-264.61974348889692</c:v>
                </c:pt>
                <c:pt idx="345">
                  <c:v>-266.81271776638459</c:v>
                </c:pt>
                <c:pt idx="346">
                  <c:v>-268.96567589985955</c:v>
                </c:pt>
                <c:pt idx="347">
                  <c:v>-271.08471652523735</c:v>
                </c:pt>
                <c:pt idx="348">
                  <c:v>-273.17594052269385</c:v>
                </c:pt>
                <c:pt idx="349">
                  <c:v>-275.24575921993602</c:v>
                </c:pt>
                <c:pt idx="350">
                  <c:v>-277.30062813955692</c:v>
                </c:pt>
                <c:pt idx="351">
                  <c:v>-279.34720545775554</c:v>
                </c:pt>
                <c:pt idx="352">
                  <c:v>-281.32307688958031</c:v>
                </c:pt>
                <c:pt idx="353">
                  <c:v>-281.8309923049469</c:v>
                </c:pt>
                <c:pt idx="354">
                  <c:v>-282.27062409190597</c:v>
                </c:pt>
                <c:pt idx="355">
                  <c:v>-282.64319013986301</c:v>
                </c:pt>
                <c:pt idx="356">
                  <c:v>-282.94949631153816</c:v>
                </c:pt>
                <c:pt idx="357">
                  <c:v>-283.1210543139386</c:v>
                </c:pt>
                <c:pt idx="358">
                  <c:v>-283.29902827259372</c:v>
                </c:pt>
                <c:pt idx="359">
                  <c:v>-283.4126239234804</c:v>
                </c:pt>
                <c:pt idx="360">
                  <c:v>-283.46232815521171</c:v>
                </c:pt>
                <c:pt idx="361">
                  <c:v>-283.46232815521159</c:v>
                </c:pt>
              </c:numCache>
            </c:numRef>
          </c:xVal>
          <c:yVal>
            <c:numRef>
              <c:f>'Cross Section Analysis'!$C$129:$C$490</c:f>
              <c:numCache>
                <c:formatCode>0.000</c:formatCode>
                <c:ptCount val="362"/>
                <c:pt idx="0">
                  <c:v>-3.8991599750976374E-14</c:v>
                </c:pt>
                <c:pt idx="1">
                  <c:v>-5.5505222304779513</c:v>
                </c:pt>
                <c:pt idx="2">
                  <c:v>-10.932304804561044</c:v>
                </c:pt>
                <c:pt idx="3">
                  <c:v>-16.171768576533911</c:v>
                </c:pt>
                <c:pt idx="4">
                  <c:v>-19.602362885877088</c:v>
                </c:pt>
                <c:pt idx="5">
                  <c:v>-24.626889145905849</c:v>
                </c:pt>
                <c:pt idx="6">
                  <c:v>-29.564720223816366</c:v>
                </c:pt>
                <c:pt idx="7">
                  <c:v>-34.429822602985844</c:v>
                </c:pt>
                <c:pt idx="8">
                  <c:v>-39.234428540685975</c:v>
                </c:pt>
                <c:pt idx="9">
                  <c:v>-45.508712204428441</c:v>
                </c:pt>
                <c:pt idx="10">
                  <c:v>-51.746600547299884</c:v>
                </c:pt>
                <c:pt idx="11">
                  <c:v>-57.885836205180695</c:v>
                </c:pt>
                <c:pt idx="12">
                  <c:v>-63.938595305361858</c:v>
                </c:pt>
                <c:pt idx="13">
                  <c:v>-69.916174747421053</c:v>
                </c:pt>
                <c:pt idx="14">
                  <c:v>-75.829102613155754</c:v>
                </c:pt>
                <c:pt idx="15">
                  <c:v>-81.687279599205638</c:v>
                </c:pt>
                <c:pt idx="16">
                  <c:v>-87.500039122850609</c:v>
                </c:pt>
                <c:pt idx="17">
                  <c:v>-93.276237502522079</c:v>
                </c:pt>
                <c:pt idx="18">
                  <c:v>-99.02433237485296</c:v>
                </c:pt>
                <c:pt idx="19">
                  <c:v>-104.68425080014146</c:v>
                </c:pt>
                <c:pt idx="20">
                  <c:v>-109.50242336114495</c:v>
                </c:pt>
                <c:pt idx="21">
                  <c:v>-113.50563280097084</c:v>
                </c:pt>
                <c:pt idx="22">
                  <c:v>-117.21857539317163</c:v>
                </c:pt>
                <c:pt idx="23">
                  <c:v>-120.68543184104712</c:v>
                </c:pt>
                <c:pt idx="24">
                  <c:v>-123.94256853039504</c:v>
                </c:pt>
                <c:pt idx="25">
                  <c:v>-127.02020469171399</c:v>
                </c:pt>
                <c:pt idx="26">
                  <c:v>-129.94368015335434</c:v>
                </c:pt>
                <c:pt idx="27">
                  <c:v>-132.74956541360638</c:v>
                </c:pt>
                <c:pt idx="28">
                  <c:v>-135.41018720512392</c:v>
                </c:pt>
                <c:pt idx="29">
                  <c:v>-137.9731557297213</c:v>
                </c:pt>
                <c:pt idx="30">
                  <c:v>-140.45204412459128</c:v>
                </c:pt>
                <c:pt idx="31">
                  <c:v>-142.94123671076278</c:v>
                </c:pt>
                <c:pt idx="32">
                  <c:v>-146.03555511115741</c:v>
                </c:pt>
                <c:pt idx="33">
                  <c:v>-149.03866881374785</c:v>
                </c:pt>
                <c:pt idx="34">
                  <c:v>-151.96289447208295</c:v>
                </c:pt>
                <c:pt idx="35">
                  <c:v>-154.81925640089315</c:v>
                </c:pt>
                <c:pt idx="36">
                  <c:v>-157.61776014942333</c:v>
                </c:pt>
                <c:pt idx="37">
                  <c:v>-160.3674994575268</c:v>
                </c:pt>
                <c:pt idx="38">
                  <c:v>-163.07682664604729</c:v>
                </c:pt>
                <c:pt idx="39">
                  <c:v>-165.75348850110603</c:v>
                </c:pt>
                <c:pt idx="40">
                  <c:v>-168.40474636748849</c:v>
                </c:pt>
                <c:pt idx="41">
                  <c:v>-171.03741950714482</c:v>
                </c:pt>
                <c:pt idx="42">
                  <c:v>-173.65799658587545</c:v>
                </c:pt>
                <c:pt idx="43">
                  <c:v>-176.27275686141326</c:v>
                </c:pt>
                <c:pt idx="44">
                  <c:v>-178.88773960690907</c:v>
                </c:pt>
                <c:pt idx="45">
                  <c:v>-181.50890298302934</c:v>
                </c:pt>
                <c:pt idx="46">
                  <c:v>-184.14213431628352</c:v>
                </c:pt>
                <c:pt idx="47">
                  <c:v>-186.79330681720617</c:v>
                </c:pt>
                <c:pt idx="48">
                  <c:v>-189.46833581447717</c:v>
                </c:pt>
                <c:pt idx="49">
                  <c:v>-192.17328633617291</c:v>
                </c:pt>
                <c:pt idx="50">
                  <c:v>-194.91433149401576</c:v>
                </c:pt>
                <c:pt idx="51">
                  <c:v>-197.69791544449956</c:v>
                </c:pt>
                <c:pt idx="52">
                  <c:v>-200.53076974500456</c:v>
                </c:pt>
                <c:pt idx="53">
                  <c:v>-203.41995119017108</c:v>
                </c:pt>
                <c:pt idx="54">
                  <c:v>-206.37297293672731</c:v>
                </c:pt>
                <c:pt idx="55">
                  <c:v>-209.39787709308584</c:v>
                </c:pt>
                <c:pt idx="56">
                  <c:v>-212.50331857200422</c:v>
                </c:pt>
                <c:pt idx="57">
                  <c:v>-215.69864517531602</c:v>
                </c:pt>
                <c:pt idx="58">
                  <c:v>-218.99410120385465</c:v>
                </c:pt>
                <c:pt idx="59">
                  <c:v>-222.40089431163972</c:v>
                </c:pt>
                <c:pt idx="60">
                  <c:v>-224.91397116551599</c:v>
                </c:pt>
                <c:pt idx="61">
                  <c:v>-227.39059794337405</c:v>
                </c:pt>
                <c:pt idx="62">
                  <c:v>-229.95972656333362</c:v>
                </c:pt>
                <c:pt idx="63">
                  <c:v>-232.63254191552869</c:v>
                </c:pt>
                <c:pt idx="64">
                  <c:v>-234.46957738410211</c:v>
                </c:pt>
                <c:pt idx="65">
                  <c:v>-237.39042944554643</c:v>
                </c:pt>
                <c:pt idx="66">
                  <c:v>-240.45746760574991</c:v>
                </c:pt>
                <c:pt idx="67">
                  <c:v>-243.68910589834678</c:v>
                </c:pt>
                <c:pt idx="68">
                  <c:v>-247.10672489676645</c:v>
                </c:pt>
                <c:pt idx="69">
                  <c:v>-250.73518270350311</c:v>
                </c:pt>
                <c:pt idx="70">
                  <c:v>-254.60353834762029</c:v>
                </c:pt>
                <c:pt idx="71">
                  <c:v>-257.7668410808426</c:v>
                </c:pt>
                <c:pt idx="72">
                  <c:v>-260.08952503740579</c:v>
                </c:pt>
                <c:pt idx="73">
                  <c:v>-262.3806823059453</c:v>
                </c:pt>
                <c:pt idx="74">
                  <c:v>-264.61974348889669</c:v>
                </c:pt>
                <c:pt idx="75">
                  <c:v>-266.81271776638465</c:v>
                </c:pt>
                <c:pt idx="76">
                  <c:v>-268.96567589985955</c:v>
                </c:pt>
                <c:pt idx="77">
                  <c:v>-271.08471652523764</c:v>
                </c:pt>
                <c:pt idx="78">
                  <c:v>-273.17594052269413</c:v>
                </c:pt>
                <c:pt idx="79">
                  <c:v>-275.24575921993591</c:v>
                </c:pt>
                <c:pt idx="80">
                  <c:v>-277.30062813955698</c:v>
                </c:pt>
                <c:pt idx="81">
                  <c:v>-279.34720545775565</c:v>
                </c:pt>
                <c:pt idx="82">
                  <c:v>-281.32307688958031</c:v>
                </c:pt>
                <c:pt idx="83">
                  <c:v>-281.83099230494679</c:v>
                </c:pt>
                <c:pt idx="84">
                  <c:v>-282.27062409190586</c:v>
                </c:pt>
                <c:pt idx="85">
                  <c:v>-282.64319013986301</c:v>
                </c:pt>
                <c:pt idx="86">
                  <c:v>-282.94949631153833</c:v>
                </c:pt>
                <c:pt idx="87">
                  <c:v>-283.12105431393871</c:v>
                </c:pt>
                <c:pt idx="88">
                  <c:v>-283.2990282725936</c:v>
                </c:pt>
                <c:pt idx="89">
                  <c:v>-283.4126239234804</c:v>
                </c:pt>
                <c:pt idx="90">
                  <c:v>-283.46232815521176</c:v>
                </c:pt>
                <c:pt idx="91">
                  <c:v>-283.41262392348028</c:v>
                </c:pt>
                <c:pt idx="92">
                  <c:v>-283.29902827259355</c:v>
                </c:pt>
                <c:pt idx="93">
                  <c:v>-283.12105431393871</c:v>
                </c:pt>
                <c:pt idx="94">
                  <c:v>-282.94949631153821</c:v>
                </c:pt>
                <c:pt idx="95">
                  <c:v>-282.64319013986301</c:v>
                </c:pt>
                <c:pt idx="96">
                  <c:v>-282.27062409190586</c:v>
                </c:pt>
                <c:pt idx="97">
                  <c:v>-281.83099230494662</c:v>
                </c:pt>
                <c:pt idx="98">
                  <c:v>-281.32307688958031</c:v>
                </c:pt>
                <c:pt idx="99">
                  <c:v>-279.34720545775565</c:v>
                </c:pt>
                <c:pt idx="100">
                  <c:v>-277.30062813955698</c:v>
                </c:pt>
                <c:pt idx="101">
                  <c:v>-275.24575921993591</c:v>
                </c:pt>
                <c:pt idx="102">
                  <c:v>-273.17594052269402</c:v>
                </c:pt>
                <c:pt idx="103">
                  <c:v>-271.08471652523758</c:v>
                </c:pt>
                <c:pt idx="104">
                  <c:v>-268.96567589985949</c:v>
                </c:pt>
                <c:pt idx="105">
                  <c:v>-266.81271776638442</c:v>
                </c:pt>
                <c:pt idx="106">
                  <c:v>-264.61974348889669</c:v>
                </c:pt>
                <c:pt idx="107">
                  <c:v>-262.38068230594519</c:v>
                </c:pt>
                <c:pt idx="108">
                  <c:v>-260.08952503740562</c:v>
                </c:pt>
                <c:pt idx="109">
                  <c:v>-257.76684108084248</c:v>
                </c:pt>
                <c:pt idx="110">
                  <c:v>-254.60353834762017</c:v>
                </c:pt>
                <c:pt idx="111">
                  <c:v>-250.73518270350311</c:v>
                </c:pt>
                <c:pt idx="112">
                  <c:v>-247.10672489676631</c:v>
                </c:pt>
                <c:pt idx="113">
                  <c:v>-243.68910589834684</c:v>
                </c:pt>
                <c:pt idx="114">
                  <c:v>-240.45746760574971</c:v>
                </c:pt>
                <c:pt idx="115">
                  <c:v>-237.3904294455464</c:v>
                </c:pt>
                <c:pt idx="116">
                  <c:v>-234.46957738410208</c:v>
                </c:pt>
                <c:pt idx="117">
                  <c:v>-232.63254191552863</c:v>
                </c:pt>
                <c:pt idx="118">
                  <c:v>-229.95972656333339</c:v>
                </c:pt>
                <c:pt idx="119">
                  <c:v>-227.39059794337399</c:v>
                </c:pt>
                <c:pt idx="120">
                  <c:v>-224.91397116551607</c:v>
                </c:pt>
                <c:pt idx="121">
                  <c:v>-222.40089431163963</c:v>
                </c:pt>
                <c:pt idx="122">
                  <c:v>-218.99410120385454</c:v>
                </c:pt>
                <c:pt idx="123">
                  <c:v>-215.69864517531587</c:v>
                </c:pt>
                <c:pt idx="124">
                  <c:v>-212.5033185720043</c:v>
                </c:pt>
                <c:pt idx="125">
                  <c:v>-209.39787709308584</c:v>
                </c:pt>
                <c:pt idx="126">
                  <c:v>-206.37297293672728</c:v>
                </c:pt>
                <c:pt idx="127">
                  <c:v>-203.41995119017096</c:v>
                </c:pt>
                <c:pt idx="128">
                  <c:v>-200.53076974500456</c:v>
                </c:pt>
                <c:pt idx="129">
                  <c:v>-197.69791544449956</c:v>
                </c:pt>
                <c:pt idx="130">
                  <c:v>-194.91433149401576</c:v>
                </c:pt>
                <c:pt idx="131">
                  <c:v>-192.17328633617285</c:v>
                </c:pt>
                <c:pt idx="132">
                  <c:v>-189.46833581447711</c:v>
                </c:pt>
                <c:pt idx="133">
                  <c:v>-186.79330681720617</c:v>
                </c:pt>
                <c:pt idx="134">
                  <c:v>-184.14213431628346</c:v>
                </c:pt>
                <c:pt idx="135">
                  <c:v>-181.50890298302932</c:v>
                </c:pt>
                <c:pt idx="136">
                  <c:v>-178.88773960690904</c:v>
                </c:pt>
                <c:pt idx="137">
                  <c:v>-176.27275686141334</c:v>
                </c:pt>
                <c:pt idx="138">
                  <c:v>-173.65799658587551</c:v>
                </c:pt>
                <c:pt idx="139">
                  <c:v>-171.03741950714488</c:v>
                </c:pt>
                <c:pt idx="140">
                  <c:v>-168.40474636748849</c:v>
                </c:pt>
                <c:pt idx="141">
                  <c:v>-165.75348850110598</c:v>
                </c:pt>
                <c:pt idx="142">
                  <c:v>-163.07682664604724</c:v>
                </c:pt>
                <c:pt idx="143">
                  <c:v>-160.3674994575268</c:v>
                </c:pt>
                <c:pt idx="144">
                  <c:v>-157.61776014942333</c:v>
                </c:pt>
                <c:pt idx="145">
                  <c:v>-154.81925640089304</c:v>
                </c:pt>
                <c:pt idx="146">
                  <c:v>-151.96289447208295</c:v>
                </c:pt>
                <c:pt idx="147">
                  <c:v>-149.03866881374782</c:v>
                </c:pt>
                <c:pt idx="148">
                  <c:v>-146.03555511115744</c:v>
                </c:pt>
                <c:pt idx="149">
                  <c:v>-142.94123671076275</c:v>
                </c:pt>
                <c:pt idx="150">
                  <c:v>-140.45204412459128</c:v>
                </c:pt>
                <c:pt idx="151">
                  <c:v>-137.9731557297213</c:v>
                </c:pt>
                <c:pt idx="152">
                  <c:v>-135.41018720512386</c:v>
                </c:pt>
                <c:pt idx="153">
                  <c:v>-132.74956541360638</c:v>
                </c:pt>
                <c:pt idx="154">
                  <c:v>-129.94368015335431</c:v>
                </c:pt>
                <c:pt idx="155">
                  <c:v>-127.02020469171396</c:v>
                </c:pt>
                <c:pt idx="156">
                  <c:v>-123.94256853039502</c:v>
                </c:pt>
                <c:pt idx="157">
                  <c:v>-120.68543184104709</c:v>
                </c:pt>
                <c:pt idx="158">
                  <c:v>-117.21857539317163</c:v>
                </c:pt>
                <c:pt idx="159">
                  <c:v>-113.50563280097082</c:v>
                </c:pt>
                <c:pt idx="160">
                  <c:v>-109.50242336114492</c:v>
                </c:pt>
                <c:pt idx="161">
                  <c:v>-104.68425080014137</c:v>
                </c:pt>
                <c:pt idx="162">
                  <c:v>-99.024332374852904</c:v>
                </c:pt>
                <c:pt idx="163">
                  <c:v>-93.276237502521866</c:v>
                </c:pt>
                <c:pt idx="164">
                  <c:v>-87.500039122850538</c:v>
                </c:pt>
                <c:pt idx="165">
                  <c:v>-81.68727959920561</c:v>
                </c:pt>
                <c:pt idx="166">
                  <c:v>-75.829102613155698</c:v>
                </c:pt>
                <c:pt idx="167">
                  <c:v>-69.916174747421024</c:v>
                </c:pt>
                <c:pt idx="168">
                  <c:v>-63.938595305361829</c:v>
                </c:pt>
                <c:pt idx="169">
                  <c:v>-57.885836205180667</c:v>
                </c:pt>
                <c:pt idx="170">
                  <c:v>-51.746600547299863</c:v>
                </c:pt>
                <c:pt idx="171">
                  <c:v>-45.508712204428392</c:v>
                </c:pt>
                <c:pt idx="172">
                  <c:v>-39.234428540685784</c:v>
                </c:pt>
                <c:pt idx="173">
                  <c:v>-34.429822602985837</c:v>
                </c:pt>
                <c:pt idx="174">
                  <c:v>-29.564720223816316</c:v>
                </c:pt>
                <c:pt idx="175">
                  <c:v>-24.626889145905807</c:v>
                </c:pt>
                <c:pt idx="176">
                  <c:v>-19.602362885877046</c:v>
                </c:pt>
                <c:pt idx="177">
                  <c:v>-16.171768576533882</c:v>
                </c:pt>
                <c:pt idx="178">
                  <c:v>-10.932304804561003</c:v>
                </c:pt>
                <c:pt idx="179">
                  <c:v>-5.550522230477906</c:v>
                </c:pt>
                <c:pt idx="180">
                  <c:v>0</c:v>
                </c:pt>
                <c:pt idx="181">
                  <c:v>5.5505222304780446</c:v>
                </c:pt>
                <c:pt idx="182">
                  <c:v>10.932304804561012</c:v>
                </c:pt>
                <c:pt idx="183">
                  <c:v>16.171768576533868</c:v>
                </c:pt>
                <c:pt idx="184">
                  <c:v>19.602362885877053</c:v>
                </c:pt>
                <c:pt idx="185">
                  <c:v>24.626889145905814</c:v>
                </c:pt>
                <c:pt idx="186">
                  <c:v>29.564720223816316</c:v>
                </c:pt>
                <c:pt idx="187">
                  <c:v>34.429822602985844</c:v>
                </c:pt>
                <c:pt idx="188">
                  <c:v>39.234428540685919</c:v>
                </c:pt>
                <c:pt idx="189">
                  <c:v>45.508712204428399</c:v>
                </c:pt>
                <c:pt idx="190">
                  <c:v>51.746600547299998</c:v>
                </c:pt>
                <c:pt idx="191">
                  <c:v>57.885836205180652</c:v>
                </c:pt>
                <c:pt idx="192">
                  <c:v>63.938595305361922</c:v>
                </c:pt>
                <c:pt idx="193">
                  <c:v>69.916174747421039</c:v>
                </c:pt>
                <c:pt idx="194">
                  <c:v>75.829102613155712</c:v>
                </c:pt>
                <c:pt idx="195">
                  <c:v>81.68727959920561</c:v>
                </c:pt>
                <c:pt idx="196">
                  <c:v>87.500039122850538</c:v>
                </c:pt>
                <c:pt idx="197">
                  <c:v>93.276237502522008</c:v>
                </c:pt>
                <c:pt idx="198">
                  <c:v>99.024332374852904</c:v>
                </c:pt>
                <c:pt idx="199">
                  <c:v>104.68425080014153</c:v>
                </c:pt>
                <c:pt idx="200">
                  <c:v>109.50242336114488</c:v>
                </c:pt>
                <c:pt idx="201">
                  <c:v>113.50563280097089</c:v>
                </c:pt>
                <c:pt idx="202">
                  <c:v>117.21857539317163</c:v>
                </c:pt>
                <c:pt idx="203">
                  <c:v>120.68543184104709</c:v>
                </c:pt>
                <c:pt idx="204">
                  <c:v>123.94256853039502</c:v>
                </c:pt>
                <c:pt idx="205">
                  <c:v>127.02020469171399</c:v>
                </c:pt>
                <c:pt idx="206">
                  <c:v>129.94368015335439</c:v>
                </c:pt>
                <c:pt idx="207">
                  <c:v>132.74956541360635</c:v>
                </c:pt>
                <c:pt idx="208">
                  <c:v>135.41018720512403</c:v>
                </c:pt>
                <c:pt idx="209">
                  <c:v>137.9731557297213</c:v>
                </c:pt>
                <c:pt idx="210">
                  <c:v>140.45204412459134</c:v>
                </c:pt>
                <c:pt idx="211">
                  <c:v>142.94123671076278</c:v>
                </c:pt>
                <c:pt idx="212">
                  <c:v>146.03555511115744</c:v>
                </c:pt>
                <c:pt idx="213">
                  <c:v>149.03866881374782</c:v>
                </c:pt>
                <c:pt idx="214">
                  <c:v>151.96289447208295</c:v>
                </c:pt>
                <c:pt idx="215">
                  <c:v>154.81925640089318</c:v>
                </c:pt>
                <c:pt idx="216">
                  <c:v>157.61776014942333</c:v>
                </c:pt>
                <c:pt idx="217">
                  <c:v>160.36749945752692</c:v>
                </c:pt>
                <c:pt idx="218">
                  <c:v>163.07682664604724</c:v>
                </c:pt>
                <c:pt idx="219">
                  <c:v>165.75348850110606</c:v>
                </c:pt>
                <c:pt idx="220">
                  <c:v>168.40474636748849</c:v>
                </c:pt>
                <c:pt idx="221">
                  <c:v>171.03741950714488</c:v>
                </c:pt>
                <c:pt idx="222">
                  <c:v>173.65799658587551</c:v>
                </c:pt>
                <c:pt idx="223">
                  <c:v>176.27275686141337</c:v>
                </c:pt>
                <c:pt idx="224">
                  <c:v>178.88773960690898</c:v>
                </c:pt>
                <c:pt idx="225">
                  <c:v>181.50890298302932</c:v>
                </c:pt>
                <c:pt idx="226">
                  <c:v>184.1421343162836</c:v>
                </c:pt>
                <c:pt idx="227">
                  <c:v>186.79330681720617</c:v>
                </c:pt>
                <c:pt idx="228">
                  <c:v>189.46833581447717</c:v>
                </c:pt>
                <c:pt idx="229">
                  <c:v>192.17328633617291</c:v>
                </c:pt>
                <c:pt idx="230">
                  <c:v>194.91433149401567</c:v>
                </c:pt>
                <c:pt idx="231">
                  <c:v>197.69791544449947</c:v>
                </c:pt>
                <c:pt idx="232">
                  <c:v>200.53076974500459</c:v>
                </c:pt>
                <c:pt idx="233">
                  <c:v>203.41995119017099</c:v>
                </c:pt>
                <c:pt idx="234">
                  <c:v>206.37297293672728</c:v>
                </c:pt>
                <c:pt idx="235">
                  <c:v>209.39787709308581</c:v>
                </c:pt>
                <c:pt idx="236">
                  <c:v>212.50331857200436</c:v>
                </c:pt>
                <c:pt idx="237">
                  <c:v>215.69864517531599</c:v>
                </c:pt>
                <c:pt idx="238">
                  <c:v>218.99410120385454</c:v>
                </c:pt>
                <c:pt idx="239">
                  <c:v>222.40089431163963</c:v>
                </c:pt>
                <c:pt idx="240">
                  <c:v>224.91397116551599</c:v>
                </c:pt>
                <c:pt idx="241">
                  <c:v>227.39059794337419</c:v>
                </c:pt>
                <c:pt idx="242">
                  <c:v>229.95972656333348</c:v>
                </c:pt>
                <c:pt idx="243">
                  <c:v>232.63254191552869</c:v>
                </c:pt>
                <c:pt idx="244">
                  <c:v>234.46957738410205</c:v>
                </c:pt>
                <c:pt idx="245">
                  <c:v>237.39042944554649</c:v>
                </c:pt>
                <c:pt idx="246">
                  <c:v>240.45746760574977</c:v>
                </c:pt>
                <c:pt idx="247">
                  <c:v>243.68910589834692</c:v>
                </c:pt>
                <c:pt idx="248">
                  <c:v>247.10672489676625</c:v>
                </c:pt>
                <c:pt idx="249">
                  <c:v>250.73518270350314</c:v>
                </c:pt>
                <c:pt idx="250">
                  <c:v>254.60353834762034</c:v>
                </c:pt>
                <c:pt idx="251">
                  <c:v>257.76684108084271</c:v>
                </c:pt>
                <c:pt idx="252">
                  <c:v>260.08952503740562</c:v>
                </c:pt>
                <c:pt idx="253">
                  <c:v>262.38068230594507</c:v>
                </c:pt>
                <c:pt idx="254">
                  <c:v>264.61974348889697</c:v>
                </c:pt>
                <c:pt idx="255">
                  <c:v>266.81271776638465</c:v>
                </c:pt>
                <c:pt idx="256">
                  <c:v>268.96567589985955</c:v>
                </c:pt>
                <c:pt idx="257">
                  <c:v>271.08471652523758</c:v>
                </c:pt>
                <c:pt idx="258">
                  <c:v>273.17594052269396</c:v>
                </c:pt>
                <c:pt idx="259">
                  <c:v>275.24575921993608</c:v>
                </c:pt>
                <c:pt idx="260">
                  <c:v>277.30062813955715</c:v>
                </c:pt>
                <c:pt idx="261">
                  <c:v>279.34720545775565</c:v>
                </c:pt>
                <c:pt idx="262">
                  <c:v>281.32307688958031</c:v>
                </c:pt>
                <c:pt idx="263">
                  <c:v>281.8309923049469</c:v>
                </c:pt>
                <c:pt idx="264">
                  <c:v>282.27062409190603</c:v>
                </c:pt>
                <c:pt idx="265">
                  <c:v>282.64319013986301</c:v>
                </c:pt>
                <c:pt idx="266">
                  <c:v>282.94949631153816</c:v>
                </c:pt>
                <c:pt idx="267">
                  <c:v>283.12105431393866</c:v>
                </c:pt>
                <c:pt idx="268">
                  <c:v>283.29902827259372</c:v>
                </c:pt>
                <c:pt idx="269">
                  <c:v>283.41262392348034</c:v>
                </c:pt>
                <c:pt idx="270">
                  <c:v>283.46232815521176</c:v>
                </c:pt>
                <c:pt idx="271">
                  <c:v>283.4126239234804</c:v>
                </c:pt>
                <c:pt idx="272">
                  <c:v>283.29902827259349</c:v>
                </c:pt>
                <c:pt idx="273">
                  <c:v>283.12105431393877</c:v>
                </c:pt>
                <c:pt idx="274">
                  <c:v>282.94949631153821</c:v>
                </c:pt>
                <c:pt idx="275">
                  <c:v>282.64319013986312</c:v>
                </c:pt>
                <c:pt idx="276">
                  <c:v>282.27062409190609</c:v>
                </c:pt>
                <c:pt idx="277">
                  <c:v>281.83099230494668</c:v>
                </c:pt>
                <c:pt idx="278">
                  <c:v>281.32307688958019</c:v>
                </c:pt>
                <c:pt idx="279">
                  <c:v>279.34720545775565</c:v>
                </c:pt>
                <c:pt idx="280">
                  <c:v>277.30062813955715</c:v>
                </c:pt>
                <c:pt idx="281">
                  <c:v>275.24575921993579</c:v>
                </c:pt>
                <c:pt idx="282">
                  <c:v>273.17594052269396</c:v>
                </c:pt>
                <c:pt idx="283">
                  <c:v>271.08471652523752</c:v>
                </c:pt>
                <c:pt idx="284">
                  <c:v>268.9656758998596</c:v>
                </c:pt>
                <c:pt idx="285">
                  <c:v>266.81271776638476</c:v>
                </c:pt>
                <c:pt idx="286">
                  <c:v>264.61974348889657</c:v>
                </c:pt>
                <c:pt idx="287">
                  <c:v>262.38068230594507</c:v>
                </c:pt>
                <c:pt idx="288">
                  <c:v>260.08952503740574</c:v>
                </c:pt>
                <c:pt idx="289">
                  <c:v>257.7668410808426</c:v>
                </c:pt>
                <c:pt idx="290">
                  <c:v>254.60353834762003</c:v>
                </c:pt>
                <c:pt idx="291">
                  <c:v>250.73518270350303</c:v>
                </c:pt>
                <c:pt idx="292">
                  <c:v>247.10672489676639</c:v>
                </c:pt>
                <c:pt idx="293">
                  <c:v>243.68910589834684</c:v>
                </c:pt>
                <c:pt idx="294">
                  <c:v>240.45746760574994</c:v>
                </c:pt>
                <c:pt idx="295">
                  <c:v>237.39042944554643</c:v>
                </c:pt>
                <c:pt idx="296">
                  <c:v>234.46957738410211</c:v>
                </c:pt>
                <c:pt idx="297">
                  <c:v>232.63254191552875</c:v>
                </c:pt>
                <c:pt idx="298">
                  <c:v>229.95972656333356</c:v>
                </c:pt>
                <c:pt idx="299">
                  <c:v>227.3905979433741</c:v>
                </c:pt>
                <c:pt idx="300">
                  <c:v>224.91397116551599</c:v>
                </c:pt>
                <c:pt idx="301">
                  <c:v>222.40089431163972</c:v>
                </c:pt>
                <c:pt idx="302">
                  <c:v>218.99410120385465</c:v>
                </c:pt>
                <c:pt idx="303">
                  <c:v>215.69864517531607</c:v>
                </c:pt>
                <c:pt idx="304">
                  <c:v>212.50331857200416</c:v>
                </c:pt>
                <c:pt idx="305">
                  <c:v>209.39787709308584</c:v>
                </c:pt>
                <c:pt idx="306">
                  <c:v>206.37297293672728</c:v>
                </c:pt>
                <c:pt idx="307">
                  <c:v>203.41995119017102</c:v>
                </c:pt>
                <c:pt idx="308">
                  <c:v>200.53076974500451</c:v>
                </c:pt>
                <c:pt idx="309">
                  <c:v>197.69791544449956</c:v>
                </c:pt>
                <c:pt idx="310">
                  <c:v>194.91433149401576</c:v>
                </c:pt>
                <c:pt idx="311">
                  <c:v>192.17328633617285</c:v>
                </c:pt>
                <c:pt idx="312">
                  <c:v>189.46833581447717</c:v>
                </c:pt>
                <c:pt idx="313">
                  <c:v>186.79330681720606</c:v>
                </c:pt>
                <c:pt idx="314">
                  <c:v>184.1421343162836</c:v>
                </c:pt>
                <c:pt idx="315">
                  <c:v>181.50890298302934</c:v>
                </c:pt>
                <c:pt idx="316">
                  <c:v>178.88773960690909</c:v>
                </c:pt>
                <c:pt idx="317">
                  <c:v>176.27275686141326</c:v>
                </c:pt>
                <c:pt idx="318">
                  <c:v>173.65799658587542</c:v>
                </c:pt>
                <c:pt idx="319">
                  <c:v>171.03741950714482</c:v>
                </c:pt>
                <c:pt idx="320">
                  <c:v>168.40474636748846</c:v>
                </c:pt>
                <c:pt idx="321">
                  <c:v>165.75348850110606</c:v>
                </c:pt>
                <c:pt idx="322">
                  <c:v>163.07682664604727</c:v>
                </c:pt>
                <c:pt idx="323">
                  <c:v>160.36749945752678</c:v>
                </c:pt>
                <c:pt idx="324">
                  <c:v>157.61776014942333</c:v>
                </c:pt>
                <c:pt idx="325">
                  <c:v>154.81925640089318</c:v>
                </c:pt>
                <c:pt idx="326">
                  <c:v>151.96289447208289</c:v>
                </c:pt>
                <c:pt idx="327">
                  <c:v>149.03866881374776</c:v>
                </c:pt>
                <c:pt idx="328">
                  <c:v>146.03555511115741</c:v>
                </c:pt>
                <c:pt idx="329">
                  <c:v>142.94123671076278</c:v>
                </c:pt>
                <c:pt idx="330">
                  <c:v>140.4520441245914</c:v>
                </c:pt>
                <c:pt idx="331">
                  <c:v>137.9731557297213</c:v>
                </c:pt>
                <c:pt idx="332">
                  <c:v>135.41018720512389</c:v>
                </c:pt>
                <c:pt idx="333">
                  <c:v>132.74956541360643</c:v>
                </c:pt>
                <c:pt idx="334">
                  <c:v>129.94368015335436</c:v>
                </c:pt>
                <c:pt idx="335">
                  <c:v>127.02020469171396</c:v>
                </c:pt>
                <c:pt idx="336">
                  <c:v>123.94256853039499</c:v>
                </c:pt>
                <c:pt idx="337">
                  <c:v>120.68543184104709</c:v>
                </c:pt>
                <c:pt idx="338">
                  <c:v>117.21857539317163</c:v>
                </c:pt>
                <c:pt idx="339">
                  <c:v>113.5056328009709</c:v>
                </c:pt>
                <c:pt idx="340">
                  <c:v>109.50242336114486</c:v>
                </c:pt>
                <c:pt idx="341">
                  <c:v>104.68425080014143</c:v>
                </c:pt>
                <c:pt idx="342">
                  <c:v>99.024332374852932</c:v>
                </c:pt>
                <c:pt idx="343">
                  <c:v>93.276237502522079</c:v>
                </c:pt>
                <c:pt idx="344">
                  <c:v>87.500039122850495</c:v>
                </c:pt>
                <c:pt idx="345">
                  <c:v>81.68727959920551</c:v>
                </c:pt>
                <c:pt idx="346">
                  <c:v>75.829102613155754</c:v>
                </c:pt>
                <c:pt idx="347">
                  <c:v>69.916174747421067</c:v>
                </c:pt>
                <c:pt idx="348">
                  <c:v>63.938595305361972</c:v>
                </c:pt>
                <c:pt idx="349">
                  <c:v>57.885836205180553</c:v>
                </c:pt>
                <c:pt idx="350">
                  <c:v>51.746600547299884</c:v>
                </c:pt>
                <c:pt idx="351">
                  <c:v>45.508712204428448</c:v>
                </c:pt>
                <c:pt idx="352">
                  <c:v>39.234428540685975</c:v>
                </c:pt>
                <c:pt idx="353">
                  <c:v>34.429822602985737</c:v>
                </c:pt>
                <c:pt idx="354">
                  <c:v>29.564720223816245</c:v>
                </c:pt>
                <c:pt idx="355">
                  <c:v>24.626889145905839</c:v>
                </c:pt>
                <c:pt idx="356">
                  <c:v>19.602362885877078</c:v>
                </c:pt>
                <c:pt idx="357">
                  <c:v>16.171768576534074</c:v>
                </c:pt>
                <c:pt idx="358">
                  <c:v>10.932304804560914</c:v>
                </c:pt>
                <c:pt idx="359">
                  <c:v>5.5505222304779593</c:v>
                </c:pt>
                <c:pt idx="360">
                  <c:v>3.8991599750976386E-14</c:v>
                </c:pt>
                <c:pt idx="361">
                  <c:v>-3.8991599750976374E-14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45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'Cross Section Analysis'!$H$124:$H$125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181.50890768579961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181.50890768579958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 @ Goal Load Angle = Tan</a:t>
            </a:r>
            <a:r>
              <a:rPr lang="en-US" baseline="30000"/>
              <a:t>-1</a:t>
            </a:r>
            <a:r>
              <a:rPr lang="en-US"/>
              <a:t>(Mx/My)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Analysis'!$R$129:$R$231</c:f>
              <c:numCache>
                <c:formatCode>General</c:formatCode>
                <c:ptCount val="103"/>
                <c:pt idx="0">
                  <c:v>#N/A</c:v>
                </c:pt>
                <c:pt idx="1">
                  <c:v>1.2635928390826827</c:v>
                </c:pt>
                <c:pt idx="2">
                  <c:v>52.94137224865009</c:v>
                </c:pt>
                <c:pt idx="3">
                  <c:v>101.11492959574504</c:v>
                </c:pt>
                <c:pt idx="4">
                  <c:v>137.86740977670723</c:v>
                </c:pt>
                <c:pt idx="5">
                  <c:v>172.19231295744817</c:v>
                </c:pt>
                <c:pt idx="6">
                  <c:v>205.94666533628973</c:v>
                </c:pt>
                <c:pt idx="7">
                  <c:v>234.10793873001407</c:v>
                </c:pt>
                <c:pt idx="8">
                  <c:v>249.02250726045341</c:v>
                </c:pt>
                <c:pt idx="9">
                  <c:v>258.34439290995726</c:v>
                </c:pt>
                <c:pt idx="10">
                  <c:v>267.0019352369398</c:v>
                </c:pt>
                <c:pt idx="11">
                  <c:v>267.3581649635808</c:v>
                </c:pt>
                <c:pt idx="12">
                  <c:v>268.22363793963808</c:v>
                </c:pt>
                <c:pt idx="13">
                  <c:v>268.07405444029786</c:v>
                </c:pt>
                <c:pt idx="14">
                  <c:v>268.76676835352185</c:v>
                </c:pt>
                <c:pt idx="15">
                  <c:v>271.62189705095483</c:v>
                </c:pt>
                <c:pt idx="16">
                  <c:v>273.06177496864478</c:v>
                </c:pt>
                <c:pt idx="17">
                  <c:v>272.88685969563664</c:v>
                </c:pt>
                <c:pt idx="18">
                  <c:v>270.70925988910267</c:v>
                </c:pt>
                <c:pt idx="19">
                  <c:v>266.59084777648872</c:v>
                </c:pt>
                <c:pt idx="20">
                  <c:v>260.22144201448094</c:v>
                </c:pt>
                <c:pt idx="21">
                  <c:v>251.43252023487869</c:v>
                </c:pt>
                <c:pt idx="22">
                  <c:v>240.04019378984569</c:v>
                </c:pt>
                <c:pt idx="23">
                  <c:v>225.84062144257084</c:v>
                </c:pt>
                <c:pt idx="24">
                  <c:v>208.60396275030718</c:v>
                </c:pt>
                <c:pt idx="25">
                  <c:v>188.09482551385065</c:v>
                </c:pt>
                <c:pt idx="26">
                  <c:v>32.469313489717848</c:v>
                </c:pt>
                <c:pt idx="27">
                  <c:v>0</c:v>
                </c:pt>
              </c:numCache>
            </c:numRef>
          </c:xVal>
          <c:yVal>
            <c:numRef>
              <c:f>'Cross Section Analysis'!$Q$129:$Q$231</c:f>
              <c:numCache>
                <c:formatCode>General</c:formatCode>
                <c:ptCount val="103"/>
                <c:pt idx="0">
                  <c:v>-340.28000000000003</c:v>
                </c:pt>
                <c:pt idx="1">
                  <c:v>-340.18</c:v>
                </c:pt>
                <c:pt idx="2">
                  <c:v>-283.88412800000003</c:v>
                </c:pt>
                <c:pt idx="3">
                  <c:v>-227.58825600000003</c:v>
                </c:pt>
                <c:pt idx="4">
                  <c:v>-171.29238400000003</c:v>
                </c:pt>
                <c:pt idx="5">
                  <c:v>-114.99651200000002</c:v>
                </c:pt>
                <c:pt idx="6">
                  <c:v>-58.700640000000021</c:v>
                </c:pt>
                <c:pt idx="7">
                  <c:v>-2.4047680000000184</c:v>
                </c:pt>
                <c:pt idx="8">
                  <c:v>53.891103999999984</c:v>
                </c:pt>
                <c:pt idx="9">
                  <c:v>110.18697599999999</c:v>
                </c:pt>
                <c:pt idx="10">
                  <c:v>166.48284799999999</c:v>
                </c:pt>
                <c:pt idx="11">
                  <c:v>222.77871999999999</c:v>
                </c:pt>
                <c:pt idx="12">
                  <c:v>279.074592</c:v>
                </c:pt>
                <c:pt idx="13">
                  <c:v>335.37046399999997</c:v>
                </c:pt>
                <c:pt idx="14">
                  <c:v>391.666336</c:v>
                </c:pt>
                <c:pt idx="15">
                  <c:v>447.96220800000003</c:v>
                </c:pt>
                <c:pt idx="16">
                  <c:v>504.25808000000006</c:v>
                </c:pt>
                <c:pt idx="17">
                  <c:v>560.55395200000009</c:v>
                </c:pt>
                <c:pt idx="18">
                  <c:v>616.84982400000013</c:v>
                </c:pt>
                <c:pt idx="19">
                  <c:v>673.14569600000016</c:v>
                </c:pt>
                <c:pt idx="20">
                  <c:v>729.44156800000019</c:v>
                </c:pt>
                <c:pt idx="21">
                  <c:v>785.73744000000022</c:v>
                </c:pt>
                <c:pt idx="22">
                  <c:v>842.03331200000025</c:v>
                </c:pt>
                <c:pt idx="23">
                  <c:v>898.32918400000028</c:v>
                </c:pt>
                <c:pt idx="24">
                  <c:v>954.62505600000031</c:v>
                </c:pt>
                <c:pt idx="25">
                  <c:v>1010.9209280000003</c:v>
                </c:pt>
                <c:pt idx="26">
                  <c:v>1067.2168000000004</c:v>
                </c:pt>
                <c:pt idx="27">
                  <c:v>1067.2168000000004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63.63961030678928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7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Analysis'!$W$130:$W$132</c:f>
              <c:numCache>
                <c:formatCode>General</c:formatCode>
                <c:ptCount val="3"/>
                <c:pt idx="0">
                  <c:v>0</c:v>
                </c:pt>
                <c:pt idx="1">
                  <c:v>63.63961030678928</c:v>
                </c:pt>
                <c:pt idx="2">
                  <c:v>256.69235894078389</c:v>
                </c:pt>
              </c:numCache>
            </c:numRef>
          </c:xVal>
          <c:yVal>
            <c:numRef>
              <c:f>'Cross Section Analysis'!$V$130:$V$132</c:f>
              <c:numCache>
                <c:formatCode>General</c:formatCode>
                <c:ptCount val="3"/>
                <c:pt idx="0">
                  <c:v>0</c:v>
                </c:pt>
                <c:pt idx="1">
                  <c:v>100</c:v>
                </c:pt>
                <c:pt idx="2">
                  <c:v>100.00000000672568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ser>
          <c:idx val="3"/>
          <c:order val="3"/>
          <c:tx>
            <c:v>p_m_Nominal</c:v>
          </c:tx>
          <c:spPr>
            <a:ln w="15875" cap="rnd">
              <a:solidFill>
                <a:schemeClr val="accent1">
                  <a:lumMod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'Cross Section Analysis'!$U$129:$U$230</c:f>
              <c:numCache>
                <c:formatCode>General</c:formatCode>
                <c:ptCount val="102"/>
                <c:pt idx="1">
                  <c:v>1.4039920434252029</c:v>
                </c:pt>
                <c:pt idx="2">
                  <c:v>58.823746942944545</c:v>
                </c:pt>
                <c:pt idx="3">
                  <c:v>112.34992177305003</c:v>
                </c:pt>
                <c:pt idx="4">
                  <c:v>153.18601086300802</c:v>
                </c:pt>
                <c:pt idx="5">
                  <c:v>191.32479217494242</c:v>
                </c:pt>
                <c:pt idx="6">
                  <c:v>228.82962815143304</c:v>
                </c:pt>
                <c:pt idx="7">
                  <c:v>260.11993192223781</c:v>
                </c:pt>
                <c:pt idx="8">
                  <c:v>286.48860167340422</c:v>
                </c:pt>
                <c:pt idx="9">
                  <c:v>315.4532145618399</c:v>
                </c:pt>
                <c:pt idx="10">
                  <c:v>346.43539798130433</c:v>
                </c:pt>
                <c:pt idx="11">
                  <c:v>366.20192237980291</c:v>
                </c:pt>
                <c:pt idx="12">
                  <c:v>385.57114628516473</c:v>
                </c:pt>
                <c:pt idx="13">
                  <c:v>404.24986115069174</c:v>
                </c:pt>
                <c:pt idx="14">
                  <c:v>413.48733592849516</c:v>
                </c:pt>
                <c:pt idx="15">
                  <c:v>417.87984161685358</c:v>
                </c:pt>
                <c:pt idx="16">
                  <c:v>420.09503841329973</c:v>
                </c:pt>
                <c:pt idx="17">
                  <c:v>419.8259379932872</c:v>
                </c:pt>
                <c:pt idx="18">
                  <c:v>416.47578444477335</c:v>
                </c:pt>
                <c:pt idx="19">
                  <c:v>410.13976580998263</c:v>
                </c:pt>
                <c:pt idx="20">
                  <c:v>400.34068002227832</c:v>
                </c:pt>
                <c:pt idx="21">
                  <c:v>386.81926189981334</c:v>
                </c:pt>
                <c:pt idx="22">
                  <c:v>369.29260583053178</c:v>
                </c:pt>
                <c:pt idx="23">
                  <c:v>347.44710991164743</c:v>
                </c:pt>
                <c:pt idx="24">
                  <c:v>320.92917346201102</c:v>
                </c:pt>
                <c:pt idx="25">
                  <c:v>289.37665463669327</c:v>
                </c:pt>
                <c:pt idx="26">
                  <c:v>49.952789984181301</c:v>
                </c:pt>
              </c:numCache>
            </c:numRef>
          </c:xVal>
          <c:yVal>
            <c:numRef>
              <c:f>'Cross Section Analysis'!$T$129:$T$230</c:f>
              <c:numCache>
                <c:formatCode>General</c:formatCode>
                <c:ptCount val="102"/>
                <c:pt idx="1">
                  <c:v>-377.97777557757655</c:v>
                </c:pt>
                <c:pt idx="2">
                  <c:v>-315.42686900421336</c:v>
                </c:pt>
                <c:pt idx="3">
                  <c:v>-252.87584000000004</c:v>
                </c:pt>
                <c:pt idx="4">
                  <c:v>-190.32486874098075</c:v>
                </c:pt>
                <c:pt idx="5">
                  <c:v>-127.77396522799646</c:v>
                </c:pt>
                <c:pt idx="6">
                  <c:v>-65.222933333333373</c:v>
                </c:pt>
                <c:pt idx="7">
                  <c:v>-2.6719643505356601</c:v>
                </c:pt>
                <c:pt idx="8">
                  <c:v>61.999167559881698</c:v>
                </c:pt>
                <c:pt idx="9">
                  <c:v>134.54457205960128</c:v>
                </c:pt>
                <c:pt idx="10">
                  <c:v>216.01173659194359</c:v>
                </c:pt>
                <c:pt idx="11">
                  <c:v>305.14127179365903</c:v>
                </c:pt>
                <c:pt idx="12">
                  <c:v>401.16940464230618</c:v>
                </c:pt>
                <c:pt idx="13">
                  <c:v>505.73138750447379</c:v>
                </c:pt>
                <c:pt idx="14">
                  <c:v>602.56359384615394</c:v>
                </c:pt>
                <c:pt idx="15">
                  <c:v>689.17262769230751</c:v>
                </c:pt>
                <c:pt idx="16">
                  <c:v>775.78166153846155</c:v>
                </c:pt>
                <c:pt idx="17">
                  <c:v>862.39069538461524</c:v>
                </c:pt>
                <c:pt idx="18">
                  <c:v>948.99973087200374</c:v>
                </c:pt>
                <c:pt idx="19">
                  <c:v>1035.6086279748486</c:v>
                </c:pt>
                <c:pt idx="20">
                  <c:v>1122.2177992767706</c:v>
                </c:pt>
                <c:pt idx="21">
                  <c:v>1208.8268328369936</c:v>
                </c:pt>
                <c:pt idx="22">
                  <c:v>1295.4357472347101</c:v>
                </c:pt>
                <c:pt idx="23">
                  <c:v>1382.0448992528914</c:v>
                </c:pt>
                <c:pt idx="24">
                  <c:v>1468.6539533360917</c:v>
                </c:pt>
                <c:pt idx="25">
                  <c:v>1555.2629142181454</c:v>
                </c:pt>
                <c:pt idx="26">
                  <c:v>1961.0107958533829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16-485E-B13D-A7D42B135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Relation</a:t>
            </a:r>
            <a:r>
              <a:rPr lang="en-US" baseline="0"/>
              <a:t> of NA Angle to Mx v My Load Angle @ Goal P</a:t>
            </a:r>
            <a:endParaRPr lang="en-US"/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28362741652021084"/>
          <c:y val="9.12547528517110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NA v Load Angle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Analysis'!$D$129:$D$489</c:f>
              <c:numCache>
                <c:formatCode>0.000</c:formatCode>
                <c:ptCount val="361"/>
                <c:pt idx="0">
                  <c:v>-3.1415926535897931</c:v>
                </c:pt>
                <c:pt idx="1">
                  <c:v>-3.1220105592191101</c:v>
                </c:pt>
                <c:pt idx="2">
                  <c:v>-3.1030225138860974</c:v>
                </c:pt>
                <c:pt idx="3">
                  <c:v>-3.0845350273054932</c:v>
                </c:pt>
                <c:pt idx="4">
                  <c:v>-3.0724245072871765</c:v>
                </c:pt>
                <c:pt idx="5">
                  <c:v>-3.0546814810335854</c:v>
                </c:pt>
                <c:pt idx="6">
                  <c:v>-3.0372342362548759</c:v>
                </c:pt>
                <c:pt idx="7">
                  <c:v>-3.0200302224818798</c:v>
                </c:pt>
                <c:pt idx="8">
                  <c:v>-3.0030224926226681</c:v>
                </c:pt>
                <c:pt idx="9">
                  <c:v>-2.9801004199660923</c:v>
                </c:pt>
                <c:pt idx="10">
                  <c:v>-2.9571062523164815</c:v>
                </c:pt>
                <c:pt idx="11">
                  <c:v>-2.9343073965880735</c:v>
                </c:pt>
                <c:pt idx="12">
                  <c:v>-2.9116750349564513</c:v>
                </c:pt>
                <c:pt idx="13">
                  <c:v>-2.889180776712132</c:v>
                </c:pt>
                <c:pt idx="14">
                  <c:v>-2.8667965049582014</c:v>
                </c:pt>
                <c:pt idx="15">
                  <c:v>-2.8444944577976754</c:v>
                </c:pt>
                <c:pt idx="16">
                  <c:v>-2.8222470458556566</c:v>
                </c:pt>
                <c:pt idx="17">
                  <c:v>-2.8000268059190847</c:v>
                </c:pt>
                <c:pt idx="18">
                  <c:v>-2.7778064067091761</c:v>
                </c:pt>
                <c:pt idx="19">
                  <c:v>-2.7558216357647916</c:v>
                </c:pt>
                <c:pt idx="20">
                  <c:v>-2.7354186832317469</c:v>
                </c:pt>
                <c:pt idx="21">
                  <c:v>-2.7165029056344845</c:v>
                </c:pt>
                <c:pt idx="22">
                  <c:v>-2.6986632287218759</c:v>
                </c:pt>
                <c:pt idx="23">
                  <c:v>-2.681757525418266</c:v>
                </c:pt>
                <c:pt idx="24">
                  <c:v>-2.6656656298827035</c:v>
                </c:pt>
                <c:pt idx="25">
                  <c:v>-2.6502851838694106</c:v>
                </c:pt>
                <c:pt idx="26">
                  <c:v>-2.6355285049323851</c:v>
                </c:pt>
                <c:pt idx="27">
                  <c:v>-2.6230407757667962</c:v>
                </c:pt>
                <c:pt idx="28">
                  <c:v>-2.6094171844011287</c:v>
                </c:pt>
                <c:pt idx="29">
                  <c:v>-2.5962121253099846</c:v>
                </c:pt>
                <c:pt idx="30">
                  <c:v>-2.5833744996873187</c:v>
                </c:pt>
                <c:pt idx="31">
                  <c:v>-2.570353066179786</c:v>
                </c:pt>
                <c:pt idx="32">
                  <c:v>-2.5534652278526404</c:v>
                </c:pt>
                <c:pt idx="33">
                  <c:v>-2.5369610703108587</c:v>
                </c:pt>
                <c:pt idx="34">
                  <c:v>-2.5207986707463785</c:v>
                </c:pt>
                <c:pt idx="35">
                  <c:v>-2.5049395700180366</c:v>
                </c:pt>
                <c:pt idx="36">
                  <c:v>-2.4893482361937771</c:v>
                </c:pt>
                <c:pt idx="37">
                  <c:v>-2.4739916620432929</c:v>
                </c:pt>
                <c:pt idx="38">
                  <c:v>-2.4588389731806108</c:v>
                </c:pt>
                <c:pt idx="39">
                  <c:v>-2.4438610917043198</c:v>
                </c:pt>
                <c:pt idx="40">
                  <c:v>-2.4290304399131797</c:v>
                </c:pt>
                <c:pt idx="41">
                  <c:v>-2.4143206894619027</c:v>
                </c:pt>
                <c:pt idx="42">
                  <c:v>-2.3997065097732957</c:v>
                </c:pt>
                <c:pt idx="43">
                  <c:v>-2.385163341634589</c:v>
                </c:pt>
                <c:pt idx="44">
                  <c:v>-2.3706672050313564</c:v>
                </c:pt>
                <c:pt idx="45">
                  <c:v>-2.3561944901923448</c:v>
                </c:pt>
                <c:pt idx="46">
                  <c:v>-2.3417217753533333</c:v>
                </c:pt>
                <c:pt idx="47">
                  <c:v>-2.3272256387501007</c:v>
                </c:pt>
                <c:pt idx="48">
                  <c:v>-2.3126824706113935</c:v>
                </c:pt>
                <c:pt idx="49">
                  <c:v>-2.298068290922787</c:v>
                </c:pt>
                <c:pt idx="50">
                  <c:v>-2.28335854047151</c:v>
                </c:pt>
                <c:pt idx="51">
                  <c:v>-2.2685278886803695</c:v>
                </c:pt>
                <c:pt idx="52">
                  <c:v>-2.2535500072040784</c:v>
                </c:pt>
                <c:pt idx="53">
                  <c:v>-2.2383973183413968</c:v>
                </c:pt>
                <c:pt idx="54">
                  <c:v>-2.2230407441909121</c:v>
                </c:pt>
                <c:pt idx="55">
                  <c:v>-2.2074494103666531</c:v>
                </c:pt>
                <c:pt idx="56">
                  <c:v>-2.1915903096383107</c:v>
                </c:pt>
                <c:pt idx="57">
                  <c:v>-2.1754279100738305</c:v>
                </c:pt>
                <c:pt idx="58">
                  <c:v>-2.1589237525320488</c:v>
                </c:pt>
                <c:pt idx="59">
                  <c:v>-2.1420359142049037</c:v>
                </c:pt>
                <c:pt idx="60">
                  <c:v>-2.1290144806973714</c:v>
                </c:pt>
                <c:pt idx="61">
                  <c:v>-2.1161768550747047</c:v>
                </c:pt>
                <c:pt idx="62">
                  <c:v>-2.1029717959835605</c:v>
                </c:pt>
                <c:pt idx="63">
                  <c:v>-2.0893482046178935</c:v>
                </c:pt>
                <c:pt idx="64">
                  <c:v>-2.0768604754523046</c:v>
                </c:pt>
                <c:pt idx="65">
                  <c:v>-2.0621037965152786</c:v>
                </c:pt>
                <c:pt idx="66">
                  <c:v>-2.0467233505019853</c:v>
                </c:pt>
                <c:pt idx="67">
                  <c:v>-2.0306314549664233</c:v>
                </c:pt>
                <c:pt idx="68">
                  <c:v>-2.0137257516628129</c:v>
                </c:pt>
                <c:pt idx="69">
                  <c:v>-1.995886074750205</c:v>
                </c:pt>
                <c:pt idx="70">
                  <c:v>-1.9769702971529426</c:v>
                </c:pt>
                <c:pt idx="71">
                  <c:v>-1.9565673446198983</c:v>
                </c:pt>
                <c:pt idx="72">
                  <c:v>-1.9345825736755129</c:v>
                </c:pt>
                <c:pt idx="73">
                  <c:v>-1.9123621744656041</c:v>
                </c:pt>
                <c:pt idx="74">
                  <c:v>-1.8901419345290329</c:v>
                </c:pt>
                <c:pt idx="75">
                  <c:v>-1.8678945225870134</c:v>
                </c:pt>
                <c:pt idx="76">
                  <c:v>-1.8455924754264881</c:v>
                </c:pt>
                <c:pt idx="77">
                  <c:v>-1.8232082036725572</c:v>
                </c:pt>
                <c:pt idx="78">
                  <c:v>-1.8007139454282384</c:v>
                </c:pt>
                <c:pt idx="79">
                  <c:v>-1.7780815837966157</c:v>
                </c:pt>
                <c:pt idx="80">
                  <c:v>-1.755282728068208</c:v>
                </c:pt>
                <c:pt idx="81">
                  <c:v>-1.7322885604185971</c:v>
                </c:pt>
                <c:pt idx="82">
                  <c:v>-1.7093664877620212</c:v>
                </c:pt>
                <c:pt idx="83">
                  <c:v>-1.6923587579028094</c:v>
                </c:pt>
                <c:pt idx="84">
                  <c:v>-1.6751547441298134</c:v>
                </c:pt>
                <c:pt idx="85">
                  <c:v>-1.6577074993511041</c:v>
                </c:pt>
                <c:pt idx="86">
                  <c:v>-1.6399644730975125</c:v>
                </c:pt>
                <c:pt idx="87">
                  <c:v>-1.6278539530791962</c:v>
                </c:pt>
                <c:pt idx="88">
                  <c:v>-1.6093664664985921</c:v>
                </c:pt>
                <c:pt idx="89">
                  <c:v>-1.5903784211655796</c:v>
                </c:pt>
                <c:pt idx="90">
                  <c:v>-1.5707963267948966</c:v>
                </c:pt>
                <c:pt idx="91">
                  <c:v>-1.5512142324242133</c:v>
                </c:pt>
                <c:pt idx="92">
                  <c:v>-1.5322261870912008</c:v>
                </c:pt>
                <c:pt idx="93">
                  <c:v>-1.5137387005105967</c:v>
                </c:pt>
                <c:pt idx="94">
                  <c:v>-1.5016281804922802</c:v>
                </c:pt>
                <c:pt idx="95">
                  <c:v>-1.4838851542386888</c:v>
                </c:pt>
                <c:pt idx="96">
                  <c:v>-1.4664379094599793</c:v>
                </c:pt>
                <c:pt idx="97">
                  <c:v>-1.4492338956869835</c:v>
                </c:pt>
                <c:pt idx="98">
                  <c:v>-1.4322261658277717</c:v>
                </c:pt>
                <c:pt idx="99">
                  <c:v>-1.4093040931711958</c:v>
                </c:pt>
                <c:pt idx="100">
                  <c:v>-1.3863099255215849</c:v>
                </c:pt>
                <c:pt idx="101">
                  <c:v>-1.3635110697931769</c:v>
                </c:pt>
                <c:pt idx="102">
                  <c:v>-1.3408787081615545</c:v>
                </c:pt>
                <c:pt idx="103">
                  <c:v>-1.3183844499172355</c:v>
                </c:pt>
                <c:pt idx="104">
                  <c:v>-1.2960001781633046</c:v>
                </c:pt>
                <c:pt idx="105">
                  <c:v>-1.2736981310027791</c:v>
                </c:pt>
                <c:pt idx="106">
                  <c:v>-1.25145071906076</c:v>
                </c:pt>
                <c:pt idx="107">
                  <c:v>-1.2292304791241888</c:v>
                </c:pt>
                <c:pt idx="108">
                  <c:v>-1.2070100799142798</c:v>
                </c:pt>
                <c:pt idx="109">
                  <c:v>-1.1850253089698948</c:v>
                </c:pt>
                <c:pt idx="110">
                  <c:v>-1.1646223564368503</c:v>
                </c:pt>
                <c:pt idx="111">
                  <c:v>-1.1457065788395879</c:v>
                </c:pt>
                <c:pt idx="112">
                  <c:v>-1.1278669019269798</c:v>
                </c:pt>
                <c:pt idx="113">
                  <c:v>-1.1109611986233694</c:v>
                </c:pt>
                <c:pt idx="114">
                  <c:v>-1.0948693030878072</c:v>
                </c:pt>
                <c:pt idx="115">
                  <c:v>-1.0794888570745145</c:v>
                </c:pt>
                <c:pt idx="116">
                  <c:v>-1.0647321781374885</c:v>
                </c:pt>
                <c:pt idx="117">
                  <c:v>-1.0522444489718994</c:v>
                </c:pt>
                <c:pt idx="118">
                  <c:v>-1.0386208576062321</c:v>
                </c:pt>
                <c:pt idx="119">
                  <c:v>-1.0254157985150882</c:v>
                </c:pt>
                <c:pt idx="120">
                  <c:v>-1.0125781728924224</c:v>
                </c:pt>
                <c:pt idx="121">
                  <c:v>-0.99955673938488943</c:v>
                </c:pt>
                <c:pt idx="122">
                  <c:v>-0.98266890105774407</c:v>
                </c:pt>
                <c:pt idx="123">
                  <c:v>-0.96616474351596215</c:v>
                </c:pt>
                <c:pt idx="124">
                  <c:v>-0.95000234395148231</c:v>
                </c:pt>
                <c:pt idx="125">
                  <c:v>-0.9341432432231398</c:v>
                </c:pt>
                <c:pt idx="126">
                  <c:v>-0.91855190939888087</c:v>
                </c:pt>
                <c:pt idx="127">
                  <c:v>-0.9031953352483959</c:v>
                </c:pt>
                <c:pt idx="128">
                  <c:v>-0.88804264638571473</c:v>
                </c:pt>
                <c:pt idx="129">
                  <c:v>-0.87306476490942342</c:v>
                </c:pt>
                <c:pt idx="130">
                  <c:v>-0.8582341131182829</c:v>
                </c:pt>
                <c:pt idx="131">
                  <c:v>-0.84352436266700626</c:v>
                </c:pt>
                <c:pt idx="132">
                  <c:v>-0.82891018297839936</c:v>
                </c:pt>
                <c:pt idx="133">
                  <c:v>-0.81436701483969243</c:v>
                </c:pt>
                <c:pt idx="134">
                  <c:v>-0.79987087823645986</c:v>
                </c:pt>
                <c:pt idx="135">
                  <c:v>-0.78539816339744828</c:v>
                </c:pt>
                <c:pt idx="136">
                  <c:v>-0.77092544855843625</c:v>
                </c:pt>
                <c:pt idx="137">
                  <c:v>-0.75642931195520424</c:v>
                </c:pt>
                <c:pt idx="138">
                  <c:v>-0.74188614381649731</c:v>
                </c:pt>
                <c:pt idx="139">
                  <c:v>-0.72727196412789052</c:v>
                </c:pt>
                <c:pt idx="140">
                  <c:v>-0.71256221367661354</c:v>
                </c:pt>
                <c:pt idx="141">
                  <c:v>-0.69773156188547303</c:v>
                </c:pt>
                <c:pt idx="142">
                  <c:v>-0.68275368040918183</c:v>
                </c:pt>
                <c:pt idx="143">
                  <c:v>-0.66760099154650032</c:v>
                </c:pt>
                <c:pt idx="144">
                  <c:v>-0.65224441739601569</c:v>
                </c:pt>
                <c:pt idx="145">
                  <c:v>-0.63665308357175621</c:v>
                </c:pt>
                <c:pt idx="146">
                  <c:v>-0.62079398284341425</c:v>
                </c:pt>
                <c:pt idx="147">
                  <c:v>-0.6046315832789344</c:v>
                </c:pt>
                <c:pt idx="148">
                  <c:v>-0.58812742573715238</c:v>
                </c:pt>
                <c:pt idx="149">
                  <c:v>-0.57123958741000713</c:v>
                </c:pt>
                <c:pt idx="150">
                  <c:v>-0.55821815390247431</c:v>
                </c:pt>
                <c:pt idx="151">
                  <c:v>-0.54538052827980832</c:v>
                </c:pt>
                <c:pt idx="152">
                  <c:v>-0.53217546918866399</c:v>
                </c:pt>
                <c:pt idx="153">
                  <c:v>-0.51855187782299716</c:v>
                </c:pt>
                <c:pt idx="154">
                  <c:v>-0.50606414865740756</c:v>
                </c:pt>
                <c:pt idx="155">
                  <c:v>-0.49130746972038219</c:v>
                </c:pt>
                <c:pt idx="156">
                  <c:v>-0.47592702370708928</c:v>
                </c:pt>
                <c:pt idx="157">
                  <c:v>-0.45983512817152694</c:v>
                </c:pt>
                <c:pt idx="158">
                  <c:v>-0.44292942486791681</c:v>
                </c:pt>
                <c:pt idx="159">
                  <c:v>-0.42508974795530818</c:v>
                </c:pt>
                <c:pt idx="160">
                  <c:v>-0.40617397035804625</c:v>
                </c:pt>
                <c:pt idx="161">
                  <c:v>-0.38577101782500156</c:v>
                </c:pt>
                <c:pt idx="162">
                  <c:v>-0.36378624688061667</c:v>
                </c:pt>
                <c:pt idx="163">
                  <c:v>-0.3415658476707073</c:v>
                </c:pt>
                <c:pt idx="164">
                  <c:v>-0.31934560773413634</c:v>
                </c:pt>
                <c:pt idx="165">
                  <c:v>-0.29709819579211749</c:v>
                </c:pt>
                <c:pt idx="166">
                  <c:v>-0.27479614863159163</c:v>
                </c:pt>
                <c:pt idx="167">
                  <c:v>-0.25241187687766109</c:v>
                </c:pt>
                <c:pt idx="168">
                  <c:v>-0.2299176186333417</c:v>
                </c:pt>
                <c:pt idx="169">
                  <c:v>-0.20728525700171946</c:v>
                </c:pt>
                <c:pt idx="170">
                  <c:v>-0.1844864012733114</c:v>
                </c:pt>
                <c:pt idx="171">
                  <c:v>-0.16149223362370069</c:v>
                </c:pt>
                <c:pt idx="172">
                  <c:v>-0.13857016096712441</c:v>
                </c:pt>
                <c:pt idx="173">
                  <c:v>-0.12156243110791304</c:v>
                </c:pt>
                <c:pt idx="174">
                  <c:v>-0.1043584173349172</c:v>
                </c:pt>
                <c:pt idx="175">
                  <c:v>-8.6911172556207575E-2</c:v>
                </c:pt>
                <c:pt idx="176">
                  <c:v>-6.9168146302616293E-2</c:v>
                </c:pt>
                <c:pt idx="177">
                  <c:v>-5.7057626284299598E-2</c:v>
                </c:pt>
                <c:pt idx="178">
                  <c:v>-3.857013970369564E-2</c:v>
                </c:pt>
                <c:pt idx="179">
                  <c:v>-1.958209437068285E-2</c:v>
                </c:pt>
                <c:pt idx="180">
                  <c:v>0</c:v>
                </c:pt>
                <c:pt idx="181">
                  <c:v>1.958209437068335E-2</c:v>
                </c:pt>
                <c:pt idx="182">
                  <c:v>3.8570139703695661E-2</c:v>
                </c:pt>
                <c:pt idx="183">
                  <c:v>5.7057626284299549E-2</c:v>
                </c:pt>
                <c:pt idx="184">
                  <c:v>6.9168146302616307E-2</c:v>
                </c:pt>
                <c:pt idx="185">
                  <c:v>8.6911172556207589E-2</c:v>
                </c:pt>
                <c:pt idx="186">
                  <c:v>0.10435841733491721</c:v>
                </c:pt>
                <c:pt idx="187">
                  <c:v>0.12156243110791307</c:v>
                </c:pt>
                <c:pt idx="188">
                  <c:v>0.13857016096712496</c:v>
                </c:pt>
                <c:pt idx="189">
                  <c:v>0.16149223362370071</c:v>
                </c:pt>
                <c:pt idx="190">
                  <c:v>0.18448640127331201</c:v>
                </c:pt>
                <c:pt idx="191">
                  <c:v>0.20728525700171943</c:v>
                </c:pt>
                <c:pt idx="192">
                  <c:v>0.22991761863334226</c:v>
                </c:pt>
                <c:pt idx="193">
                  <c:v>0.25241187687766115</c:v>
                </c:pt>
                <c:pt idx="194">
                  <c:v>0.27479614863159169</c:v>
                </c:pt>
                <c:pt idx="195">
                  <c:v>0.29709819579211749</c:v>
                </c:pt>
                <c:pt idx="196">
                  <c:v>0.31934560773413634</c:v>
                </c:pt>
                <c:pt idx="197">
                  <c:v>0.34156584767070802</c:v>
                </c:pt>
                <c:pt idx="198">
                  <c:v>0.36378624688061661</c:v>
                </c:pt>
                <c:pt idx="199">
                  <c:v>0.38577101782500223</c:v>
                </c:pt>
                <c:pt idx="200">
                  <c:v>0.40617397035804609</c:v>
                </c:pt>
                <c:pt idx="201">
                  <c:v>0.42508974795530885</c:v>
                </c:pt>
                <c:pt idx="202">
                  <c:v>0.44292942486791681</c:v>
                </c:pt>
                <c:pt idx="203">
                  <c:v>0.45983512817152694</c:v>
                </c:pt>
                <c:pt idx="204">
                  <c:v>0.47592702370708928</c:v>
                </c:pt>
                <c:pt idx="205">
                  <c:v>0.49130746972038231</c:v>
                </c:pt>
                <c:pt idx="206">
                  <c:v>0.50606414865740823</c:v>
                </c:pt>
                <c:pt idx="207">
                  <c:v>0.51855187782299705</c:v>
                </c:pt>
                <c:pt idx="208">
                  <c:v>0.53217546918866443</c:v>
                </c:pt>
                <c:pt idx="209">
                  <c:v>0.54538052827980843</c:v>
                </c:pt>
                <c:pt idx="210">
                  <c:v>0.55821815390247465</c:v>
                </c:pt>
                <c:pt idx="211">
                  <c:v>0.57123958741000713</c:v>
                </c:pt>
                <c:pt idx="212">
                  <c:v>0.58812742573715249</c:v>
                </c:pt>
                <c:pt idx="213">
                  <c:v>0.6046315832789344</c:v>
                </c:pt>
                <c:pt idx="214">
                  <c:v>0.62079398284341425</c:v>
                </c:pt>
                <c:pt idx="215">
                  <c:v>0.63665308357175676</c:v>
                </c:pt>
                <c:pt idx="216">
                  <c:v>0.65224441739601569</c:v>
                </c:pt>
                <c:pt idx="217">
                  <c:v>0.66760099154650066</c:v>
                </c:pt>
                <c:pt idx="218">
                  <c:v>0.68275368040918183</c:v>
                </c:pt>
                <c:pt idx="219">
                  <c:v>0.69773156188547336</c:v>
                </c:pt>
                <c:pt idx="220">
                  <c:v>0.71256221367661354</c:v>
                </c:pt>
                <c:pt idx="221">
                  <c:v>0.72727196412789052</c:v>
                </c:pt>
                <c:pt idx="222">
                  <c:v>0.74188614381649731</c:v>
                </c:pt>
                <c:pt idx="223">
                  <c:v>0.75642931195520435</c:v>
                </c:pt>
                <c:pt idx="224">
                  <c:v>0.77092544855843659</c:v>
                </c:pt>
                <c:pt idx="225">
                  <c:v>0.78539816339744828</c:v>
                </c:pt>
                <c:pt idx="226">
                  <c:v>0.7998708782364603</c:v>
                </c:pt>
                <c:pt idx="227">
                  <c:v>0.81436701483969243</c:v>
                </c:pt>
                <c:pt idx="228">
                  <c:v>0.8289101829783998</c:v>
                </c:pt>
                <c:pt idx="229">
                  <c:v>0.84352436266700626</c:v>
                </c:pt>
                <c:pt idx="230">
                  <c:v>0.8582341131182829</c:v>
                </c:pt>
                <c:pt idx="231">
                  <c:v>0.87306476490942309</c:v>
                </c:pt>
                <c:pt idx="232">
                  <c:v>0.88804264638571495</c:v>
                </c:pt>
                <c:pt idx="233">
                  <c:v>0.90319533524839624</c:v>
                </c:pt>
                <c:pt idx="234">
                  <c:v>0.91855190939888087</c:v>
                </c:pt>
                <c:pt idx="235">
                  <c:v>0.9341432432231398</c:v>
                </c:pt>
                <c:pt idx="236">
                  <c:v>0.95000234395148264</c:v>
                </c:pt>
                <c:pt idx="237">
                  <c:v>0.96616474351596271</c:v>
                </c:pt>
                <c:pt idx="238">
                  <c:v>0.98266890105774407</c:v>
                </c:pt>
                <c:pt idx="239">
                  <c:v>0.99955673938488943</c:v>
                </c:pt>
                <c:pt idx="240">
                  <c:v>1.0125781728924217</c:v>
                </c:pt>
                <c:pt idx="241">
                  <c:v>1.0254157985150887</c:v>
                </c:pt>
                <c:pt idx="242">
                  <c:v>1.0386208576062326</c:v>
                </c:pt>
                <c:pt idx="243">
                  <c:v>1.0522444489718994</c:v>
                </c:pt>
                <c:pt idx="244">
                  <c:v>1.0647321781374883</c:v>
                </c:pt>
                <c:pt idx="245">
                  <c:v>1.0794888570745147</c:v>
                </c:pt>
                <c:pt idx="246">
                  <c:v>1.0948693030878074</c:v>
                </c:pt>
                <c:pt idx="247">
                  <c:v>1.1109611986233696</c:v>
                </c:pt>
                <c:pt idx="248">
                  <c:v>1.1278669019269798</c:v>
                </c:pt>
                <c:pt idx="249">
                  <c:v>1.1457065788395879</c:v>
                </c:pt>
                <c:pt idx="250">
                  <c:v>1.164622356436851</c:v>
                </c:pt>
                <c:pt idx="251">
                  <c:v>1.185025308969895</c:v>
                </c:pt>
                <c:pt idx="252">
                  <c:v>1.2070100799142798</c:v>
                </c:pt>
                <c:pt idx="253">
                  <c:v>1.2292304791241884</c:v>
                </c:pt>
                <c:pt idx="254">
                  <c:v>1.2514507190607609</c:v>
                </c:pt>
                <c:pt idx="255">
                  <c:v>1.2736981310027797</c:v>
                </c:pt>
                <c:pt idx="256">
                  <c:v>1.2960001781633048</c:v>
                </c:pt>
                <c:pt idx="257">
                  <c:v>1.3183844499172355</c:v>
                </c:pt>
                <c:pt idx="258">
                  <c:v>1.3408787081615541</c:v>
                </c:pt>
                <c:pt idx="259">
                  <c:v>1.3635110697931776</c:v>
                </c:pt>
                <c:pt idx="260">
                  <c:v>1.3863099255215852</c:v>
                </c:pt>
                <c:pt idx="261">
                  <c:v>1.4093040931711958</c:v>
                </c:pt>
                <c:pt idx="262">
                  <c:v>1.4322261658277715</c:v>
                </c:pt>
                <c:pt idx="263">
                  <c:v>1.4492338956869839</c:v>
                </c:pt>
                <c:pt idx="264">
                  <c:v>1.4664379094599798</c:v>
                </c:pt>
                <c:pt idx="265">
                  <c:v>1.4838851542386891</c:v>
                </c:pt>
                <c:pt idx="266">
                  <c:v>1.5016281804922802</c:v>
                </c:pt>
                <c:pt idx="267">
                  <c:v>1.5137387005105964</c:v>
                </c:pt>
                <c:pt idx="268">
                  <c:v>1.5322261870912013</c:v>
                </c:pt>
                <c:pt idx="269">
                  <c:v>1.5512142324242137</c:v>
                </c:pt>
                <c:pt idx="270">
                  <c:v>1.5707963267948966</c:v>
                </c:pt>
                <c:pt idx="271">
                  <c:v>1.5903784211655794</c:v>
                </c:pt>
                <c:pt idx="272">
                  <c:v>1.6093664664985925</c:v>
                </c:pt>
                <c:pt idx="273">
                  <c:v>1.6278539530791964</c:v>
                </c:pt>
                <c:pt idx="274">
                  <c:v>1.6399644730975127</c:v>
                </c:pt>
                <c:pt idx="275">
                  <c:v>1.6577074993511041</c:v>
                </c:pt>
                <c:pt idx="276">
                  <c:v>1.6751547441298131</c:v>
                </c:pt>
                <c:pt idx="277">
                  <c:v>1.6923587579028099</c:v>
                </c:pt>
                <c:pt idx="278">
                  <c:v>1.7093664877620216</c:v>
                </c:pt>
                <c:pt idx="279">
                  <c:v>1.7322885604185971</c:v>
                </c:pt>
                <c:pt idx="280">
                  <c:v>1.7552827280682077</c:v>
                </c:pt>
                <c:pt idx="281">
                  <c:v>1.7780815837966164</c:v>
                </c:pt>
                <c:pt idx="282">
                  <c:v>1.8007139454282386</c:v>
                </c:pt>
                <c:pt idx="283">
                  <c:v>1.8232082036725574</c:v>
                </c:pt>
                <c:pt idx="284">
                  <c:v>1.8455924754264881</c:v>
                </c:pt>
                <c:pt idx="285">
                  <c:v>1.8678945225870132</c:v>
                </c:pt>
                <c:pt idx="286">
                  <c:v>1.8901419345290333</c:v>
                </c:pt>
                <c:pt idx="287">
                  <c:v>1.9123621744656045</c:v>
                </c:pt>
                <c:pt idx="288">
                  <c:v>1.9345825736755129</c:v>
                </c:pt>
                <c:pt idx="289">
                  <c:v>1.9565673446198981</c:v>
                </c:pt>
                <c:pt idx="290">
                  <c:v>1.976970297152943</c:v>
                </c:pt>
                <c:pt idx="291">
                  <c:v>1.9958860747502052</c:v>
                </c:pt>
                <c:pt idx="292">
                  <c:v>2.0137257516628133</c:v>
                </c:pt>
                <c:pt idx="293">
                  <c:v>2.0306314549664233</c:v>
                </c:pt>
                <c:pt idx="294">
                  <c:v>2.0467233505019853</c:v>
                </c:pt>
                <c:pt idx="295">
                  <c:v>2.0621037965152791</c:v>
                </c:pt>
                <c:pt idx="296">
                  <c:v>2.0768604754523046</c:v>
                </c:pt>
                <c:pt idx="297">
                  <c:v>2.0893482046178935</c:v>
                </c:pt>
                <c:pt idx="298">
                  <c:v>2.1029717959835605</c:v>
                </c:pt>
                <c:pt idx="299">
                  <c:v>2.1161768550747047</c:v>
                </c:pt>
                <c:pt idx="300">
                  <c:v>2.1290144806973714</c:v>
                </c:pt>
                <c:pt idx="301">
                  <c:v>2.1420359142049037</c:v>
                </c:pt>
                <c:pt idx="302">
                  <c:v>2.1589237525320488</c:v>
                </c:pt>
                <c:pt idx="303">
                  <c:v>2.1754279100738305</c:v>
                </c:pt>
                <c:pt idx="304">
                  <c:v>2.1915903096383111</c:v>
                </c:pt>
                <c:pt idx="305">
                  <c:v>2.2074494103666531</c:v>
                </c:pt>
                <c:pt idx="306">
                  <c:v>2.2230407441909121</c:v>
                </c:pt>
                <c:pt idx="307">
                  <c:v>2.2383973183413968</c:v>
                </c:pt>
                <c:pt idx="308">
                  <c:v>2.2535500072040788</c:v>
                </c:pt>
                <c:pt idx="309">
                  <c:v>2.2685278886803699</c:v>
                </c:pt>
                <c:pt idx="310">
                  <c:v>2.28335854047151</c:v>
                </c:pt>
                <c:pt idx="311">
                  <c:v>2.298068290922787</c:v>
                </c:pt>
                <c:pt idx="312">
                  <c:v>2.3126824706113931</c:v>
                </c:pt>
                <c:pt idx="313">
                  <c:v>2.3272256387501011</c:v>
                </c:pt>
                <c:pt idx="314">
                  <c:v>2.3417217753533333</c:v>
                </c:pt>
                <c:pt idx="315">
                  <c:v>2.3561944901923448</c:v>
                </c:pt>
                <c:pt idx="316">
                  <c:v>2.3706672050313564</c:v>
                </c:pt>
                <c:pt idx="317">
                  <c:v>2.385163341634589</c:v>
                </c:pt>
                <c:pt idx="318">
                  <c:v>2.3997065097732961</c:v>
                </c:pt>
                <c:pt idx="319">
                  <c:v>2.4143206894619027</c:v>
                </c:pt>
                <c:pt idx="320">
                  <c:v>2.4290304399131797</c:v>
                </c:pt>
                <c:pt idx="321">
                  <c:v>2.4438610917043198</c:v>
                </c:pt>
                <c:pt idx="322">
                  <c:v>2.4588389731806113</c:v>
                </c:pt>
                <c:pt idx="323">
                  <c:v>2.4739916620432929</c:v>
                </c:pt>
                <c:pt idx="324">
                  <c:v>2.4893482361937771</c:v>
                </c:pt>
                <c:pt idx="325">
                  <c:v>2.5049395700180361</c:v>
                </c:pt>
                <c:pt idx="326">
                  <c:v>2.520798670746379</c:v>
                </c:pt>
                <c:pt idx="327">
                  <c:v>2.5369610703108592</c:v>
                </c:pt>
                <c:pt idx="328">
                  <c:v>2.5534652278526404</c:v>
                </c:pt>
                <c:pt idx="329">
                  <c:v>2.570353066179786</c:v>
                </c:pt>
                <c:pt idx="330">
                  <c:v>2.5833744996873182</c:v>
                </c:pt>
                <c:pt idx="331">
                  <c:v>2.596212125309985</c:v>
                </c:pt>
                <c:pt idx="332">
                  <c:v>2.6094171844011291</c:v>
                </c:pt>
                <c:pt idx="333">
                  <c:v>2.6230407757667957</c:v>
                </c:pt>
                <c:pt idx="334">
                  <c:v>2.6355285049323847</c:v>
                </c:pt>
                <c:pt idx="335">
                  <c:v>2.6502851838694115</c:v>
                </c:pt>
                <c:pt idx="336">
                  <c:v>2.6656656298827044</c:v>
                </c:pt>
                <c:pt idx="337">
                  <c:v>2.681757525418266</c:v>
                </c:pt>
                <c:pt idx="338">
                  <c:v>2.6986632287218759</c:v>
                </c:pt>
                <c:pt idx="339">
                  <c:v>2.716502905634484</c:v>
                </c:pt>
                <c:pt idx="340">
                  <c:v>2.7354186832317473</c:v>
                </c:pt>
                <c:pt idx="341">
                  <c:v>2.7558216357647916</c:v>
                </c:pt>
                <c:pt idx="342">
                  <c:v>2.7778064067091766</c:v>
                </c:pt>
                <c:pt idx="343">
                  <c:v>2.8000268059190847</c:v>
                </c:pt>
                <c:pt idx="344">
                  <c:v>2.822247045855657</c:v>
                </c:pt>
                <c:pt idx="345">
                  <c:v>2.8444944577976763</c:v>
                </c:pt>
                <c:pt idx="346">
                  <c:v>2.8667965049582014</c:v>
                </c:pt>
                <c:pt idx="347">
                  <c:v>2.8891807767121316</c:v>
                </c:pt>
                <c:pt idx="348">
                  <c:v>2.9116750349564504</c:v>
                </c:pt>
                <c:pt idx="349">
                  <c:v>2.9343073965880739</c:v>
                </c:pt>
                <c:pt idx="350">
                  <c:v>2.9571062523164815</c:v>
                </c:pt>
                <c:pt idx="351">
                  <c:v>2.9801004199660923</c:v>
                </c:pt>
                <c:pt idx="352">
                  <c:v>3.0030224926226681</c:v>
                </c:pt>
                <c:pt idx="353">
                  <c:v>3.0200302224818807</c:v>
                </c:pt>
                <c:pt idx="354">
                  <c:v>3.0372342362548763</c:v>
                </c:pt>
                <c:pt idx="355">
                  <c:v>3.0546814810335854</c:v>
                </c:pt>
                <c:pt idx="356">
                  <c:v>3.0724245072871765</c:v>
                </c:pt>
                <c:pt idx="357">
                  <c:v>3.0845350273054928</c:v>
                </c:pt>
                <c:pt idx="358">
                  <c:v>3.1030225138860978</c:v>
                </c:pt>
                <c:pt idx="359">
                  <c:v>3.1220105592191101</c:v>
                </c:pt>
                <c:pt idx="360">
                  <c:v>3.1415926535897931</c:v>
                </c:pt>
              </c:numCache>
            </c:numRef>
          </c:xVal>
          <c:yVal>
            <c:numRef>
              <c:f>'Cross Section Analysis'!$A$129:$A$489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-3.1066860685499065</c:v>
                </c:pt>
                <c:pt idx="3">
                  <c:v>-3.0892327760299634</c:v>
                </c:pt>
                <c:pt idx="4">
                  <c:v>-3.0717794835100198</c:v>
                </c:pt>
                <c:pt idx="5">
                  <c:v>-3.0543261909900767</c:v>
                </c:pt>
                <c:pt idx="6">
                  <c:v>-3.0368728984701332</c:v>
                </c:pt>
                <c:pt idx="7">
                  <c:v>-3.0194196059501901</c:v>
                </c:pt>
                <c:pt idx="8">
                  <c:v>-3.0019663134302466</c:v>
                </c:pt>
                <c:pt idx="9">
                  <c:v>-2.9845130209103035</c:v>
                </c:pt>
                <c:pt idx="10">
                  <c:v>-2.9670597283903604</c:v>
                </c:pt>
                <c:pt idx="11">
                  <c:v>-2.9496064358704168</c:v>
                </c:pt>
                <c:pt idx="12">
                  <c:v>-2.9321531433504737</c:v>
                </c:pt>
                <c:pt idx="13">
                  <c:v>-2.9146998508305302</c:v>
                </c:pt>
                <c:pt idx="14">
                  <c:v>-2.8972465583105871</c:v>
                </c:pt>
                <c:pt idx="15">
                  <c:v>-2.8797932657906435</c:v>
                </c:pt>
                <c:pt idx="16">
                  <c:v>-2.8623399732707004</c:v>
                </c:pt>
                <c:pt idx="17">
                  <c:v>-2.8448866807507569</c:v>
                </c:pt>
                <c:pt idx="18">
                  <c:v>-2.8274333882308138</c:v>
                </c:pt>
                <c:pt idx="19">
                  <c:v>-2.8099800957108707</c:v>
                </c:pt>
                <c:pt idx="20">
                  <c:v>-2.7925268031909272</c:v>
                </c:pt>
                <c:pt idx="21">
                  <c:v>-2.7750735106709841</c:v>
                </c:pt>
                <c:pt idx="22">
                  <c:v>-2.7576202181510405</c:v>
                </c:pt>
                <c:pt idx="23">
                  <c:v>-2.7401669256310974</c:v>
                </c:pt>
                <c:pt idx="24">
                  <c:v>-2.7227136331111539</c:v>
                </c:pt>
                <c:pt idx="25">
                  <c:v>-2.7052603405912108</c:v>
                </c:pt>
                <c:pt idx="26">
                  <c:v>-2.6878070480712672</c:v>
                </c:pt>
                <c:pt idx="27">
                  <c:v>-2.6703537555513241</c:v>
                </c:pt>
                <c:pt idx="28">
                  <c:v>-2.6529004630313811</c:v>
                </c:pt>
                <c:pt idx="29">
                  <c:v>-2.6354471705114375</c:v>
                </c:pt>
                <c:pt idx="30">
                  <c:v>-2.6179938779914944</c:v>
                </c:pt>
                <c:pt idx="31">
                  <c:v>-2.6005405854715509</c:v>
                </c:pt>
                <c:pt idx="32">
                  <c:v>-2.5830872929516078</c:v>
                </c:pt>
                <c:pt idx="33">
                  <c:v>-2.5656340004316642</c:v>
                </c:pt>
                <c:pt idx="34">
                  <c:v>-2.5481807079117211</c:v>
                </c:pt>
                <c:pt idx="35">
                  <c:v>-2.5307274153917776</c:v>
                </c:pt>
                <c:pt idx="36">
                  <c:v>-2.5132741228718345</c:v>
                </c:pt>
                <c:pt idx="37">
                  <c:v>-2.4958208303518914</c:v>
                </c:pt>
                <c:pt idx="38">
                  <c:v>-2.4783675378319479</c:v>
                </c:pt>
                <c:pt idx="39">
                  <c:v>-2.4609142453120048</c:v>
                </c:pt>
                <c:pt idx="40">
                  <c:v>-2.4434609527920612</c:v>
                </c:pt>
                <c:pt idx="41">
                  <c:v>-2.4260076602721181</c:v>
                </c:pt>
                <c:pt idx="42">
                  <c:v>-2.4085543677521746</c:v>
                </c:pt>
                <c:pt idx="43">
                  <c:v>-2.3911010752322315</c:v>
                </c:pt>
                <c:pt idx="44">
                  <c:v>-2.3736477827122879</c:v>
                </c:pt>
                <c:pt idx="45">
                  <c:v>-2.3561944901923448</c:v>
                </c:pt>
                <c:pt idx="46">
                  <c:v>-2.3387411976724017</c:v>
                </c:pt>
                <c:pt idx="47">
                  <c:v>-2.3212879051524582</c:v>
                </c:pt>
                <c:pt idx="48">
                  <c:v>-2.3038346126325147</c:v>
                </c:pt>
                <c:pt idx="49">
                  <c:v>-2.2863813201125716</c:v>
                </c:pt>
                <c:pt idx="50">
                  <c:v>-2.2689280275926285</c:v>
                </c:pt>
                <c:pt idx="51">
                  <c:v>-2.2514747350726849</c:v>
                </c:pt>
                <c:pt idx="52">
                  <c:v>-2.2340214425527418</c:v>
                </c:pt>
                <c:pt idx="53">
                  <c:v>-2.2165681500327983</c:v>
                </c:pt>
                <c:pt idx="54">
                  <c:v>-2.1991148575128552</c:v>
                </c:pt>
                <c:pt idx="55">
                  <c:v>-2.1816615649929121</c:v>
                </c:pt>
                <c:pt idx="56">
                  <c:v>-2.1642082724729685</c:v>
                </c:pt>
                <c:pt idx="57">
                  <c:v>-2.146754979953025</c:v>
                </c:pt>
                <c:pt idx="58">
                  <c:v>-2.1293016874330819</c:v>
                </c:pt>
                <c:pt idx="59">
                  <c:v>-2.1118483949131388</c:v>
                </c:pt>
                <c:pt idx="60">
                  <c:v>-2.0943951023931957</c:v>
                </c:pt>
                <c:pt idx="61">
                  <c:v>-2.0769418098732522</c:v>
                </c:pt>
                <c:pt idx="62">
                  <c:v>-2.0594885173533086</c:v>
                </c:pt>
                <c:pt idx="63">
                  <c:v>-2.0420352248333655</c:v>
                </c:pt>
                <c:pt idx="64">
                  <c:v>-2.0245819323134224</c:v>
                </c:pt>
                <c:pt idx="65">
                  <c:v>-2.0071286397934789</c:v>
                </c:pt>
                <c:pt idx="66">
                  <c:v>-1.9896753472735356</c:v>
                </c:pt>
                <c:pt idx="67">
                  <c:v>-1.9722220547535922</c:v>
                </c:pt>
                <c:pt idx="68">
                  <c:v>-1.9547687622336489</c:v>
                </c:pt>
                <c:pt idx="69">
                  <c:v>-1.9373154697137058</c:v>
                </c:pt>
                <c:pt idx="70">
                  <c:v>-1.9198621771937625</c:v>
                </c:pt>
                <c:pt idx="71">
                  <c:v>-1.9024088846738192</c:v>
                </c:pt>
                <c:pt idx="72">
                  <c:v>-1.8849555921538759</c:v>
                </c:pt>
                <c:pt idx="73">
                  <c:v>-1.8675022996339325</c:v>
                </c:pt>
                <c:pt idx="74">
                  <c:v>-1.8500490071139892</c:v>
                </c:pt>
                <c:pt idx="75">
                  <c:v>-1.8325957145940459</c:v>
                </c:pt>
                <c:pt idx="76">
                  <c:v>-1.8151424220741026</c:v>
                </c:pt>
                <c:pt idx="77">
                  <c:v>-1.7976891295541593</c:v>
                </c:pt>
                <c:pt idx="78">
                  <c:v>-1.7802358370342162</c:v>
                </c:pt>
                <c:pt idx="79">
                  <c:v>-1.7627825445142729</c:v>
                </c:pt>
                <c:pt idx="80">
                  <c:v>-1.7453292519943295</c:v>
                </c:pt>
                <c:pt idx="81">
                  <c:v>-1.7278759594743862</c:v>
                </c:pt>
                <c:pt idx="82">
                  <c:v>-1.7104226669544429</c:v>
                </c:pt>
                <c:pt idx="83">
                  <c:v>-1.6929693744344996</c:v>
                </c:pt>
                <c:pt idx="84">
                  <c:v>-1.6755160819145563</c:v>
                </c:pt>
                <c:pt idx="85">
                  <c:v>-1.6580627893946129</c:v>
                </c:pt>
                <c:pt idx="86">
                  <c:v>-1.6406094968746696</c:v>
                </c:pt>
                <c:pt idx="87">
                  <c:v>-1.6231562043547265</c:v>
                </c:pt>
                <c:pt idx="88">
                  <c:v>-1.6057029118347832</c:v>
                </c:pt>
                <c:pt idx="89">
                  <c:v>-1.5882496193148399</c:v>
                </c:pt>
                <c:pt idx="90">
                  <c:v>-1.5707963267948966</c:v>
                </c:pt>
                <c:pt idx="91">
                  <c:v>-1.5533430342749532</c:v>
                </c:pt>
                <c:pt idx="92">
                  <c:v>-1.5358897417550099</c:v>
                </c:pt>
                <c:pt idx="93">
                  <c:v>-1.5184364492350666</c:v>
                </c:pt>
                <c:pt idx="94">
                  <c:v>-1.5009831567151233</c:v>
                </c:pt>
                <c:pt idx="95">
                  <c:v>-1.48352986419518</c:v>
                </c:pt>
                <c:pt idx="96">
                  <c:v>-1.4660765716752366</c:v>
                </c:pt>
                <c:pt idx="97">
                  <c:v>-1.4486232791552935</c:v>
                </c:pt>
                <c:pt idx="98">
                  <c:v>-1.4311699866353502</c:v>
                </c:pt>
                <c:pt idx="99">
                  <c:v>-1.4137166941154069</c:v>
                </c:pt>
                <c:pt idx="100">
                  <c:v>-1.3962634015954636</c:v>
                </c:pt>
                <c:pt idx="101">
                  <c:v>-1.3788101090755203</c:v>
                </c:pt>
                <c:pt idx="102">
                  <c:v>-1.3613568165555769</c:v>
                </c:pt>
                <c:pt idx="103">
                  <c:v>-1.3439035240356336</c:v>
                </c:pt>
                <c:pt idx="104">
                  <c:v>-1.3264502315156903</c:v>
                </c:pt>
                <c:pt idx="105">
                  <c:v>-1.308996938995747</c:v>
                </c:pt>
                <c:pt idx="106">
                  <c:v>-1.2915436464758039</c:v>
                </c:pt>
                <c:pt idx="107">
                  <c:v>-1.2740903539558606</c:v>
                </c:pt>
                <c:pt idx="108">
                  <c:v>-1.2566370614359172</c:v>
                </c:pt>
                <c:pt idx="109">
                  <c:v>-1.2391837689159739</c:v>
                </c:pt>
                <c:pt idx="110">
                  <c:v>-1.2217304763960306</c:v>
                </c:pt>
                <c:pt idx="111">
                  <c:v>-1.2042771838760873</c:v>
                </c:pt>
                <c:pt idx="112">
                  <c:v>-1.186823891356144</c:v>
                </c:pt>
                <c:pt idx="113">
                  <c:v>-1.1693705988362006</c:v>
                </c:pt>
                <c:pt idx="114">
                  <c:v>-1.1519173063162573</c:v>
                </c:pt>
                <c:pt idx="115">
                  <c:v>-1.1344640137963142</c:v>
                </c:pt>
                <c:pt idx="116">
                  <c:v>-1.1170107212763707</c:v>
                </c:pt>
                <c:pt idx="117">
                  <c:v>-1.0995574287564276</c:v>
                </c:pt>
                <c:pt idx="118">
                  <c:v>-1.082104136236484</c:v>
                </c:pt>
                <c:pt idx="119">
                  <c:v>-1.064650843716541</c:v>
                </c:pt>
                <c:pt idx="120">
                  <c:v>-1.0471975511965979</c:v>
                </c:pt>
                <c:pt idx="121">
                  <c:v>-1.0297442586766543</c:v>
                </c:pt>
                <c:pt idx="122">
                  <c:v>-1.0122909661567112</c:v>
                </c:pt>
                <c:pt idx="123">
                  <c:v>-0.99483767363676767</c:v>
                </c:pt>
                <c:pt idx="124">
                  <c:v>-0.97738438111682457</c:v>
                </c:pt>
                <c:pt idx="125">
                  <c:v>-0.95993108859688103</c:v>
                </c:pt>
                <c:pt idx="126">
                  <c:v>-0.94247779607693793</c:v>
                </c:pt>
                <c:pt idx="127">
                  <c:v>-0.92502450355699439</c:v>
                </c:pt>
                <c:pt idx="128">
                  <c:v>-0.9075712110370513</c:v>
                </c:pt>
                <c:pt idx="129">
                  <c:v>-0.8901179185171082</c:v>
                </c:pt>
                <c:pt idx="130">
                  <c:v>-0.87266462599716466</c:v>
                </c:pt>
                <c:pt idx="131">
                  <c:v>-0.85521133347722156</c:v>
                </c:pt>
                <c:pt idx="132">
                  <c:v>-0.83775804095727802</c:v>
                </c:pt>
                <c:pt idx="133">
                  <c:v>-0.82030474843733492</c:v>
                </c:pt>
                <c:pt idx="134">
                  <c:v>-0.80285145591739138</c:v>
                </c:pt>
                <c:pt idx="135">
                  <c:v>-0.78539816339744828</c:v>
                </c:pt>
                <c:pt idx="136">
                  <c:v>-0.76794487087750474</c:v>
                </c:pt>
                <c:pt idx="137">
                  <c:v>-0.75049157835756164</c:v>
                </c:pt>
                <c:pt idx="138">
                  <c:v>-0.73303828583761854</c:v>
                </c:pt>
                <c:pt idx="139">
                  <c:v>-0.715584993317675</c:v>
                </c:pt>
                <c:pt idx="140">
                  <c:v>-0.6981317007977319</c:v>
                </c:pt>
                <c:pt idx="141">
                  <c:v>-0.68067840827778836</c:v>
                </c:pt>
                <c:pt idx="142">
                  <c:v>-0.66322511575784526</c:v>
                </c:pt>
                <c:pt idx="143">
                  <c:v>-0.64577182323790172</c:v>
                </c:pt>
                <c:pt idx="144">
                  <c:v>-0.62831853071795862</c:v>
                </c:pt>
                <c:pt idx="145">
                  <c:v>-0.61086523819801508</c:v>
                </c:pt>
                <c:pt idx="146">
                  <c:v>-0.59341194567807198</c:v>
                </c:pt>
                <c:pt idx="147">
                  <c:v>-0.57595865315812889</c:v>
                </c:pt>
                <c:pt idx="148">
                  <c:v>-0.55850536063818534</c:v>
                </c:pt>
                <c:pt idx="149">
                  <c:v>-0.54105206811824225</c:v>
                </c:pt>
                <c:pt idx="150">
                  <c:v>-0.5235987755982987</c:v>
                </c:pt>
                <c:pt idx="151">
                  <c:v>-0.50614548307835561</c:v>
                </c:pt>
                <c:pt idx="152">
                  <c:v>-0.48869219055841207</c:v>
                </c:pt>
                <c:pt idx="153">
                  <c:v>-0.47123889803846897</c:v>
                </c:pt>
                <c:pt idx="154">
                  <c:v>-0.45378560551852543</c:v>
                </c:pt>
                <c:pt idx="155">
                  <c:v>-0.43633231299858233</c:v>
                </c:pt>
                <c:pt idx="156">
                  <c:v>-0.41887902047863923</c:v>
                </c:pt>
                <c:pt idx="157">
                  <c:v>-0.40142572795869569</c:v>
                </c:pt>
                <c:pt idx="158">
                  <c:v>-0.38397243543875259</c:v>
                </c:pt>
                <c:pt idx="159">
                  <c:v>-0.36651914291880905</c:v>
                </c:pt>
                <c:pt idx="160">
                  <c:v>-0.34906585039886595</c:v>
                </c:pt>
                <c:pt idx="161">
                  <c:v>-0.33161255787892241</c:v>
                </c:pt>
                <c:pt idx="162">
                  <c:v>-0.31415926535897931</c:v>
                </c:pt>
                <c:pt idx="163">
                  <c:v>-0.29670597283903577</c:v>
                </c:pt>
                <c:pt idx="164">
                  <c:v>-0.27925268031909267</c:v>
                </c:pt>
                <c:pt idx="165">
                  <c:v>-0.26179938779914957</c:v>
                </c:pt>
                <c:pt idx="166">
                  <c:v>-0.24434609527920603</c:v>
                </c:pt>
                <c:pt idx="167">
                  <c:v>-0.22689280275926293</c:v>
                </c:pt>
                <c:pt idx="168">
                  <c:v>-0.20943951023931939</c:v>
                </c:pt>
                <c:pt idx="169">
                  <c:v>-0.1919862177193763</c:v>
                </c:pt>
                <c:pt idx="170">
                  <c:v>-0.17453292519943275</c:v>
                </c:pt>
                <c:pt idx="171">
                  <c:v>-0.15707963267948966</c:v>
                </c:pt>
                <c:pt idx="172">
                  <c:v>-0.13962634015954611</c:v>
                </c:pt>
                <c:pt idx="173">
                  <c:v>-0.12217304763960302</c:v>
                </c:pt>
                <c:pt idx="174">
                  <c:v>-0.10471975511965992</c:v>
                </c:pt>
                <c:pt idx="175">
                  <c:v>-8.7266462599716377E-2</c:v>
                </c:pt>
                <c:pt idx="176">
                  <c:v>-6.9813170079773279E-2</c:v>
                </c:pt>
                <c:pt idx="177">
                  <c:v>-5.2359877559829737E-2</c:v>
                </c:pt>
                <c:pt idx="178">
                  <c:v>-3.490658503988664E-2</c:v>
                </c:pt>
                <c:pt idx="179">
                  <c:v>-1.7453292519943098E-2</c:v>
                </c:pt>
                <c:pt idx="180">
                  <c:v>0</c:v>
                </c:pt>
                <c:pt idx="181">
                  <c:v>1.7453292519943542E-2</c:v>
                </c:pt>
                <c:pt idx="182">
                  <c:v>3.490658503988664E-2</c:v>
                </c:pt>
                <c:pt idx="183">
                  <c:v>5.2359877559829737E-2</c:v>
                </c:pt>
                <c:pt idx="184">
                  <c:v>6.9813170079773279E-2</c:v>
                </c:pt>
                <c:pt idx="185">
                  <c:v>8.7266462599716377E-2</c:v>
                </c:pt>
                <c:pt idx="186">
                  <c:v>0.10471975511965992</c:v>
                </c:pt>
                <c:pt idx="187">
                  <c:v>0.12217304763960302</c:v>
                </c:pt>
                <c:pt idx="188">
                  <c:v>0.13962634015954656</c:v>
                </c:pt>
                <c:pt idx="189">
                  <c:v>0.15707963267948966</c:v>
                </c:pt>
                <c:pt idx="190">
                  <c:v>0.1745329251994332</c:v>
                </c:pt>
                <c:pt idx="191">
                  <c:v>0.1919862177193763</c:v>
                </c:pt>
                <c:pt idx="192">
                  <c:v>0.20943951023931984</c:v>
                </c:pt>
                <c:pt idx="193">
                  <c:v>0.22689280275926293</c:v>
                </c:pt>
                <c:pt idx="194">
                  <c:v>0.24434609527920603</c:v>
                </c:pt>
                <c:pt idx="195">
                  <c:v>0.26179938779914957</c:v>
                </c:pt>
                <c:pt idx="196">
                  <c:v>0.27925268031909267</c:v>
                </c:pt>
                <c:pt idx="197">
                  <c:v>0.29670597283903621</c:v>
                </c:pt>
                <c:pt idx="198">
                  <c:v>0.31415926535897931</c:v>
                </c:pt>
                <c:pt idx="199">
                  <c:v>0.33161255787892285</c:v>
                </c:pt>
                <c:pt idx="200">
                  <c:v>0.34906585039886595</c:v>
                </c:pt>
                <c:pt idx="201">
                  <c:v>0.36651914291880949</c:v>
                </c:pt>
                <c:pt idx="202">
                  <c:v>0.38397243543875259</c:v>
                </c:pt>
                <c:pt idx="203">
                  <c:v>0.40142572795869569</c:v>
                </c:pt>
                <c:pt idx="204">
                  <c:v>0.41887902047863923</c:v>
                </c:pt>
                <c:pt idx="205">
                  <c:v>0.43633231299858233</c:v>
                </c:pt>
                <c:pt idx="206">
                  <c:v>0.45378560551852587</c:v>
                </c:pt>
                <c:pt idx="207">
                  <c:v>0.47123889803846897</c:v>
                </c:pt>
                <c:pt idx="208">
                  <c:v>0.48869219055841251</c:v>
                </c:pt>
                <c:pt idx="209">
                  <c:v>0.50614548307835561</c:v>
                </c:pt>
                <c:pt idx="210">
                  <c:v>0.52359877559829915</c:v>
                </c:pt>
                <c:pt idx="211">
                  <c:v>0.54105206811824225</c:v>
                </c:pt>
                <c:pt idx="212">
                  <c:v>0.55850536063818534</c:v>
                </c:pt>
                <c:pt idx="213">
                  <c:v>0.57595865315812889</c:v>
                </c:pt>
                <c:pt idx="214">
                  <c:v>0.59341194567807198</c:v>
                </c:pt>
                <c:pt idx="215">
                  <c:v>0.61086523819801553</c:v>
                </c:pt>
                <c:pt idx="216">
                  <c:v>0.62831853071795862</c:v>
                </c:pt>
                <c:pt idx="217">
                  <c:v>0.64577182323790217</c:v>
                </c:pt>
                <c:pt idx="218">
                  <c:v>0.66322511575784526</c:v>
                </c:pt>
                <c:pt idx="219">
                  <c:v>0.6806784082777888</c:v>
                </c:pt>
                <c:pt idx="220">
                  <c:v>0.6981317007977319</c:v>
                </c:pt>
                <c:pt idx="221">
                  <c:v>0.715584993317675</c:v>
                </c:pt>
                <c:pt idx="222">
                  <c:v>0.73303828583761854</c:v>
                </c:pt>
                <c:pt idx="223">
                  <c:v>0.75049157835756164</c:v>
                </c:pt>
                <c:pt idx="224">
                  <c:v>0.76794487087750518</c:v>
                </c:pt>
                <c:pt idx="225">
                  <c:v>0.78539816339744828</c:v>
                </c:pt>
                <c:pt idx="226">
                  <c:v>0.80285145591739182</c:v>
                </c:pt>
                <c:pt idx="227">
                  <c:v>0.82030474843733492</c:v>
                </c:pt>
                <c:pt idx="228">
                  <c:v>0.83775804095727846</c:v>
                </c:pt>
                <c:pt idx="229">
                  <c:v>0.85521133347722156</c:v>
                </c:pt>
                <c:pt idx="230">
                  <c:v>0.87266462599716466</c:v>
                </c:pt>
                <c:pt idx="231">
                  <c:v>0.89011791851710775</c:v>
                </c:pt>
                <c:pt idx="232">
                  <c:v>0.90757121103705174</c:v>
                </c:pt>
                <c:pt idx="233">
                  <c:v>0.92502450355699484</c:v>
                </c:pt>
                <c:pt idx="234">
                  <c:v>0.94247779607693793</c:v>
                </c:pt>
                <c:pt idx="235">
                  <c:v>0.95993108859688103</c:v>
                </c:pt>
                <c:pt idx="236">
                  <c:v>0.97738438111682502</c:v>
                </c:pt>
                <c:pt idx="237">
                  <c:v>0.99483767363676812</c:v>
                </c:pt>
                <c:pt idx="238">
                  <c:v>1.0122909661567112</c:v>
                </c:pt>
                <c:pt idx="239">
                  <c:v>1.0297442586766543</c:v>
                </c:pt>
                <c:pt idx="240">
                  <c:v>1.0471975511965974</c:v>
                </c:pt>
                <c:pt idx="241">
                  <c:v>1.0646508437165414</c:v>
                </c:pt>
                <c:pt idx="242">
                  <c:v>1.0821041362364845</c:v>
                </c:pt>
                <c:pt idx="243">
                  <c:v>1.0995574287564276</c:v>
                </c:pt>
                <c:pt idx="244">
                  <c:v>1.1170107212763707</c:v>
                </c:pt>
                <c:pt idx="245">
                  <c:v>1.1344640137963147</c:v>
                </c:pt>
                <c:pt idx="246">
                  <c:v>1.1519173063162578</c:v>
                </c:pt>
                <c:pt idx="247">
                  <c:v>1.1693705988362009</c:v>
                </c:pt>
                <c:pt idx="248">
                  <c:v>1.186823891356144</c:v>
                </c:pt>
                <c:pt idx="249">
                  <c:v>1.2042771838760871</c:v>
                </c:pt>
                <c:pt idx="250">
                  <c:v>1.2217304763960311</c:v>
                </c:pt>
                <c:pt idx="251">
                  <c:v>1.2391837689159741</c:v>
                </c:pt>
                <c:pt idx="252">
                  <c:v>1.2566370614359172</c:v>
                </c:pt>
                <c:pt idx="253">
                  <c:v>1.2740903539558603</c:v>
                </c:pt>
                <c:pt idx="254">
                  <c:v>1.2915436464758043</c:v>
                </c:pt>
                <c:pt idx="255">
                  <c:v>1.3089969389957474</c:v>
                </c:pt>
                <c:pt idx="256">
                  <c:v>1.3264502315156905</c:v>
                </c:pt>
                <c:pt idx="257">
                  <c:v>1.3439035240356336</c:v>
                </c:pt>
                <c:pt idx="258">
                  <c:v>1.3613568165555767</c:v>
                </c:pt>
                <c:pt idx="259">
                  <c:v>1.3788101090755207</c:v>
                </c:pt>
                <c:pt idx="260">
                  <c:v>1.3962634015954638</c:v>
                </c:pt>
                <c:pt idx="261">
                  <c:v>1.4137166941154069</c:v>
                </c:pt>
                <c:pt idx="262">
                  <c:v>1.43116998663535</c:v>
                </c:pt>
                <c:pt idx="263">
                  <c:v>1.448623279155294</c:v>
                </c:pt>
                <c:pt idx="264">
                  <c:v>1.4660765716752371</c:v>
                </c:pt>
                <c:pt idx="265">
                  <c:v>1.4835298641951802</c:v>
                </c:pt>
                <c:pt idx="266">
                  <c:v>1.5009831567151233</c:v>
                </c:pt>
                <c:pt idx="267">
                  <c:v>1.5184364492350664</c:v>
                </c:pt>
                <c:pt idx="268">
                  <c:v>1.5358897417550104</c:v>
                </c:pt>
                <c:pt idx="269">
                  <c:v>1.5533430342749535</c:v>
                </c:pt>
                <c:pt idx="270">
                  <c:v>1.5707963267948966</c:v>
                </c:pt>
                <c:pt idx="271">
                  <c:v>1.5882496193148397</c:v>
                </c:pt>
                <c:pt idx="272">
                  <c:v>1.6057029118347836</c:v>
                </c:pt>
                <c:pt idx="273">
                  <c:v>1.6231562043547267</c:v>
                </c:pt>
                <c:pt idx="274">
                  <c:v>1.6406094968746698</c:v>
                </c:pt>
                <c:pt idx="275">
                  <c:v>1.6580627893946129</c:v>
                </c:pt>
                <c:pt idx="276">
                  <c:v>1.675516081914556</c:v>
                </c:pt>
                <c:pt idx="277">
                  <c:v>1.6929693744345</c:v>
                </c:pt>
                <c:pt idx="278">
                  <c:v>1.7104226669544431</c:v>
                </c:pt>
                <c:pt idx="279">
                  <c:v>1.7278759594743862</c:v>
                </c:pt>
                <c:pt idx="280">
                  <c:v>1.7453292519943293</c:v>
                </c:pt>
                <c:pt idx="281">
                  <c:v>1.7627825445142733</c:v>
                </c:pt>
                <c:pt idx="282">
                  <c:v>1.7802358370342164</c:v>
                </c:pt>
                <c:pt idx="283">
                  <c:v>1.7976891295541595</c:v>
                </c:pt>
                <c:pt idx="284">
                  <c:v>1.8151424220741026</c:v>
                </c:pt>
                <c:pt idx="285">
                  <c:v>1.8325957145940457</c:v>
                </c:pt>
                <c:pt idx="286">
                  <c:v>1.8500490071139897</c:v>
                </c:pt>
                <c:pt idx="287">
                  <c:v>1.8675022996339328</c:v>
                </c:pt>
                <c:pt idx="288">
                  <c:v>1.8849555921538759</c:v>
                </c:pt>
                <c:pt idx="289">
                  <c:v>1.902408884673819</c:v>
                </c:pt>
                <c:pt idx="290">
                  <c:v>1.919862177193763</c:v>
                </c:pt>
                <c:pt idx="291">
                  <c:v>1.9373154697137061</c:v>
                </c:pt>
                <c:pt idx="292">
                  <c:v>1.9547687622336491</c:v>
                </c:pt>
                <c:pt idx="293">
                  <c:v>1.9722220547535922</c:v>
                </c:pt>
                <c:pt idx="294">
                  <c:v>1.9896753472735353</c:v>
                </c:pt>
                <c:pt idx="295">
                  <c:v>2.0071286397934793</c:v>
                </c:pt>
                <c:pt idx="296">
                  <c:v>2.0245819323134224</c:v>
                </c:pt>
                <c:pt idx="297">
                  <c:v>2.0420352248333655</c:v>
                </c:pt>
                <c:pt idx="298">
                  <c:v>2.0594885173533086</c:v>
                </c:pt>
                <c:pt idx="299">
                  <c:v>2.0769418098732526</c:v>
                </c:pt>
                <c:pt idx="300">
                  <c:v>2.0943951023931957</c:v>
                </c:pt>
                <c:pt idx="301">
                  <c:v>2.1118483949131388</c:v>
                </c:pt>
                <c:pt idx="302">
                  <c:v>2.1293016874330819</c:v>
                </c:pt>
                <c:pt idx="303">
                  <c:v>2.146754979953025</c:v>
                </c:pt>
                <c:pt idx="304">
                  <c:v>2.164208272472969</c:v>
                </c:pt>
                <c:pt idx="305">
                  <c:v>2.1816615649929121</c:v>
                </c:pt>
                <c:pt idx="306">
                  <c:v>2.1991148575128552</c:v>
                </c:pt>
                <c:pt idx="307">
                  <c:v>2.2165681500327983</c:v>
                </c:pt>
                <c:pt idx="308">
                  <c:v>2.2340214425527423</c:v>
                </c:pt>
                <c:pt idx="309">
                  <c:v>2.2514747350726854</c:v>
                </c:pt>
                <c:pt idx="310">
                  <c:v>2.2689280275926285</c:v>
                </c:pt>
                <c:pt idx="311">
                  <c:v>2.2863813201125716</c:v>
                </c:pt>
                <c:pt idx="312">
                  <c:v>2.3038346126325147</c:v>
                </c:pt>
                <c:pt idx="313">
                  <c:v>2.3212879051524586</c:v>
                </c:pt>
                <c:pt idx="314">
                  <c:v>2.3387411976724017</c:v>
                </c:pt>
                <c:pt idx="315">
                  <c:v>2.3561944901923448</c:v>
                </c:pt>
                <c:pt idx="316">
                  <c:v>2.3736477827122879</c:v>
                </c:pt>
                <c:pt idx="317">
                  <c:v>2.3911010752322319</c:v>
                </c:pt>
                <c:pt idx="318">
                  <c:v>2.408554367752175</c:v>
                </c:pt>
                <c:pt idx="319">
                  <c:v>2.4260076602721181</c:v>
                </c:pt>
                <c:pt idx="320">
                  <c:v>2.4434609527920612</c:v>
                </c:pt>
                <c:pt idx="321">
                  <c:v>2.4609142453120043</c:v>
                </c:pt>
                <c:pt idx="322">
                  <c:v>2.4783675378319483</c:v>
                </c:pt>
                <c:pt idx="323">
                  <c:v>2.4958208303518914</c:v>
                </c:pt>
                <c:pt idx="324">
                  <c:v>2.5132741228718345</c:v>
                </c:pt>
                <c:pt idx="325">
                  <c:v>2.5307274153917776</c:v>
                </c:pt>
                <c:pt idx="326">
                  <c:v>2.5481807079117216</c:v>
                </c:pt>
                <c:pt idx="327">
                  <c:v>2.5656340004316647</c:v>
                </c:pt>
                <c:pt idx="328">
                  <c:v>2.5830872929516078</c:v>
                </c:pt>
                <c:pt idx="329">
                  <c:v>2.6005405854715509</c:v>
                </c:pt>
                <c:pt idx="330">
                  <c:v>2.617993877991494</c:v>
                </c:pt>
                <c:pt idx="331">
                  <c:v>2.635447170511438</c:v>
                </c:pt>
                <c:pt idx="332">
                  <c:v>2.6529004630313811</c:v>
                </c:pt>
                <c:pt idx="333">
                  <c:v>2.6703537555513241</c:v>
                </c:pt>
                <c:pt idx="334">
                  <c:v>2.6878070480712672</c:v>
                </c:pt>
                <c:pt idx="335">
                  <c:v>2.7052603405912112</c:v>
                </c:pt>
                <c:pt idx="336">
                  <c:v>2.7227136331111543</c:v>
                </c:pt>
                <c:pt idx="337">
                  <c:v>2.7401669256310974</c:v>
                </c:pt>
                <c:pt idx="338">
                  <c:v>2.7576202181510405</c:v>
                </c:pt>
                <c:pt idx="339">
                  <c:v>2.7750735106709836</c:v>
                </c:pt>
                <c:pt idx="340">
                  <c:v>2.7925268031909276</c:v>
                </c:pt>
                <c:pt idx="341">
                  <c:v>2.8099800957108707</c:v>
                </c:pt>
                <c:pt idx="342">
                  <c:v>2.8274333882308138</c:v>
                </c:pt>
                <c:pt idx="343">
                  <c:v>2.8448866807507569</c:v>
                </c:pt>
                <c:pt idx="344">
                  <c:v>2.8623399732707009</c:v>
                </c:pt>
                <c:pt idx="345">
                  <c:v>2.879793265790644</c:v>
                </c:pt>
                <c:pt idx="346">
                  <c:v>2.8972465583105871</c:v>
                </c:pt>
                <c:pt idx="347">
                  <c:v>2.9146998508305302</c:v>
                </c:pt>
                <c:pt idx="348">
                  <c:v>2.9321531433504733</c:v>
                </c:pt>
                <c:pt idx="349">
                  <c:v>2.9496064358704173</c:v>
                </c:pt>
                <c:pt idx="350">
                  <c:v>2.9670597283903604</c:v>
                </c:pt>
                <c:pt idx="351">
                  <c:v>2.9845130209103035</c:v>
                </c:pt>
                <c:pt idx="352">
                  <c:v>3.0019663134302466</c:v>
                </c:pt>
                <c:pt idx="353">
                  <c:v>3.0194196059501905</c:v>
                </c:pt>
                <c:pt idx="354">
                  <c:v>3.0368728984701336</c:v>
                </c:pt>
                <c:pt idx="355">
                  <c:v>3.0543261909900767</c:v>
                </c:pt>
                <c:pt idx="356">
                  <c:v>3.0717794835100198</c:v>
                </c:pt>
                <c:pt idx="357">
                  <c:v>3.0892327760299629</c:v>
                </c:pt>
                <c:pt idx="358">
                  <c:v>3.1066860685499069</c:v>
                </c:pt>
                <c:pt idx="359">
                  <c:v>3.12413936106985</c:v>
                </c:pt>
                <c:pt idx="360">
                  <c:v>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C7-4EF4-91DD-810F33130FCD}"/>
            </c:ext>
          </c:extLst>
        </c:ser>
        <c:ser>
          <c:idx val="0"/>
          <c:order val="1"/>
          <c:tx>
            <c:v>goal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Analysis'!$N$115</c:f>
              <c:numCache>
                <c:formatCode>0.00000</c:formatCode>
                <c:ptCount val="1"/>
                <c:pt idx="0">
                  <c:v>0.78539816339744828</c:v>
                </c:pt>
              </c:numCache>
            </c:numRef>
          </c:xVal>
          <c:yVal>
            <c:numRef>
              <c:f>'Cross Section Analysis'!$F$53</c:f>
              <c:numCache>
                <c:formatCode>General</c:formatCode>
                <c:ptCount val="1"/>
                <c:pt idx="0">
                  <c:v>-359.21460183660253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DE-4471-8631-FA272A06727E}"/>
            </c:ext>
          </c:extLst>
        </c:ser>
        <c:ser>
          <c:idx val="1"/>
          <c:order val="2"/>
          <c:tx>
            <c:v>equal angle 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'Cross Section Analysis'!$F$261:$F$262</c:f>
              <c:numCache>
                <c:formatCode>General</c:formatCode>
                <c:ptCount val="2"/>
                <c:pt idx="0">
                  <c:v>-3.1415926535897931</c:v>
                </c:pt>
                <c:pt idx="1">
                  <c:v>3.1415926535897931</c:v>
                </c:pt>
              </c:numCache>
            </c:numRef>
          </c:xVal>
          <c:yVal>
            <c:numRef>
              <c:f>'Cross Section Analysis'!$G$261:$G$262</c:f>
              <c:numCache>
                <c:formatCode>General</c:formatCode>
                <c:ptCount val="2"/>
                <c:pt idx="0">
                  <c:v>-3.1415926535897931</c:v>
                </c:pt>
                <c:pt idx="1">
                  <c:v>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FE-5949-8F55-96BF063D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  <c:max val="3.16"/>
          <c:min val="-3.1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Angle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;[Red]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  <c:majorUnit val="0.78539800000000004"/>
        <c:minorUnit val="8.7200000000000027E-2"/>
      </c:valAx>
      <c:valAx>
        <c:axId val="1892693248"/>
        <c:scaling>
          <c:orientation val="minMax"/>
          <c:max val="3.16"/>
          <c:min val="-3.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</a:t>
                </a:r>
                <a:r>
                  <a:rPr lang="en-US" baseline="0"/>
                  <a:t> Angle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;[Red]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  <c:majorUnit val="0.78539809999999999"/>
        <c:minorUnit val="8.7260000000000032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Analysis'!$AC$48:$AC$148</c:f>
              <c:numCache>
                <c:formatCode>General</c:formatCode>
                <c:ptCount val="101"/>
                <c:pt idx="0">
                  <c:v>1E-4</c:v>
                </c:pt>
                <c:pt idx="1">
                  <c:v>0.84846400599152683</c:v>
                </c:pt>
                <c:pt idx="2">
                  <c:v>1.6968280119830537</c:v>
                </c:pt>
                <c:pt idx="3">
                  <c:v>2.5451920179745806</c:v>
                </c:pt>
                <c:pt idx="4">
                  <c:v>3.3935560239661076</c:v>
                </c:pt>
                <c:pt idx="5">
                  <c:v>4.2419200299576341</c:v>
                </c:pt>
                <c:pt idx="6">
                  <c:v>5.0902840359491615</c:v>
                </c:pt>
                <c:pt idx="7">
                  <c:v>5.938648041940688</c:v>
                </c:pt>
                <c:pt idx="8">
                  <c:v>6.7870120479322145</c:v>
                </c:pt>
                <c:pt idx="9">
                  <c:v>7.6353760539237419</c:v>
                </c:pt>
                <c:pt idx="10">
                  <c:v>8.4837400599152684</c:v>
                </c:pt>
                <c:pt idx="11">
                  <c:v>9.3321040659067958</c:v>
                </c:pt>
                <c:pt idx="12">
                  <c:v>10.180468071898321</c:v>
                </c:pt>
                <c:pt idx="13">
                  <c:v>11.028832077889849</c:v>
                </c:pt>
                <c:pt idx="14">
                  <c:v>11.877196083881376</c:v>
                </c:pt>
                <c:pt idx="15">
                  <c:v>12.725560089872902</c:v>
                </c:pt>
                <c:pt idx="16">
                  <c:v>13.573924095864429</c:v>
                </c:pt>
                <c:pt idx="17">
                  <c:v>14.422288101855957</c:v>
                </c:pt>
                <c:pt idx="18">
                  <c:v>15.270652107847484</c:v>
                </c:pt>
                <c:pt idx="19">
                  <c:v>16.11901611383901</c:v>
                </c:pt>
                <c:pt idx="20">
                  <c:v>16.967380119830537</c:v>
                </c:pt>
                <c:pt idx="21">
                  <c:v>17.815744125822064</c:v>
                </c:pt>
                <c:pt idx="22">
                  <c:v>18.664108131813592</c:v>
                </c:pt>
                <c:pt idx="23">
                  <c:v>19.512472137805116</c:v>
                </c:pt>
                <c:pt idx="24">
                  <c:v>20.360836143796643</c:v>
                </c:pt>
                <c:pt idx="25">
                  <c:v>21.20920014978817</c:v>
                </c:pt>
                <c:pt idx="26">
                  <c:v>22.057564155779698</c:v>
                </c:pt>
                <c:pt idx="27">
                  <c:v>22.905928161771225</c:v>
                </c:pt>
                <c:pt idx="28">
                  <c:v>23.754292167762753</c:v>
                </c:pt>
                <c:pt idx="29">
                  <c:v>24.60265617375428</c:v>
                </c:pt>
                <c:pt idx="30">
                  <c:v>25.451020179745804</c:v>
                </c:pt>
                <c:pt idx="31">
                  <c:v>26.299384185737331</c:v>
                </c:pt>
                <c:pt idx="32">
                  <c:v>27.147748191728859</c:v>
                </c:pt>
                <c:pt idx="33">
                  <c:v>27.996112197720386</c:v>
                </c:pt>
                <c:pt idx="34">
                  <c:v>28.844476203711913</c:v>
                </c:pt>
                <c:pt idx="35">
                  <c:v>29.692840209703441</c:v>
                </c:pt>
                <c:pt idx="36">
                  <c:v>30.541204215694965</c:v>
                </c:pt>
                <c:pt idx="37">
                  <c:v>31.389568221686492</c:v>
                </c:pt>
                <c:pt idx="38">
                  <c:v>32.237932227678023</c:v>
                </c:pt>
                <c:pt idx="39">
                  <c:v>33.086296233669543</c:v>
                </c:pt>
                <c:pt idx="40">
                  <c:v>33.934660239661071</c:v>
                </c:pt>
                <c:pt idx="41">
                  <c:v>34.783024245652598</c:v>
                </c:pt>
                <c:pt idx="42">
                  <c:v>35.631388251644125</c:v>
                </c:pt>
                <c:pt idx="43">
                  <c:v>36.479752257635653</c:v>
                </c:pt>
                <c:pt idx="44">
                  <c:v>37.32811626362718</c:v>
                </c:pt>
                <c:pt idx="45">
                  <c:v>38.176480269618708</c:v>
                </c:pt>
                <c:pt idx="46">
                  <c:v>39.024844275610235</c:v>
                </c:pt>
                <c:pt idx="47">
                  <c:v>39.873208281601762</c:v>
                </c:pt>
                <c:pt idx="48">
                  <c:v>40.72157228759329</c:v>
                </c:pt>
                <c:pt idx="49">
                  <c:v>41.569936293584817</c:v>
                </c:pt>
                <c:pt idx="50">
                  <c:v>42.418300299576345</c:v>
                </c:pt>
                <c:pt idx="51">
                  <c:v>43.266664305567872</c:v>
                </c:pt>
                <c:pt idx="52">
                  <c:v>44.115028311559392</c:v>
                </c:pt>
                <c:pt idx="53">
                  <c:v>44.96339231755092</c:v>
                </c:pt>
                <c:pt idx="54">
                  <c:v>45.811756323542447</c:v>
                </c:pt>
                <c:pt idx="55">
                  <c:v>46.660120329533974</c:v>
                </c:pt>
                <c:pt idx="56">
                  <c:v>47.508484335525502</c:v>
                </c:pt>
                <c:pt idx="57">
                  <c:v>48.356848341517029</c:v>
                </c:pt>
                <c:pt idx="58">
                  <c:v>49.205212347508557</c:v>
                </c:pt>
                <c:pt idx="59">
                  <c:v>50.053576353500084</c:v>
                </c:pt>
                <c:pt idx="60">
                  <c:v>50.901940359491611</c:v>
                </c:pt>
                <c:pt idx="61">
                  <c:v>51.750304365483139</c:v>
                </c:pt>
                <c:pt idx="62">
                  <c:v>52.598668371474666</c:v>
                </c:pt>
                <c:pt idx="63">
                  <c:v>53.447032377466194</c:v>
                </c:pt>
                <c:pt idx="64">
                  <c:v>54.295396383457721</c:v>
                </c:pt>
                <c:pt idx="65">
                  <c:v>55.143760389449241</c:v>
                </c:pt>
                <c:pt idx="66">
                  <c:v>55.992124395440769</c:v>
                </c:pt>
                <c:pt idx="67">
                  <c:v>56.840488401432296</c:v>
                </c:pt>
                <c:pt idx="68">
                  <c:v>57.688852407423823</c:v>
                </c:pt>
                <c:pt idx="69">
                  <c:v>58.537216413415351</c:v>
                </c:pt>
                <c:pt idx="70">
                  <c:v>59.385580419406878</c:v>
                </c:pt>
                <c:pt idx="71">
                  <c:v>60.233944425398406</c:v>
                </c:pt>
                <c:pt idx="72">
                  <c:v>61.082308431389933</c:v>
                </c:pt>
                <c:pt idx="73">
                  <c:v>61.93067243738146</c:v>
                </c:pt>
                <c:pt idx="74">
                  <c:v>62.779036443372988</c:v>
                </c:pt>
                <c:pt idx="75">
                  <c:v>63.627400449364515</c:v>
                </c:pt>
                <c:pt idx="76">
                  <c:v>64.475764455356043</c:v>
                </c:pt>
                <c:pt idx="77">
                  <c:v>65.32412846134757</c:v>
                </c:pt>
                <c:pt idx="78">
                  <c:v>66.172492467339097</c:v>
                </c:pt>
                <c:pt idx="79">
                  <c:v>67.020856473330625</c:v>
                </c:pt>
                <c:pt idx="80">
                  <c:v>67.869220479322152</c:v>
                </c:pt>
                <c:pt idx="81">
                  <c:v>68.717584485313679</c:v>
                </c:pt>
                <c:pt idx="82">
                  <c:v>69.565948491305207</c:v>
                </c:pt>
                <c:pt idx="83">
                  <c:v>70.414312497296734</c:v>
                </c:pt>
                <c:pt idx="84">
                  <c:v>71.262676503288247</c:v>
                </c:pt>
                <c:pt idx="85">
                  <c:v>72.111040509279775</c:v>
                </c:pt>
                <c:pt idx="86">
                  <c:v>72.959404515271302</c:v>
                </c:pt>
                <c:pt idx="87">
                  <c:v>73.80776852126283</c:v>
                </c:pt>
                <c:pt idx="88">
                  <c:v>74.656132527254357</c:v>
                </c:pt>
                <c:pt idx="89">
                  <c:v>75.504496533245884</c:v>
                </c:pt>
                <c:pt idx="90">
                  <c:v>76.352860539237412</c:v>
                </c:pt>
                <c:pt idx="91">
                  <c:v>77.201224545228939</c:v>
                </c:pt>
                <c:pt idx="92">
                  <c:v>78.049588551220467</c:v>
                </c:pt>
                <c:pt idx="93">
                  <c:v>78.897952557211994</c:v>
                </c:pt>
                <c:pt idx="94">
                  <c:v>79.746316563203521</c:v>
                </c:pt>
                <c:pt idx="95">
                  <c:v>80.594680569195049</c:v>
                </c:pt>
                <c:pt idx="96">
                  <c:v>81.443044575186576</c:v>
                </c:pt>
                <c:pt idx="97">
                  <c:v>82.291408581178104</c:v>
                </c:pt>
                <c:pt idx="98">
                  <c:v>83.139772587169631</c:v>
                </c:pt>
                <c:pt idx="99">
                  <c:v>83.988136593161158</c:v>
                </c:pt>
                <c:pt idx="100">
                  <c:v>84.836500599152686</c:v>
                </c:pt>
              </c:numCache>
            </c:numRef>
          </c:xVal>
          <c:yVal>
            <c:numRef>
              <c:f>'Cross Section Analysis'!$AD$48:$AD$148</c:f>
              <c:numCache>
                <c:formatCode>General</c:formatCode>
                <c:ptCount val="101"/>
                <c:pt idx="0">
                  <c:v>-511.47999996574822</c:v>
                </c:pt>
                <c:pt idx="1">
                  <c:v>-509.0142463865194</c:v>
                </c:pt>
                <c:pt idx="2">
                  <c:v>-501.61814796708427</c:v>
                </c:pt>
                <c:pt idx="3">
                  <c:v>-481.14919045340156</c:v>
                </c:pt>
                <c:pt idx="4">
                  <c:v>-423.92395872645216</c:v>
                </c:pt>
                <c:pt idx="5">
                  <c:v>-377.75538272001813</c:v>
                </c:pt>
                <c:pt idx="6">
                  <c:v>-334.65011918820323</c:v>
                </c:pt>
                <c:pt idx="7">
                  <c:v>-273.62580501049058</c:v>
                </c:pt>
                <c:pt idx="8">
                  <c:v>-209.88208545196227</c:v>
                </c:pt>
                <c:pt idx="9">
                  <c:v>-147.15584362017046</c:v>
                </c:pt>
                <c:pt idx="10">
                  <c:v>-71.527273923512126</c:v>
                </c:pt>
                <c:pt idx="11">
                  <c:v>8.0394099633140996</c:v>
                </c:pt>
                <c:pt idx="12">
                  <c:v>85.994597556448355</c:v>
                </c:pt>
                <c:pt idx="13">
                  <c:v>156.79029312164562</c:v>
                </c:pt>
                <c:pt idx="14">
                  <c:v>225.26442853695733</c:v>
                </c:pt>
                <c:pt idx="15">
                  <c:v>289.74523792278285</c:v>
                </c:pt>
                <c:pt idx="16">
                  <c:v>357.56913058445247</c:v>
                </c:pt>
                <c:pt idx="17">
                  <c:v>420.94762248794086</c:v>
                </c:pt>
                <c:pt idx="18">
                  <c:v>480.52826342919457</c:v>
                </c:pt>
                <c:pt idx="19">
                  <c:v>554.50569764896204</c:v>
                </c:pt>
                <c:pt idx="20">
                  <c:v>631.19785127691489</c:v>
                </c:pt>
                <c:pt idx="21">
                  <c:v>709.57150994149004</c:v>
                </c:pt>
                <c:pt idx="22">
                  <c:v>786.36741593930969</c:v>
                </c:pt>
                <c:pt idx="23">
                  <c:v>861.79136204179383</c:v>
                </c:pt>
                <c:pt idx="24">
                  <c:v>936.0148423935816</c:v>
                </c:pt>
                <c:pt idx="25">
                  <c:v>1005.6735372055418</c:v>
                </c:pt>
                <c:pt idx="26">
                  <c:v>1077.9060894488857</c:v>
                </c:pt>
                <c:pt idx="27">
                  <c:v>1149.3079589557024</c:v>
                </c:pt>
                <c:pt idx="28">
                  <c:v>1218.723444480265</c:v>
                </c:pt>
                <c:pt idx="29">
                  <c:v>1283.9609792646324</c:v>
                </c:pt>
                <c:pt idx="30">
                  <c:v>1345.0392487446311</c:v>
                </c:pt>
                <c:pt idx="31">
                  <c:v>1402.0161682514208</c:v>
                </c:pt>
                <c:pt idx="32">
                  <c:v>1446.9038</c:v>
                </c:pt>
                <c:pt idx="33">
                  <c:v>1446.9038</c:v>
                </c:pt>
                <c:pt idx="34">
                  <c:v>1446.9038</c:v>
                </c:pt>
                <c:pt idx="35">
                  <c:v>1446.9038</c:v>
                </c:pt>
                <c:pt idx="36">
                  <c:v>1446.9038</c:v>
                </c:pt>
                <c:pt idx="37">
                  <c:v>1446.9038</c:v>
                </c:pt>
                <c:pt idx="38">
                  <c:v>1446.9038</c:v>
                </c:pt>
                <c:pt idx="39">
                  <c:v>1446.9038</c:v>
                </c:pt>
                <c:pt idx="40">
                  <c:v>1446.9038</c:v>
                </c:pt>
                <c:pt idx="41">
                  <c:v>1446.9038</c:v>
                </c:pt>
                <c:pt idx="42">
                  <c:v>1446.9038</c:v>
                </c:pt>
                <c:pt idx="43">
                  <c:v>1446.9038</c:v>
                </c:pt>
                <c:pt idx="44">
                  <c:v>1446.9038</c:v>
                </c:pt>
                <c:pt idx="45">
                  <c:v>1446.9038</c:v>
                </c:pt>
                <c:pt idx="46">
                  <c:v>1446.9038</c:v>
                </c:pt>
                <c:pt idx="47">
                  <c:v>1446.9038</c:v>
                </c:pt>
                <c:pt idx="48">
                  <c:v>1446.9038</c:v>
                </c:pt>
                <c:pt idx="49">
                  <c:v>1446.9038</c:v>
                </c:pt>
                <c:pt idx="50">
                  <c:v>1446.9038</c:v>
                </c:pt>
                <c:pt idx="51">
                  <c:v>1446.9038</c:v>
                </c:pt>
                <c:pt idx="52">
                  <c:v>1446.9038</c:v>
                </c:pt>
                <c:pt idx="53">
                  <c:v>1446.9038</c:v>
                </c:pt>
                <c:pt idx="54">
                  <c:v>1446.9038</c:v>
                </c:pt>
                <c:pt idx="55">
                  <c:v>1446.9038</c:v>
                </c:pt>
                <c:pt idx="56">
                  <c:v>1446.9038</c:v>
                </c:pt>
                <c:pt idx="57">
                  <c:v>1446.9038</c:v>
                </c:pt>
                <c:pt idx="58">
                  <c:v>1446.9038</c:v>
                </c:pt>
                <c:pt idx="59">
                  <c:v>1446.9038</c:v>
                </c:pt>
                <c:pt idx="60">
                  <c:v>1446.9038</c:v>
                </c:pt>
                <c:pt idx="61">
                  <c:v>1446.9038</c:v>
                </c:pt>
                <c:pt idx="62">
                  <c:v>1446.9038</c:v>
                </c:pt>
                <c:pt idx="63">
                  <c:v>1446.9038</c:v>
                </c:pt>
                <c:pt idx="64">
                  <c:v>1446.9038</c:v>
                </c:pt>
                <c:pt idx="65">
                  <c:v>1446.9038</c:v>
                </c:pt>
                <c:pt idx="66">
                  <c:v>1446.9038</c:v>
                </c:pt>
                <c:pt idx="67">
                  <c:v>1446.9038</c:v>
                </c:pt>
                <c:pt idx="68">
                  <c:v>1446.9038</c:v>
                </c:pt>
                <c:pt idx="69">
                  <c:v>1446.9038</c:v>
                </c:pt>
                <c:pt idx="70">
                  <c:v>1446.9038</c:v>
                </c:pt>
                <c:pt idx="71">
                  <c:v>1446.9038</c:v>
                </c:pt>
                <c:pt idx="72">
                  <c:v>1446.9038</c:v>
                </c:pt>
                <c:pt idx="73">
                  <c:v>1446.9038</c:v>
                </c:pt>
                <c:pt idx="74">
                  <c:v>1446.9038</c:v>
                </c:pt>
                <c:pt idx="75">
                  <c:v>1446.9038</c:v>
                </c:pt>
                <c:pt idx="76">
                  <c:v>1446.9038</c:v>
                </c:pt>
                <c:pt idx="77">
                  <c:v>1446.9038</c:v>
                </c:pt>
                <c:pt idx="78">
                  <c:v>1446.9038</c:v>
                </c:pt>
                <c:pt idx="79">
                  <c:v>1446.9038</c:v>
                </c:pt>
                <c:pt idx="80">
                  <c:v>1446.9038</c:v>
                </c:pt>
                <c:pt idx="81">
                  <c:v>1446.9038</c:v>
                </c:pt>
                <c:pt idx="82">
                  <c:v>1446.9038</c:v>
                </c:pt>
                <c:pt idx="83">
                  <c:v>1446.9038</c:v>
                </c:pt>
                <c:pt idx="84">
                  <c:v>1446.9038</c:v>
                </c:pt>
                <c:pt idx="85">
                  <c:v>1446.9038</c:v>
                </c:pt>
                <c:pt idx="86">
                  <c:v>1446.9038</c:v>
                </c:pt>
                <c:pt idx="87">
                  <c:v>1446.9038</c:v>
                </c:pt>
                <c:pt idx="88">
                  <c:v>1446.9038</c:v>
                </c:pt>
                <c:pt idx="89">
                  <c:v>1446.9038</c:v>
                </c:pt>
                <c:pt idx="90">
                  <c:v>1446.9038</c:v>
                </c:pt>
                <c:pt idx="91">
                  <c:v>1446.9038</c:v>
                </c:pt>
                <c:pt idx="92">
                  <c:v>1446.9038</c:v>
                </c:pt>
                <c:pt idx="93">
                  <c:v>1446.9038</c:v>
                </c:pt>
                <c:pt idx="94">
                  <c:v>1446.9038</c:v>
                </c:pt>
                <c:pt idx="95">
                  <c:v>1446.9038</c:v>
                </c:pt>
                <c:pt idx="96">
                  <c:v>1446.9038</c:v>
                </c:pt>
                <c:pt idx="97">
                  <c:v>1446.9038</c:v>
                </c:pt>
                <c:pt idx="98">
                  <c:v>1446.9038</c:v>
                </c:pt>
                <c:pt idx="99">
                  <c:v>1446.9038</c:v>
                </c:pt>
                <c:pt idx="100">
                  <c:v>1446.9038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2B-4D23-8828-3B2517DC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450384"/>
        <c:axId val="1211906656"/>
      </c:scatterChart>
      <c:valAx>
        <c:axId val="121445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906656"/>
        <c:crosses val="autoZero"/>
        <c:crossBetween val="midCat"/>
      </c:valAx>
      <c:valAx>
        <c:axId val="12119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450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E04F-4BD7-8B04-DD0A481FA8C3}"/>
              </c:ext>
            </c:extLst>
          </c:dPt>
          <c:xVal>
            <c:numRef>
              <c:f>'Cross Section Analysis'!$U$79:$U$80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'Cross Section Analysis'!$S$79:$S$80</c:f>
              <c:numCache>
                <c:formatCode>0.000</c:formatCode>
                <c:ptCount val="2"/>
                <c:pt idx="0">
                  <c:v>-14.142135623730951</c:v>
                </c:pt>
                <c:pt idx="1">
                  <c:v>14.142135623730951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4F-4BD7-8B04-DD0A481FA8C3}"/>
            </c:ext>
          </c:extLst>
        </c:ser>
        <c:ser>
          <c:idx val="1"/>
          <c:order val="1"/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'Cross Section Analysis'!$T$78:$T$81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-5.4566379011645435E-3</c:v>
                </c:pt>
                <c:pt idx="2" formatCode="General">
                  <c:v>3.0000000000000001E-3</c:v>
                </c:pt>
                <c:pt idx="3" formatCode="General">
                  <c:v>0</c:v>
                </c:pt>
              </c:numCache>
            </c:numRef>
          </c:xVal>
          <c:yVal>
            <c:numRef>
              <c:f>'Cross Section Analysis'!$S$78:$S$81</c:f>
              <c:numCache>
                <c:formatCode>0.000</c:formatCode>
                <c:ptCount val="4"/>
                <c:pt idx="0">
                  <c:v>-14.142135623730951</c:v>
                </c:pt>
                <c:pt idx="1">
                  <c:v>-14.142135623730951</c:v>
                </c:pt>
                <c:pt idx="2">
                  <c:v>14.142135623730951</c:v>
                </c:pt>
                <c:pt idx="3">
                  <c:v>14.142135623730951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4F-4BD7-8B04-DD0A481FA8C3}"/>
            </c:ext>
          </c:extLst>
        </c:ser>
        <c:ser>
          <c:idx val="2"/>
          <c:order val="2"/>
          <c:tx>
            <c:strRef>
              <c:f>'Cross Section Analysis'!$A$98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Analysis'!$F$98</c:f>
              <c:numCache>
                <c:formatCode>0.000000</c:formatCode>
                <c:ptCount val="1"/>
                <c:pt idx="0">
                  <c:v>-1.2283189505822719E-3</c:v>
                </c:pt>
              </c:numCache>
            </c:numRef>
          </c:xVal>
          <c:yVal>
            <c:numRef>
              <c:f>'Cross Section Analysis'!$D$98</c:f>
              <c:numCache>
                <c:formatCode>General</c:formatCode>
                <c:ptCount val="1"/>
                <c:pt idx="0">
                  <c:v>-8.8817841970012523E-16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4F-4BD7-8B04-DD0A481FA8C3}"/>
            </c:ext>
          </c:extLst>
        </c:ser>
        <c:ser>
          <c:idx val="3"/>
          <c:order val="3"/>
          <c:tx>
            <c:strRef>
              <c:f>'Cross Section Analysis'!$A$99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Analysis'!$F$99</c:f>
              <c:numCache>
                <c:formatCode>0.000000</c:formatCode>
                <c:ptCount val="1"/>
                <c:pt idx="0">
                  <c:v>-2.6818035898449276E-3</c:v>
                </c:pt>
              </c:numCache>
            </c:numRef>
          </c:xVal>
          <c:yVal>
            <c:numRef>
              <c:f>'Cross Section Analysis'!$D$99</c:f>
              <c:numCache>
                <c:formatCode>General</c:formatCode>
                <c:ptCount val="1"/>
                <c:pt idx="0">
                  <c:v>-4.8613591206575144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4F-4BD7-8B04-DD0A481FA8C3}"/>
            </c:ext>
          </c:extLst>
        </c:ser>
        <c:ser>
          <c:idx val="4"/>
          <c:order val="4"/>
          <c:tx>
            <c:strRef>
              <c:f>'Cross Section Analysis'!$A$100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Analysis'!$F$100</c:f>
              <c:numCache>
                <c:formatCode>0.000000</c:formatCode>
                <c:ptCount val="1"/>
                <c:pt idx="0">
                  <c:v>-4.1352882291075845E-3</c:v>
                </c:pt>
              </c:numCache>
            </c:numRef>
          </c:xVal>
          <c:yVal>
            <c:numRef>
              <c:f>'Cross Section Analysis'!$D$100</c:f>
              <c:numCache>
                <c:formatCode>General</c:formatCode>
                <c:ptCount val="1"/>
                <c:pt idx="0">
                  <c:v>-9.7227182413150288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4F-4BD7-8B04-DD0A481FA8C3}"/>
            </c:ext>
          </c:extLst>
        </c:ser>
        <c:ser>
          <c:idx val="5"/>
          <c:order val="5"/>
          <c:tx>
            <c:strRef>
              <c:f>'Cross Section Analysis'!$A$101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'Cross Section Analysis'!$F$101</c:f>
              <c:numCache>
                <c:formatCode>0.000000</c:formatCode>
                <c:ptCount val="1"/>
                <c:pt idx="0">
                  <c:v>2.2516568868038409E-4</c:v>
                </c:pt>
              </c:numCache>
            </c:numRef>
          </c:xVal>
          <c:yVal>
            <c:numRef>
              <c:f>'Cross Section Analysis'!$D$101</c:f>
              <c:numCache>
                <c:formatCode>General</c:formatCode>
                <c:ptCount val="1"/>
                <c:pt idx="0">
                  <c:v>4.8613591206575135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04F-4BD7-8B04-DD0A481FA8C3}"/>
            </c:ext>
          </c:extLst>
        </c:ser>
        <c:ser>
          <c:idx val="6"/>
          <c:order val="6"/>
          <c:tx>
            <c:strRef>
              <c:f>'Cross Section Analysis'!$A$102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Analysis'!$F$102</c:f>
              <c:numCache>
                <c:formatCode>0.000000</c:formatCode>
                <c:ptCount val="1"/>
                <c:pt idx="0">
                  <c:v>-2.6818035898449276E-3</c:v>
                </c:pt>
              </c:numCache>
            </c:numRef>
          </c:xVal>
          <c:yVal>
            <c:numRef>
              <c:f>'Cross Section Analysis'!$D$102</c:f>
              <c:numCache>
                <c:formatCode>General</c:formatCode>
                <c:ptCount val="1"/>
                <c:pt idx="0">
                  <c:v>-4.8613591206575135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4F-4BD7-8B04-DD0A481FA8C3}"/>
            </c:ext>
          </c:extLst>
        </c:ser>
        <c:ser>
          <c:idx val="7"/>
          <c:order val="7"/>
          <c:tx>
            <c:strRef>
              <c:f>'Cross Section Analysis'!$A$103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Analysis'!$F$103</c:f>
              <c:numCache>
                <c:formatCode>0.000000</c:formatCode>
                <c:ptCount val="1"/>
                <c:pt idx="0">
                  <c:v>1.67865032794304E-3</c:v>
                </c:pt>
              </c:numCache>
            </c:numRef>
          </c:xVal>
          <c:yVal>
            <c:numRef>
              <c:f>'Cross Section Analysis'!$D$103</c:f>
              <c:numCache>
                <c:formatCode>General</c:formatCode>
                <c:ptCount val="1"/>
                <c:pt idx="0">
                  <c:v>9.7227182413150288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04F-4BD7-8B04-DD0A481FA8C3}"/>
            </c:ext>
          </c:extLst>
        </c:ser>
        <c:ser>
          <c:idx val="8"/>
          <c:order val="8"/>
          <c:tx>
            <c:strRef>
              <c:f>'Cross Section Analysis'!$A$104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Analysis'!$F$104</c:f>
              <c:numCache>
                <c:formatCode>0.000000</c:formatCode>
                <c:ptCount val="1"/>
                <c:pt idx="0">
                  <c:v>2.2516568868038409E-4</c:v>
                </c:pt>
              </c:numCache>
            </c:numRef>
          </c:xVal>
          <c:yVal>
            <c:numRef>
              <c:f>'Cross Section Analysis'!$D$104</c:f>
              <c:numCache>
                <c:formatCode>General</c:formatCode>
                <c:ptCount val="1"/>
                <c:pt idx="0">
                  <c:v>4.8613591206575144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04F-4BD7-8B04-DD0A481FA8C3}"/>
            </c:ext>
          </c:extLst>
        </c:ser>
        <c:ser>
          <c:idx val="9"/>
          <c:order val="9"/>
          <c:tx>
            <c:strRef>
              <c:f>'Cross Section Analysis'!$A$105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Analysis'!$F$105</c:f>
              <c:numCache>
                <c:formatCode>0.000000</c:formatCode>
                <c:ptCount val="1"/>
                <c:pt idx="0">
                  <c:v>-1.2283189505822719E-3</c:v>
                </c:pt>
              </c:numCache>
            </c:numRef>
          </c:xVal>
          <c:yVal>
            <c:numRef>
              <c:f>'Cross Section Analysis'!$D$105</c:f>
              <c:numCache>
                <c:formatCode>General</c:formatCode>
                <c:ptCount val="1"/>
                <c:pt idx="0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04F-4BD7-8B04-DD0A481FA8C3}"/>
            </c:ext>
          </c:extLst>
        </c:ser>
        <c:ser>
          <c:idx val="10"/>
          <c:order val="10"/>
          <c:tx>
            <c:strRef>
              <c:f>'Cross Section Analysis'!$A$106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Analysis'!$F$106</c:f>
              <c:numCache>
                <c:formatCode>0.000000</c:formatCode>
                <c:ptCount val="1"/>
                <c:pt idx="0">
                  <c:v>0</c:v>
                </c:pt>
              </c:numCache>
            </c:numRef>
          </c:xVal>
          <c:yVal>
            <c:numRef>
              <c:f>'Cross Section Analysis'!$D$106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04F-4BD7-8B04-DD0A481FA8C3}"/>
            </c:ext>
          </c:extLst>
        </c:ser>
        <c:ser>
          <c:idx val="11"/>
          <c:order val="11"/>
          <c:tx>
            <c:strRef>
              <c:f>'Cross Section Analysis'!$A$107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Analysis'!$F$107</c:f>
              <c:numCache>
                <c:formatCode>0.000000</c:formatCode>
                <c:ptCount val="1"/>
                <c:pt idx="0">
                  <c:v>0</c:v>
                </c:pt>
              </c:numCache>
            </c:numRef>
          </c:xVal>
          <c:yVal>
            <c:numRef>
              <c:f>'Cross Section Analysis'!$D$107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04F-4BD7-8B04-DD0A481FA8C3}"/>
            </c:ext>
          </c:extLst>
        </c:ser>
        <c:ser>
          <c:idx val="12"/>
          <c:order val="12"/>
          <c:tx>
            <c:strRef>
              <c:f>'Cross Section Analysis'!$A$108</c:f>
              <c:strCache>
                <c:ptCount val="1"/>
                <c:pt idx="0">
                  <c:v>11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'Cross Section Analysis'!$F$108</c:f>
              <c:numCache>
                <c:formatCode>0.000000</c:formatCode>
                <c:ptCount val="1"/>
                <c:pt idx="0">
                  <c:v>0</c:v>
                </c:pt>
              </c:numCache>
            </c:numRef>
          </c:xVal>
          <c:yVal>
            <c:numRef>
              <c:f>'Cross Section Analysis'!$D$108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04F-4BD7-8B04-DD0A481FA8C3}"/>
            </c:ext>
          </c:extLst>
        </c:ser>
        <c:ser>
          <c:idx val="13"/>
          <c:order val="13"/>
          <c:tx>
            <c:strRef>
              <c:f>'Cross Section Analysis'!$A$109</c:f>
              <c:strCache>
                <c:ptCount val="1"/>
                <c:pt idx="0">
                  <c:v>12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'Cross Section Analysis'!$F$109</c:f>
              <c:numCache>
                <c:formatCode>0.000000</c:formatCode>
                <c:ptCount val="1"/>
                <c:pt idx="0">
                  <c:v>0</c:v>
                </c:pt>
              </c:numCache>
            </c:numRef>
          </c:xVal>
          <c:yVal>
            <c:numRef>
              <c:f>'Cross Section Analysis'!$D$109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04F-4BD7-8B04-DD0A481FA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957264"/>
        <c:axId val="1034520864"/>
      </c:scatterChart>
      <c:valAx>
        <c:axId val="795957264"/>
        <c:scaling>
          <c:orientation val="minMax"/>
          <c:max val="3.5000000000000009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4520864"/>
        <c:crosses val="autoZero"/>
        <c:crossBetween val="midCat"/>
      </c:valAx>
      <c:valAx>
        <c:axId val="103452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95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3D Failure Surface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287098728043629E-4"/>
          <c:y val="5.3099681960938762E-2"/>
          <c:w val="0.76590308903694726"/>
          <c:h val="0.90140960808869819"/>
        </c:manualLayout>
      </c:layout>
      <c:scatterChart>
        <c:scatterStyle val="lineMarker"/>
        <c:varyColors val="0"/>
        <c:ser>
          <c:idx val="0"/>
          <c:order val="0"/>
          <c:tx>
            <c:v>z-axis (P)</c:v>
          </c:tx>
          <c:spPr>
            <a:ln w="12700" cap="rnd">
              <a:solidFill>
                <a:srgbClr val="FF000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failure_surface!$E$13:$E$14</c:f>
              <c:numCache>
                <c:formatCode>General</c:formatCode>
                <c:ptCount val="2"/>
                <c:pt idx="0">
                  <c:v>-5.3940836172716724E-14</c:v>
                </c:pt>
                <c:pt idx="1">
                  <c:v>1.4300138590633839E-13</c:v>
                </c:pt>
              </c:numCache>
            </c:numRef>
          </c:xVal>
          <c:yVal>
            <c:numRef>
              <c:f>failure_surface!$F$13:$F$14</c:f>
              <c:numCache>
                <c:formatCode>General</c:formatCode>
                <c:ptCount val="2"/>
                <c:pt idx="0">
                  <c:v>-337.27404741642368</c:v>
                </c:pt>
                <c:pt idx="1">
                  <c:v>894.13994355511568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D-4984-B106-1700280D5561}"/>
            </c:ext>
          </c:extLst>
        </c:ser>
        <c:ser>
          <c:idx val="1"/>
          <c:order val="1"/>
          <c:tx>
            <c:v>x-axis (Mx)</c:v>
          </c:tx>
          <c:spPr>
            <a:ln w="12700" cap="rnd">
              <a:solidFill>
                <a:schemeClr val="accent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failure_surface!$E$3:$E$4</c:f>
              <c:numCache>
                <c:formatCode>General</c:formatCode>
                <c:ptCount val="2"/>
                <c:pt idx="0">
                  <c:v>16.129357020650065</c:v>
                </c:pt>
                <c:pt idx="1">
                  <c:v>-16.129357020650065</c:v>
                </c:pt>
              </c:numCache>
            </c:numRef>
          </c:xVal>
          <c:yVal>
            <c:numRef>
              <c:f>failure_surface!$F$3:$F$4</c:f>
              <c:numCache>
                <c:formatCode>General</c:formatCode>
                <c:ptCount val="2"/>
                <c:pt idx="0">
                  <c:v>-296.8935391739999</c:v>
                </c:pt>
                <c:pt idx="1">
                  <c:v>296.8935391739999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4D-4984-B106-1700280D5561}"/>
            </c:ext>
          </c:extLst>
        </c:ser>
        <c:ser>
          <c:idx val="2"/>
          <c:order val="2"/>
          <c:tx>
            <c:v>y-axis (My)</c:v>
          </c:tx>
          <c:spPr>
            <a:ln w="12700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failure_surface!$E$8:$E$9</c:f>
              <c:numCache>
                <c:formatCode>General</c:formatCode>
                <c:ptCount val="2"/>
                <c:pt idx="0">
                  <c:v>-461.88435293390688</c:v>
                </c:pt>
                <c:pt idx="1">
                  <c:v>461.88435293390688</c:v>
                </c:pt>
              </c:numCache>
            </c:numRef>
          </c:xVal>
          <c:yVal>
            <c:numRef>
              <c:f>failure_surface!$F$8:$F$9</c:f>
              <c:numCache>
                <c:formatCode>General</c:formatCode>
                <c:ptCount val="2"/>
                <c:pt idx="0">
                  <c:v>-10.367750845084416</c:v>
                </c:pt>
                <c:pt idx="1">
                  <c:v>10.367750845084416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4D-4984-B106-1700280D5561}"/>
            </c:ext>
          </c:extLst>
        </c:ser>
        <c:ser>
          <c:idx val="3"/>
          <c:order val="3"/>
          <c:tx>
            <c:v>failure sruface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failure_surface!$E$19:$E$1866</c:f>
              <c:numCache>
                <c:formatCode>General</c:formatCode>
                <c:ptCount val="1848"/>
                <c:pt idx="0">
                  <c:v>2.9063905478201729E-2</c:v>
                </c:pt>
                <c:pt idx="1">
                  <c:v>-0.73608548971193999</c:v>
                </c:pt>
                <c:pt idx="2">
                  <c:v>-0.75623427027040102</c:v>
                </c:pt>
                <c:pt idx="3">
                  <c:v>-0.76532580701952191</c:v>
                </c:pt>
                <c:pt idx="4">
                  <c:v>-0.77090936860761583</c:v>
                </c:pt>
                <c:pt idx="5">
                  <c:v>-0.77483144691024974</c:v>
                </c:pt>
                <c:pt idx="6">
                  <c:v>-0.77785899365478217</c:v>
                </c:pt>
                <c:pt idx="7">
                  <c:v>-0.78034091902313596</c:v>
                </c:pt>
                <c:pt idx="8">
                  <c:v>-0.782471188229932</c:v>
                </c:pt>
                <c:pt idx="9">
                  <c:v>-0.78437022067081408</c:v>
                </c:pt>
                <c:pt idx="10">
                  <c:v>-0.78612032306521251</c:v>
                </c:pt>
                <c:pt idx="11">
                  <c:v>-0.78778390740158155</c:v>
                </c:pt>
                <c:pt idx="12">
                  <c:v>-0.78941485015042356</c:v>
                </c:pt>
                <c:pt idx="13">
                  <c:v>-0.79106821190428867</c:v>
                </c:pt>
                <c:pt idx="14">
                  <c:v>-0.79281211774479987</c:v>
                </c:pt>
                <c:pt idx="15">
                  <c:v>-0.7947059724491421</c:v>
                </c:pt>
                <c:pt idx="16">
                  <c:v>-0.79698510776425646</c:v>
                </c:pt>
                <c:pt idx="17">
                  <c:v>-0.80017743691497534</c:v>
                </c:pt>
                <c:pt idx="18">
                  <c:v>-0.83228135866681319</c:v>
                </c:pt>
                <c:pt idx="19">
                  <c:v>-0.85360350027620779</c:v>
                </c:pt>
                <c:pt idx="20">
                  <c:v>-0.85181231577205951</c:v>
                </c:pt>
                <c:pt idx="21">
                  <c:v>-0.8501633572213293</c:v>
                </c:pt>
                <c:pt idx="22">
                  <c:v>-0.84865531857795518</c:v>
                </c:pt>
                <c:pt idx="23">
                  <c:v>-0.8471814127290207</c:v>
                </c:pt>
                <c:pt idx="24">
                  <c:v>-0.84573572032611599</c:v>
                </c:pt>
                <c:pt idx="25">
                  <c:v>-0.8442743481098024</c:v>
                </c:pt>
                <c:pt idx="26">
                  <c:v>-0.84275566440423488</c:v>
                </c:pt>
                <c:pt idx="27">
                  <c:v>-0.84113408172253379</c:v>
                </c:pt>
                <c:pt idx="28">
                  <c:v>-0.83935279111900074</c:v>
                </c:pt>
                <c:pt idx="29">
                  <c:v>-0.83733364916094311</c:v>
                </c:pt>
                <c:pt idx="30">
                  <c:v>-0.83495970981068324</c:v>
                </c:pt>
                <c:pt idx="31">
                  <c:v>-0.83204038442200767</c:v>
                </c:pt>
                <c:pt idx="32">
                  <c:v>-0.82823067457964716</c:v>
                </c:pt>
                <c:pt idx="33">
                  <c:v>-0.82276590972498764</c:v>
                </c:pt>
                <c:pt idx="34">
                  <c:v>-0.8138115450362976</c:v>
                </c:pt>
                <c:pt idx="35">
                  <c:v>-0.79383679260943663</c:v>
                </c:pt>
                <c:pt idx="36">
                  <c:v>-2.9063905478323007E-2</c:v>
                </c:pt>
                <c:pt idx="37">
                  <c:v>0.73608548971185683</c:v>
                </c:pt>
                <c:pt idx="38">
                  <c:v>0.75623427027032031</c:v>
                </c:pt>
                <c:pt idx="39">
                  <c:v>0.76532580701943886</c:v>
                </c:pt>
                <c:pt idx="40">
                  <c:v>0.77090936860752812</c:v>
                </c:pt>
                <c:pt idx="41">
                  <c:v>0.77483144691016903</c:v>
                </c:pt>
                <c:pt idx="42">
                  <c:v>0.77785899365469913</c:v>
                </c:pt>
                <c:pt idx="43">
                  <c:v>0.78034091902303371</c:v>
                </c:pt>
                <c:pt idx="44">
                  <c:v>0.78247118822985595</c:v>
                </c:pt>
                <c:pt idx="45">
                  <c:v>0.78437022067073192</c:v>
                </c:pt>
                <c:pt idx="46">
                  <c:v>0.78612032306511981</c:v>
                </c:pt>
                <c:pt idx="47">
                  <c:v>0.78778390740149418</c:v>
                </c:pt>
                <c:pt idx="48">
                  <c:v>0.78941485015033941</c:v>
                </c:pt>
                <c:pt idx="49">
                  <c:v>0.79106821190420473</c:v>
                </c:pt>
                <c:pt idx="50">
                  <c:v>0.79281211774471327</c:v>
                </c:pt>
                <c:pt idx="51">
                  <c:v>0.79470597244906127</c:v>
                </c:pt>
                <c:pt idx="52">
                  <c:v>0.79698510776417031</c:v>
                </c:pt>
                <c:pt idx="53">
                  <c:v>0.80017743691489329</c:v>
                </c:pt>
                <c:pt idx="54">
                  <c:v>0.83228135866672903</c:v>
                </c:pt>
                <c:pt idx="55">
                  <c:v>0.8536035002761545</c:v>
                </c:pt>
                <c:pt idx="56">
                  <c:v>0.85181231577198024</c:v>
                </c:pt>
                <c:pt idx="57">
                  <c:v>0.85016335722124992</c:v>
                </c:pt>
                <c:pt idx="58">
                  <c:v>0.84865531857787113</c:v>
                </c:pt>
                <c:pt idx="59">
                  <c:v>0.84718141272894054</c:v>
                </c:pt>
                <c:pt idx="60">
                  <c:v>0.84573572032603173</c:v>
                </c:pt>
                <c:pt idx="61">
                  <c:v>0.84427434810971502</c:v>
                </c:pt>
                <c:pt idx="62">
                  <c:v>0.84275566440415872</c:v>
                </c:pt>
                <c:pt idx="63">
                  <c:v>0.84113408172245185</c:v>
                </c:pt>
                <c:pt idx="64">
                  <c:v>0.83935279111890782</c:v>
                </c:pt>
                <c:pt idx="65">
                  <c:v>0.83733364916084918</c:v>
                </c:pt>
                <c:pt idx="66">
                  <c:v>0.83495970981060919</c:v>
                </c:pt>
                <c:pt idx="67">
                  <c:v>0.83204038442192441</c:v>
                </c:pt>
                <c:pt idx="68">
                  <c:v>0.82823067457956134</c:v>
                </c:pt>
                <c:pt idx="69">
                  <c:v>0.8227659097249026</c:v>
                </c:pt>
                <c:pt idx="70">
                  <c:v>0.81381154503621422</c:v>
                </c:pt>
                <c:pt idx="71">
                  <c:v>1.6040373012520732</c:v>
                </c:pt>
                <c:pt idx="72">
                  <c:v>-16.881759303892668</c:v>
                </c:pt>
                <c:pt idx="73">
                  <c:v>-28.944720950177505</c:v>
                </c:pt>
                <c:pt idx="74">
                  <c:v>-32.21936735343094</c:v>
                </c:pt>
                <c:pt idx="75">
                  <c:v>-33.660137821650729</c:v>
                </c:pt>
                <c:pt idx="76">
                  <c:v>-34.468725153578312</c:v>
                </c:pt>
                <c:pt idx="77">
                  <c:v>-35.003344004965193</c:v>
                </c:pt>
                <c:pt idx="78">
                  <c:v>-35.405014532323456</c:v>
                </c:pt>
                <c:pt idx="79">
                  <c:v>-35.740837120377201</c:v>
                </c:pt>
                <c:pt idx="80">
                  <c:v>-36.04903821875147</c:v>
                </c:pt>
                <c:pt idx="81">
                  <c:v>-36.355886023000387</c:v>
                </c:pt>
                <c:pt idx="82">
                  <c:v>-36.684909882075551</c:v>
                </c:pt>
                <c:pt idx="83">
                  <c:v>-37.062955666202321</c:v>
                </c:pt>
                <c:pt idx="84">
                  <c:v>-37.529177130563134</c:v>
                </c:pt>
                <c:pt idx="85">
                  <c:v>-38.151493755622766</c:v>
                </c:pt>
                <c:pt idx="86">
                  <c:v>-39.071166172043128</c:v>
                </c:pt>
                <c:pt idx="87">
                  <c:v>-40.659463521548375</c:v>
                </c:pt>
                <c:pt idx="88">
                  <c:v>-44.435912089187489</c:v>
                </c:pt>
                <c:pt idx="89">
                  <c:v>-45.93361843390084</c:v>
                </c:pt>
                <c:pt idx="90">
                  <c:v>-45.724907665772179</c:v>
                </c:pt>
                <c:pt idx="91">
                  <c:v>-42.78276184614365</c:v>
                </c:pt>
                <c:pt idx="92">
                  <c:v>-41.419571619610117</c:v>
                </c:pt>
                <c:pt idx="93">
                  <c:v>-40.598401942465664</c:v>
                </c:pt>
                <c:pt idx="94">
                  <c:v>-40.031107617933102</c:v>
                </c:pt>
                <c:pt idx="95">
                  <c:v>-39.601131880155414</c:v>
                </c:pt>
                <c:pt idx="96">
                  <c:v>-39.250250486183681</c:v>
                </c:pt>
                <c:pt idx="97">
                  <c:v>-38.943906187339586</c:v>
                </c:pt>
                <c:pt idx="98">
                  <c:v>-38.657860612273033</c:v>
                </c:pt>
                <c:pt idx="99">
                  <c:v>-38.370363806931053</c:v>
                </c:pt>
                <c:pt idx="100">
                  <c:v>-38.056728763862381</c:v>
                </c:pt>
                <c:pt idx="101">
                  <c:v>-37.680512934466769</c:v>
                </c:pt>
                <c:pt idx="102">
                  <c:v>-37.177189978994896</c:v>
                </c:pt>
                <c:pt idx="103">
                  <c:v>-36.410144776822854</c:v>
                </c:pt>
                <c:pt idx="104">
                  <c:v>-35.030165854074077</c:v>
                </c:pt>
                <c:pt idx="105">
                  <c:v>-31.858587668121238</c:v>
                </c:pt>
                <c:pt idx="106">
                  <c:v>-20.030244507742648</c:v>
                </c:pt>
                <c:pt idx="107">
                  <c:v>-1.6040373012521845</c:v>
                </c:pt>
                <c:pt idx="108">
                  <c:v>16.881759303892593</c:v>
                </c:pt>
                <c:pt idx="109">
                  <c:v>28.944720950177462</c:v>
                </c:pt>
                <c:pt idx="110">
                  <c:v>32.219367353430911</c:v>
                </c:pt>
                <c:pt idx="111">
                  <c:v>33.660137821650643</c:v>
                </c:pt>
                <c:pt idx="112">
                  <c:v>34.468725153578241</c:v>
                </c:pt>
                <c:pt idx="113">
                  <c:v>35.003344004965122</c:v>
                </c:pt>
                <c:pt idx="114">
                  <c:v>35.40501453232342</c:v>
                </c:pt>
                <c:pt idx="115">
                  <c:v>35.740837120377151</c:v>
                </c:pt>
                <c:pt idx="116">
                  <c:v>36.049038218751384</c:v>
                </c:pt>
                <c:pt idx="117">
                  <c:v>36.355886023000309</c:v>
                </c:pt>
                <c:pt idx="118">
                  <c:v>36.68490988207548</c:v>
                </c:pt>
                <c:pt idx="119">
                  <c:v>37.062955666202264</c:v>
                </c:pt>
                <c:pt idx="120">
                  <c:v>37.529177130563099</c:v>
                </c:pt>
                <c:pt idx="121">
                  <c:v>38.151493755622695</c:v>
                </c:pt>
                <c:pt idx="122">
                  <c:v>39.071166172043078</c:v>
                </c:pt>
                <c:pt idx="123">
                  <c:v>40.659463521548403</c:v>
                </c:pt>
                <c:pt idx="124">
                  <c:v>44.435912089187461</c:v>
                </c:pt>
                <c:pt idx="125">
                  <c:v>45.933618433900769</c:v>
                </c:pt>
                <c:pt idx="126">
                  <c:v>45.724907665772072</c:v>
                </c:pt>
                <c:pt idx="127">
                  <c:v>42.782761846143565</c:v>
                </c:pt>
                <c:pt idx="128">
                  <c:v>41.419571619610025</c:v>
                </c:pt>
                <c:pt idx="129">
                  <c:v>40.598401942465578</c:v>
                </c:pt>
                <c:pt idx="130">
                  <c:v>40.031107617933003</c:v>
                </c:pt>
                <c:pt idx="131">
                  <c:v>39.601131880155329</c:v>
                </c:pt>
                <c:pt idx="132">
                  <c:v>39.250250486183539</c:v>
                </c:pt>
                <c:pt idx="133">
                  <c:v>38.943906187339458</c:v>
                </c:pt>
                <c:pt idx="134">
                  <c:v>38.657860612272927</c:v>
                </c:pt>
                <c:pt idx="135">
                  <c:v>38.370363806930918</c:v>
                </c:pt>
                <c:pt idx="136">
                  <c:v>38.056728763862253</c:v>
                </c:pt>
                <c:pt idx="137">
                  <c:v>37.680512934466691</c:v>
                </c:pt>
                <c:pt idx="138">
                  <c:v>37.177189978994797</c:v>
                </c:pt>
                <c:pt idx="139">
                  <c:v>36.410144776822754</c:v>
                </c:pt>
                <c:pt idx="140">
                  <c:v>35.030165854073935</c:v>
                </c:pt>
                <c:pt idx="141">
                  <c:v>31.858587668121075</c:v>
                </c:pt>
                <c:pt idx="142">
                  <c:v>3.0570694139489096</c:v>
                </c:pt>
                <c:pt idx="143">
                  <c:v>-27.611078921598519</c:v>
                </c:pt>
                <c:pt idx="144">
                  <c:v>-46.738309150572874</c:v>
                </c:pt>
                <c:pt idx="145">
                  <c:v>-53.699857448282714</c:v>
                </c:pt>
                <c:pt idx="146">
                  <c:v>-57.896700326062856</c:v>
                </c:pt>
                <c:pt idx="147">
                  <c:v>-61.136872666777315</c:v>
                </c:pt>
                <c:pt idx="148">
                  <c:v>-63.974057543175633</c:v>
                </c:pt>
                <c:pt idx="149">
                  <c:v>-66.650222878675891</c:v>
                </c:pt>
                <c:pt idx="150">
                  <c:v>-67.958550475978811</c:v>
                </c:pt>
                <c:pt idx="151">
                  <c:v>-68.908058499070776</c:v>
                </c:pt>
                <c:pt idx="152">
                  <c:v>-69.788698106680286</c:v>
                </c:pt>
                <c:pt idx="153">
                  <c:v>-70.64119434031808</c:v>
                </c:pt>
                <c:pt idx="154">
                  <c:v>-71.435104279202363</c:v>
                </c:pt>
                <c:pt idx="155">
                  <c:v>-72.262195720612908</c:v>
                </c:pt>
                <c:pt idx="156">
                  <c:v>-73.226958273850983</c:v>
                </c:pt>
                <c:pt idx="157">
                  <c:v>-74.529812419316215</c:v>
                </c:pt>
                <c:pt idx="158">
                  <c:v>-76.695382395323008</c:v>
                </c:pt>
                <c:pt idx="159">
                  <c:v>-81.651359101286488</c:v>
                </c:pt>
                <c:pt idx="160">
                  <c:v>-87.543014041297013</c:v>
                </c:pt>
                <c:pt idx="161">
                  <c:v>-83.781498121709106</c:v>
                </c:pt>
                <c:pt idx="162">
                  <c:v>-80.150925656958734</c:v>
                </c:pt>
                <c:pt idx="163">
                  <c:v>-78.466866458432548</c:v>
                </c:pt>
                <c:pt idx="164">
                  <c:v>-77.454302718600317</c:v>
                </c:pt>
                <c:pt idx="165">
                  <c:v>-76.713759235468402</c:v>
                </c:pt>
                <c:pt idx="166">
                  <c:v>-76.083043414355089</c:v>
                </c:pt>
                <c:pt idx="167">
                  <c:v>-75.474330538459668</c:v>
                </c:pt>
                <c:pt idx="168">
                  <c:v>-74.711239773761932</c:v>
                </c:pt>
                <c:pt idx="169">
                  <c:v>-73.894845802953881</c:v>
                </c:pt>
                <c:pt idx="170">
                  <c:v>-73.004599498273677</c:v>
                </c:pt>
                <c:pt idx="171">
                  <c:v>-71.75268944213343</c:v>
                </c:pt>
                <c:pt idx="172">
                  <c:v>-69.125504774631963</c:v>
                </c:pt>
                <c:pt idx="173">
                  <c:v>-66.339227649611615</c:v>
                </c:pt>
                <c:pt idx="174">
                  <c:v>-63.158605907906193</c:v>
                </c:pt>
                <c:pt idx="175">
                  <c:v>-59.042619204375583</c:v>
                </c:pt>
                <c:pt idx="176">
                  <c:v>-52.215502919698295</c:v>
                </c:pt>
                <c:pt idx="177">
                  <c:v>-33.38812159504397</c:v>
                </c:pt>
                <c:pt idx="178">
                  <c:v>-3.0570694139490056</c:v>
                </c:pt>
                <c:pt idx="179">
                  <c:v>27.611078921598455</c:v>
                </c:pt>
                <c:pt idx="180">
                  <c:v>46.738309150572817</c:v>
                </c:pt>
                <c:pt idx="181">
                  <c:v>53.6998574482827</c:v>
                </c:pt>
                <c:pt idx="182">
                  <c:v>57.896700326062799</c:v>
                </c:pt>
                <c:pt idx="183">
                  <c:v>61.136872666777244</c:v>
                </c:pt>
                <c:pt idx="184">
                  <c:v>63.974057543175576</c:v>
                </c:pt>
                <c:pt idx="185">
                  <c:v>66.650222878675834</c:v>
                </c:pt>
                <c:pt idx="186">
                  <c:v>67.958550475978768</c:v>
                </c:pt>
                <c:pt idx="187">
                  <c:v>68.908058499070705</c:v>
                </c:pt>
                <c:pt idx="188">
                  <c:v>69.788698106680215</c:v>
                </c:pt>
                <c:pt idx="189">
                  <c:v>70.641194340318009</c:v>
                </c:pt>
                <c:pt idx="190">
                  <c:v>71.435104279202307</c:v>
                </c:pt>
                <c:pt idx="191">
                  <c:v>72.26219572061288</c:v>
                </c:pt>
                <c:pt idx="192">
                  <c:v>73.226958273850926</c:v>
                </c:pt>
                <c:pt idx="193">
                  <c:v>74.529812419316173</c:v>
                </c:pt>
                <c:pt idx="194">
                  <c:v>76.695382395323051</c:v>
                </c:pt>
                <c:pt idx="195">
                  <c:v>81.651359101286474</c:v>
                </c:pt>
                <c:pt idx="196">
                  <c:v>87.543014041296942</c:v>
                </c:pt>
                <c:pt idx="197">
                  <c:v>83.781498121708992</c:v>
                </c:pt>
                <c:pt idx="198">
                  <c:v>80.150925656958663</c:v>
                </c:pt>
                <c:pt idx="199">
                  <c:v>78.466866458432435</c:v>
                </c:pt>
                <c:pt idx="200">
                  <c:v>77.45430271860026</c:v>
                </c:pt>
                <c:pt idx="201">
                  <c:v>76.713759235468359</c:v>
                </c:pt>
                <c:pt idx="202">
                  <c:v>76.083043414354989</c:v>
                </c:pt>
                <c:pt idx="203">
                  <c:v>75.474330538459583</c:v>
                </c:pt>
                <c:pt idx="204">
                  <c:v>74.71123977376179</c:v>
                </c:pt>
                <c:pt idx="205">
                  <c:v>73.894845802953839</c:v>
                </c:pt>
                <c:pt idx="206">
                  <c:v>73.004599498273535</c:v>
                </c:pt>
                <c:pt idx="207">
                  <c:v>71.752689442133374</c:v>
                </c:pt>
                <c:pt idx="208">
                  <c:v>69.125504774631906</c:v>
                </c:pt>
                <c:pt idx="209">
                  <c:v>66.339227649611558</c:v>
                </c:pt>
                <c:pt idx="210">
                  <c:v>63.15860590790615</c:v>
                </c:pt>
                <c:pt idx="211">
                  <c:v>59.042619204375498</c:v>
                </c:pt>
                <c:pt idx="212">
                  <c:v>52.21550291969821</c:v>
                </c:pt>
                <c:pt idx="213">
                  <c:v>4.2564427934045259</c:v>
                </c:pt>
                <c:pt idx="214">
                  <c:v>-29.067890134876805</c:v>
                </c:pt>
                <c:pt idx="215">
                  <c:v>-54.090249320661584</c:v>
                </c:pt>
                <c:pt idx="216">
                  <c:v>-67.777980104422809</c:v>
                </c:pt>
                <c:pt idx="217">
                  <c:v>-74.163624438414715</c:v>
                </c:pt>
                <c:pt idx="218">
                  <c:v>-77.9405040595542</c:v>
                </c:pt>
                <c:pt idx="219">
                  <c:v>-81.758934141107417</c:v>
                </c:pt>
                <c:pt idx="220">
                  <c:v>-85.50407087922045</c:v>
                </c:pt>
                <c:pt idx="221">
                  <c:v>-89.836443098212584</c:v>
                </c:pt>
                <c:pt idx="222">
                  <c:v>-93.988746430582495</c:v>
                </c:pt>
                <c:pt idx="223">
                  <c:v>-98.163704808263574</c:v>
                </c:pt>
                <c:pt idx="224">
                  <c:v>-102.55240839733489</c:v>
                </c:pt>
                <c:pt idx="225">
                  <c:v>-104.81748275871284</c:v>
                </c:pt>
                <c:pt idx="226">
                  <c:v>-106.31361529936903</c:v>
                </c:pt>
                <c:pt idx="227">
                  <c:v>-107.77494078601059</c:v>
                </c:pt>
                <c:pt idx="228">
                  <c:v>-109.75987624594823</c:v>
                </c:pt>
                <c:pt idx="229">
                  <c:v>-112.56435450767005</c:v>
                </c:pt>
                <c:pt idx="230">
                  <c:v>-117.52599032190118</c:v>
                </c:pt>
                <c:pt idx="231">
                  <c:v>-121.8885739161742</c:v>
                </c:pt>
                <c:pt idx="232">
                  <c:v>-119.84560169921234</c:v>
                </c:pt>
                <c:pt idx="233">
                  <c:v>-116.62158388117415</c:v>
                </c:pt>
                <c:pt idx="234">
                  <c:v>-114.76739674581587</c:v>
                </c:pt>
                <c:pt idx="235">
                  <c:v>-113.22414202626855</c:v>
                </c:pt>
                <c:pt idx="236">
                  <c:v>-112.02335328272582</c:v>
                </c:pt>
                <c:pt idx="237">
                  <c:v>-110.79057798112174</c:v>
                </c:pt>
                <c:pt idx="238">
                  <c:v>-108.78185801139581</c:v>
                </c:pt>
                <c:pt idx="239">
                  <c:v>-104.68538663287821</c:v>
                </c:pt>
                <c:pt idx="240">
                  <c:v>-100.79059076660079</c:v>
                </c:pt>
                <c:pt idx="241">
                  <c:v>-96.920089462039186</c:v>
                </c:pt>
                <c:pt idx="242">
                  <c:v>-92.884026082187347</c:v>
                </c:pt>
                <c:pt idx="243">
                  <c:v>-89.288133530765961</c:v>
                </c:pt>
                <c:pt idx="244">
                  <c:v>-85.56499901093656</c:v>
                </c:pt>
                <c:pt idx="245">
                  <c:v>-81.881082467190012</c:v>
                </c:pt>
                <c:pt idx="246">
                  <c:v>-75.618645249178925</c:v>
                </c:pt>
                <c:pt idx="247">
                  <c:v>-62.093598645888399</c:v>
                </c:pt>
                <c:pt idx="248">
                  <c:v>-37.357088783735307</c:v>
                </c:pt>
                <c:pt idx="249">
                  <c:v>-4.2564427934046085</c:v>
                </c:pt>
                <c:pt idx="250">
                  <c:v>29.067890134876748</c:v>
                </c:pt>
                <c:pt idx="251">
                  <c:v>54.090249320661513</c:v>
                </c:pt>
                <c:pt idx="252">
                  <c:v>67.777980104422781</c:v>
                </c:pt>
                <c:pt idx="253">
                  <c:v>74.163624438414686</c:v>
                </c:pt>
                <c:pt idx="254">
                  <c:v>77.940504059554144</c:v>
                </c:pt>
                <c:pt idx="255">
                  <c:v>81.758934141107389</c:v>
                </c:pt>
                <c:pt idx="256">
                  <c:v>85.504070879220393</c:v>
                </c:pt>
                <c:pt idx="257">
                  <c:v>89.836443098212612</c:v>
                </c:pt>
                <c:pt idx="258">
                  <c:v>93.988746430582438</c:v>
                </c:pt>
                <c:pt idx="259">
                  <c:v>98.163704808263546</c:v>
                </c:pt>
                <c:pt idx="260">
                  <c:v>102.55240839733486</c:v>
                </c:pt>
                <c:pt idx="261">
                  <c:v>104.81748275871291</c:v>
                </c:pt>
                <c:pt idx="262">
                  <c:v>106.31361529936899</c:v>
                </c:pt>
                <c:pt idx="263">
                  <c:v>107.77494078601049</c:v>
                </c:pt>
                <c:pt idx="264">
                  <c:v>109.75987624594823</c:v>
                </c:pt>
                <c:pt idx="265">
                  <c:v>112.56435450767006</c:v>
                </c:pt>
                <c:pt idx="266">
                  <c:v>117.52599032190126</c:v>
                </c:pt>
                <c:pt idx="267">
                  <c:v>121.88857391617414</c:v>
                </c:pt>
                <c:pt idx="268">
                  <c:v>119.84560169921228</c:v>
                </c:pt>
                <c:pt idx="269">
                  <c:v>116.62158388117417</c:v>
                </c:pt>
                <c:pt idx="270">
                  <c:v>114.7673967458159</c:v>
                </c:pt>
                <c:pt idx="271">
                  <c:v>113.22414202626845</c:v>
                </c:pt>
                <c:pt idx="272">
                  <c:v>112.02335328272589</c:v>
                </c:pt>
                <c:pt idx="273">
                  <c:v>110.79057798112173</c:v>
                </c:pt>
                <c:pt idx="274">
                  <c:v>108.78185801139574</c:v>
                </c:pt>
                <c:pt idx="275">
                  <c:v>104.68538663287825</c:v>
                </c:pt>
                <c:pt idx="276">
                  <c:v>100.79059076660073</c:v>
                </c:pt>
                <c:pt idx="277">
                  <c:v>96.920089462039186</c:v>
                </c:pt>
                <c:pt idx="278">
                  <c:v>92.884026082187319</c:v>
                </c:pt>
                <c:pt idx="279">
                  <c:v>89.28813353076599</c:v>
                </c:pt>
                <c:pt idx="280">
                  <c:v>85.564999010936504</c:v>
                </c:pt>
                <c:pt idx="281">
                  <c:v>81.881082467190041</c:v>
                </c:pt>
                <c:pt idx="282">
                  <c:v>75.618645249178883</c:v>
                </c:pt>
                <c:pt idx="283">
                  <c:v>62.093598645888292</c:v>
                </c:pt>
                <c:pt idx="284">
                  <c:v>5.457334597586553</c:v>
                </c:pt>
                <c:pt idx="285">
                  <c:v>-26.034393762934098</c:v>
                </c:pt>
                <c:pt idx="286">
                  <c:v>-52.239898889106463</c:v>
                </c:pt>
                <c:pt idx="287">
                  <c:v>-67.818807559110155</c:v>
                </c:pt>
                <c:pt idx="288">
                  <c:v>-79.582836543883317</c:v>
                </c:pt>
                <c:pt idx="289">
                  <c:v>-89.940486134431197</c:v>
                </c:pt>
                <c:pt idx="290">
                  <c:v>-101.96485352895745</c:v>
                </c:pt>
                <c:pt idx="291">
                  <c:v>-107.76584787427963</c:v>
                </c:pt>
                <c:pt idx="292">
                  <c:v>-112.74067922128046</c:v>
                </c:pt>
                <c:pt idx="293">
                  <c:v>-117.40009246820381</c:v>
                </c:pt>
                <c:pt idx="294">
                  <c:v>-121.99655064857772</c:v>
                </c:pt>
                <c:pt idx="295">
                  <c:v>-126.75662059013446</c:v>
                </c:pt>
                <c:pt idx="296">
                  <c:v>-131.96022593253201</c:v>
                </c:pt>
                <c:pt idx="297">
                  <c:v>-138.69130311921774</c:v>
                </c:pt>
                <c:pt idx="298">
                  <c:v>-142.05749265207453</c:v>
                </c:pt>
                <c:pt idx="299">
                  <c:v>-144.81536651800019</c:v>
                </c:pt>
                <c:pt idx="300">
                  <c:v>-148.34962443744271</c:v>
                </c:pt>
                <c:pt idx="301">
                  <c:v>-152.95869988517256</c:v>
                </c:pt>
                <c:pt idx="302">
                  <c:v>-156.27761578610802</c:v>
                </c:pt>
                <c:pt idx="303">
                  <c:v>-155.1527115976447</c:v>
                </c:pt>
                <c:pt idx="304">
                  <c:v>-152.36484868626582</c:v>
                </c:pt>
                <c:pt idx="305">
                  <c:v>-149.91134388604371</c:v>
                </c:pt>
                <c:pt idx="306">
                  <c:v>-147.96935661573292</c:v>
                </c:pt>
                <c:pt idx="307">
                  <c:v>-145.31922460621007</c:v>
                </c:pt>
                <c:pt idx="308">
                  <c:v>-139.41253649259474</c:v>
                </c:pt>
                <c:pt idx="309">
                  <c:v>-134.60186951696716</c:v>
                </c:pt>
                <c:pt idx="310">
                  <c:v>-130.17805006580622</c:v>
                </c:pt>
                <c:pt idx="311">
                  <c:v>-125.89618571690616</c:v>
                </c:pt>
                <c:pt idx="312">
                  <c:v>-121.54681032450102</c:v>
                </c:pt>
                <c:pt idx="313">
                  <c:v>-116.892687462021</c:v>
                </c:pt>
                <c:pt idx="314">
                  <c:v>-111.44139921194416</c:v>
                </c:pt>
                <c:pt idx="315">
                  <c:v>-99.858352306360487</c:v>
                </c:pt>
                <c:pt idx="316">
                  <c:v>-89.710797293582274</c:v>
                </c:pt>
                <c:pt idx="317">
                  <c:v>-78.110891076190853</c:v>
                </c:pt>
                <c:pt idx="318">
                  <c:v>-62.741079687891968</c:v>
                </c:pt>
                <c:pt idx="319">
                  <c:v>-36.793881341102598</c:v>
                </c:pt>
                <c:pt idx="320">
                  <c:v>-5.457334597586625</c:v>
                </c:pt>
                <c:pt idx="321">
                  <c:v>26.034393762934037</c:v>
                </c:pt>
                <c:pt idx="322">
                  <c:v>52.239898889106435</c:v>
                </c:pt>
                <c:pt idx="323">
                  <c:v>67.818807559110112</c:v>
                </c:pt>
                <c:pt idx="324">
                  <c:v>79.582836543883275</c:v>
                </c:pt>
                <c:pt idx="325">
                  <c:v>89.94048613443114</c:v>
                </c:pt>
                <c:pt idx="326">
                  <c:v>101.96485352895742</c:v>
                </c:pt>
                <c:pt idx="327">
                  <c:v>107.76584787427954</c:v>
                </c:pt>
                <c:pt idx="328">
                  <c:v>112.74067922128039</c:v>
                </c:pt>
                <c:pt idx="329">
                  <c:v>117.40009246820375</c:v>
                </c:pt>
                <c:pt idx="330">
                  <c:v>121.9965506485777</c:v>
                </c:pt>
                <c:pt idx="331">
                  <c:v>126.75662059013443</c:v>
                </c:pt>
                <c:pt idx="332">
                  <c:v>131.96022593253201</c:v>
                </c:pt>
                <c:pt idx="333">
                  <c:v>138.69130311921779</c:v>
                </c:pt>
                <c:pt idx="334">
                  <c:v>142.0574926520745</c:v>
                </c:pt>
                <c:pt idx="335">
                  <c:v>144.81536651800013</c:v>
                </c:pt>
                <c:pt idx="336">
                  <c:v>148.34962443744286</c:v>
                </c:pt>
                <c:pt idx="337">
                  <c:v>152.95869988517256</c:v>
                </c:pt>
                <c:pt idx="338">
                  <c:v>156.27761578610802</c:v>
                </c:pt>
                <c:pt idx="339">
                  <c:v>155.1527115976447</c:v>
                </c:pt>
                <c:pt idx="340">
                  <c:v>152.36484868626582</c:v>
                </c:pt>
                <c:pt idx="341">
                  <c:v>149.91134388604377</c:v>
                </c:pt>
                <c:pt idx="342">
                  <c:v>147.96935661573289</c:v>
                </c:pt>
                <c:pt idx="343">
                  <c:v>145.31922460621007</c:v>
                </c:pt>
                <c:pt idx="344">
                  <c:v>139.41253649259477</c:v>
                </c:pt>
                <c:pt idx="345">
                  <c:v>134.6018695169671</c:v>
                </c:pt>
                <c:pt idx="346">
                  <c:v>130.17805006580622</c:v>
                </c:pt>
                <c:pt idx="347">
                  <c:v>125.89618571690616</c:v>
                </c:pt>
                <c:pt idx="348">
                  <c:v>121.54681032450095</c:v>
                </c:pt>
                <c:pt idx="349">
                  <c:v>116.89268746202096</c:v>
                </c:pt>
                <c:pt idx="350">
                  <c:v>111.44139921194419</c:v>
                </c:pt>
                <c:pt idx="351">
                  <c:v>99.858352306360572</c:v>
                </c:pt>
                <c:pt idx="352">
                  <c:v>89.710797293582345</c:v>
                </c:pt>
                <c:pt idx="353">
                  <c:v>78.110891076190796</c:v>
                </c:pt>
                <c:pt idx="354">
                  <c:v>62.741079687891862</c:v>
                </c:pt>
                <c:pt idx="355">
                  <c:v>6.6530821434737044</c:v>
                </c:pt>
                <c:pt idx="356">
                  <c:v>-23.225703675432932</c:v>
                </c:pt>
                <c:pt idx="357">
                  <c:v>-47.027791688181637</c:v>
                </c:pt>
                <c:pt idx="358">
                  <c:v>-68.606406351397638</c:v>
                </c:pt>
                <c:pt idx="359">
                  <c:v>-84.623580605016215</c:v>
                </c:pt>
                <c:pt idx="360">
                  <c:v>-99.937610745609319</c:v>
                </c:pt>
                <c:pt idx="361">
                  <c:v>-112.66726302974448</c:v>
                </c:pt>
                <c:pt idx="362">
                  <c:v>-124.08516664484965</c:v>
                </c:pt>
                <c:pt idx="363">
                  <c:v>-134.90442632819372</c:v>
                </c:pt>
                <c:pt idx="364">
                  <c:v>-140.42311757400509</c:v>
                </c:pt>
                <c:pt idx="365">
                  <c:v>-145.75714237163641</c:v>
                </c:pt>
                <c:pt idx="366">
                  <c:v>-151.98305138211796</c:v>
                </c:pt>
                <c:pt idx="367">
                  <c:v>-158.43932951872051</c:v>
                </c:pt>
                <c:pt idx="368">
                  <c:v>-165.53671492938824</c:v>
                </c:pt>
                <c:pt idx="369">
                  <c:v>-173.90065229040994</c:v>
                </c:pt>
                <c:pt idx="370">
                  <c:v>-179.4981269282824</c:v>
                </c:pt>
                <c:pt idx="371">
                  <c:v>-184.2977671140055</c:v>
                </c:pt>
                <c:pt idx="372">
                  <c:v>-188.01059393691384</c:v>
                </c:pt>
                <c:pt idx="373">
                  <c:v>-190.5193453725567</c:v>
                </c:pt>
                <c:pt idx="374">
                  <c:v>-190.09379605865604</c:v>
                </c:pt>
                <c:pt idx="375">
                  <c:v>-188.03630702338353</c:v>
                </c:pt>
                <c:pt idx="376">
                  <c:v>-184.73387033505679</c:v>
                </c:pt>
                <c:pt idx="377">
                  <c:v>-180.24275716650595</c:v>
                </c:pt>
                <c:pt idx="378">
                  <c:v>-172.92925722862975</c:v>
                </c:pt>
                <c:pt idx="379">
                  <c:v>-166.70468472752549</c:v>
                </c:pt>
                <c:pt idx="380">
                  <c:v>-161.03105861661234</c:v>
                </c:pt>
                <c:pt idx="381">
                  <c:v>-155.54650290810957</c:v>
                </c:pt>
                <c:pt idx="382">
                  <c:v>-150.58535745048016</c:v>
                </c:pt>
                <c:pt idx="383">
                  <c:v>-145.42618147203103</c:v>
                </c:pt>
                <c:pt idx="384">
                  <c:v>-135.01586022777988</c:v>
                </c:pt>
                <c:pt idx="385">
                  <c:v>-124.02154220285919</c:v>
                </c:pt>
                <c:pt idx="386">
                  <c:v>-111.7571029401398</c:v>
                </c:pt>
                <c:pt idx="387">
                  <c:v>-96.990540973682826</c:v>
                </c:pt>
                <c:pt idx="388">
                  <c:v>-81.325667969349581</c:v>
                </c:pt>
                <c:pt idx="389">
                  <c:v>-60.029984065056858</c:v>
                </c:pt>
                <c:pt idx="390">
                  <c:v>-36.42939992228613</c:v>
                </c:pt>
                <c:pt idx="391">
                  <c:v>-6.653082143473755</c:v>
                </c:pt>
                <c:pt idx="392">
                  <c:v>23.225703675432882</c:v>
                </c:pt>
                <c:pt idx="393">
                  <c:v>47.027791688181601</c:v>
                </c:pt>
                <c:pt idx="394">
                  <c:v>68.606406351397581</c:v>
                </c:pt>
                <c:pt idx="395">
                  <c:v>84.623580605016159</c:v>
                </c:pt>
                <c:pt idx="396">
                  <c:v>99.937610745609291</c:v>
                </c:pt>
                <c:pt idx="397">
                  <c:v>112.66726302974442</c:v>
                </c:pt>
                <c:pt idx="398">
                  <c:v>124.08516664484955</c:v>
                </c:pt>
                <c:pt idx="399">
                  <c:v>134.90442632819367</c:v>
                </c:pt>
                <c:pt idx="400">
                  <c:v>140.42311757400503</c:v>
                </c:pt>
                <c:pt idx="401">
                  <c:v>145.75714237163641</c:v>
                </c:pt>
                <c:pt idx="402">
                  <c:v>151.98305138211805</c:v>
                </c:pt>
                <c:pt idx="403">
                  <c:v>158.43932951872051</c:v>
                </c:pt>
                <c:pt idx="404">
                  <c:v>165.53671492938824</c:v>
                </c:pt>
                <c:pt idx="405">
                  <c:v>173.90065229040988</c:v>
                </c:pt>
                <c:pt idx="406">
                  <c:v>179.49812692828237</c:v>
                </c:pt>
                <c:pt idx="407">
                  <c:v>184.29776711400558</c:v>
                </c:pt>
                <c:pt idx="408">
                  <c:v>188.01059393691381</c:v>
                </c:pt>
                <c:pt idx="409">
                  <c:v>190.5193453725567</c:v>
                </c:pt>
                <c:pt idx="410">
                  <c:v>190.09379605865607</c:v>
                </c:pt>
                <c:pt idx="411">
                  <c:v>188.03630702338364</c:v>
                </c:pt>
                <c:pt idx="412">
                  <c:v>184.73387033505688</c:v>
                </c:pt>
                <c:pt idx="413">
                  <c:v>180.24275716650595</c:v>
                </c:pt>
                <c:pt idx="414">
                  <c:v>172.92925722862989</c:v>
                </c:pt>
                <c:pt idx="415">
                  <c:v>166.70468472752549</c:v>
                </c:pt>
                <c:pt idx="416">
                  <c:v>161.03105861661223</c:v>
                </c:pt>
                <c:pt idx="417">
                  <c:v>155.54650290810963</c:v>
                </c:pt>
                <c:pt idx="418">
                  <c:v>150.58535745048016</c:v>
                </c:pt>
                <c:pt idx="419">
                  <c:v>145.42618147203109</c:v>
                </c:pt>
                <c:pt idx="420">
                  <c:v>135.01586022777988</c:v>
                </c:pt>
                <c:pt idx="421">
                  <c:v>124.02154220285924</c:v>
                </c:pt>
                <c:pt idx="422">
                  <c:v>111.75710294013984</c:v>
                </c:pt>
                <c:pt idx="423">
                  <c:v>96.990540973682926</c:v>
                </c:pt>
                <c:pt idx="424">
                  <c:v>81.32566796934951</c:v>
                </c:pt>
                <c:pt idx="425">
                  <c:v>60.029984065056738</c:v>
                </c:pt>
                <c:pt idx="426">
                  <c:v>7.8335598328979748</c:v>
                </c:pt>
                <c:pt idx="427">
                  <c:v>-18.85132221118673</c:v>
                </c:pt>
                <c:pt idx="428">
                  <c:v>-43.886997384616777</c:v>
                </c:pt>
                <c:pt idx="429">
                  <c:v>-68.336448094230718</c:v>
                </c:pt>
                <c:pt idx="430">
                  <c:v>-92.139832660940797</c:v>
                </c:pt>
                <c:pt idx="431">
                  <c:v>-109.25981136107788</c:v>
                </c:pt>
                <c:pt idx="432">
                  <c:v>-123.19151228575774</c:v>
                </c:pt>
                <c:pt idx="433">
                  <c:v>-135.48286242272255</c:v>
                </c:pt>
                <c:pt idx="434">
                  <c:v>-146.98622544352452</c:v>
                </c:pt>
                <c:pt idx="435">
                  <c:v>-159.64002541503095</c:v>
                </c:pt>
                <c:pt idx="436">
                  <c:v>-170.6500122182731</c:v>
                </c:pt>
                <c:pt idx="437">
                  <c:v>-177.6386131669484</c:v>
                </c:pt>
                <c:pt idx="438">
                  <c:v>-184.77091258553696</c:v>
                </c:pt>
                <c:pt idx="439">
                  <c:v>-192.49138681160125</c:v>
                </c:pt>
                <c:pt idx="440">
                  <c:v>-201.4641004418736</c:v>
                </c:pt>
                <c:pt idx="441">
                  <c:v>-212.93846015146698</c:v>
                </c:pt>
                <c:pt idx="442">
                  <c:v>-218.98329286081182</c:v>
                </c:pt>
                <c:pt idx="443">
                  <c:v>-222.47972737583791</c:v>
                </c:pt>
                <c:pt idx="444">
                  <c:v>-224.32380348174081</c:v>
                </c:pt>
                <c:pt idx="445">
                  <c:v>-224.3412130583649</c:v>
                </c:pt>
                <c:pt idx="446">
                  <c:v>-222.5869055563368</c:v>
                </c:pt>
                <c:pt idx="447">
                  <c:v>-218.23698412349134</c:v>
                </c:pt>
                <c:pt idx="448">
                  <c:v>-208.39909999315569</c:v>
                </c:pt>
                <c:pt idx="449">
                  <c:v>-200.60162144172816</c:v>
                </c:pt>
                <c:pt idx="450">
                  <c:v>-193.83649403507889</c:v>
                </c:pt>
                <c:pt idx="451">
                  <c:v>-187.54627319778515</c:v>
                </c:pt>
                <c:pt idx="452">
                  <c:v>-181.34500030053667</c:v>
                </c:pt>
                <c:pt idx="453">
                  <c:v>-171.19296812262434</c:v>
                </c:pt>
                <c:pt idx="454">
                  <c:v>-159.27816213793875</c:v>
                </c:pt>
                <c:pt idx="455">
                  <c:v>-148.23539966133555</c:v>
                </c:pt>
                <c:pt idx="456">
                  <c:v>-136.41277426022475</c:v>
                </c:pt>
                <c:pt idx="457">
                  <c:v>-122.98692169111013</c:v>
                </c:pt>
                <c:pt idx="458">
                  <c:v>-106.4525710064825</c:v>
                </c:pt>
                <c:pt idx="459">
                  <c:v>-83.393426394258455</c:v>
                </c:pt>
                <c:pt idx="460">
                  <c:v>-59.306968497967468</c:v>
                </c:pt>
                <c:pt idx="461">
                  <c:v>-34.454653276175492</c:v>
                </c:pt>
                <c:pt idx="462">
                  <c:v>-7.8335598328980112</c:v>
                </c:pt>
                <c:pt idx="463">
                  <c:v>18.851322211186702</c:v>
                </c:pt>
                <c:pt idx="464">
                  <c:v>43.886997384616734</c:v>
                </c:pt>
                <c:pt idx="465">
                  <c:v>68.336448094230676</c:v>
                </c:pt>
                <c:pt idx="466">
                  <c:v>92.139832660940797</c:v>
                </c:pt>
                <c:pt idx="467">
                  <c:v>109.25981136107788</c:v>
                </c:pt>
                <c:pt idx="468">
                  <c:v>123.19151228575777</c:v>
                </c:pt>
                <c:pt idx="469">
                  <c:v>135.48286242272246</c:v>
                </c:pt>
                <c:pt idx="470">
                  <c:v>146.98622544352452</c:v>
                </c:pt>
                <c:pt idx="471">
                  <c:v>159.64002541503095</c:v>
                </c:pt>
                <c:pt idx="472">
                  <c:v>170.65001221827308</c:v>
                </c:pt>
                <c:pt idx="473">
                  <c:v>177.6386131669484</c:v>
                </c:pt>
                <c:pt idx="474">
                  <c:v>184.77091258553696</c:v>
                </c:pt>
                <c:pt idx="475">
                  <c:v>192.49138681160125</c:v>
                </c:pt>
                <c:pt idx="476">
                  <c:v>201.4641004418734</c:v>
                </c:pt>
                <c:pt idx="477">
                  <c:v>212.93846015146698</c:v>
                </c:pt>
                <c:pt idx="478">
                  <c:v>218.98329286081184</c:v>
                </c:pt>
                <c:pt idx="479">
                  <c:v>222.47972737583794</c:v>
                </c:pt>
                <c:pt idx="480">
                  <c:v>224.32380348174081</c:v>
                </c:pt>
                <c:pt idx="481">
                  <c:v>224.34121305836487</c:v>
                </c:pt>
                <c:pt idx="482">
                  <c:v>222.58690555633686</c:v>
                </c:pt>
                <c:pt idx="483">
                  <c:v>218.2369841234914</c:v>
                </c:pt>
                <c:pt idx="484">
                  <c:v>208.39909999315574</c:v>
                </c:pt>
                <c:pt idx="485">
                  <c:v>200.60162144172821</c:v>
                </c:pt>
                <c:pt idx="486">
                  <c:v>193.83649403507891</c:v>
                </c:pt>
                <c:pt idx="487">
                  <c:v>187.54627319778507</c:v>
                </c:pt>
                <c:pt idx="488">
                  <c:v>181.3450003005367</c:v>
                </c:pt>
                <c:pt idx="489">
                  <c:v>171.19296812262434</c:v>
                </c:pt>
                <c:pt idx="490">
                  <c:v>159.27816213793875</c:v>
                </c:pt>
                <c:pt idx="491">
                  <c:v>148.23539966133555</c:v>
                </c:pt>
                <c:pt idx="492">
                  <c:v>136.41277426022484</c:v>
                </c:pt>
                <c:pt idx="493">
                  <c:v>122.98692169111021</c:v>
                </c:pt>
                <c:pt idx="494">
                  <c:v>106.45257100648261</c:v>
                </c:pt>
                <c:pt idx="495">
                  <c:v>83.393426394258356</c:v>
                </c:pt>
                <c:pt idx="496">
                  <c:v>59.306968497967389</c:v>
                </c:pt>
                <c:pt idx="497">
                  <c:v>8.9855765811956978</c:v>
                </c:pt>
                <c:pt idx="498">
                  <c:v>-16.528017843638981</c:v>
                </c:pt>
                <c:pt idx="499">
                  <c:v>-41.06279396642342</c:v>
                </c:pt>
                <c:pt idx="500">
                  <c:v>-70.634181703121271</c:v>
                </c:pt>
                <c:pt idx="501">
                  <c:v>-97.815573844778442</c:v>
                </c:pt>
                <c:pt idx="502">
                  <c:v>-117.39518794102578</c:v>
                </c:pt>
                <c:pt idx="503">
                  <c:v>-131.95677725119083</c:v>
                </c:pt>
                <c:pt idx="504">
                  <c:v>-143.03423906744652</c:v>
                </c:pt>
                <c:pt idx="505">
                  <c:v>-156.34933954495759</c:v>
                </c:pt>
                <c:pt idx="506">
                  <c:v>-169.82465332433051</c:v>
                </c:pt>
                <c:pt idx="507">
                  <c:v>-183.68077433960491</c:v>
                </c:pt>
                <c:pt idx="508">
                  <c:v>-197.88856060798403</c:v>
                </c:pt>
                <c:pt idx="509">
                  <c:v>-209.05755699540026</c:v>
                </c:pt>
                <c:pt idx="510">
                  <c:v>-219.29697154101325</c:v>
                </c:pt>
                <c:pt idx="511">
                  <c:v>-229.15212806623322</c:v>
                </c:pt>
                <c:pt idx="512">
                  <c:v>-241.35283875534736</c:v>
                </c:pt>
                <c:pt idx="513">
                  <c:v>-252.27471014627483</c:v>
                </c:pt>
                <c:pt idx="514">
                  <c:v>-255.61829978762142</c:v>
                </c:pt>
                <c:pt idx="515">
                  <c:v>-257.31324687215488</c:v>
                </c:pt>
                <c:pt idx="516">
                  <c:v>-257.39824521893644</c:v>
                </c:pt>
                <c:pt idx="517">
                  <c:v>-255.76212954847452</c:v>
                </c:pt>
                <c:pt idx="518">
                  <c:v>-246.88142092992729</c:v>
                </c:pt>
                <c:pt idx="519">
                  <c:v>-236.55162544544504</c:v>
                </c:pt>
                <c:pt idx="520">
                  <c:v>-228.04154362525128</c:v>
                </c:pt>
                <c:pt idx="521">
                  <c:v>-218.79537099019777</c:v>
                </c:pt>
                <c:pt idx="522">
                  <c:v>-208.37371264117118</c:v>
                </c:pt>
                <c:pt idx="523">
                  <c:v>-195.06231493386531</c:v>
                </c:pt>
                <c:pt idx="524">
                  <c:v>-182.11464441580125</c:v>
                </c:pt>
                <c:pt idx="525">
                  <c:v>-169.5753396620689</c:v>
                </c:pt>
                <c:pt idx="526">
                  <c:v>-157.22123026477377</c:v>
                </c:pt>
                <c:pt idx="527">
                  <c:v>-146.8977307257453</c:v>
                </c:pt>
                <c:pt idx="528">
                  <c:v>-133.0165931139276</c:v>
                </c:pt>
                <c:pt idx="529">
                  <c:v>-114.07830727260151</c:v>
                </c:pt>
                <c:pt idx="530">
                  <c:v>-87.683697743564892</c:v>
                </c:pt>
                <c:pt idx="531">
                  <c:v>-58.80383133871991</c:v>
                </c:pt>
                <c:pt idx="532">
                  <c:v>-34.44295035726585</c:v>
                </c:pt>
                <c:pt idx="533">
                  <c:v>-8.9855765811957191</c:v>
                </c:pt>
                <c:pt idx="534">
                  <c:v>16.528017843638963</c:v>
                </c:pt>
                <c:pt idx="535">
                  <c:v>41.06279396642342</c:v>
                </c:pt>
                <c:pt idx="536">
                  <c:v>70.634181703121243</c:v>
                </c:pt>
                <c:pt idx="537">
                  <c:v>97.815573844778427</c:v>
                </c:pt>
                <c:pt idx="538">
                  <c:v>117.39518794102574</c:v>
                </c:pt>
                <c:pt idx="539">
                  <c:v>131.95677725119083</c:v>
                </c:pt>
                <c:pt idx="540">
                  <c:v>143.03423906744646</c:v>
                </c:pt>
                <c:pt idx="541">
                  <c:v>156.34933954495753</c:v>
                </c:pt>
                <c:pt idx="542">
                  <c:v>169.82465332433048</c:v>
                </c:pt>
                <c:pt idx="543">
                  <c:v>183.68077433960485</c:v>
                </c:pt>
                <c:pt idx="544">
                  <c:v>197.88856060798403</c:v>
                </c:pt>
                <c:pt idx="545">
                  <c:v>209.05755699540038</c:v>
                </c:pt>
                <c:pt idx="546">
                  <c:v>219.29697154101314</c:v>
                </c:pt>
                <c:pt idx="547">
                  <c:v>229.1521280662331</c:v>
                </c:pt>
                <c:pt idx="548">
                  <c:v>241.35283875534731</c:v>
                </c:pt>
                <c:pt idx="549">
                  <c:v>252.27471014627488</c:v>
                </c:pt>
                <c:pt idx="550">
                  <c:v>255.61829978762142</c:v>
                </c:pt>
                <c:pt idx="551">
                  <c:v>257.31324687215488</c:v>
                </c:pt>
                <c:pt idx="552">
                  <c:v>257.39824521893644</c:v>
                </c:pt>
                <c:pt idx="553">
                  <c:v>255.76212954847452</c:v>
                </c:pt>
                <c:pt idx="554">
                  <c:v>246.8814209299274</c:v>
                </c:pt>
                <c:pt idx="555">
                  <c:v>236.55162544544504</c:v>
                </c:pt>
                <c:pt idx="556">
                  <c:v>228.04154362525134</c:v>
                </c:pt>
                <c:pt idx="557">
                  <c:v>218.79537099019765</c:v>
                </c:pt>
                <c:pt idx="558">
                  <c:v>208.37371264117107</c:v>
                </c:pt>
                <c:pt idx="559">
                  <c:v>195.06231493386531</c:v>
                </c:pt>
                <c:pt idx="560">
                  <c:v>182.11464441580128</c:v>
                </c:pt>
                <c:pt idx="561">
                  <c:v>169.57533966206887</c:v>
                </c:pt>
                <c:pt idx="562">
                  <c:v>157.22123026477374</c:v>
                </c:pt>
                <c:pt idx="563">
                  <c:v>146.89773072574539</c:v>
                </c:pt>
                <c:pt idx="564">
                  <c:v>133.01659311392768</c:v>
                </c:pt>
                <c:pt idx="565">
                  <c:v>114.07830727260162</c:v>
                </c:pt>
                <c:pt idx="566">
                  <c:v>87.683697743564764</c:v>
                </c:pt>
                <c:pt idx="567">
                  <c:v>58.803831338719824</c:v>
                </c:pt>
                <c:pt idx="568">
                  <c:v>10.08638808217936</c:v>
                </c:pt>
                <c:pt idx="569">
                  <c:v>-14.390545069345025</c:v>
                </c:pt>
                <c:pt idx="570">
                  <c:v>-42.560835254951073</c:v>
                </c:pt>
                <c:pt idx="571">
                  <c:v>-72.636669711437932</c:v>
                </c:pt>
                <c:pt idx="572">
                  <c:v>-99.841930616844294</c:v>
                </c:pt>
                <c:pt idx="573">
                  <c:v>-118.35230324464492</c:v>
                </c:pt>
                <c:pt idx="574">
                  <c:v>-132.61470786959603</c:v>
                </c:pt>
                <c:pt idx="575">
                  <c:v>-148.39250620114197</c:v>
                </c:pt>
                <c:pt idx="576">
                  <c:v>-162.56257341208172</c:v>
                </c:pt>
                <c:pt idx="577">
                  <c:v>-176.18297725946627</c:v>
                </c:pt>
                <c:pt idx="578">
                  <c:v>-190.07139853779736</c:v>
                </c:pt>
                <c:pt idx="579">
                  <c:v>-205.03695221495221</c:v>
                </c:pt>
                <c:pt idx="580">
                  <c:v>-222.08985448856231</c:v>
                </c:pt>
                <c:pt idx="581">
                  <c:v>-235.30884663921344</c:v>
                </c:pt>
                <c:pt idx="582">
                  <c:v>-253.26284645324458</c:v>
                </c:pt>
                <c:pt idx="583">
                  <c:v>-268.67035211562165</c:v>
                </c:pt>
                <c:pt idx="584">
                  <c:v>-279.98775279981407</c:v>
                </c:pt>
                <c:pt idx="585">
                  <c:v>-287.14583211841534</c:v>
                </c:pt>
                <c:pt idx="586">
                  <c:v>-288.83636383106932</c:v>
                </c:pt>
                <c:pt idx="587">
                  <c:v>-288.85329791371043</c:v>
                </c:pt>
                <c:pt idx="588">
                  <c:v>-283.64759787915943</c:v>
                </c:pt>
                <c:pt idx="589">
                  <c:v>-274.40566847603515</c:v>
                </c:pt>
                <c:pt idx="590">
                  <c:v>-260.86291641835186</c:v>
                </c:pt>
                <c:pt idx="591">
                  <c:v>-244.15944611237407</c:v>
                </c:pt>
                <c:pt idx="592">
                  <c:v>-231.90549901622666</c:v>
                </c:pt>
                <c:pt idx="593">
                  <c:v>-215.91424643008887</c:v>
                </c:pt>
                <c:pt idx="594">
                  <c:v>-201.90301602121221</c:v>
                </c:pt>
                <c:pt idx="595">
                  <c:v>-188.93311205204182</c:v>
                </c:pt>
                <c:pt idx="596">
                  <c:v>-176.2506215895597</c:v>
                </c:pt>
                <c:pt idx="597">
                  <c:v>-163.09244597630044</c:v>
                </c:pt>
                <c:pt idx="598">
                  <c:v>-148.46857495966134</c:v>
                </c:pt>
                <c:pt idx="599">
                  <c:v>-135.09570497442493</c:v>
                </c:pt>
                <c:pt idx="600">
                  <c:v>-117.79559787185229</c:v>
                </c:pt>
                <c:pt idx="601">
                  <c:v>-91.601302243014842</c:v>
                </c:pt>
                <c:pt idx="602">
                  <c:v>-62.24341541341208</c:v>
                </c:pt>
                <c:pt idx="603">
                  <c:v>-34.504877916644141</c:v>
                </c:pt>
                <c:pt idx="604">
                  <c:v>-10.08638808217937</c:v>
                </c:pt>
                <c:pt idx="605">
                  <c:v>14.390545069345022</c:v>
                </c:pt>
                <c:pt idx="606">
                  <c:v>42.560835254951037</c:v>
                </c:pt>
                <c:pt idx="607">
                  <c:v>72.636669711437904</c:v>
                </c:pt>
                <c:pt idx="608">
                  <c:v>99.841930616844323</c:v>
                </c:pt>
                <c:pt idx="609">
                  <c:v>118.35230324464494</c:v>
                </c:pt>
                <c:pt idx="610">
                  <c:v>132.61470786959603</c:v>
                </c:pt>
                <c:pt idx="611">
                  <c:v>148.39250620114191</c:v>
                </c:pt>
                <c:pt idx="612">
                  <c:v>162.56257341208169</c:v>
                </c:pt>
                <c:pt idx="613">
                  <c:v>176.18297725946624</c:v>
                </c:pt>
                <c:pt idx="614">
                  <c:v>190.07139853779731</c:v>
                </c:pt>
                <c:pt idx="615">
                  <c:v>205.03695221495227</c:v>
                </c:pt>
                <c:pt idx="616">
                  <c:v>222.08985448856231</c:v>
                </c:pt>
                <c:pt idx="617">
                  <c:v>235.3088466392133</c:v>
                </c:pt>
                <c:pt idx="618">
                  <c:v>253.26284645324429</c:v>
                </c:pt>
                <c:pt idx="619">
                  <c:v>268.6703521156216</c:v>
                </c:pt>
                <c:pt idx="620">
                  <c:v>279.98775279981419</c:v>
                </c:pt>
                <c:pt idx="621">
                  <c:v>287.14583211841523</c:v>
                </c:pt>
                <c:pt idx="622">
                  <c:v>288.83636383106932</c:v>
                </c:pt>
                <c:pt idx="623">
                  <c:v>288.85329791371055</c:v>
                </c:pt>
                <c:pt idx="624">
                  <c:v>283.64759787915943</c:v>
                </c:pt>
                <c:pt idx="625">
                  <c:v>274.40566847603526</c:v>
                </c:pt>
                <c:pt idx="626">
                  <c:v>260.86291641835197</c:v>
                </c:pt>
                <c:pt idx="627">
                  <c:v>244.15944611237424</c:v>
                </c:pt>
                <c:pt idx="628">
                  <c:v>231.9054990162266</c:v>
                </c:pt>
                <c:pt idx="629">
                  <c:v>215.91424643008881</c:v>
                </c:pt>
                <c:pt idx="630">
                  <c:v>201.90301602121227</c:v>
                </c:pt>
                <c:pt idx="631">
                  <c:v>188.93311205204185</c:v>
                </c:pt>
                <c:pt idx="632">
                  <c:v>176.25062158955973</c:v>
                </c:pt>
                <c:pt idx="633">
                  <c:v>163.09244597630041</c:v>
                </c:pt>
                <c:pt idx="634">
                  <c:v>148.46857495966148</c:v>
                </c:pt>
                <c:pt idx="635">
                  <c:v>135.09570497442505</c:v>
                </c:pt>
                <c:pt idx="636">
                  <c:v>117.79559787185245</c:v>
                </c:pt>
                <c:pt idx="637">
                  <c:v>91.601302243014771</c:v>
                </c:pt>
                <c:pt idx="638">
                  <c:v>62.243415413412009</c:v>
                </c:pt>
                <c:pt idx="639">
                  <c:v>11.126040353747651</c:v>
                </c:pt>
                <c:pt idx="640">
                  <c:v>-16.303261007342051</c:v>
                </c:pt>
                <c:pt idx="641">
                  <c:v>-45.250050894827375</c:v>
                </c:pt>
                <c:pt idx="642">
                  <c:v>-71.879809403786197</c:v>
                </c:pt>
                <c:pt idx="643">
                  <c:v>-94.327453010680301</c:v>
                </c:pt>
                <c:pt idx="644">
                  <c:v>-114.08488623212355</c:v>
                </c:pt>
                <c:pt idx="645">
                  <c:v>-134.68978529905789</c:v>
                </c:pt>
                <c:pt idx="646">
                  <c:v>-151.9273361877006</c:v>
                </c:pt>
                <c:pt idx="647">
                  <c:v>-167.5444476792706</c:v>
                </c:pt>
                <c:pt idx="648">
                  <c:v>-182.08856844673039</c:v>
                </c:pt>
                <c:pt idx="649">
                  <c:v>-196.3734442774585</c:v>
                </c:pt>
                <c:pt idx="650">
                  <c:v>-210.34245166973463</c:v>
                </c:pt>
                <c:pt idx="651">
                  <c:v>-227.5531370600595</c:v>
                </c:pt>
                <c:pt idx="652">
                  <c:v>-248.34959029433784</c:v>
                </c:pt>
                <c:pt idx="653">
                  <c:v>-267.4387329234375</c:v>
                </c:pt>
                <c:pt idx="654">
                  <c:v>-287.66680105784161</c:v>
                </c:pt>
                <c:pt idx="655">
                  <c:v>-305.33653913129541</c:v>
                </c:pt>
                <c:pt idx="656">
                  <c:v>-314.68721430782927</c:v>
                </c:pt>
                <c:pt idx="657">
                  <c:v>-318.60810960585724</c:v>
                </c:pt>
                <c:pt idx="658">
                  <c:v>-316.59568347914336</c:v>
                </c:pt>
                <c:pt idx="659">
                  <c:v>-309.24633163966877</c:v>
                </c:pt>
                <c:pt idx="660">
                  <c:v>-293.39557998207556</c:v>
                </c:pt>
                <c:pt idx="661">
                  <c:v>-274.68780911998249</c:v>
                </c:pt>
                <c:pt idx="662">
                  <c:v>-256.93362706748798</c:v>
                </c:pt>
                <c:pt idx="663">
                  <c:v>-237.52722591613036</c:v>
                </c:pt>
                <c:pt idx="664">
                  <c:v>-221.47988076553202</c:v>
                </c:pt>
                <c:pt idx="665">
                  <c:v>-208.56881729928043</c:v>
                </c:pt>
                <c:pt idx="666">
                  <c:v>-195.26608325546138</c:v>
                </c:pt>
                <c:pt idx="667">
                  <c:v>-181.68534305325895</c:v>
                </c:pt>
                <c:pt idx="668">
                  <c:v>-167.00690432006147</c:v>
                </c:pt>
                <c:pt idx="669">
                  <c:v>-150.93074944968782</c:v>
                </c:pt>
                <c:pt idx="670">
                  <c:v>-131.72976499366453</c:v>
                </c:pt>
                <c:pt idx="671">
                  <c:v>-113.25892902073687</c:v>
                </c:pt>
                <c:pt idx="672">
                  <c:v>-92.17095487240725</c:v>
                </c:pt>
                <c:pt idx="673">
                  <c:v>-66.711757658596966</c:v>
                </c:pt>
                <c:pt idx="674">
                  <c:v>-38.348145565043495</c:v>
                </c:pt>
                <c:pt idx="675">
                  <c:v>-11.126040353747651</c:v>
                </c:pt>
                <c:pt idx="676">
                  <c:v>16.303261007342051</c:v>
                </c:pt>
                <c:pt idx="677">
                  <c:v>45.250050894827339</c:v>
                </c:pt>
                <c:pt idx="678">
                  <c:v>71.879809403786197</c:v>
                </c:pt>
                <c:pt idx="679">
                  <c:v>94.327453010680287</c:v>
                </c:pt>
                <c:pt idx="680">
                  <c:v>114.08488623212352</c:v>
                </c:pt>
                <c:pt idx="681">
                  <c:v>134.68978529905792</c:v>
                </c:pt>
                <c:pt idx="682">
                  <c:v>151.92733618770055</c:v>
                </c:pt>
                <c:pt idx="683">
                  <c:v>167.54444767927063</c:v>
                </c:pt>
                <c:pt idx="684">
                  <c:v>182.08856844673042</c:v>
                </c:pt>
                <c:pt idx="685">
                  <c:v>196.3734442774585</c:v>
                </c:pt>
                <c:pt idx="686">
                  <c:v>210.34245166973474</c:v>
                </c:pt>
                <c:pt idx="687">
                  <c:v>227.55313706005956</c:v>
                </c:pt>
                <c:pt idx="688">
                  <c:v>248.34959029433773</c:v>
                </c:pt>
                <c:pt idx="689">
                  <c:v>267.43873292343727</c:v>
                </c:pt>
                <c:pt idx="690">
                  <c:v>287.66680105784155</c:v>
                </c:pt>
                <c:pt idx="691">
                  <c:v>305.33653913129558</c:v>
                </c:pt>
                <c:pt idx="692">
                  <c:v>314.68721430782927</c:v>
                </c:pt>
                <c:pt idx="693">
                  <c:v>318.60810960585724</c:v>
                </c:pt>
                <c:pt idx="694">
                  <c:v>316.59568347914336</c:v>
                </c:pt>
                <c:pt idx="695">
                  <c:v>309.24633163966894</c:v>
                </c:pt>
                <c:pt idx="696">
                  <c:v>293.39557998207573</c:v>
                </c:pt>
                <c:pt idx="697">
                  <c:v>274.68780911998255</c:v>
                </c:pt>
                <c:pt idx="698">
                  <c:v>256.93362706748809</c:v>
                </c:pt>
                <c:pt idx="699">
                  <c:v>237.52722591613036</c:v>
                </c:pt>
                <c:pt idx="700">
                  <c:v>221.47988076553199</c:v>
                </c:pt>
                <c:pt idx="701">
                  <c:v>208.56881729928054</c:v>
                </c:pt>
                <c:pt idx="702">
                  <c:v>195.26608325546147</c:v>
                </c:pt>
                <c:pt idx="703">
                  <c:v>181.68534305325903</c:v>
                </c:pt>
                <c:pt idx="704">
                  <c:v>167.00690432006152</c:v>
                </c:pt>
                <c:pt idx="705">
                  <c:v>150.93074944968802</c:v>
                </c:pt>
                <c:pt idx="706">
                  <c:v>131.72976499366473</c:v>
                </c:pt>
                <c:pt idx="707">
                  <c:v>113.25892902073701</c:v>
                </c:pt>
                <c:pt idx="708">
                  <c:v>92.170954872407222</c:v>
                </c:pt>
                <c:pt idx="709">
                  <c:v>66.711757658596895</c:v>
                </c:pt>
                <c:pt idx="710">
                  <c:v>12.092026174922077</c:v>
                </c:pt>
                <c:pt idx="711">
                  <c:v>-19.153866945805014</c:v>
                </c:pt>
                <c:pt idx="712">
                  <c:v>-44.530360231174328</c:v>
                </c:pt>
                <c:pt idx="713">
                  <c:v>-65.168171837204284</c:v>
                </c:pt>
                <c:pt idx="714">
                  <c:v>-85.426471464219389</c:v>
                </c:pt>
                <c:pt idx="715">
                  <c:v>-109.90783422820093</c:v>
                </c:pt>
                <c:pt idx="716">
                  <c:v>-132.29963944269622</c:v>
                </c:pt>
                <c:pt idx="717">
                  <c:v>-150.89981366041468</c:v>
                </c:pt>
                <c:pt idx="718">
                  <c:v>-167.66712823626739</c:v>
                </c:pt>
                <c:pt idx="719">
                  <c:v>-182.33697308717325</c:v>
                </c:pt>
                <c:pt idx="720">
                  <c:v>-198.5704360635925</c:v>
                </c:pt>
                <c:pt idx="721">
                  <c:v>-216.14842369924023</c:v>
                </c:pt>
                <c:pt idx="722">
                  <c:v>-234.3499157179167</c:v>
                </c:pt>
                <c:pt idx="723">
                  <c:v>-255.61928916988779</c:v>
                </c:pt>
                <c:pt idx="724">
                  <c:v>-278.14867103168649</c:v>
                </c:pt>
                <c:pt idx="725">
                  <c:v>-295.9767559317865</c:v>
                </c:pt>
                <c:pt idx="726">
                  <c:v>-314.14990401830289</c:v>
                </c:pt>
                <c:pt idx="727">
                  <c:v>-337.26237066747564</c:v>
                </c:pt>
                <c:pt idx="728">
                  <c:v>-346.27032424871305</c:v>
                </c:pt>
                <c:pt idx="729">
                  <c:v>-339.42529985517041</c:v>
                </c:pt>
                <c:pt idx="730">
                  <c:v>-318.03089219178764</c:v>
                </c:pt>
                <c:pt idx="731">
                  <c:v>-301.25650350093048</c:v>
                </c:pt>
                <c:pt idx="732">
                  <c:v>-284.8014825428354</c:v>
                </c:pt>
                <c:pt idx="733">
                  <c:v>-263.92898987681622</c:v>
                </c:pt>
                <c:pt idx="734">
                  <c:v>-244.17346633493491</c:v>
                </c:pt>
                <c:pt idx="735">
                  <c:v>-227.22817901246259</c:v>
                </c:pt>
                <c:pt idx="736">
                  <c:v>-210.77975257567957</c:v>
                </c:pt>
                <c:pt idx="737">
                  <c:v>-195.53246461929729</c:v>
                </c:pt>
                <c:pt idx="738">
                  <c:v>-181.96195181514281</c:v>
                </c:pt>
                <c:pt idx="739">
                  <c:v>-166.38286580174426</c:v>
                </c:pt>
                <c:pt idx="740">
                  <c:v>-149.01004416377543</c:v>
                </c:pt>
                <c:pt idx="741">
                  <c:v>-128.05085992062513</c:v>
                </c:pt>
                <c:pt idx="742">
                  <c:v>-105.08512401253932</c:v>
                </c:pt>
                <c:pt idx="743">
                  <c:v>-86.024016822659377</c:v>
                </c:pt>
                <c:pt idx="744">
                  <c:v>-66.606600092736585</c:v>
                </c:pt>
                <c:pt idx="745">
                  <c:v>-42.784321106034064</c:v>
                </c:pt>
                <c:pt idx="746">
                  <c:v>-12.092026174922065</c:v>
                </c:pt>
                <c:pt idx="747">
                  <c:v>19.153866945804992</c:v>
                </c:pt>
                <c:pt idx="748">
                  <c:v>44.530360231174392</c:v>
                </c:pt>
                <c:pt idx="749">
                  <c:v>65.168171837204298</c:v>
                </c:pt>
                <c:pt idx="750">
                  <c:v>85.42647146421946</c:v>
                </c:pt>
                <c:pt idx="751">
                  <c:v>109.90783422820098</c:v>
                </c:pt>
                <c:pt idx="752">
                  <c:v>132.29963944269628</c:v>
                </c:pt>
                <c:pt idx="753">
                  <c:v>150.89981366041465</c:v>
                </c:pt>
                <c:pt idx="754">
                  <c:v>167.66712823626733</c:v>
                </c:pt>
                <c:pt idx="755">
                  <c:v>182.33697308717328</c:v>
                </c:pt>
                <c:pt idx="756">
                  <c:v>198.5704360635925</c:v>
                </c:pt>
                <c:pt idx="757">
                  <c:v>216.14842369924028</c:v>
                </c:pt>
                <c:pt idx="758">
                  <c:v>234.34991571791679</c:v>
                </c:pt>
                <c:pt idx="759">
                  <c:v>255.61928916988768</c:v>
                </c:pt>
                <c:pt idx="760">
                  <c:v>278.14867103168626</c:v>
                </c:pt>
                <c:pt idx="761">
                  <c:v>295.97675593178644</c:v>
                </c:pt>
                <c:pt idx="762">
                  <c:v>314.149904018303</c:v>
                </c:pt>
                <c:pt idx="763">
                  <c:v>337.26237066747564</c:v>
                </c:pt>
                <c:pt idx="764">
                  <c:v>346.27032424871305</c:v>
                </c:pt>
                <c:pt idx="765">
                  <c:v>339.42529985517041</c:v>
                </c:pt>
                <c:pt idx="766">
                  <c:v>318.03089219178793</c:v>
                </c:pt>
                <c:pt idx="767">
                  <c:v>301.25650350093071</c:v>
                </c:pt>
                <c:pt idx="768">
                  <c:v>284.80148254283557</c:v>
                </c:pt>
                <c:pt idx="769">
                  <c:v>263.92898987681639</c:v>
                </c:pt>
                <c:pt idx="770">
                  <c:v>244.17346633493491</c:v>
                </c:pt>
                <c:pt idx="771">
                  <c:v>227.22817901246248</c:v>
                </c:pt>
                <c:pt idx="772">
                  <c:v>210.77975257567968</c:v>
                </c:pt>
                <c:pt idx="773">
                  <c:v>195.53246461929734</c:v>
                </c:pt>
                <c:pt idx="774">
                  <c:v>181.9619518151429</c:v>
                </c:pt>
                <c:pt idx="775">
                  <c:v>166.38286580174434</c:v>
                </c:pt>
                <c:pt idx="776">
                  <c:v>149.01004416377566</c:v>
                </c:pt>
                <c:pt idx="777">
                  <c:v>128.05085992062533</c:v>
                </c:pt>
                <c:pt idx="778">
                  <c:v>105.08512401253945</c:v>
                </c:pt>
                <c:pt idx="779">
                  <c:v>86.024016822659391</c:v>
                </c:pt>
                <c:pt idx="780">
                  <c:v>66.606600092736585</c:v>
                </c:pt>
                <c:pt idx="781">
                  <c:v>12.639407350399946</c:v>
                </c:pt>
                <c:pt idx="782">
                  <c:v>-15.678822478888511</c:v>
                </c:pt>
                <c:pt idx="783">
                  <c:v>-38.659405465810522</c:v>
                </c:pt>
                <c:pt idx="784">
                  <c:v>-58.954110786259875</c:v>
                </c:pt>
                <c:pt idx="785">
                  <c:v>-80.827971222787866</c:v>
                </c:pt>
                <c:pt idx="786">
                  <c:v>-104.61766465855347</c:v>
                </c:pt>
                <c:pt idx="787">
                  <c:v>-128.30766708143298</c:v>
                </c:pt>
                <c:pt idx="788">
                  <c:v>-147.42236250371664</c:v>
                </c:pt>
                <c:pt idx="789">
                  <c:v>-165.67547550770922</c:v>
                </c:pt>
                <c:pt idx="790">
                  <c:v>-182.92776805941159</c:v>
                </c:pt>
                <c:pt idx="791">
                  <c:v>-200.25288350796123</c:v>
                </c:pt>
                <c:pt idx="792">
                  <c:v>-218.67956611510601</c:v>
                </c:pt>
                <c:pt idx="793">
                  <c:v>-239.27097247741992</c:v>
                </c:pt>
                <c:pt idx="794">
                  <c:v>-262.1975376525566</c:v>
                </c:pt>
                <c:pt idx="795">
                  <c:v>-282.58385046886002</c:v>
                </c:pt>
                <c:pt idx="796">
                  <c:v>-300.41321519178598</c:v>
                </c:pt>
                <c:pt idx="797">
                  <c:v>-316.89692093659647</c:v>
                </c:pt>
                <c:pt idx="798">
                  <c:v>-336.39891375203092</c:v>
                </c:pt>
                <c:pt idx="799">
                  <c:v>-361.94527023199726</c:v>
                </c:pt>
                <c:pt idx="800">
                  <c:v>-338.3167356850073</c:v>
                </c:pt>
                <c:pt idx="801">
                  <c:v>-320.37407989561655</c:v>
                </c:pt>
                <c:pt idx="802">
                  <c:v>-305.26926666376926</c:v>
                </c:pt>
                <c:pt idx="803">
                  <c:v>-288.92593377456149</c:v>
                </c:pt>
                <c:pt idx="804">
                  <c:v>-270.15337707918621</c:v>
                </c:pt>
                <c:pt idx="805">
                  <c:v>-248.82739391290681</c:v>
                </c:pt>
                <c:pt idx="806">
                  <c:v>-229.52233514705958</c:v>
                </c:pt>
                <c:pt idx="807">
                  <c:v>-212.32703845942774</c:v>
                </c:pt>
                <c:pt idx="808">
                  <c:v>-196.16601466156555</c:v>
                </c:pt>
                <c:pt idx="809">
                  <c:v>-180.08308385965574</c:v>
                </c:pt>
                <c:pt idx="810">
                  <c:v>-163.0739177834559</c:v>
                </c:pt>
                <c:pt idx="811">
                  <c:v>-145.35243762344825</c:v>
                </c:pt>
                <c:pt idx="812">
                  <c:v>-123.20776824062175</c:v>
                </c:pt>
                <c:pt idx="813">
                  <c:v>-100.78553266063091</c:v>
                </c:pt>
                <c:pt idx="814">
                  <c:v>-80.105009120327423</c:v>
                </c:pt>
                <c:pt idx="815">
                  <c:v>-60.913399189647755</c:v>
                </c:pt>
                <c:pt idx="816">
                  <c:v>-39.240412145354234</c:v>
                </c:pt>
                <c:pt idx="817">
                  <c:v>-12.639407350399924</c:v>
                </c:pt>
                <c:pt idx="818">
                  <c:v>15.678822478888526</c:v>
                </c:pt>
                <c:pt idx="819">
                  <c:v>38.659405465810579</c:v>
                </c:pt>
                <c:pt idx="820">
                  <c:v>58.954110786259903</c:v>
                </c:pt>
                <c:pt idx="821">
                  <c:v>80.827971222787909</c:v>
                </c:pt>
                <c:pt idx="822">
                  <c:v>104.61766465855349</c:v>
                </c:pt>
                <c:pt idx="823">
                  <c:v>128.30766708143298</c:v>
                </c:pt>
                <c:pt idx="824">
                  <c:v>147.42236250371661</c:v>
                </c:pt>
                <c:pt idx="825">
                  <c:v>165.67547550770928</c:v>
                </c:pt>
                <c:pt idx="826">
                  <c:v>182.92776805941162</c:v>
                </c:pt>
                <c:pt idx="827">
                  <c:v>200.2528835079612</c:v>
                </c:pt>
                <c:pt idx="828">
                  <c:v>218.67956611510601</c:v>
                </c:pt>
                <c:pt idx="829">
                  <c:v>239.27097247742009</c:v>
                </c:pt>
                <c:pt idx="830">
                  <c:v>262.19753765255666</c:v>
                </c:pt>
                <c:pt idx="831">
                  <c:v>282.58385046885996</c:v>
                </c:pt>
                <c:pt idx="832">
                  <c:v>300.41321519178609</c:v>
                </c:pt>
                <c:pt idx="833">
                  <c:v>316.89692093659676</c:v>
                </c:pt>
                <c:pt idx="834">
                  <c:v>336.39891375203104</c:v>
                </c:pt>
                <c:pt idx="835">
                  <c:v>361.94527023199737</c:v>
                </c:pt>
                <c:pt idx="836">
                  <c:v>338.31673568500742</c:v>
                </c:pt>
                <c:pt idx="837">
                  <c:v>320.37407989561689</c:v>
                </c:pt>
                <c:pt idx="838">
                  <c:v>305.26926666376954</c:v>
                </c:pt>
                <c:pt idx="839">
                  <c:v>288.92593377456166</c:v>
                </c:pt>
                <c:pt idx="840">
                  <c:v>270.15337707918655</c:v>
                </c:pt>
                <c:pt idx="841">
                  <c:v>248.82739391290679</c:v>
                </c:pt>
                <c:pt idx="842">
                  <c:v>229.52233514705949</c:v>
                </c:pt>
                <c:pt idx="843">
                  <c:v>212.32703845942783</c:v>
                </c:pt>
                <c:pt idx="844">
                  <c:v>196.16601466156564</c:v>
                </c:pt>
                <c:pt idx="845">
                  <c:v>180.0830838596558</c:v>
                </c:pt>
                <c:pt idx="846">
                  <c:v>163.07391778345598</c:v>
                </c:pt>
                <c:pt idx="847">
                  <c:v>145.35243762344845</c:v>
                </c:pt>
                <c:pt idx="848">
                  <c:v>123.20776824062193</c:v>
                </c:pt>
                <c:pt idx="849">
                  <c:v>100.78553266063112</c:v>
                </c:pt>
                <c:pt idx="850">
                  <c:v>80.105009120327423</c:v>
                </c:pt>
                <c:pt idx="851">
                  <c:v>60.913399189647755</c:v>
                </c:pt>
                <c:pt idx="852">
                  <c:v>12.336730668158822</c:v>
                </c:pt>
                <c:pt idx="853">
                  <c:v>-12.390759397751928</c:v>
                </c:pt>
                <c:pt idx="854">
                  <c:v>-33.126200470226365</c:v>
                </c:pt>
                <c:pt idx="855">
                  <c:v>-55.806626633580642</c:v>
                </c:pt>
                <c:pt idx="856">
                  <c:v>-78.594866799048845</c:v>
                </c:pt>
                <c:pt idx="857">
                  <c:v>-99.887550645810109</c:v>
                </c:pt>
                <c:pt idx="858">
                  <c:v>-121.11908534978086</c:v>
                </c:pt>
                <c:pt idx="859">
                  <c:v>-143.76423315768972</c:v>
                </c:pt>
                <c:pt idx="860">
                  <c:v>-163.94082238066596</c:v>
                </c:pt>
                <c:pt idx="861">
                  <c:v>-182.82661359696533</c:v>
                </c:pt>
                <c:pt idx="862">
                  <c:v>-201.56311596435205</c:v>
                </c:pt>
                <c:pt idx="863">
                  <c:v>-221.22086028636122</c:v>
                </c:pt>
                <c:pt idx="864">
                  <c:v>-242.70126266252453</c:v>
                </c:pt>
                <c:pt idx="865">
                  <c:v>-263.23907175313468</c:v>
                </c:pt>
                <c:pt idx="866">
                  <c:v>-281.36981022102873</c:v>
                </c:pt>
                <c:pt idx="867">
                  <c:v>-299.60922902660411</c:v>
                </c:pt>
                <c:pt idx="868">
                  <c:v>-316.65485764826985</c:v>
                </c:pt>
                <c:pt idx="869">
                  <c:v>-332.60229580104874</c:v>
                </c:pt>
                <c:pt idx="870">
                  <c:v>-353.27774409650743</c:v>
                </c:pt>
                <c:pt idx="871">
                  <c:v>-334.28092301120267</c:v>
                </c:pt>
                <c:pt idx="872">
                  <c:v>-319.74450612823955</c:v>
                </c:pt>
                <c:pt idx="873">
                  <c:v>-304.2432237138737</c:v>
                </c:pt>
                <c:pt idx="874">
                  <c:v>-287.55277509108947</c:v>
                </c:pt>
                <c:pt idx="875">
                  <c:v>-270.86669270684558</c:v>
                </c:pt>
                <c:pt idx="876">
                  <c:v>-251.76338591414242</c:v>
                </c:pt>
                <c:pt idx="877">
                  <c:v>-231.81403357683055</c:v>
                </c:pt>
                <c:pt idx="878">
                  <c:v>-213.5191716069377</c:v>
                </c:pt>
                <c:pt idx="879">
                  <c:v>-196.05753978115882</c:v>
                </c:pt>
                <c:pt idx="880">
                  <c:v>-178.43581526505037</c:v>
                </c:pt>
                <c:pt idx="881">
                  <c:v>-159.58456025800467</c:v>
                </c:pt>
                <c:pt idx="882">
                  <c:v>-138.38617136454477</c:v>
                </c:pt>
                <c:pt idx="883">
                  <c:v>-118.53893493073079</c:v>
                </c:pt>
                <c:pt idx="884">
                  <c:v>-98.462081259382543</c:v>
                </c:pt>
                <c:pt idx="885">
                  <c:v>-76.893618942757442</c:v>
                </c:pt>
                <c:pt idx="886">
                  <c:v>-55.349755957360912</c:v>
                </c:pt>
                <c:pt idx="887">
                  <c:v>-35.678834559809353</c:v>
                </c:pt>
                <c:pt idx="888">
                  <c:v>-12.336730668158777</c:v>
                </c:pt>
                <c:pt idx="889">
                  <c:v>12.39075939775196</c:v>
                </c:pt>
                <c:pt idx="890">
                  <c:v>33.126200470226479</c:v>
                </c:pt>
                <c:pt idx="891">
                  <c:v>55.806626633580755</c:v>
                </c:pt>
                <c:pt idx="892">
                  <c:v>78.594866799048901</c:v>
                </c:pt>
                <c:pt idx="893">
                  <c:v>99.88755064581018</c:v>
                </c:pt>
                <c:pt idx="894">
                  <c:v>121.11908534978095</c:v>
                </c:pt>
                <c:pt idx="895">
                  <c:v>143.76423315768963</c:v>
                </c:pt>
                <c:pt idx="896">
                  <c:v>163.94082238066605</c:v>
                </c:pt>
                <c:pt idx="897">
                  <c:v>182.82661359696539</c:v>
                </c:pt>
                <c:pt idx="898">
                  <c:v>201.56311596435199</c:v>
                </c:pt>
                <c:pt idx="899">
                  <c:v>221.22086028636127</c:v>
                </c:pt>
                <c:pt idx="900">
                  <c:v>242.70126266252461</c:v>
                </c:pt>
                <c:pt idx="901">
                  <c:v>263.23907175313474</c:v>
                </c:pt>
                <c:pt idx="902">
                  <c:v>281.36981022102856</c:v>
                </c:pt>
                <c:pt idx="903">
                  <c:v>299.60922902660417</c:v>
                </c:pt>
                <c:pt idx="904">
                  <c:v>316.65485764827019</c:v>
                </c:pt>
                <c:pt idx="905">
                  <c:v>332.60229580104891</c:v>
                </c:pt>
                <c:pt idx="906">
                  <c:v>353.27774409650755</c:v>
                </c:pt>
                <c:pt idx="907">
                  <c:v>334.28092301120279</c:v>
                </c:pt>
                <c:pt idx="908">
                  <c:v>319.74450612823989</c:v>
                </c:pt>
                <c:pt idx="909">
                  <c:v>304.24322371387399</c:v>
                </c:pt>
                <c:pt idx="910">
                  <c:v>287.5527750910897</c:v>
                </c:pt>
                <c:pt idx="911">
                  <c:v>270.86669270684592</c:v>
                </c:pt>
                <c:pt idx="912">
                  <c:v>251.76338591414242</c:v>
                </c:pt>
                <c:pt idx="913">
                  <c:v>231.8140335768305</c:v>
                </c:pt>
                <c:pt idx="914">
                  <c:v>213.51917160693785</c:v>
                </c:pt>
                <c:pt idx="915">
                  <c:v>196.05753978115888</c:v>
                </c:pt>
                <c:pt idx="916">
                  <c:v>178.43581526505039</c:v>
                </c:pt>
                <c:pt idx="917">
                  <c:v>159.58456025800473</c:v>
                </c:pt>
                <c:pt idx="918">
                  <c:v>138.38617136454496</c:v>
                </c:pt>
                <c:pt idx="919">
                  <c:v>118.53893493073103</c:v>
                </c:pt>
                <c:pt idx="920">
                  <c:v>98.462081259382771</c:v>
                </c:pt>
                <c:pt idx="921">
                  <c:v>76.893618942757442</c:v>
                </c:pt>
                <c:pt idx="922">
                  <c:v>55.349755957360912</c:v>
                </c:pt>
                <c:pt idx="923">
                  <c:v>11.891630445546614</c:v>
                </c:pt>
                <c:pt idx="924">
                  <c:v>-9.4492130521818698</c:v>
                </c:pt>
                <c:pt idx="925">
                  <c:v>-32.396446185314126</c:v>
                </c:pt>
                <c:pt idx="926">
                  <c:v>-54.254195314194298</c:v>
                </c:pt>
                <c:pt idx="927">
                  <c:v>-75.365218193071172</c:v>
                </c:pt>
                <c:pt idx="928">
                  <c:v>-94.550883506150569</c:v>
                </c:pt>
                <c:pt idx="929">
                  <c:v>-116.38101004070933</c:v>
                </c:pt>
                <c:pt idx="930">
                  <c:v>-138.85288959394924</c:v>
                </c:pt>
                <c:pt idx="931">
                  <c:v>-162.08760361971193</c:v>
                </c:pt>
                <c:pt idx="932">
                  <c:v>-183.29646848269135</c:v>
                </c:pt>
                <c:pt idx="933">
                  <c:v>-203.71861979511334</c:v>
                </c:pt>
                <c:pt idx="934">
                  <c:v>-224.41419047683905</c:v>
                </c:pt>
                <c:pt idx="935">
                  <c:v>-242.61962164234126</c:v>
                </c:pt>
                <c:pt idx="936">
                  <c:v>-259.51691684169083</c:v>
                </c:pt>
                <c:pt idx="937">
                  <c:v>-276.47079263199606</c:v>
                </c:pt>
                <c:pt idx="938">
                  <c:v>-292.44147666904064</c:v>
                </c:pt>
                <c:pt idx="939">
                  <c:v>-308.66845770534445</c:v>
                </c:pt>
                <c:pt idx="940">
                  <c:v>-324.66189218723315</c:v>
                </c:pt>
                <c:pt idx="941">
                  <c:v>-340.5317413855019</c:v>
                </c:pt>
                <c:pt idx="942">
                  <c:v>-326.11543678290894</c:v>
                </c:pt>
                <c:pt idx="943">
                  <c:v>-311.6875748199721</c:v>
                </c:pt>
                <c:pt idx="944">
                  <c:v>-296.94941186265612</c:v>
                </c:pt>
                <c:pt idx="945">
                  <c:v>-282.4159555696927</c:v>
                </c:pt>
                <c:pt idx="946">
                  <c:v>-266.76227255298562</c:v>
                </c:pt>
                <c:pt idx="947">
                  <c:v>-251.35022703379701</c:v>
                </c:pt>
                <c:pt idx="948">
                  <c:v>-234.67172695640141</c:v>
                </c:pt>
                <c:pt idx="949">
                  <c:v>-215.55034927857989</c:v>
                </c:pt>
                <c:pt idx="950">
                  <c:v>-196.56139745886364</c:v>
                </c:pt>
                <c:pt idx="951">
                  <c:v>-176.7287986437772</c:v>
                </c:pt>
                <c:pt idx="952">
                  <c:v>-154.88452309354295</c:v>
                </c:pt>
                <c:pt idx="953">
                  <c:v>-133.6308172622023</c:v>
                </c:pt>
                <c:pt idx="954">
                  <c:v>-112.9289577673059</c:v>
                </c:pt>
                <c:pt idx="955">
                  <c:v>-94.881973499014862</c:v>
                </c:pt>
                <c:pt idx="956">
                  <c:v>-74.836178673146122</c:v>
                </c:pt>
                <c:pt idx="957">
                  <c:v>-54.059756199946023</c:v>
                </c:pt>
                <c:pt idx="958">
                  <c:v>-32.174858147603494</c:v>
                </c:pt>
                <c:pt idx="959">
                  <c:v>-11.891630445546554</c:v>
                </c:pt>
                <c:pt idx="960">
                  <c:v>9.4492130521819195</c:v>
                </c:pt>
                <c:pt idx="961">
                  <c:v>32.396446185314197</c:v>
                </c:pt>
                <c:pt idx="962">
                  <c:v>54.254195314194398</c:v>
                </c:pt>
                <c:pt idx="963">
                  <c:v>75.365218193071229</c:v>
                </c:pt>
                <c:pt idx="964">
                  <c:v>94.550883506150598</c:v>
                </c:pt>
                <c:pt idx="965">
                  <c:v>116.38101004070941</c:v>
                </c:pt>
                <c:pt idx="966">
                  <c:v>138.85288959394919</c:v>
                </c:pt>
                <c:pt idx="967">
                  <c:v>162.0876036197121</c:v>
                </c:pt>
                <c:pt idx="968">
                  <c:v>183.29646848269144</c:v>
                </c:pt>
                <c:pt idx="969">
                  <c:v>203.71861979511343</c:v>
                </c:pt>
                <c:pt idx="970">
                  <c:v>224.4141904768392</c:v>
                </c:pt>
                <c:pt idx="971">
                  <c:v>242.61962164234146</c:v>
                </c:pt>
                <c:pt idx="972">
                  <c:v>259.51691684169083</c:v>
                </c:pt>
                <c:pt idx="973">
                  <c:v>276.47079263199601</c:v>
                </c:pt>
                <c:pt idx="974">
                  <c:v>292.44147666904064</c:v>
                </c:pt>
                <c:pt idx="975">
                  <c:v>308.66845770534474</c:v>
                </c:pt>
                <c:pt idx="976">
                  <c:v>324.66189218723326</c:v>
                </c:pt>
                <c:pt idx="977">
                  <c:v>340.53174138550202</c:v>
                </c:pt>
                <c:pt idx="978">
                  <c:v>326.115436782909</c:v>
                </c:pt>
                <c:pt idx="979">
                  <c:v>311.68757481997233</c:v>
                </c:pt>
                <c:pt idx="980">
                  <c:v>296.94941186265629</c:v>
                </c:pt>
                <c:pt idx="981">
                  <c:v>282.41595556969293</c:v>
                </c:pt>
                <c:pt idx="982">
                  <c:v>266.76227255298585</c:v>
                </c:pt>
                <c:pt idx="983">
                  <c:v>251.35022703379701</c:v>
                </c:pt>
                <c:pt idx="984">
                  <c:v>234.67172695640147</c:v>
                </c:pt>
                <c:pt idx="985">
                  <c:v>215.55034927858006</c:v>
                </c:pt>
                <c:pt idx="986">
                  <c:v>196.56139745886378</c:v>
                </c:pt>
                <c:pt idx="987">
                  <c:v>176.72879864377731</c:v>
                </c:pt>
                <c:pt idx="988">
                  <c:v>154.88452309354312</c:v>
                </c:pt>
                <c:pt idx="989">
                  <c:v>133.63081726220264</c:v>
                </c:pt>
                <c:pt idx="990">
                  <c:v>112.92895776730612</c:v>
                </c:pt>
                <c:pt idx="991">
                  <c:v>94.881973499015089</c:v>
                </c:pt>
                <c:pt idx="992">
                  <c:v>74.836178673146165</c:v>
                </c:pt>
                <c:pt idx="993">
                  <c:v>54.059756199946044</c:v>
                </c:pt>
                <c:pt idx="994">
                  <c:v>11.24053725968829</c:v>
                </c:pt>
                <c:pt idx="995">
                  <c:v>-10.654729164281949</c:v>
                </c:pt>
                <c:pt idx="996">
                  <c:v>-31.547386857178306</c:v>
                </c:pt>
                <c:pt idx="997">
                  <c:v>-51.948490892183209</c:v>
                </c:pt>
                <c:pt idx="998">
                  <c:v>-71.033686998368424</c:v>
                </c:pt>
                <c:pt idx="999">
                  <c:v>-91.939511886586445</c:v>
                </c:pt>
                <c:pt idx="1000">
                  <c:v>-113.86362732179087</c:v>
                </c:pt>
                <c:pt idx="1001">
                  <c:v>-136.21679946767</c:v>
                </c:pt>
                <c:pt idx="1002">
                  <c:v>-161.50975325016805</c:v>
                </c:pt>
                <c:pt idx="1003">
                  <c:v>-185.24452364126668</c:v>
                </c:pt>
                <c:pt idx="1004">
                  <c:v>-207.91503274891295</c:v>
                </c:pt>
                <c:pt idx="1005">
                  <c:v>-229.88323077374594</c:v>
                </c:pt>
                <c:pt idx="1006">
                  <c:v>-247.11045854234757</c:v>
                </c:pt>
                <c:pt idx="1007">
                  <c:v>-262.55255077883561</c:v>
                </c:pt>
                <c:pt idx="1008">
                  <c:v>-276.00618871812134</c:v>
                </c:pt>
                <c:pt idx="1009">
                  <c:v>-288.07053767807696</c:v>
                </c:pt>
                <c:pt idx="1010">
                  <c:v>-299.48824493896109</c:v>
                </c:pt>
                <c:pt idx="1011">
                  <c:v>-310.63989256750926</c:v>
                </c:pt>
                <c:pt idx="1012">
                  <c:v>-321.88687200448237</c:v>
                </c:pt>
                <c:pt idx="1013">
                  <c:v>-312.14349476768518</c:v>
                </c:pt>
                <c:pt idx="1014">
                  <c:v>-302.42557289768229</c:v>
                </c:pt>
                <c:pt idx="1015">
                  <c:v>-292.4065689246421</c:v>
                </c:pt>
                <c:pt idx="1016">
                  <c:v>-281.64732697313281</c:v>
                </c:pt>
                <c:pt idx="1017">
                  <c:v>-269.6227143066609</c:v>
                </c:pt>
                <c:pt idx="1018">
                  <c:v>-255.67599755183667</c:v>
                </c:pt>
                <c:pt idx="1019">
                  <c:v>-239.96978871378877</c:v>
                </c:pt>
                <c:pt idx="1020">
                  <c:v>-219.71660221099657</c:v>
                </c:pt>
                <c:pt idx="1021">
                  <c:v>-198.650430856322</c:v>
                </c:pt>
                <c:pt idx="1022">
                  <c:v>-176.44297900198228</c:v>
                </c:pt>
                <c:pt idx="1023">
                  <c:v>-152.62442845619591</c:v>
                </c:pt>
                <c:pt idx="1024">
                  <c:v>-131.42131725862873</c:v>
                </c:pt>
                <c:pt idx="1025">
                  <c:v>-110.52348164784686</c:v>
                </c:pt>
                <c:pt idx="1026">
                  <c:v>-90.507376876085488</c:v>
                </c:pt>
                <c:pt idx="1027">
                  <c:v>-72.219198127093463</c:v>
                </c:pt>
                <c:pt idx="1028">
                  <c:v>-52.566680543749733</c:v>
                </c:pt>
                <c:pt idx="1029">
                  <c:v>-32.402804276704181</c:v>
                </c:pt>
                <c:pt idx="1030">
                  <c:v>-11.240537259688216</c:v>
                </c:pt>
                <c:pt idx="1031">
                  <c:v>10.654729164282024</c:v>
                </c:pt>
                <c:pt idx="1032">
                  <c:v>31.54738685717841</c:v>
                </c:pt>
                <c:pt idx="1033">
                  <c:v>51.948490892183287</c:v>
                </c:pt>
                <c:pt idx="1034">
                  <c:v>71.033686998368523</c:v>
                </c:pt>
                <c:pt idx="1035">
                  <c:v>91.939511886586558</c:v>
                </c:pt>
                <c:pt idx="1036">
                  <c:v>113.86362732179099</c:v>
                </c:pt>
                <c:pt idx="1037">
                  <c:v>136.21679946766997</c:v>
                </c:pt>
                <c:pt idx="1038">
                  <c:v>161.5097532501681</c:v>
                </c:pt>
                <c:pt idx="1039">
                  <c:v>185.2445236412668</c:v>
                </c:pt>
                <c:pt idx="1040">
                  <c:v>207.91503274891301</c:v>
                </c:pt>
                <c:pt idx="1041">
                  <c:v>229.88323077374605</c:v>
                </c:pt>
                <c:pt idx="1042">
                  <c:v>247.1104585423478</c:v>
                </c:pt>
                <c:pt idx="1043">
                  <c:v>262.55255077883578</c:v>
                </c:pt>
                <c:pt idx="1044">
                  <c:v>276.00618871812134</c:v>
                </c:pt>
                <c:pt idx="1045">
                  <c:v>288.07053767807702</c:v>
                </c:pt>
                <c:pt idx="1046">
                  <c:v>299.48824493896137</c:v>
                </c:pt>
                <c:pt idx="1047">
                  <c:v>310.63989256750938</c:v>
                </c:pt>
                <c:pt idx="1048">
                  <c:v>321.88687200448248</c:v>
                </c:pt>
                <c:pt idx="1049">
                  <c:v>312.1434947676853</c:v>
                </c:pt>
                <c:pt idx="1050">
                  <c:v>302.42557289768257</c:v>
                </c:pt>
                <c:pt idx="1051">
                  <c:v>292.40656892464233</c:v>
                </c:pt>
                <c:pt idx="1052">
                  <c:v>281.64732697313292</c:v>
                </c:pt>
                <c:pt idx="1053">
                  <c:v>269.62271430666101</c:v>
                </c:pt>
                <c:pt idx="1054">
                  <c:v>255.67599755183667</c:v>
                </c:pt>
                <c:pt idx="1055">
                  <c:v>239.96978871378877</c:v>
                </c:pt>
                <c:pt idx="1056">
                  <c:v>219.71660221099671</c:v>
                </c:pt>
                <c:pt idx="1057">
                  <c:v>198.65043085632212</c:v>
                </c:pt>
                <c:pt idx="1058">
                  <c:v>176.44297900198239</c:v>
                </c:pt>
                <c:pt idx="1059">
                  <c:v>152.62442845619603</c:v>
                </c:pt>
                <c:pt idx="1060">
                  <c:v>131.42131725862899</c:v>
                </c:pt>
                <c:pt idx="1061">
                  <c:v>110.52348164784709</c:v>
                </c:pt>
                <c:pt idx="1062">
                  <c:v>90.507376876085758</c:v>
                </c:pt>
                <c:pt idx="1063">
                  <c:v>72.219198127093506</c:v>
                </c:pt>
                <c:pt idx="1064">
                  <c:v>52.566680543749769</c:v>
                </c:pt>
                <c:pt idx="1065">
                  <c:v>11.080535004093102</c:v>
                </c:pt>
                <c:pt idx="1066">
                  <c:v>-9.6770963649110104</c:v>
                </c:pt>
                <c:pt idx="1067">
                  <c:v>-30.151511340588154</c:v>
                </c:pt>
                <c:pt idx="1068">
                  <c:v>-48.920221942040747</c:v>
                </c:pt>
                <c:pt idx="1069">
                  <c:v>-69.079422239423678</c:v>
                </c:pt>
                <c:pt idx="1070">
                  <c:v>-89.797011103062616</c:v>
                </c:pt>
                <c:pt idx="1071">
                  <c:v>-111.57936824447903</c:v>
                </c:pt>
                <c:pt idx="1072">
                  <c:v>-135.02602024938736</c:v>
                </c:pt>
                <c:pt idx="1073">
                  <c:v>-159.70151207387789</c:v>
                </c:pt>
                <c:pt idx="1074">
                  <c:v>-186.22736160446527</c:v>
                </c:pt>
                <c:pt idx="1075">
                  <c:v>-211.39194375649251</c:v>
                </c:pt>
                <c:pt idx="1076">
                  <c:v>-232.10900529328813</c:v>
                </c:pt>
                <c:pt idx="1077">
                  <c:v>-249.73766191251005</c:v>
                </c:pt>
                <c:pt idx="1078">
                  <c:v>-264.41793946481801</c:v>
                </c:pt>
                <c:pt idx="1079">
                  <c:v>-277.05139556126454</c:v>
                </c:pt>
                <c:pt idx="1080">
                  <c:v>-288.29413907207089</c:v>
                </c:pt>
                <c:pt idx="1081">
                  <c:v>-298.67820226228076</c:v>
                </c:pt>
                <c:pt idx="1082">
                  <c:v>-308.6754433760716</c:v>
                </c:pt>
                <c:pt idx="1083">
                  <c:v>-317.30500688742063</c:v>
                </c:pt>
                <c:pt idx="1084">
                  <c:v>-310.10588584662491</c:v>
                </c:pt>
                <c:pt idx="1085">
                  <c:v>-301.51594305459906</c:v>
                </c:pt>
                <c:pt idx="1086">
                  <c:v>-292.41895913706009</c:v>
                </c:pt>
                <c:pt idx="1087">
                  <c:v>-282.55843060057424</c:v>
                </c:pt>
                <c:pt idx="1088">
                  <c:v>-271.34283983231785</c:v>
                </c:pt>
                <c:pt idx="1089">
                  <c:v>-258.14988532993806</c:v>
                </c:pt>
                <c:pt idx="1090">
                  <c:v>-242.11773095339629</c:v>
                </c:pt>
                <c:pt idx="1091">
                  <c:v>-223.07555894021104</c:v>
                </c:pt>
                <c:pt idx="1092">
                  <c:v>-199.70439553508055</c:v>
                </c:pt>
                <c:pt idx="1093">
                  <c:v>-174.87345158720476</c:v>
                </c:pt>
                <c:pt idx="1094">
                  <c:v>-151.58638279268172</c:v>
                </c:pt>
                <c:pt idx="1095">
                  <c:v>-129.31519220946177</c:v>
                </c:pt>
                <c:pt idx="1096">
                  <c:v>-108.50618977961705</c:v>
                </c:pt>
                <c:pt idx="1097">
                  <c:v>-88.621427984138307</c:v>
                </c:pt>
                <c:pt idx="1098">
                  <c:v>-69.199170185440536</c:v>
                </c:pt>
                <c:pt idx="1099">
                  <c:v>-51.110752739495595</c:v>
                </c:pt>
                <c:pt idx="1100">
                  <c:v>-31.2854165284941</c:v>
                </c:pt>
                <c:pt idx="1101">
                  <c:v>-11.080535004093017</c:v>
                </c:pt>
                <c:pt idx="1102">
                  <c:v>9.6770963649111046</c:v>
                </c:pt>
                <c:pt idx="1103">
                  <c:v>30.151511340588225</c:v>
                </c:pt>
                <c:pt idx="1104">
                  <c:v>48.920221942040918</c:v>
                </c:pt>
                <c:pt idx="1105">
                  <c:v>69.079422239423778</c:v>
                </c:pt>
                <c:pt idx="1106">
                  <c:v>89.797011103062687</c:v>
                </c:pt>
                <c:pt idx="1107">
                  <c:v>111.57936824447911</c:v>
                </c:pt>
                <c:pt idx="1108">
                  <c:v>135.02602024938727</c:v>
                </c:pt>
                <c:pt idx="1109">
                  <c:v>159.70151207387792</c:v>
                </c:pt>
                <c:pt idx="1110">
                  <c:v>186.22736160446539</c:v>
                </c:pt>
                <c:pt idx="1111">
                  <c:v>211.39194375649257</c:v>
                </c:pt>
                <c:pt idx="1112">
                  <c:v>232.10900529328828</c:v>
                </c:pt>
                <c:pt idx="1113">
                  <c:v>249.73766191251028</c:v>
                </c:pt>
                <c:pt idx="1114">
                  <c:v>264.41793946481818</c:v>
                </c:pt>
                <c:pt idx="1115">
                  <c:v>277.05139556126454</c:v>
                </c:pt>
                <c:pt idx="1116">
                  <c:v>288.294139072071</c:v>
                </c:pt>
                <c:pt idx="1117">
                  <c:v>298.67820226228105</c:v>
                </c:pt>
                <c:pt idx="1118">
                  <c:v>308.67544337607171</c:v>
                </c:pt>
                <c:pt idx="1119">
                  <c:v>317.30500688742086</c:v>
                </c:pt>
                <c:pt idx="1120">
                  <c:v>310.10588584662503</c:v>
                </c:pt>
                <c:pt idx="1121">
                  <c:v>301.51594305459935</c:v>
                </c:pt>
                <c:pt idx="1122">
                  <c:v>292.41895913706031</c:v>
                </c:pt>
                <c:pt idx="1123">
                  <c:v>282.55843060057435</c:v>
                </c:pt>
                <c:pt idx="1124">
                  <c:v>271.34283983231808</c:v>
                </c:pt>
                <c:pt idx="1125">
                  <c:v>258.14988532993817</c:v>
                </c:pt>
                <c:pt idx="1126">
                  <c:v>242.11773095339629</c:v>
                </c:pt>
                <c:pt idx="1127">
                  <c:v>223.07555894021121</c:v>
                </c:pt>
                <c:pt idx="1128">
                  <c:v>199.70439553508075</c:v>
                </c:pt>
                <c:pt idx="1129">
                  <c:v>174.87345158720484</c:v>
                </c:pt>
                <c:pt idx="1130">
                  <c:v>151.58638279268186</c:v>
                </c:pt>
                <c:pt idx="1131">
                  <c:v>129.31519220946205</c:v>
                </c:pt>
                <c:pt idx="1132">
                  <c:v>108.5061897796173</c:v>
                </c:pt>
                <c:pt idx="1133">
                  <c:v>88.621427984138535</c:v>
                </c:pt>
                <c:pt idx="1134">
                  <c:v>69.199170185440664</c:v>
                </c:pt>
                <c:pt idx="1135">
                  <c:v>51.110752739495645</c:v>
                </c:pt>
                <c:pt idx="1136">
                  <c:v>10.889612060877452</c:v>
                </c:pt>
                <c:pt idx="1137">
                  <c:v>-8.8242238883842603</c:v>
                </c:pt>
                <c:pt idx="1138">
                  <c:v>-27.622164239531802</c:v>
                </c:pt>
                <c:pt idx="1139">
                  <c:v>-47.398927488917451</c:v>
                </c:pt>
                <c:pt idx="1140">
                  <c:v>-67.332204462565571</c:v>
                </c:pt>
                <c:pt idx="1141">
                  <c:v>-87.875716050671869</c:v>
                </c:pt>
                <c:pt idx="1142">
                  <c:v>-109.52606668368664</c:v>
                </c:pt>
                <c:pt idx="1143">
                  <c:v>-132.87639392875965</c:v>
                </c:pt>
                <c:pt idx="1144">
                  <c:v>-158.68993708762062</c:v>
                </c:pt>
                <c:pt idx="1145">
                  <c:v>-186.10884330940934</c:v>
                </c:pt>
                <c:pt idx="1146">
                  <c:v>-211.80504132766364</c:v>
                </c:pt>
                <c:pt idx="1147">
                  <c:v>-233.17884953601123</c:v>
                </c:pt>
                <c:pt idx="1148">
                  <c:v>-250.25465027000496</c:v>
                </c:pt>
                <c:pt idx="1149">
                  <c:v>-264.34287121295893</c:v>
                </c:pt>
                <c:pt idx="1150">
                  <c:v>-276.33183116710035</c:v>
                </c:pt>
                <c:pt idx="1151">
                  <c:v>-286.86043550691704</c:v>
                </c:pt>
                <c:pt idx="1152">
                  <c:v>-296.4241215514287</c:v>
                </c:pt>
                <c:pt idx="1153">
                  <c:v>-305.55390306471463</c:v>
                </c:pt>
                <c:pt idx="1154">
                  <c:v>-311.83768912797734</c:v>
                </c:pt>
                <c:pt idx="1155">
                  <c:v>-306.91708439869353</c:v>
                </c:pt>
                <c:pt idx="1156">
                  <c:v>-299.07948892930887</c:v>
                </c:pt>
                <c:pt idx="1157">
                  <c:v>-290.87537534278727</c:v>
                </c:pt>
                <c:pt idx="1158">
                  <c:v>-281.71493173458981</c:v>
                </c:pt>
                <c:pt idx="1159">
                  <c:v>-271.13323823362202</c:v>
                </c:pt>
                <c:pt idx="1160">
                  <c:v>-258.52455528820633</c:v>
                </c:pt>
                <c:pt idx="1161">
                  <c:v>-243.03987113125143</c:v>
                </c:pt>
                <c:pt idx="1162">
                  <c:v>-223.41892903971782</c:v>
                </c:pt>
                <c:pt idx="1163">
                  <c:v>-199.57730022389708</c:v>
                </c:pt>
                <c:pt idx="1164">
                  <c:v>-173.88829303410321</c:v>
                </c:pt>
                <c:pt idx="1165">
                  <c:v>-149.50631810083607</c:v>
                </c:pt>
                <c:pt idx="1166">
                  <c:v>-127.29302804317953</c:v>
                </c:pt>
                <c:pt idx="1167">
                  <c:v>-106.57495383699384</c:v>
                </c:pt>
                <c:pt idx="1168">
                  <c:v>-86.819626835471539</c:v>
                </c:pt>
                <c:pt idx="1169">
                  <c:v>-67.57390656672797</c:v>
                </c:pt>
                <c:pt idx="1170">
                  <c:v>-48.41760855263334</c:v>
                </c:pt>
                <c:pt idx="1171">
                  <c:v>-30.212182061977092</c:v>
                </c:pt>
                <c:pt idx="1172">
                  <c:v>-10.889612060877351</c:v>
                </c:pt>
                <c:pt idx="1173">
                  <c:v>8.824223888384342</c:v>
                </c:pt>
                <c:pt idx="1174">
                  <c:v>27.622164239531944</c:v>
                </c:pt>
                <c:pt idx="1175">
                  <c:v>47.398927488917579</c:v>
                </c:pt>
                <c:pt idx="1176">
                  <c:v>67.332204462565741</c:v>
                </c:pt>
                <c:pt idx="1177">
                  <c:v>87.875716050671969</c:v>
                </c:pt>
                <c:pt idx="1178">
                  <c:v>109.52606668368679</c:v>
                </c:pt>
                <c:pt idx="1179">
                  <c:v>132.8763939287596</c:v>
                </c:pt>
                <c:pt idx="1180">
                  <c:v>158.68993708762062</c:v>
                </c:pt>
                <c:pt idx="1181">
                  <c:v>186.10884330940942</c:v>
                </c:pt>
                <c:pt idx="1182">
                  <c:v>211.80504132766376</c:v>
                </c:pt>
                <c:pt idx="1183">
                  <c:v>233.17884953601137</c:v>
                </c:pt>
                <c:pt idx="1184">
                  <c:v>250.25465027000516</c:v>
                </c:pt>
                <c:pt idx="1185">
                  <c:v>264.3428712129591</c:v>
                </c:pt>
                <c:pt idx="1186">
                  <c:v>276.33183116710023</c:v>
                </c:pt>
                <c:pt idx="1187">
                  <c:v>286.86043550691716</c:v>
                </c:pt>
                <c:pt idx="1188">
                  <c:v>296.42412155142893</c:v>
                </c:pt>
                <c:pt idx="1189">
                  <c:v>305.55390306471475</c:v>
                </c:pt>
                <c:pt idx="1190">
                  <c:v>311.83768912797746</c:v>
                </c:pt>
                <c:pt idx="1191">
                  <c:v>306.91708439869365</c:v>
                </c:pt>
                <c:pt idx="1192">
                  <c:v>299.07948892930915</c:v>
                </c:pt>
                <c:pt idx="1193">
                  <c:v>290.87537534278749</c:v>
                </c:pt>
                <c:pt idx="1194">
                  <c:v>281.71493173459004</c:v>
                </c:pt>
                <c:pt idx="1195">
                  <c:v>271.13323823362231</c:v>
                </c:pt>
                <c:pt idx="1196">
                  <c:v>258.52455528820639</c:v>
                </c:pt>
                <c:pt idx="1197">
                  <c:v>243.03987113125149</c:v>
                </c:pt>
                <c:pt idx="1198">
                  <c:v>223.41892903971794</c:v>
                </c:pt>
                <c:pt idx="1199">
                  <c:v>199.57730022389723</c:v>
                </c:pt>
                <c:pt idx="1200">
                  <c:v>173.88829303410338</c:v>
                </c:pt>
                <c:pt idx="1201">
                  <c:v>149.50631810083627</c:v>
                </c:pt>
                <c:pt idx="1202">
                  <c:v>127.29302804317983</c:v>
                </c:pt>
                <c:pt idx="1203">
                  <c:v>106.57495383699406</c:v>
                </c:pt>
                <c:pt idx="1204">
                  <c:v>86.819626835471837</c:v>
                </c:pt>
                <c:pt idx="1205">
                  <c:v>67.573906566728041</c:v>
                </c:pt>
                <c:pt idx="1206">
                  <c:v>48.417608552633354</c:v>
                </c:pt>
                <c:pt idx="1207">
                  <c:v>10.634821367141294</c:v>
                </c:pt>
                <c:pt idx="1208">
                  <c:v>-6.8344771419955661</c:v>
                </c:pt>
                <c:pt idx="1209">
                  <c:v>-26.557901835525268</c:v>
                </c:pt>
                <c:pt idx="1210">
                  <c:v>-46.06666606394537</c:v>
                </c:pt>
                <c:pt idx="1211">
                  <c:v>-65.791857914383286</c:v>
                </c:pt>
                <c:pt idx="1212">
                  <c:v>-86.174039970614416</c:v>
                </c:pt>
                <c:pt idx="1213">
                  <c:v>-107.70106554610611</c:v>
                </c:pt>
                <c:pt idx="1214">
                  <c:v>-130.96038770898755</c:v>
                </c:pt>
                <c:pt idx="1215">
                  <c:v>-156.71182445970706</c:v>
                </c:pt>
                <c:pt idx="1216">
                  <c:v>-184.62445188697237</c:v>
                </c:pt>
                <c:pt idx="1217">
                  <c:v>-210.76062721636919</c:v>
                </c:pt>
                <c:pt idx="1218">
                  <c:v>-231.75711801265794</c:v>
                </c:pt>
                <c:pt idx="1219">
                  <c:v>-248.42825051527709</c:v>
                </c:pt>
                <c:pt idx="1220">
                  <c:v>-262.07630403486485</c:v>
                </c:pt>
                <c:pt idx="1221">
                  <c:v>-273.57895212797683</c:v>
                </c:pt>
                <c:pt idx="1222">
                  <c:v>-283.56091743712631</c:v>
                </c:pt>
                <c:pt idx="1223">
                  <c:v>-292.49812841435772</c:v>
                </c:pt>
                <c:pt idx="1224">
                  <c:v>-300.2560013061165</c:v>
                </c:pt>
                <c:pt idx="1225">
                  <c:v>-304.5414382880187</c:v>
                </c:pt>
                <c:pt idx="1226">
                  <c:v>-301.4671090574069</c:v>
                </c:pt>
                <c:pt idx="1227">
                  <c:v>-295.06948844014613</c:v>
                </c:pt>
                <c:pt idx="1228">
                  <c:v>-287.47463939202953</c:v>
                </c:pt>
                <c:pt idx="1229">
                  <c:v>-278.84761892202033</c:v>
                </c:pt>
                <c:pt idx="1230">
                  <c:v>-268.74214354624598</c:v>
                </c:pt>
                <c:pt idx="1231">
                  <c:v>-256.56607914007765</c:v>
                </c:pt>
                <c:pt idx="1232">
                  <c:v>-241.48068767780669</c:v>
                </c:pt>
                <c:pt idx="1233">
                  <c:v>-222.23364146587383</c:v>
                </c:pt>
                <c:pt idx="1234">
                  <c:v>-197.98548530904657</c:v>
                </c:pt>
                <c:pt idx="1235">
                  <c:v>-171.83231750760751</c:v>
                </c:pt>
                <c:pt idx="1236">
                  <c:v>-147.48621603628482</c:v>
                </c:pt>
                <c:pt idx="1237">
                  <c:v>-125.33585612664045</c:v>
                </c:pt>
                <c:pt idx="1238">
                  <c:v>-104.71062862056179</c:v>
                </c:pt>
                <c:pt idx="1239">
                  <c:v>-85.083018863136843</c:v>
                </c:pt>
                <c:pt idx="1240">
                  <c:v>-66.007667115568168</c:v>
                </c:pt>
                <c:pt idx="1241">
                  <c:v>-47.076215144517093</c:v>
                </c:pt>
                <c:pt idx="1242">
                  <c:v>-27.84711117685767</c:v>
                </c:pt>
                <c:pt idx="1243">
                  <c:v>-10.634821367141175</c:v>
                </c:pt>
                <c:pt idx="1244">
                  <c:v>6.8344771419956816</c:v>
                </c:pt>
                <c:pt idx="1245">
                  <c:v>26.557901835525428</c:v>
                </c:pt>
                <c:pt idx="1246">
                  <c:v>46.066666063945483</c:v>
                </c:pt>
                <c:pt idx="1247">
                  <c:v>65.791857914383428</c:v>
                </c:pt>
                <c:pt idx="1248">
                  <c:v>86.174039970614487</c:v>
                </c:pt>
                <c:pt idx="1249">
                  <c:v>107.70106554610625</c:v>
                </c:pt>
                <c:pt idx="1250">
                  <c:v>130.96038770898753</c:v>
                </c:pt>
                <c:pt idx="1251">
                  <c:v>156.71182445970715</c:v>
                </c:pt>
                <c:pt idx="1252">
                  <c:v>184.62445188697248</c:v>
                </c:pt>
                <c:pt idx="1253">
                  <c:v>210.76062721636933</c:v>
                </c:pt>
                <c:pt idx="1254">
                  <c:v>231.75711801265811</c:v>
                </c:pt>
                <c:pt idx="1255">
                  <c:v>248.42825051527737</c:v>
                </c:pt>
                <c:pt idx="1256">
                  <c:v>262.07630403486496</c:v>
                </c:pt>
                <c:pt idx="1257">
                  <c:v>273.57895212797683</c:v>
                </c:pt>
                <c:pt idx="1258">
                  <c:v>283.56091743712642</c:v>
                </c:pt>
                <c:pt idx="1259">
                  <c:v>292.49812841435806</c:v>
                </c:pt>
                <c:pt idx="1260">
                  <c:v>300.25600130611667</c:v>
                </c:pt>
                <c:pt idx="1261">
                  <c:v>304.54143828801881</c:v>
                </c:pt>
                <c:pt idx="1262">
                  <c:v>301.46710905740701</c:v>
                </c:pt>
                <c:pt idx="1263">
                  <c:v>295.06948844014642</c:v>
                </c:pt>
                <c:pt idx="1264">
                  <c:v>287.47463939202964</c:v>
                </c:pt>
                <c:pt idx="1265">
                  <c:v>278.84761892202056</c:v>
                </c:pt>
                <c:pt idx="1266">
                  <c:v>268.7421435462461</c:v>
                </c:pt>
                <c:pt idx="1267">
                  <c:v>256.5660791400777</c:v>
                </c:pt>
                <c:pt idx="1268">
                  <c:v>241.48068767780677</c:v>
                </c:pt>
                <c:pt idx="1269">
                  <c:v>222.233641465874</c:v>
                </c:pt>
                <c:pt idx="1270">
                  <c:v>197.98548530904677</c:v>
                </c:pt>
                <c:pt idx="1271">
                  <c:v>171.83231750760771</c:v>
                </c:pt>
                <c:pt idx="1272">
                  <c:v>147.48621603628501</c:v>
                </c:pt>
                <c:pt idx="1273">
                  <c:v>125.33585612664082</c:v>
                </c:pt>
                <c:pt idx="1274">
                  <c:v>104.71062862056202</c:v>
                </c:pt>
                <c:pt idx="1275">
                  <c:v>85.08301886313717</c:v>
                </c:pt>
                <c:pt idx="1276">
                  <c:v>66.007667115568282</c:v>
                </c:pt>
                <c:pt idx="1277">
                  <c:v>47.076215144517171</c:v>
                </c:pt>
                <c:pt idx="1278">
                  <c:v>10.339657924262767</c:v>
                </c:pt>
                <c:pt idx="1279">
                  <c:v>-7.4964208910993202</c:v>
                </c:pt>
                <c:pt idx="1280">
                  <c:v>-25.661249791220175</c:v>
                </c:pt>
                <c:pt idx="1281">
                  <c:v>-44.924285230075867</c:v>
                </c:pt>
                <c:pt idx="1282">
                  <c:v>-64.457562937769552</c:v>
                </c:pt>
                <c:pt idx="1283">
                  <c:v>-84.68990782247738</c:v>
                </c:pt>
                <c:pt idx="1284">
                  <c:v>-106.10139066801331</c:v>
                </c:pt>
                <c:pt idx="1285">
                  <c:v>-129.27441367682022</c:v>
                </c:pt>
                <c:pt idx="1286">
                  <c:v>-154.96581927255787</c:v>
                </c:pt>
                <c:pt idx="1287">
                  <c:v>-181.81629068441188</c:v>
                </c:pt>
                <c:pt idx="1288">
                  <c:v>-206.89551654747845</c:v>
                </c:pt>
                <c:pt idx="1289">
                  <c:v>-227.64355317350183</c:v>
                </c:pt>
                <c:pt idx="1290">
                  <c:v>-244.04028240947369</c:v>
                </c:pt>
                <c:pt idx="1291">
                  <c:v>-257.38205035030188</c:v>
                </c:pt>
                <c:pt idx="1292">
                  <c:v>-268.5383954105825</c:v>
                </c:pt>
                <c:pt idx="1293">
                  <c:v>-278.12275588162663</c:v>
                </c:pt>
                <c:pt idx="1294">
                  <c:v>-286.59523623949565</c:v>
                </c:pt>
                <c:pt idx="1295">
                  <c:v>-292.83876285959133</c:v>
                </c:pt>
                <c:pt idx="1296">
                  <c:v>-296.08906317789166</c:v>
                </c:pt>
                <c:pt idx="1297">
                  <c:v>-294.07804608661235</c:v>
                </c:pt>
                <c:pt idx="1298">
                  <c:v>-289.08948198532806</c:v>
                </c:pt>
                <c:pt idx="1299">
                  <c:v>-281.94331535052447</c:v>
                </c:pt>
                <c:pt idx="1300">
                  <c:v>-273.70145068494287</c:v>
                </c:pt>
                <c:pt idx="1301">
                  <c:v>-263.93264634299595</c:v>
                </c:pt>
                <c:pt idx="1302">
                  <c:v>-252.05553589900524</c:v>
                </c:pt>
                <c:pt idx="1303">
                  <c:v>-237.23918314347426</c:v>
                </c:pt>
                <c:pt idx="1304">
                  <c:v>-218.23700001428304</c:v>
                </c:pt>
                <c:pt idx="1305">
                  <c:v>-194.97410110271551</c:v>
                </c:pt>
                <c:pt idx="1306">
                  <c:v>-169.81177388685771</c:v>
                </c:pt>
                <c:pt idx="1307">
                  <c:v>-145.50847655243834</c:v>
                </c:pt>
                <c:pt idx="1308">
                  <c:v>-123.42543838498374</c:v>
                </c:pt>
                <c:pt idx="1309">
                  <c:v>-102.89461817836448</c:v>
                </c:pt>
                <c:pt idx="1310">
                  <c:v>-83.392995612512166</c:v>
                </c:pt>
                <c:pt idx="1311">
                  <c:v>-64.482223403722571</c:v>
                </c:pt>
                <c:pt idx="1312">
                  <c:v>-45.764603136271091</c:v>
                </c:pt>
                <c:pt idx="1313">
                  <c:v>-27.992007487141844</c:v>
                </c:pt>
                <c:pt idx="1314">
                  <c:v>-10.339657924262637</c:v>
                </c:pt>
                <c:pt idx="1315">
                  <c:v>7.4964208910994463</c:v>
                </c:pt>
                <c:pt idx="1316">
                  <c:v>25.661249791220349</c:v>
                </c:pt>
                <c:pt idx="1317">
                  <c:v>44.924285230075981</c:v>
                </c:pt>
                <c:pt idx="1318">
                  <c:v>64.457562937769637</c:v>
                </c:pt>
                <c:pt idx="1319">
                  <c:v>84.689907822477579</c:v>
                </c:pt>
                <c:pt idx="1320">
                  <c:v>106.10139066801348</c:v>
                </c:pt>
                <c:pt idx="1321">
                  <c:v>129.27441367682022</c:v>
                </c:pt>
                <c:pt idx="1322">
                  <c:v>154.96581927255792</c:v>
                </c:pt>
                <c:pt idx="1323">
                  <c:v>181.81629068441202</c:v>
                </c:pt>
                <c:pt idx="1324">
                  <c:v>206.89551654747859</c:v>
                </c:pt>
                <c:pt idx="1325">
                  <c:v>227.64355317350208</c:v>
                </c:pt>
                <c:pt idx="1326">
                  <c:v>244.04028240947395</c:v>
                </c:pt>
                <c:pt idx="1327">
                  <c:v>257.38205035030199</c:v>
                </c:pt>
                <c:pt idx="1328">
                  <c:v>268.53839541058244</c:v>
                </c:pt>
                <c:pt idx="1329">
                  <c:v>278.12275588162674</c:v>
                </c:pt>
                <c:pt idx="1330">
                  <c:v>286.59523623949599</c:v>
                </c:pt>
                <c:pt idx="1331">
                  <c:v>292.83876285959144</c:v>
                </c:pt>
                <c:pt idx="1332">
                  <c:v>296.08906317789177</c:v>
                </c:pt>
                <c:pt idx="1333">
                  <c:v>294.07804608661246</c:v>
                </c:pt>
                <c:pt idx="1334">
                  <c:v>289.08948198532835</c:v>
                </c:pt>
                <c:pt idx="1335">
                  <c:v>281.9433153505247</c:v>
                </c:pt>
                <c:pt idx="1336">
                  <c:v>273.7014506849431</c:v>
                </c:pt>
                <c:pt idx="1337">
                  <c:v>263.93264634299629</c:v>
                </c:pt>
                <c:pt idx="1338">
                  <c:v>252.05553589900538</c:v>
                </c:pt>
                <c:pt idx="1339">
                  <c:v>237.23918314347429</c:v>
                </c:pt>
                <c:pt idx="1340">
                  <c:v>218.23700001428324</c:v>
                </c:pt>
                <c:pt idx="1341">
                  <c:v>194.97410110271576</c:v>
                </c:pt>
                <c:pt idx="1342">
                  <c:v>169.81177388685788</c:v>
                </c:pt>
                <c:pt idx="1343">
                  <c:v>145.50847655243851</c:v>
                </c:pt>
                <c:pt idx="1344">
                  <c:v>123.4254383849841</c:v>
                </c:pt>
                <c:pt idx="1345">
                  <c:v>102.89461817836478</c:v>
                </c:pt>
                <c:pt idx="1346">
                  <c:v>83.392995612512408</c:v>
                </c:pt>
                <c:pt idx="1347">
                  <c:v>64.482223403722713</c:v>
                </c:pt>
                <c:pt idx="1348">
                  <c:v>45.764603136271219</c:v>
                </c:pt>
                <c:pt idx="1349">
                  <c:v>9.9758803970365086</c:v>
                </c:pt>
                <c:pt idx="1350">
                  <c:v>-7.4659825555954127</c:v>
                </c:pt>
                <c:pt idx="1351">
                  <c:v>-26.166031477751385</c:v>
                </c:pt>
                <c:pt idx="1352">
                  <c:v>-43.972019768472549</c:v>
                </c:pt>
                <c:pt idx="1353">
                  <c:v>-63.328032200495258</c:v>
                </c:pt>
                <c:pt idx="1354">
                  <c:v>-83.420922988805003</c:v>
                </c:pt>
                <c:pt idx="1355">
                  <c:v>-104.72386364551258</c:v>
                </c:pt>
                <c:pt idx="1356">
                  <c:v>-127.81480369710053</c:v>
                </c:pt>
                <c:pt idx="1357">
                  <c:v>-152.0799353819483</c:v>
                </c:pt>
                <c:pt idx="1358">
                  <c:v>-177.47279168719777</c:v>
                </c:pt>
                <c:pt idx="1359">
                  <c:v>-201.02318123850023</c:v>
                </c:pt>
                <c:pt idx="1360">
                  <c:v>-220.6529217607268</c:v>
                </c:pt>
                <c:pt idx="1361">
                  <c:v>-236.88842397051522</c:v>
                </c:pt>
                <c:pt idx="1362">
                  <c:v>-250.04033785664618</c:v>
                </c:pt>
                <c:pt idx="1363">
                  <c:v>-260.97236893307894</c:v>
                </c:pt>
                <c:pt idx="1364">
                  <c:v>-270.28939736724607</c:v>
                </c:pt>
                <c:pt idx="1365">
                  <c:v>-277.45882347730821</c:v>
                </c:pt>
                <c:pt idx="1366">
                  <c:v>-283.06719072906452</c:v>
                </c:pt>
                <c:pt idx="1367">
                  <c:v>-285.67183776960758</c:v>
                </c:pt>
                <c:pt idx="1368">
                  <c:v>-284.28048431708737</c:v>
                </c:pt>
                <c:pt idx="1369">
                  <c:v>-279.96605680841452</c:v>
                </c:pt>
                <c:pt idx="1370">
                  <c:v>-274.02423968516456</c:v>
                </c:pt>
                <c:pt idx="1371">
                  <c:v>-266.03796425845201</c:v>
                </c:pt>
                <c:pt idx="1372">
                  <c:v>-256.48427007186604</c:v>
                </c:pt>
                <c:pt idx="1373">
                  <c:v>-244.78988727759838</c:v>
                </c:pt>
                <c:pt idx="1374">
                  <c:v>-230.12941544870333</c:v>
                </c:pt>
                <c:pt idx="1375">
                  <c:v>-212.14852440087242</c:v>
                </c:pt>
                <c:pt idx="1376">
                  <c:v>-190.3162686860795</c:v>
                </c:pt>
                <c:pt idx="1377">
                  <c:v>-166.50820927509307</c:v>
                </c:pt>
                <c:pt idx="1378">
                  <c:v>-143.55646978574234</c:v>
                </c:pt>
                <c:pt idx="1379">
                  <c:v>-121.54444092178237</c:v>
                </c:pt>
                <c:pt idx="1380">
                  <c:v>-101.10915206417449</c:v>
                </c:pt>
                <c:pt idx="1381">
                  <c:v>-81.731638565645909</c:v>
                </c:pt>
                <c:pt idx="1382">
                  <c:v>-62.979870819194595</c:v>
                </c:pt>
                <c:pt idx="1383">
                  <c:v>-45.631737231174291</c:v>
                </c:pt>
                <c:pt idx="1384">
                  <c:v>-27.278199937561062</c:v>
                </c:pt>
                <c:pt idx="1385">
                  <c:v>-9.9758803970363648</c:v>
                </c:pt>
                <c:pt idx="1386">
                  <c:v>7.465982555595553</c:v>
                </c:pt>
                <c:pt idx="1387">
                  <c:v>26.166031477751574</c:v>
                </c:pt>
                <c:pt idx="1388">
                  <c:v>43.972019768472656</c:v>
                </c:pt>
                <c:pt idx="1389">
                  <c:v>63.328032200495414</c:v>
                </c:pt>
                <c:pt idx="1390">
                  <c:v>83.420922988805145</c:v>
                </c:pt>
                <c:pt idx="1391">
                  <c:v>104.72386364551274</c:v>
                </c:pt>
                <c:pt idx="1392">
                  <c:v>127.81480369710053</c:v>
                </c:pt>
                <c:pt idx="1393">
                  <c:v>152.07993538194842</c:v>
                </c:pt>
                <c:pt idx="1394">
                  <c:v>177.47279168719794</c:v>
                </c:pt>
                <c:pt idx="1395">
                  <c:v>201.0231812385004</c:v>
                </c:pt>
                <c:pt idx="1396">
                  <c:v>220.65292176072697</c:v>
                </c:pt>
                <c:pt idx="1397">
                  <c:v>236.88842397051553</c:v>
                </c:pt>
                <c:pt idx="1398">
                  <c:v>250.04033785664632</c:v>
                </c:pt>
                <c:pt idx="1399">
                  <c:v>260.97236893307894</c:v>
                </c:pt>
                <c:pt idx="1400">
                  <c:v>270.28939736724612</c:v>
                </c:pt>
                <c:pt idx="1401">
                  <c:v>277.45882347730861</c:v>
                </c:pt>
                <c:pt idx="1402">
                  <c:v>283.06719072906481</c:v>
                </c:pt>
                <c:pt idx="1403">
                  <c:v>285.67183776960781</c:v>
                </c:pt>
                <c:pt idx="1404">
                  <c:v>284.28048431708754</c:v>
                </c:pt>
                <c:pt idx="1405">
                  <c:v>279.96605680841486</c:v>
                </c:pt>
                <c:pt idx="1406">
                  <c:v>274.02423968516496</c:v>
                </c:pt>
                <c:pt idx="1407">
                  <c:v>266.03796425845223</c:v>
                </c:pt>
                <c:pt idx="1408">
                  <c:v>256.48427007186649</c:v>
                </c:pt>
                <c:pt idx="1409">
                  <c:v>244.78988727759855</c:v>
                </c:pt>
                <c:pt idx="1410">
                  <c:v>230.12941544870338</c:v>
                </c:pt>
                <c:pt idx="1411">
                  <c:v>212.14852440087259</c:v>
                </c:pt>
                <c:pt idx="1412">
                  <c:v>190.31626868607967</c:v>
                </c:pt>
                <c:pt idx="1413">
                  <c:v>166.50820927509326</c:v>
                </c:pt>
                <c:pt idx="1414">
                  <c:v>143.55646978574256</c:v>
                </c:pt>
                <c:pt idx="1415">
                  <c:v>121.54444092178272</c:v>
                </c:pt>
                <c:pt idx="1416">
                  <c:v>101.10915206417481</c:v>
                </c:pt>
                <c:pt idx="1417">
                  <c:v>81.731638565646207</c:v>
                </c:pt>
                <c:pt idx="1418">
                  <c:v>62.979870819194716</c:v>
                </c:pt>
                <c:pt idx="1419">
                  <c:v>45.631737231174434</c:v>
                </c:pt>
                <c:pt idx="1420">
                  <c:v>9.5324875222870116</c:v>
                </c:pt>
                <c:pt idx="1421">
                  <c:v>-7.6622035871404393</c:v>
                </c:pt>
                <c:pt idx="1422">
                  <c:v>-25.628430685983357</c:v>
                </c:pt>
                <c:pt idx="1423">
                  <c:v>-44.434238811393968</c:v>
                </c:pt>
                <c:pt idx="1424">
                  <c:v>-62.401639794294262</c:v>
                </c:pt>
                <c:pt idx="1425">
                  <c:v>-82.364473130610108</c:v>
                </c:pt>
                <c:pt idx="1426">
                  <c:v>-103.56520967923929</c:v>
                </c:pt>
                <c:pt idx="1427">
                  <c:v>-125.24118492279575</c:v>
                </c:pt>
                <c:pt idx="1428">
                  <c:v>-149.47079325947473</c:v>
                </c:pt>
                <c:pt idx="1429">
                  <c:v>-171.47900343605255</c:v>
                </c:pt>
                <c:pt idx="1430">
                  <c:v>-191.95592283473363</c:v>
                </c:pt>
                <c:pt idx="1431">
                  <c:v>-211.45548970889425</c:v>
                </c:pt>
                <c:pt idx="1432">
                  <c:v>-226.78641832316367</c:v>
                </c:pt>
                <c:pt idx="1433">
                  <c:v>-239.84847064148676</c:v>
                </c:pt>
                <c:pt idx="1434">
                  <c:v>-250.66100349064553</c:v>
                </c:pt>
                <c:pt idx="1435">
                  <c:v>-259.24200904903699</c:v>
                </c:pt>
                <c:pt idx="1436">
                  <c:v>-266.07761768705069</c:v>
                </c:pt>
                <c:pt idx="1437">
                  <c:v>-270.7249768936656</c:v>
                </c:pt>
                <c:pt idx="1438">
                  <c:v>-272.97472710444066</c:v>
                </c:pt>
                <c:pt idx="1439">
                  <c:v>-271.92185316457858</c:v>
                </c:pt>
                <c:pt idx="1440">
                  <c:v>-268.51946656410956</c:v>
                </c:pt>
                <c:pt idx="1441">
                  <c:v>-262.98219627471036</c:v>
                </c:pt>
                <c:pt idx="1442">
                  <c:v>-255.63663984495625</c:v>
                </c:pt>
                <c:pt idx="1443">
                  <c:v>-246.19364118514869</c:v>
                </c:pt>
                <c:pt idx="1444">
                  <c:v>-234.58219258403344</c:v>
                </c:pt>
                <c:pt idx="1445">
                  <c:v>-220.72955924914663</c:v>
                </c:pt>
                <c:pt idx="1446">
                  <c:v>-202.87667568567591</c:v>
                </c:pt>
                <c:pt idx="1447">
                  <c:v>-183.88871771103777</c:v>
                </c:pt>
                <c:pt idx="1448">
                  <c:v>-163.25865142023375</c:v>
                </c:pt>
                <c:pt idx="1449">
                  <c:v>-140.33341939523925</c:v>
                </c:pt>
                <c:pt idx="1450">
                  <c:v>-119.67655659145747</c:v>
                </c:pt>
                <c:pt idx="1451">
                  <c:v>-99.337437680990362</c:v>
                </c:pt>
                <c:pt idx="1452">
                  <c:v>-80.08194309143191</c:v>
                </c:pt>
                <c:pt idx="1453">
                  <c:v>-62.670709908515761</c:v>
                </c:pt>
                <c:pt idx="1454">
                  <c:v>-44.29697223607868</c:v>
                </c:pt>
                <c:pt idx="1455">
                  <c:v>-26.611848455031993</c:v>
                </c:pt>
                <c:pt idx="1456">
                  <c:v>-9.5324875222868517</c:v>
                </c:pt>
                <c:pt idx="1457">
                  <c:v>7.6622035871405885</c:v>
                </c:pt>
                <c:pt idx="1458">
                  <c:v>25.628430685983584</c:v>
                </c:pt>
                <c:pt idx="1459">
                  <c:v>44.43423881139416</c:v>
                </c:pt>
                <c:pt idx="1460">
                  <c:v>62.40163979429439</c:v>
                </c:pt>
                <c:pt idx="1461">
                  <c:v>82.364473130610321</c:v>
                </c:pt>
                <c:pt idx="1462">
                  <c:v>103.56520967923949</c:v>
                </c:pt>
                <c:pt idx="1463">
                  <c:v>125.24118492279575</c:v>
                </c:pt>
                <c:pt idx="1464">
                  <c:v>149.4707932594749</c:v>
                </c:pt>
                <c:pt idx="1465">
                  <c:v>171.47900343605266</c:v>
                </c:pt>
                <c:pt idx="1466">
                  <c:v>191.95592283473377</c:v>
                </c:pt>
                <c:pt idx="1467">
                  <c:v>211.45548970889448</c:v>
                </c:pt>
                <c:pt idx="1468">
                  <c:v>226.78641832316399</c:v>
                </c:pt>
                <c:pt idx="1469">
                  <c:v>239.8484706414869</c:v>
                </c:pt>
                <c:pt idx="1470">
                  <c:v>250.66100349064558</c:v>
                </c:pt>
                <c:pt idx="1471">
                  <c:v>259.24200904903722</c:v>
                </c:pt>
                <c:pt idx="1472">
                  <c:v>266.07761768705103</c:v>
                </c:pt>
                <c:pt idx="1473">
                  <c:v>270.72497689366583</c:v>
                </c:pt>
                <c:pt idx="1474">
                  <c:v>272.97472710444094</c:v>
                </c:pt>
                <c:pt idx="1475">
                  <c:v>271.92185316457881</c:v>
                </c:pt>
                <c:pt idx="1476">
                  <c:v>268.5194665641099</c:v>
                </c:pt>
                <c:pt idx="1477">
                  <c:v>262.98219627471076</c:v>
                </c:pt>
                <c:pt idx="1478">
                  <c:v>255.63663984495642</c:v>
                </c:pt>
                <c:pt idx="1479">
                  <c:v>246.193641185149</c:v>
                </c:pt>
                <c:pt idx="1480">
                  <c:v>234.58219258403352</c:v>
                </c:pt>
                <c:pt idx="1481">
                  <c:v>220.72955924914672</c:v>
                </c:pt>
                <c:pt idx="1482">
                  <c:v>202.87667568567616</c:v>
                </c:pt>
                <c:pt idx="1483">
                  <c:v>183.888717711038</c:v>
                </c:pt>
                <c:pt idx="1484">
                  <c:v>163.258651420234</c:v>
                </c:pt>
                <c:pt idx="1485">
                  <c:v>140.33341939523945</c:v>
                </c:pt>
                <c:pt idx="1486">
                  <c:v>119.67655659145785</c:v>
                </c:pt>
                <c:pt idx="1487">
                  <c:v>99.337437680990703</c:v>
                </c:pt>
                <c:pt idx="1488">
                  <c:v>80.081943091432194</c:v>
                </c:pt>
                <c:pt idx="1489">
                  <c:v>62.670709908515846</c:v>
                </c:pt>
                <c:pt idx="1490">
                  <c:v>44.296972236078823</c:v>
                </c:pt>
                <c:pt idx="1491">
                  <c:v>8.9993949769857515</c:v>
                </c:pt>
                <c:pt idx="1492">
                  <c:v>-7.9734586587207197</c:v>
                </c:pt>
                <c:pt idx="1493">
                  <c:v>-25.267125608995567</c:v>
                </c:pt>
                <c:pt idx="1494">
                  <c:v>-43.877001728746883</c:v>
                </c:pt>
                <c:pt idx="1495">
                  <c:v>-62.902017465664251</c:v>
                </c:pt>
                <c:pt idx="1496">
                  <c:v>-82.738778680621422</c:v>
                </c:pt>
                <c:pt idx="1497">
                  <c:v>-101.29670313819663</c:v>
                </c:pt>
                <c:pt idx="1498">
                  <c:v>-123.9905871268562</c:v>
                </c:pt>
                <c:pt idx="1499">
                  <c:v>-144.91773933819121</c:v>
                </c:pt>
                <c:pt idx="1500">
                  <c:v>-163.70949210068434</c:v>
                </c:pt>
                <c:pt idx="1501">
                  <c:v>-181.25856952855673</c:v>
                </c:pt>
                <c:pt idx="1502">
                  <c:v>-198.25622797361061</c:v>
                </c:pt>
                <c:pt idx="1503">
                  <c:v>-214.27961370386211</c:v>
                </c:pt>
                <c:pt idx="1504">
                  <c:v>-226.00119773683551</c:v>
                </c:pt>
                <c:pt idx="1505">
                  <c:v>-236.78344490863481</c:v>
                </c:pt>
                <c:pt idx="1506">
                  <c:v>-245.21043016204396</c:v>
                </c:pt>
                <c:pt idx="1507">
                  <c:v>-251.91329444788568</c:v>
                </c:pt>
                <c:pt idx="1508">
                  <c:v>-255.69421524318253</c:v>
                </c:pt>
                <c:pt idx="1509">
                  <c:v>-257.70895395395945</c:v>
                </c:pt>
                <c:pt idx="1510">
                  <c:v>-256.87615300091937</c:v>
                </c:pt>
                <c:pt idx="1511">
                  <c:v>-254.29529057903301</c:v>
                </c:pt>
                <c:pt idx="1512">
                  <c:v>-248.87738788947121</c:v>
                </c:pt>
                <c:pt idx="1513">
                  <c:v>-241.76018349459943</c:v>
                </c:pt>
                <c:pt idx="1514">
                  <c:v>-232.33872864516715</c:v>
                </c:pt>
                <c:pt idx="1515">
                  <c:v>-221.8862181922423</c:v>
                </c:pt>
                <c:pt idx="1516">
                  <c:v>-207.41061594506508</c:v>
                </c:pt>
                <c:pt idx="1517">
                  <c:v>-191.8348199876649</c:v>
                </c:pt>
                <c:pt idx="1518">
                  <c:v>-175.55693686280682</c:v>
                </c:pt>
                <c:pt idx="1519">
                  <c:v>-157.94644759238207</c:v>
                </c:pt>
                <c:pt idx="1520">
                  <c:v>-138.15678547378508</c:v>
                </c:pt>
                <c:pt idx="1521">
                  <c:v>-116.52794961401702</c:v>
                </c:pt>
                <c:pt idx="1522">
                  <c:v>-98.744361598672029</c:v>
                </c:pt>
                <c:pt idx="1523">
                  <c:v>-79.61312920487822</c:v>
                </c:pt>
                <c:pt idx="1524">
                  <c:v>-61.130928531604482</c:v>
                </c:pt>
                <c:pt idx="1525">
                  <c:v>-42.944318921464507</c:v>
                </c:pt>
                <c:pt idx="1526">
                  <c:v>-25.872810336473258</c:v>
                </c:pt>
                <c:pt idx="1527">
                  <c:v>-8.9993949769855757</c:v>
                </c:pt>
                <c:pt idx="1528">
                  <c:v>7.9734586587208902</c:v>
                </c:pt>
                <c:pt idx="1529">
                  <c:v>25.267125608995716</c:v>
                </c:pt>
                <c:pt idx="1530">
                  <c:v>43.87700172874704</c:v>
                </c:pt>
                <c:pt idx="1531">
                  <c:v>62.902017465664393</c:v>
                </c:pt>
                <c:pt idx="1532">
                  <c:v>82.738778680621607</c:v>
                </c:pt>
                <c:pt idx="1533">
                  <c:v>101.2967031381969</c:v>
                </c:pt>
                <c:pt idx="1534">
                  <c:v>123.99058712685623</c:v>
                </c:pt>
                <c:pt idx="1535">
                  <c:v>144.91773933819144</c:v>
                </c:pt>
                <c:pt idx="1536">
                  <c:v>163.70949210068454</c:v>
                </c:pt>
                <c:pt idx="1537">
                  <c:v>181.25856952855696</c:v>
                </c:pt>
                <c:pt idx="1538">
                  <c:v>198.25622797361083</c:v>
                </c:pt>
                <c:pt idx="1539">
                  <c:v>214.27961370386248</c:v>
                </c:pt>
                <c:pt idx="1540">
                  <c:v>226.00119773683579</c:v>
                </c:pt>
                <c:pt idx="1541">
                  <c:v>236.783444908635</c:v>
                </c:pt>
                <c:pt idx="1542">
                  <c:v>245.21043016204416</c:v>
                </c:pt>
                <c:pt idx="1543">
                  <c:v>251.91329444788613</c:v>
                </c:pt>
                <c:pt idx="1544">
                  <c:v>255.69421524318275</c:v>
                </c:pt>
                <c:pt idx="1545">
                  <c:v>257.70895395395968</c:v>
                </c:pt>
                <c:pt idx="1546">
                  <c:v>256.87615300091971</c:v>
                </c:pt>
                <c:pt idx="1547">
                  <c:v>254.29529057903335</c:v>
                </c:pt>
                <c:pt idx="1548">
                  <c:v>248.87738788947144</c:v>
                </c:pt>
                <c:pt idx="1549">
                  <c:v>241.76018349459966</c:v>
                </c:pt>
                <c:pt idx="1550">
                  <c:v>232.33872864516763</c:v>
                </c:pt>
                <c:pt idx="1551">
                  <c:v>221.88621819224241</c:v>
                </c:pt>
                <c:pt idx="1552">
                  <c:v>207.41061594506519</c:v>
                </c:pt>
                <c:pt idx="1553">
                  <c:v>191.83481998766513</c:v>
                </c:pt>
                <c:pt idx="1554">
                  <c:v>175.55693686280708</c:v>
                </c:pt>
                <c:pt idx="1555">
                  <c:v>157.94644759238236</c:v>
                </c:pt>
                <c:pt idx="1556">
                  <c:v>138.15678547378533</c:v>
                </c:pt>
                <c:pt idx="1557">
                  <c:v>116.52794961401737</c:v>
                </c:pt>
                <c:pt idx="1558">
                  <c:v>98.74436159867237</c:v>
                </c:pt>
                <c:pt idx="1559">
                  <c:v>79.613129204878533</c:v>
                </c:pt>
                <c:pt idx="1560">
                  <c:v>61.130928531604589</c:v>
                </c:pt>
                <c:pt idx="1561">
                  <c:v>42.944318921464649</c:v>
                </c:pt>
                <c:pt idx="1562">
                  <c:v>8.3674969124336176</c:v>
                </c:pt>
                <c:pt idx="1563">
                  <c:v>-8.4060737339457283</c:v>
                </c:pt>
                <c:pt idx="1564">
                  <c:v>-25.102195501577459</c:v>
                </c:pt>
                <c:pt idx="1565">
                  <c:v>-43.512039282626638</c:v>
                </c:pt>
                <c:pt idx="1566">
                  <c:v>-62.386618857042585</c:v>
                </c:pt>
                <c:pt idx="1567">
                  <c:v>-80.793676615375617</c:v>
                </c:pt>
                <c:pt idx="1568">
                  <c:v>-101.79997704541741</c:v>
                </c:pt>
                <c:pt idx="1569">
                  <c:v>-120.80042274260063</c:v>
                </c:pt>
                <c:pt idx="1570">
                  <c:v>-138.26602254587047</c:v>
                </c:pt>
                <c:pt idx="1571">
                  <c:v>-154.02521248096417</c:v>
                </c:pt>
                <c:pt idx="1572">
                  <c:v>-168.80704532537436</c:v>
                </c:pt>
                <c:pt idx="1573">
                  <c:v>-183.17941549477038</c:v>
                </c:pt>
                <c:pt idx="1574">
                  <c:v>-196.89561962146001</c:v>
                </c:pt>
                <c:pt idx="1575">
                  <c:v>-210.02665733448859</c:v>
                </c:pt>
                <c:pt idx="1576">
                  <c:v>-220.0786694436884</c:v>
                </c:pt>
                <c:pt idx="1577">
                  <c:v>-228.09192669723109</c:v>
                </c:pt>
                <c:pt idx="1578">
                  <c:v>-234.71714591220839</c:v>
                </c:pt>
                <c:pt idx="1579">
                  <c:v>-237.73394828246285</c:v>
                </c:pt>
                <c:pt idx="1580">
                  <c:v>-239.61376092846015</c:v>
                </c:pt>
                <c:pt idx="1581">
                  <c:v>-238.90228029178016</c:v>
                </c:pt>
                <c:pt idx="1582">
                  <c:v>-237.04561776463783</c:v>
                </c:pt>
                <c:pt idx="1583">
                  <c:v>-231.69156212355881</c:v>
                </c:pt>
                <c:pt idx="1584">
                  <c:v>-224.97857648891767</c:v>
                </c:pt>
                <c:pt idx="1585">
                  <c:v>-216.18916525693675</c:v>
                </c:pt>
                <c:pt idx="1586">
                  <c:v>-204.49496650791349</c:v>
                </c:pt>
                <c:pt idx="1587">
                  <c:v>-192.07390940179579</c:v>
                </c:pt>
                <c:pt idx="1588">
                  <c:v>-178.88775708218512</c:v>
                </c:pt>
                <c:pt idx="1589">
                  <c:v>-165.17181841948917</c:v>
                </c:pt>
                <c:pt idx="1590">
                  <c:v>-150.40779259422362</c:v>
                </c:pt>
                <c:pt idx="1591">
                  <c:v>-133.90455760232558</c:v>
                </c:pt>
                <c:pt idx="1592">
                  <c:v>-115.81684517979878</c:v>
                </c:pt>
                <c:pt idx="1593">
                  <c:v>-95.677461109826424</c:v>
                </c:pt>
                <c:pt idx="1594">
                  <c:v>-77.928360352887125</c:v>
                </c:pt>
                <c:pt idx="1595">
                  <c:v>-59.568032511849033</c:v>
                </c:pt>
                <c:pt idx="1596">
                  <c:v>-41.576514226726637</c:v>
                </c:pt>
                <c:pt idx="1597">
                  <c:v>-25.050577603402846</c:v>
                </c:pt>
                <c:pt idx="1598">
                  <c:v>-8.3674969124334257</c:v>
                </c:pt>
                <c:pt idx="1599">
                  <c:v>8.4060737339459131</c:v>
                </c:pt>
                <c:pt idx="1600">
                  <c:v>25.102195501577729</c:v>
                </c:pt>
                <c:pt idx="1601">
                  <c:v>43.512039282626851</c:v>
                </c:pt>
                <c:pt idx="1602">
                  <c:v>62.386618857042677</c:v>
                </c:pt>
                <c:pt idx="1603">
                  <c:v>80.793676615375801</c:v>
                </c:pt>
                <c:pt idx="1604">
                  <c:v>101.79997704541763</c:v>
                </c:pt>
                <c:pt idx="1605">
                  <c:v>120.80042274260074</c:v>
                </c:pt>
                <c:pt idx="1606">
                  <c:v>138.2660225458707</c:v>
                </c:pt>
                <c:pt idx="1607">
                  <c:v>154.02521248096434</c:v>
                </c:pt>
                <c:pt idx="1608">
                  <c:v>168.80704532537459</c:v>
                </c:pt>
                <c:pt idx="1609">
                  <c:v>183.17941549477061</c:v>
                </c:pt>
                <c:pt idx="1610">
                  <c:v>196.8956196214603</c:v>
                </c:pt>
                <c:pt idx="1611">
                  <c:v>210.02665733448882</c:v>
                </c:pt>
                <c:pt idx="1612">
                  <c:v>220.07866944368848</c:v>
                </c:pt>
                <c:pt idx="1613">
                  <c:v>228.0919266972312</c:v>
                </c:pt>
                <c:pt idx="1614">
                  <c:v>234.71714591220899</c:v>
                </c:pt>
                <c:pt idx="1615">
                  <c:v>237.73394828246307</c:v>
                </c:pt>
                <c:pt idx="1616">
                  <c:v>239.61376092846038</c:v>
                </c:pt>
                <c:pt idx="1617">
                  <c:v>238.9022802917805</c:v>
                </c:pt>
                <c:pt idx="1618">
                  <c:v>237.04561776463817</c:v>
                </c:pt>
                <c:pt idx="1619">
                  <c:v>231.69156212355904</c:v>
                </c:pt>
                <c:pt idx="1620">
                  <c:v>224.97857648891795</c:v>
                </c:pt>
                <c:pt idx="1621">
                  <c:v>216.18916525693706</c:v>
                </c:pt>
                <c:pt idx="1622">
                  <c:v>204.49496650791372</c:v>
                </c:pt>
                <c:pt idx="1623">
                  <c:v>192.07390940179593</c:v>
                </c:pt>
                <c:pt idx="1624">
                  <c:v>178.88775708218526</c:v>
                </c:pt>
                <c:pt idx="1625">
                  <c:v>165.17181841948945</c:v>
                </c:pt>
                <c:pt idx="1626">
                  <c:v>150.40779259422393</c:v>
                </c:pt>
                <c:pt idx="1627">
                  <c:v>133.90455760232581</c:v>
                </c:pt>
                <c:pt idx="1628">
                  <c:v>115.81684517979926</c:v>
                </c:pt>
                <c:pt idx="1629">
                  <c:v>95.677461109826879</c:v>
                </c:pt>
                <c:pt idx="1630">
                  <c:v>77.928360352887509</c:v>
                </c:pt>
                <c:pt idx="1631">
                  <c:v>59.568032511849218</c:v>
                </c:pt>
                <c:pt idx="1632">
                  <c:v>41.576514226726736</c:v>
                </c:pt>
                <c:pt idx="1633">
                  <c:v>7.6286669524061708</c:v>
                </c:pt>
                <c:pt idx="1634">
                  <c:v>-8.9656250659184451</c:v>
                </c:pt>
                <c:pt idx="1635">
                  <c:v>-25.51534486436648</c:v>
                </c:pt>
                <c:pt idx="1636">
                  <c:v>-43.337809539984448</c:v>
                </c:pt>
                <c:pt idx="1637">
                  <c:v>-60.775391030660387</c:v>
                </c:pt>
                <c:pt idx="1638">
                  <c:v>-80.374275732134407</c:v>
                </c:pt>
                <c:pt idx="1639">
                  <c:v>-99.819265485573681</c:v>
                </c:pt>
                <c:pt idx="1640">
                  <c:v>-116.07222463062412</c:v>
                </c:pt>
                <c:pt idx="1641">
                  <c:v>-129.34079467658404</c:v>
                </c:pt>
                <c:pt idx="1642">
                  <c:v>-142.2693863908944</c:v>
                </c:pt>
                <c:pt idx="1643">
                  <c:v>-154.46151950144812</c:v>
                </c:pt>
                <c:pt idx="1644">
                  <c:v>-165.63954088171329</c:v>
                </c:pt>
                <c:pt idx="1645">
                  <c:v>-177.59071013199872</c:v>
                </c:pt>
                <c:pt idx="1646">
                  <c:v>-189.97180239057948</c:v>
                </c:pt>
                <c:pt idx="1647">
                  <c:v>-200.08366138129799</c:v>
                </c:pt>
                <c:pt idx="1648">
                  <c:v>-207.70645848841832</c:v>
                </c:pt>
                <c:pt idx="1649">
                  <c:v>-213.65604517016874</c:v>
                </c:pt>
                <c:pt idx="1650">
                  <c:v>-216.62917700155072</c:v>
                </c:pt>
                <c:pt idx="1651">
                  <c:v>-218.45643906010761</c:v>
                </c:pt>
                <c:pt idx="1652">
                  <c:v>-217.7851009511372</c:v>
                </c:pt>
                <c:pt idx="1653">
                  <c:v>-215.96197817890507</c:v>
                </c:pt>
                <c:pt idx="1654">
                  <c:v>-211.24413134859464</c:v>
                </c:pt>
                <c:pt idx="1655">
                  <c:v>-204.82207462949322</c:v>
                </c:pt>
                <c:pt idx="1656">
                  <c:v>-196.0560110345308</c:v>
                </c:pt>
                <c:pt idx="1657">
                  <c:v>-185.00441155225315</c:v>
                </c:pt>
                <c:pt idx="1658">
                  <c:v>-174.1605763823693</c:v>
                </c:pt>
                <c:pt idx="1659">
                  <c:v>-163.8830882155074</c:v>
                </c:pt>
                <c:pt idx="1660">
                  <c:v>-152.56523836000659</c:v>
                </c:pt>
                <c:pt idx="1661">
                  <c:v>-140.45763334160873</c:v>
                </c:pt>
                <c:pt idx="1662">
                  <c:v>-127.9383061988721</c:v>
                </c:pt>
                <c:pt idx="1663">
                  <c:v>-112.4813661487417</c:v>
                </c:pt>
                <c:pt idx="1664">
                  <c:v>-93.854664022156186</c:v>
                </c:pt>
                <c:pt idx="1665">
                  <c:v>-74.915010903779731</c:v>
                </c:pt>
                <c:pt idx="1666">
                  <c:v>-57.967886516114561</c:v>
                </c:pt>
                <c:pt idx="1667">
                  <c:v>-40.517936827239922</c:v>
                </c:pt>
                <c:pt idx="1668">
                  <c:v>-24.135705930228287</c:v>
                </c:pt>
                <c:pt idx="1669">
                  <c:v>-7.6286669524059629</c:v>
                </c:pt>
                <c:pt idx="1670">
                  <c:v>8.9656250659186707</c:v>
                </c:pt>
                <c:pt idx="1671">
                  <c:v>25.515344864366703</c:v>
                </c:pt>
                <c:pt idx="1672">
                  <c:v>43.337809539984654</c:v>
                </c:pt>
                <c:pt idx="1673">
                  <c:v>60.775391030660636</c:v>
                </c:pt>
                <c:pt idx="1674">
                  <c:v>80.374275732134606</c:v>
                </c:pt>
                <c:pt idx="1675">
                  <c:v>99.819265485573908</c:v>
                </c:pt>
                <c:pt idx="1676">
                  <c:v>116.07222463062428</c:v>
                </c:pt>
                <c:pt idx="1677">
                  <c:v>129.34079467658424</c:v>
                </c:pt>
                <c:pt idx="1678">
                  <c:v>142.26938639089462</c:v>
                </c:pt>
                <c:pt idx="1679">
                  <c:v>154.46151950144835</c:v>
                </c:pt>
                <c:pt idx="1680">
                  <c:v>165.6395408817136</c:v>
                </c:pt>
                <c:pt idx="1681">
                  <c:v>177.59071013199906</c:v>
                </c:pt>
                <c:pt idx="1682">
                  <c:v>189.97180239057982</c:v>
                </c:pt>
                <c:pt idx="1683">
                  <c:v>200.08366138129813</c:v>
                </c:pt>
                <c:pt idx="1684">
                  <c:v>207.70645848841863</c:v>
                </c:pt>
                <c:pt idx="1685">
                  <c:v>213.65604517016928</c:v>
                </c:pt>
                <c:pt idx="1686">
                  <c:v>216.62917700155094</c:v>
                </c:pt>
                <c:pt idx="1687">
                  <c:v>218.45643906010784</c:v>
                </c:pt>
                <c:pt idx="1688">
                  <c:v>217.78510095113751</c:v>
                </c:pt>
                <c:pt idx="1689">
                  <c:v>215.96197817890544</c:v>
                </c:pt>
                <c:pt idx="1690">
                  <c:v>211.24413134859486</c:v>
                </c:pt>
                <c:pt idx="1691">
                  <c:v>204.82207462949339</c:v>
                </c:pt>
                <c:pt idx="1692">
                  <c:v>196.05601103453117</c:v>
                </c:pt>
                <c:pt idx="1693">
                  <c:v>185.00441155225334</c:v>
                </c:pt>
                <c:pt idx="1694">
                  <c:v>174.1605763823695</c:v>
                </c:pt>
                <c:pt idx="1695">
                  <c:v>163.88308821550766</c:v>
                </c:pt>
                <c:pt idx="1696">
                  <c:v>152.56523836000684</c:v>
                </c:pt>
                <c:pt idx="1697">
                  <c:v>140.45763334160898</c:v>
                </c:pt>
                <c:pt idx="1698">
                  <c:v>127.93830619887235</c:v>
                </c:pt>
                <c:pt idx="1699">
                  <c:v>112.48136614874207</c:v>
                </c:pt>
                <c:pt idx="1700">
                  <c:v>93.854664022156527</c:v>
                </c:pt>
                <c:pt idx="1701">
                  <c:v>74.9150109037801</c:v>
                </c:pt>
                <c:pt idx="1702">
                  <c:v>57.967886516114774</c:v>
                </c:pt>
                <c:pt idx="1703">
                  <c:v>40.517936827240064</c:v>
                </c:pt>
                <c:pt idx="1704">
                  <c:v>6.7757126723886731</c:v>
                </c:pt>
                <c:pt idx="1705">
                  <c:v>-9.6569918169717148</c:v>
                </c:pt>
                <c:pt idx="1706">
                  <c:v>-24.805429121822815</c:v>
                </c:pt>
                <c:pt idx="1707">
                  <c:v>-42.063913159512069</c:v>
                </c:pt>
                <c:pt idx="1708">
                  <c:v>-60.671641755016644</c:v>
                </c:pt>
                <c:pt idx="1709">
                  <c:v>-79.417587703371922</c:v>
                </c:pt>
                <c:pt idx="1710">
                  <c:v>-94.767098029377323</c:v>
                </c:pt>
                <c:pt idx="1711">
                  <c:v>-107.5195101985135</c:v>
                </c:pt>
                <c:pt idx="1712">
                  <c:v>-118.69488262108945</c:v>
                </c:pt>
                <c:pt idx="1713">
                  <c:v>-128.28145620155303</c:v>
                </c:pt>
                <c:pt idx="1714">
                  <c:v>-137.33802525674074</c:v>
                </c:pt>
                <c:pt idx="1715">
                  <c:v>-146.88263988011121</c:v>
                </c:pt>
                <c:pt idx="1716">
                  <c:v>-156.58139385907953</c:v>
                </c:pt>
                <c:pt idx="1717">
                  <c:v>-166.46555777387513</c:v>
                </c:pt>
                <c:pt idx="1718">
                  <c:v>-176.03752482097576</c:v>
                </c:pt>
                <c:pt idx="1719">
                  <c:v>-184.19231595800204</c:v>
                </c:pt>
                <c:pt idx="1720">
                  <c:v>-189.47339786964065</c:v>
                </c:pt>
                <c:pt idx="1721">
                  <c:v>-192.18974308905118</c:v>
                </c:pt>
                <c:pt idx="1722">
                  <c:v>-194.03102425877944</c:v>
                </c:pt>
                <c:pt idx="1723">
                  <c:v>-193.33433350464676</c:v>
                </c:pt>
                <c:pt idx="1724">
                  <c:v>-191.67063717371141</c:v>
                </c:pt>
                <c:pt idx="1725">
                  <c:v>-187.58349016601983</c:v>
                </c:pt>
                <c:pt idx="1726">
                  <c:v>-180.70996499835752</c:v>
                </c:pt>
                <c:pt idx="1727">
                  <c:v>-172.42546842032533</c:v>
                </c:pt>
                <c:pt idx="1728">
                  <c:v>-163.59051070662377</c:v>
                </c:pt>
                <c:pt idx="1729">
                  <c:v>-154.7598088865019</c:v>
                </c:pt>
                <c:pt idx="1730">
                  <c:v>-145.97334545278918</c:v>
                </c:pt>
                <c:pt idx="1731">
                  <c:v>-137.56501970694725</c:v>
                </c:pt>
                <c:pt idx="1732">
                  <c:v>-128.58833369202807</c:v>
                </c:pt>
                <c:pt idx="1733">
                  <c:v>-118.05309662081876</c:v>
                </c:pt>
                <c:pt idx="1734">
                  <c:v>-105.94774730645014</c:v>
                </c:pt>
                <c:pt idx="1735">
                  <c:v>-91.251923111921485</c:v>
                </c:pt>
                <c:pt idx="1736">
                  <c:v>-73.129538613757191</c:v>
                </c:pt>
                <c:pt idx="1737">
                  <c:v>-55.046610387777683</c:v>
                </c:pt>
                <c:pt idx="1738">
                  <c:v>-38.115272112726451</c:v>
                </c:pt>
                <c:pt idx="1739">
                  <c:v>-23.119789229219183</c:v>
                </c:pt>
                <c:pt idx="1740">
                  <c:v>-6.7757126723884502</c:v>
                </c:pt>
                <c:pt idx="1741">
                  <c:v>9.6569918169719351</c:v>
                </c:pt>
                <c:pt idx="1742">
                  <c:v>24.805429121823057</c:v>
                </c:pt>
                <c:pt idx="1743">
                  <c:v>42.063913159512211</c:v>
                </c:pt>
                <c:pt idx="1744">
                  <c:v>60.671641755016864</c:v>
                </c:pt>
                <c:pt idx="1745">
                  <c:v>79.417587703372135</c:v>
                </c:pt>
                <c:pt idx="1746">
                  <c:v>94.767098029377564</c:v>
                </c:pt>
                <c:pt idx="1747">
                  <c:v>107.51951019851364</c:v>
                </c:pt>
                <c:pt idx="1748">
                  <c:v>118.69488262108968</c:v>
                </c:pt>
                <c:pt idx="1749">
                  <c:v>128.28145620155325</c:v>
                </c:pt>
                <c:pt idx="1750">
                  <c:v>137.33802525674102</c:v>
                </c:pt>
                <c:pt idx="1751">
                  <c:v>146.88263988011144</c:v>
                </c:pt>
                <c:pt idx="1752">
                  <c:v>156.58139385907987</c:v>
                </c:pt>
                <c:pt idx="1753">
                  <c:v>166.46555777387547</c:v>
                </c:pt>
                <c:pt idx="1754">
                  <c:v>176.03752482097605</c:v>
                </c:pt>
                <c:pt idx="1755">
                  <c:v>184.19231595800207</c:v>
                </c:pt>
                <c:pt idx="1756">
                  <c:v>189.47339786964119</c:v>
                </c:pt>
                <c:pt idx="1757">
                  <c:v>192.18974308905146</c:v>
                </c:pt>
                <c:pt idx="1758">
                  <c:v>194.03102425877967</c:v>
                </c:pt>
                <c:pt idx="1759">
                  <c:v>193.33433350464705</c:v>
                </c:pt>
                <c:pt idx="1760">
                  <c:v>191.67063717371192</c:v>
                </c:pt>
                <c:pt idx="1761">
                  <c:v>187.58349016602014</c:v>
                </c:pt>
                <c:pt idx="1762">
                  <c:v>180.70996499835772</c:v>
                </c:pt>
                <c:pt idx="1763">
                  <c:v>172.42546842032573</c:v>
                </c:pt>
                <c:pt idx="1764">
                  <c:v>163.590510706624</c:v>
                </c:pt>
                <c:pt idx="1765">
                  <c:v>154.75980888650207</c:v>
                </c:pt>
                <c:pt idx="1766">
                  <c:v>145.9733454527894</c:v>
                </c:pt>
                <c:pt idx="1767">
                  <c:v>137.56501970694748</c:v>
                </c:pt>
                <c:pt idx="1768">
                  <c:v>128.5883336920283</c:v>
                </c:pt>
                <c:pt idx="1769">
                  <c:v>118.05309662081903</c:v>
                </c:pt>
                <c:pt idx="1770">
                  <c:v>105.94774730645057</c:v>
                </c:pt>
                <c:pt idx="1771">
                  <c:v>91.251923111921897</c:v>
                </c:pt>
                <c:pt idx="1772">
                  <c:v>73.129538613757518</c:v>
                </c:pt>
                <c:pt idx="1773">
                  <c:v>55.046610387777882</c:v>
                </c:pt>
                <c:pt idx="1774">
                  <c:v>38.115272112726615</c:v>
                </c:pt>
                <c:pt idx="1775">
                  <c:v>0.52732476865611322</c:v>
                </c:pt>
                <c:pt idx="1776">
                  <c:v>-1.1788797660773322</c:v>
                </c:pt>
                <c:pt idx="1777">
                  <c:v>-3.0242966730509404</c:v>
                </c:pt>
                <c:pt idx="1778">
                  <c:v>-4.7818276845454646</c:v>
                </c:pt>
                <c:pt idx="1779">
                  <c:v>-6.5092953930275277</c:v>
                </c:pt>
                <c:pt idx="1780">
                  <c:v>-8.1935527261620713</c:v>
                </c:pt>
                <c:pt idx="1781">
                  <c:v>-11.588261821566284</c:v>
                </c:pt>
                <c:pt idx="1782">
                  <c:v>-15.976442875781546</c:v>
                </c:pt>
                <c:pt idx="1783">
                  <c:v>-19.690029756180383</c:v>
                </c:pt>
                <c:pt idx="1784">
                  <c:v>-22.144018552342594</c:v>
                </c:pt>
                <c:pt idx="1785">
                  <c:v>-23.136749120338859</c:v>
                </c:pt>
                <c:pt idx="1786">
                  <c:v>-22.77515842617445</c:v>
                </c:pt>
                <c:pt idx="1787">
                  <c:v>-21.624525521240368</c:v>
                </c:pt>
                <c:pt idx="1788">
                  <c:v>-20.888594430254049</c:v>
                </c:pt>
                <c:pt idx="1789">
                  <c:v>-20.388600717766856</c:v>
                </c:pt>
                <c:pt idx="1790">
                  <c:v>-19.552190205008944</c:v>
                </c:pt>
                <c:pt idx="1791">
                  <c:v>-18.385728481020884</c:v>
                </c:pt>
                <c:pt idx="1792">
                  <c:v>-16.90057932902473</c:v>
                </c:pt>
                <c:pt idx="1793">
                  <c:v>-15.100605637587465</c:v>
                </c:pt>
                <c:pt idx="1794">
                  <c:v>-17.024284124965472</c:v>
                </c:pt>
                <c:pt idx="1795">
                  <c:v>-18.642103980837486</c:v>
                </c:pt>
                <c:pt idx="1796">
                  <c:v>-19.934312625996764</c:v>
                </c:pt>
                <c:pt idx="1797">
                  <c:v>-20.893561877570363</c:v>
                </c:pt>
                <c:pt idx="1798">
                  <c:v>-21.512551269543248</c:v>
                </c:pt>
                <c:pt idx="1799">
                  <c:v>-22.487660613765772</c:v>
                </c:pt>
                <c:pt idx="1800">
                  <c:v>-23.947954758334784</c:v>
                </c:pt>
                <c:pt idx="1801">
                  <c:v>-24.570107711542946</c:v>
                </c:pt>
                <c:pt idx="1802">
                  <c:v>-23.746552609738277</c:v>
                </c:pt>
                <c:pt idx="1803">
                  <c:v>-21.355989906782334</c:v>
                </c:pt>
                <c:pt idx="1804">
                  <c:v>-17.608049941234626</c:v>
                </c:pt>
                <c:pt idx="1805">
                  <c:v>-13.128693305363889</c:v>
                </c:pt>
                <c:pt idx="1806">
                  <c:v>-9.674233361330705</c:v>
                </c:pt>
                <c:pt idx="1807">
                  <c:v>-7.9509002771401578</c:v>
                </c:pt>
                <c:pt idx="1808">
                  <c:v>-6.1607267479422658</c:v>
                </c:pt>
                <c:pt idx="1809">
                  <c:v>-4.3173370752305695</c:v>
                </c:pt>
                <c:pt idx="1810">
                  <c:v>-2.3635621027931446</c:v>
                </c:pt>
                <c:pt idx="1811">
                  <c:v>-0.52732476865585365</c:v>
                </c:pt>
                <c:pt idx="1812">
                  <c:v>1.1788797660775843</c:v>
                </c:pt>
                <c:pt idx="1813">
                  <c:v>3.0242966730512024</c:v>
                </c:pt>
                <c:pt idx="1814">
                  <c:v>4.7818276845457222</c:v>
                </c:pt>
                <c:pt idx="1815">
                  <c:v>6.5092953930277817</c:v>
                </c:pt>
                <c:pt idx="1816">
                  <c:v>8.1935527261623253</c:v>
                </c:pt>
                <c:pt idx="1817">
                  <c:v>11.588261821566567</c:v>
                </c:pt>
                <c:pt idx="1818">
                  <c:v>15.976442875781821</c:v>
                </c:pt>
                <c:pt idx="1819">
                  <c:v>19.6900297561806</c:v>
                </c:pt>
                <c:pt idx="1820">
                  <c:v>22.144018552342857</c:v>
                </c:pt>
                <c:pt idx="1821">
                  <c:v>23.136749120339122</c:v>
                </c:pt>
                <c:pt idx="1822">
                  <c:v>22.77515842617478</c:v>
                </c:pt>
                <c:pt idx="1823">
                  <c:v>21.62452552124067</c:v>
                </c:pt>
                <c:pt idx="1824">
                  <c:v>20.888594430254319</c:v>
                </c:pt>
                <c:pt idx="1825">
                  <c:v>20.388600717767115</c:v>
                </c:pt>
                <c:pt idx="1826">
                  <c:v>19.552190205009207</c:v>
                </c:pt>
                <c:pt idx="1827">
                  <c:v>18.385728481021165</c:v>
                </c:pt>
                <c:pt idx="1828">
                  <c:v>16.900579329024982</c:v>
                </c:pt>
                <c:pt idx="1829">
                  <c:v>15.100605637587728</c:v>
                </c:pt>
                <c:pt idx="1830">
                  <c:v>17.024284124965732</c:v>
                </c:pt>
                <c:pt idx="1831">
                  <c:v>18.642103980837746</c:v>
                </c:pt>
                <c:pt idx="1832">
                  <c:v>19.934312625997023</c:v>
                </c:pt>
                <c:pt idx="1833">
                  <c:v>20.893561877570615</c:v>
                </c:pt>
                <c:pt idx="1834">
                  <c:v>21.512551269543501</c:v>
                </c:pt>
                <c:pt idx="1835">
                  <c:v>22.48766061376605</c:v>
                </c:pt>
                <c:pt idx="1836">
                  <c:v>23.947954758335054</c:v>
                </c:pt>
                <c:pt idx="1837">
                  <c:v>24.570107711543216</c:v>
                </c:pt>
                <c:pt idx="1838">
                  <c:v>23.746552609738544</c:v>
                </c:pt>
                <c:pt idx="1839">
                  <c:v>21.355989906782622</c:v>
                </c:pt>
                <c:pt idx="1840">
                  <c:v>17.608049941234889</c:v>
                </c:pt>
                <c:pt idx="1841">
                  <c:v>13.12869330536423</c:v>
                </c:pt>
                <c:pt idx="1842">
                  <c:v>9.6742333613309768</c:v>
                </c:pt>
                <c:pt idx="1843">
                  <c:v>7.9509002771404242</c:v>
                </c:pt>
                <c:pt idx="1844">
                  <c:v>6.1607267479425234</c:v>
                </c:pt>
                <c:pt idx="1845">
                  <c:v>4.317337075230828</c:v>
                </c:pt>
                <c:pt idx="1846">
                  <c:v>2.3635621027934164</c:v>
                </c:pt>
                <c:pt idx="1847">
                  <c:v>0.52732476865611733</c:v>
                </c:pt>
              </c:numCache>
            </c:numRef>
          </c:xVal>
          <c:yVal>
            <c:numRef>
              <c:f>failure_surface!$F$19:$F$1866</c:f>
              <c:numCache>
                <c:formatCode>General</c:formatCode>
                <c:ptCount val="1848"/>
                <c:pt idx="0">
                  <c:v>-261.20458324964994</c:v>
                </c:pt>
                <c:pt idx="1">
                  <c:v>-261.21828885808839</c:v>
                </c:pt>
                <c:pt idx="2">
                  <c:v>-261.21713750688247</c:v>
                </c:pt>
                <c:pt idx="3">
                  <c:v>-261.21607757675719</c:v>
                </c:pt>
                <c:pt idx="4">
                  <c:v>-261.21510822820233</c:v>
                </c:pt>
                <c:pt idx="5">
                  <c:v>-261.21416081978475</c:v>
                </c:pt>
                <c:pt idx="6">
                  <c:v>-261.21323154662076</c:v>
                </c:pt>
                <c:pt idx="7">
                  <c:v>-261.21229219466699</c:v>
                </c:pt>
                <c:pt idx="8">
                  <c:v>-261.21131600359803</c:v>
                </c:pt>
                <c:pt idx="9">
                  <c:v>-261.21027367034213</c:v>
                </c:pt>
                <c:pt idx="10">
                  <c:v>-261.20912867881293</c:v>
                </c:pt>
                <c:pt idx="11">
                  <c:v>-261.20783079938008</c:v>
                </c:pt>
                <c:pt idx="12">
                  <c:v>-261.20630486057956</c:v>
                </c:pt>
                <c:pt idx="13">
                  <c:v>-261.2044283543911</c:v>
                </c:pt>
                <c:pt idx="14">
                  <c:v>-261.2019795201079</c:v>
                </c:pt>
                <c:pt idx="15">
                  <c:v>-261.19846683696949</c:v>
                </c:pt>
                <c:pt idx="16">
                  <c:v>-261.19271108229498</c:v>
                </c:pt>
                <c:pt idx="17">
                  <c:v>-261.17987155892848</c:v>
                </c:pt>
                <c:pt idx="18">
                  <c:v>-260.68828502285635</c:v>
                </c:pt>
                <c:pt idx="19">
                  <c:v>-260.19645647206897</c:v>
                </c:pt>
                <c:pt idx="20">
                  <c:v>-260.18350508557569</c:v>
                </c:pt>
                <c:pt idx="21">
                  <c:v>-260.17766115840033</c:v>
                </c:pt>
                <c:pt idx="22">
                  <c:v>-260.17407211419362</c:v>
                </c:pt>
                <c:pt idx="23">
                  <c:v>-260.17155105085646</c:v>
                </c:pt>
                <c:pt idx="24">
                  <c:v>-260.1696049813213</c:v>
                </c:pt>
                <c:pt idx="25">
                  <c:v>-260.16800963044636</c:v>
                </c:pt>
                <c:pt idx="26">
                  <c:v>-260.16664031979496</c:v>
                </c:pt>
                <c:pt idx="27">
                  <c:v>-260.16541964527158</c:v>
                </c:pt>
                <c:pt idx="28">
                  <c:v>-260.16429470113678</c:v>
                </c:pt>
                <c:pt idx="29">
                  <c:v>-260.16322536973769</c:v>
                </c:pt>
                <c:pt idx="30">
                  <c:v>-260.16217701994663</c:v>
                </c:pt>
                <c:pt idx="31">
                  <c:v>-260.16111425949691</c:v>
                </c:pt>
                <c:pt idx="32">
                  <c:v>-260.15999329843015</c:v>
                </c:pt>
                <c:pt idx="33">
                  <c:v>-260.15877595209167</c:v>
                </c:pt>
                <c:pt idx="34">
                  <c:v>-260.15731095215028</c:v>
                </c:pt>
                <c:pt idx="35">
                  <c:v>-260.1552589625262</c:v>
                </c:pt>
                <c:pt idx="36">
                  <c:v>-260.13462295940172</c:v>
                </c:pt>
                <c:pt idx="37">
                  <c:v>-260.12091735096323</c:v>
                </c:pt>
                <c:pt idx="38">
                  <c:v>-260.1220687021692</c:v>
                </c:pt>
                <c:pt idx="39">
                  <c:v>-260.12312863229448</c:v>
                </c:pt>
                <c:pt idx="40">
                  <c:v>-260.12409798084934</c:v>
                </c:pt>
                <c:pt idx="41">
                  <c:v>-260.12504538926692</c:v>
                </c:pt>
                <c:pt idx="42">
                  <c:v>-260.12597466243091</c:v>
                </c:pt>
                <c:pt idx="43">
                  <c:v>-260.12691401438468</c:v>
                </c:pt>
                <c:pt idx="44">
                  <c:v>-260.1278902054537</c:v>
                </c:pt>
                <c:pt idx="45">
                  <c:v>-260.12893253870953</c:v>
                </c:pt>
                <c:pt idx="46">
                  <c:v>-260.13007753023874</c:v>
                </c:pt>
                <c:pt idx="47">
                  <c:v>-260.13137540967159</c:v>
                </c:pt>
                <c:pt idx="48">
                  <c:v>-260.1329013484721</c:v>
                </c:pt>
                <c:pt idx="49">
                  <c:v>-260.13477785466057</c:v>
                </c:pt>
                <c:pt idx="50">
                  <c:v>-260.13722668894377</c:v>
                </c:pt>
                <c:pt idx="51">
                  <c:v>-260.14073937208218</c:v>
                </c:pt>
                <c:pt idx="52">
                  <c:v>-260.14649512675669</c:v>
                </c:pt>
                <c:pt idx="53">
                  <c:v>-260.15933465012324</c:v>
                </c:pt>
                <c:pt idx="54">
                  <c:v>-260.65092118619526</c:v>
                </c:pt>
                <c:pt idx="55">
                  <c:v>-261.14274973698269</c:v>
                </c:pt>
                <c:pt idx="56">
                  <c:v>-261.15570112347598</c:v>
                </c:pt>
                <c:pt idx="57">
                  <c:v>-261.16154505065128</c:v>
                </c:pt>
                <c:pt idx="58">
                  <c:v>-261.16513409485805</c:v>
                </c:pt>
                <c:pt idx="59">
                  <c:v>-261.1676551581952</c:v>
                </c:pt>
                <c:pt idx="60">
                  <c:v>-261.16960122773037</c:v>
                </c:pt>
                <c:pt idx="61">
                  <c:v>-261.1711965786053</c:v>
                </c:pt>
                <c:pt idx="62">
                  <c:v>-261.1725658892567</c:v>
                </c:pt>
                <c:pt idx="63">
                  <c:v>-261.17378656378008</c:v>
                </c:pt>
                <c:pt idx="64">
                  <c:v>-261.17491150791489</c:v>
                </c:pt>
                <c:pt idx="65">
                  <c:v>-261.17598083931398</c:v>
                </c:pt>
                <c:pt idx="66">
                  <c:v>-261.17702918910504</c:v>
                </c:pt>
                <c:pt idx="67">
                  <c:v>-261.17809194955476</c:v>
                </c:pt>
                <c:pt idx="68">
                  <c:v>-261.17921291062152</c:v>
                </c:pt>
                <c:pt idx="69">
                  <c:v>-261.18043025695999</c:v>
                </c:pt>
                <c:pt idx="70">
                  <c:v>-261.18189525690138</c:v>
                </c:pt>
                <c:pt idx="71">
                  <c:v>-247.06695980799671</c:v>
                </c:pt>
                <c:pt idx="72">
                  <c:v>-246.93280311223543</c:v>
                </c:pt>
                <c:pt idx="73">
                  <c:v>-245.04162823348719</c:v>
                </c:pt>
                <c:pt idx="74">
                  <c:v>-244.16538644622563</c:v>
                </c:pt>
                <c:pt idx="75">
                  <c:v>-243.63754875230694</c:v>
                </c:pt>
                <c:pt idx="76">
                  <c:v>-243.2728989894519</c:v>
                </c:pt>
                <c:pt idx="77">
                  <c:v>-242.99651591274255</c:v>
                </c:pt>
                <c:pt idx="78">
                  <c:v>-242.77097370022798</c:v>
                </c:pt>
                <c:pt idx="79">
                  <c:v>-242.57405938063289</c:v>
                </c:pt>
                <c:pt idx="80">
                  <c:v>-242.39019282917445</c:v>
                </c:pt>
                <c:pt idx="81">
                  <c:v>-242.20539344487617</c:v>
                </c:pt>
                <c:pt idx="82">
                  <c:v>-242.00379272522812</c:v>
                </c:pt>
                <c:pt idx="83">
                  <c:v>-241.76196585152471</c:v>
                </c:pt>
                <c:pt idx="84">
                  <c:v>-241.43843609207656</c:v>
                </c:pt>
                <c:pt idx="85">
                  <c:v>-240.94538894005092</c:v>
                </c:pt>
                <c:pt idx="86">
                  <c:v>-240.05835558687934</c:v>
                </c:pt>
                <c:pt idx="87">
                  <c:v>-238.01970442579673</c:v>
                </c:pt>
                <c:pt idx="88">
                  <c:v>-230.41659199918496</c:v>
                </c:pt>
                <c:pt idx="89">
                  <c:v>-218.57245431333601</c:v>
                </c:pt>
                <c:pt idx="90">
                  <c:v>-206.69001330036346</c:v>
                </c:pt>
                <c:pt idx="91">
                  <c:v>-198.93609101800763</c:v>
                </c:pt>
                <c:pt idx="92">
                  <c:v>-196.83118888389168</c:v>
                </c:pt>
                <c:pt idx="93">
                  <c:v>-195.90507947851779</c:v>
                </c:pt>
                <c:pt idx="94">
                  <c:v>-195.38532956020521</c:v>
                </c:pt>
                <c:pt idx="95">
                  <c:v>-195.04168318662886</c:v>
                </c:pt>
                <c:pt idx="96">
                  <c:v>-194.78349434846672</c:v>
                </c:pt>
                <c:pt idx="97">
                  <c:v>-194.5676317498129</c:v>
                </c:pt>
                <c:pt idx="98">
                  <c:v>-194.36952390248615</c:v>
                </c:pt>
                <c:pt idx="99">
                  <c:v>-194.1722859358554</c:v>
                </c:pt>
                <c:pt idx="100">
                  <c:v>-193.96079347595065</c:v>
                </c:pt>
                <c:pt idx="101">
                  <c:v>-193.71779033001977</c:v>
                </c:pt>
                <c:pt idx="102">
                  <c:v>-193.4181089493587</c:v>
                </c:pt>
                <c:pt idx="103">
                  <c:v>-193.01809153346846</c:v>
                </c:pt>
                <c:pt idx="104">
                  <c:v>-192.4269374992229</c:v>
                </c:pt>
                <c:pt idx="105">
                  <c:v>-191.40599964246294</c:v>
                </c:pt>
                <c:pt idx="106">
                  <c:v>-188.97854529456609</c:v>
                </c:pt>
                <c:pt idx="107">
                  <c:v>-188.01583821323544</c:v>
                </c:pt>
                <c:pt idx="108">
                  <c:v>-188.14999490899672</c:v>
                </c:pt>
                <c:pt idx="109">
                  <c:v>-190.04116978774499</c:v>
                </c:pt>
                <c:pt idx="110">
                  <c:v>-190.91741157500655</c:v>
                </c:pt>
                <c:pt idx="111">
                  <c:v>-191.44524926892529</c:v>
                </c:pt>
                <c:pt idx="112">
                  <c:v>-191.80989903178033</c:v>
                </c:pt>
                <c:pt idx="113">
                  <c:v>-192.08628210848966</c:v>
                </c:pt>
                <c:pt idx="114">
                  <c:v>-192.31182432100422</c:v>
                </c:pt>
                <c:pt idx="115">
                  <c:v>-192.50873864059932</c:v>
                </c:pt>
                <c:pt idx="116">
                  <c:v>-192.69260519205778</c:v>
                </c:pt>
                <c:pt idx="117">
                  <c:v>-192.87740457635607</c:v>
                </c:pt>
                <c:pt idx="118">
                  <c:v>-193.07900529600411</c:v>
                </c:pt>
                <c:pt idx="119">
                  <c:v>-193.32083216970753</c:v>
                </c:pt>
                <c:pt idx="120">
                  <c:v>-193.64436192915565</c:v>
                </c:pt>
                <c:pt idx="121">
                  <c:v>-194.13740908118132</c:v>
                </c:pt>
                <c:pt idx="122">
                  <c:v>-195.02444243435289</c:v>
                </c:pt>
                <c:pt idx="123">
                  <c:v>-197.06309359543545</c:v>
                </c:pt>
                <c:pt idx="124">
                  <c:v>-204.66620602204733</c:v>
                </c:pt>
                <c:pt idx="125">
                  <c:v>-216.5103437078962</c:v>
                </c:pt>
                <c:pt idx="126">
                  <c:v>-228.39278472086875</c:v>
                </c:pt>
                <c:pt idx="127">
                  <c:v>-236.14670700322461</c:v>
                </c:pt>
                <c:pt idx="128">
                  <c:v>-238.25160913734052</c:v>
                </c:pt>
                <c:pt idx="129">
                  <c:v>-239.17771854271442</c:v>
                </c:pt>
                <c:pt idx="130">
                  <c:v>-239.697468461027</c:v>
                </c:pt>
                <c:pt idx="131">
                  <c:v>-240.04111483460335</c:v>
                </c:pt>
                <c:pt idx="132">
                  <c:v>-240.29930367276549</c:v>
                </c:pt>
                <c:pt idx="133">
                  <c:v>-240.5151662714193</c:v>
                </c:pt>
                <c:pt idx="134">
                  <c:v>-240.71327411874606</c:v>
                </c:pt>
                <c:pt idx="135">
                  <c:v>-240.91051208537678</c:v>
                </c:pt>
                <c:pt idx="136">
                  <c:v>-241.12200454528156</c:v>
                </c:pt>
                <c:pt idx="137">
                  <c:v>-241.36500769121247</c:v>
                </c:pt>
                <c:pt idx="138">
                  <c:v>-241.66468907187351</c:v>
                </c:pt>
                <c:pt idx="139">
                  <c:v>-242.06470648776374</c:v>
                </c:pt>
                <c:pt idx="140">
                  <c:v>-242.65586052200928</c:v>
                </c:pt>
                <c:pt idx="141">
                  <c:v>-243.67679837876921</c:v>
                </c:pt>
                <c:pt idx="142">
                  <c:v>-230.68475965706685</c:v>
                </c:pt>
                <c:pt idx="143">
                  <c:v>-228.26690383031701</c:v>
                </c:pt>
                <c:pt idx="144">
                  <c:v>-225.93321683390633</c:v>
                </c:pt>
                <c:pt idx="145">
                  <c:v>-224.850724447115</c:v>
                </c:pt>
                <c:pt idx="146">
                  <c:v>-224.19986102113307</c:v>
                </c:pt>
                <c:pt idx="147">
                  <c:v>-223.72384884574177</c:v>
                </c:pt>
                <c:pt idx="148">
                  <c:v>-223.31843253069684</c:v>
                </c:pt>
                <c:pt idx="149">
                  <c:v>-222.92715943621459</c:v>
                </c:pt>
                <c:pt idx="150">
                  <c:v>-222.43665414760062</c:v>
                </c:pt>
                <c:pt idx="151">
                  <c:v>-221.91188621854249</c:v>
                </c:pt>
                <c:pt idx="152">
                  <c:v>-221.33964692432477</c:v>
                </c:pt>
                <c:pt idx="153">
                  <c:v>-220.53493465179588</c:v>
                </c:pt>
                <c:pt idx="154">
                  <c:v>-218.84621289916748</c:v>
                </c:pt>
                <c:pt idx="155">
                  <c:v>-217.05522848605139</c:v>
                </c:pt>
                <c:pt idx="156">
                  <c:v>-215.01076423938352</c:v>
                </c:pt>
                <c:pt idx="157">
                  <c:v>-212.3650589847195</c:v>
                </c:pt>
                <c:pt idx="158">
                  <c:v>-207.97667322703973</c:v>
                </c:pt>
                <c:pt idx="159">
                  <c:v>-195.87466578870823</c:v>
                </c:pt>
                <c:pt idx="160">
                  <c:v>-176.37824125794444</c:v>
                </c:pt>
                <c:pt idx="161">
                  <c:v>-156.66513549582567</c:v>
                </c:pt>
                <c:pt idx="162">
                  <c:v>-144.37038889701913</c:v>
                </c:pt>
                <c:pt idx="163">
                  <c:v>-139.89559190701681</c:v>
                </c:pt>
                <c:pt idx="164">
                  <c:v>-137.19791330537856</c:v>
                </c:pt>
                <c:pt idx="165">
                  <c:v>-135.11517067151829</c:v>
                </c:pt>
                <c:pt idx="166">
                  <c:v>-133.29146338657938</c:v>
                </c:pt>
                <c:pt idx="167">
                  <c:v>-131.5712574674472</c:v>
                </c:pt>
                <c:pt idx="168">
                  <c:v>-130.73028069848988</c:v>
                </c:pt>
                <c:pt idx="169">
                  <c:v>-130.11994870594845</c:v>
                </c:pt>
                <c:pt idx="170">
                  <c:v>-129.55388447757781</c:v>
                </c:pt>
                <c:pt idx="171">
                  <c:v>-129.00591046129102</c:v>
                </c:pt>
                <c:pt idx="172">
                  <c:v>-128.49559498936921</c:v>
                </c:pt>
                <c:pt idx="173">
                  <c:v>-127.96395085875277</c:v>
                </c:pt>
                <c:pt idx="174">
                  <c:v>-127.34381344324174</c:v>
                </c:pt>
                <c:pt idx="175">
                  <c:v>-126.50635494130793</c:v>
                </c:pt>
                <c:pt idx="176">
                  <c:v>-125.11435339282161</c:v>
                </c:pt>
                <c:pt idx="177">
                  <c:v>-121.92871297233316</c:v>
                </c:pt>
                <c:pt idx="178">
                  <c:v>-118.14163017634591</c:v>
                </c:pt>
                <c:pt idx="179">
                  <c:v>-120.55948600309571</c:v>
                </c:pt>
                <c:pt idx="180">
                  <c:v>-122.89317299950636</c:v>
                </c:pt>
                <c:pt idx="181">
                  <c:v>-123.97566538629768</c:v>
                </c:pt>
                <c:pt idx="182">
                  <c:v>-124.62652881227967</c:v>
                </c:pt>
                <c:pt idx="183">
                  <c:v>-125.10254098767098</c:v>
                </c:pt>
                <c:pt idx="184">
                  <c:v>-125.50795730271589</c:v>
                </c:pt>
                <c:pt idx="185">
                  <c:v>-125.89923039719812</c:v>
                </c:pt>
                <c:pt idx="186">
                  <c:v>-126.38973568581211</c:v>
                </c:pt>
                <c:pt idx="187">
                  <c:v>-126.91450361487026</c:v>
                </c:pt>
                <c:pt idx="188">
                  <c:v>-127.48674290908798</c:v>
                </c:pt>
                <c:pt idx="189">
                  <c:v>-128.29145518161687</c:v>
                </c:pt>
                <c:pt idx="190">
                  <c:v>-129.98017693424526</c:v>
                </c:pt>
                <c:pt idx="191">
                  <c:v>-131.77116134736133</c:v>
                </c:pt>
                <c:pt idx="192">
                  <c:v>-133.81562559402923</c:v>
                </c:pt>
                <c:pt idx="193">
                  <c:v>-136.46133084869328</c:v>
                </c:pt>
                <c:pt idx="194">
                  <c:v>-140.84971660637302</c:v>
                </c:pt>
                <c:pt idx="195">
                  <c:v>-152.95172404470455</c:v>
                </c:pt>
                <c:pt idx="196">
                  <c:v>-172.44814857546828</c:v>
                </c:pt>
                <c:pt idx="197">
                  <c:v>-192.16125433758702</c:v>
                </c:pt>
                <c:pt idx="198">
                  <c:v>-204.45600093639359</c:v>
                </c:pt>
                <c:pt idx="199">
                  <c:v>-208.93079792639594</c:v>
                </c:pt>
                <c:pt idx="200">
                  <c:v>-211.62847652803418</c:v>
                </c:pt>
                <c:pt idx="201">
                  <c:v>-213.71121916189446</c:v>
                </c:pt>
                <c:pt idx="202">
                  <c:v>-215.53492644683337</c:v>
                </c:pt>
                <c:pt idx="203">
                  <c:v>-217.25513236596555</c:v>
                </c:pt>
                <c:pt idx="204">
                  <c:v>-218.09610913492281</c:v>
                </c:pt>
                <c:pt idx="205">
                  <c:v>-218.70644112746427</c:v>
                </c:pt>
                <c:pt idx="206">
                  <c:v>-219.27250535583491</c:v>
                </c:pt>
                <c:pt idx="207">
                  <c:v>-219.82047937212172</c:v>
                </c:pt>
                <c:pt idx="208">
                  <c:v>-220.33079484404354</c:v>
                </c:pt>
                <c:pt idx="209">
                  <c:v>-220.86243897465997</c:v>
                </c:pt>
                <c:pt idx="210">
                  <c:v>-221.482576390171</c:v>
                </c:pt>
                <c:pt idx="211">
                  <c:v>-222.32003489210479</c:v>
                </c:pt>
                <c:pt idx="212">
                  <c:v>-223.71203644059113</c:v>
                </c:pt>
                <c:pt idx="213">
                  <c:v>-209.63345589847523</c:v>
                </c:pt>
                <c:pt idx="214">
                  <c:v>-208.32025867047835</c:v>
                </c:pt>
                <c:pt idx="215">
                  <c:v>-206.24789996363484</c:v>
                </c:pt>
                <c:pt idx="216">
                  <c:v>-205.05605144698626</c:v>
                </c:pt>
                <c:pt idx="217">
                  <c:v>-204.06406643467099</c:v>
                </c:pt>
                <c:pt idx="218">
                  <c:v>-203.2922143084707</c:v>
                </c:pt>
                <c:pt idx="219">
                  <c:v>-202.499801619072</c:v>
                </c:pt>
                <c:pt idx="220">
                  <c:v>-201.20862131120219</c:v>
                </c:pt>
                <c:pt idx="221">
                  <c:v>-198.57546026565558</c:v>
                </c:pt>
                <c:pt idx="222">
                  <c:v>-196.07193374055407</c:v>
                </c:pt>
                <c:pt idx="223">
                  <c:v>-193.5840234587063</c:v>
                </c:pt>
                <c:pt idx="224">
                  <c:v>-190.98969192622798</c:v>
                </c:pt>
                <c:pt idx="225">
                  <c:v>-188.67829674841019</c:v>
                </c:pt>
                <c:pt idx="226">
                  <c:v>-186.28511200986753</c:v>
                </c:pt>
                <c:pt idx="227">
                  <c:v>-183.91713610042808</c:v>
                </c:pt>
                <c:pt idx="228">
                  <c:v>-179.89171905025069</c:v>
                </c:pt>
                <c:pt idx="229">
                  <c:v>-171.19798667322249</c:v>
                </c:pt>
                <c:pt idx="230">
                  <c:v>-155.29766462694167</c:v>
                </c:pt>
                <c:pt idx="231">
                  <c:v>-134.02097951173661</c:v>
                </c:pt>
                <c:pt idx="232">
                  <c:v>-112.60051120436822</c:v>
                </c:pt>
                <c:pt idx="233">
                  <c:v>-96.516448754619574</c:v>
                </c:pt>
                <c:pt idx="234">
                  <c:v>-87.718145002092839</c:v>
                </c:pt>
                <c:pt idx="235">
                  <c:v>-83.61353194433778</c:v>
                </c:pt>
                <c:pt idx="236">
                  <c:v>-81.185800520591783</c:v>
                </c:pt>
                <c:pt idx="237">
                  <c:v>-78.731360975714964</c:v>
                </c:pt>
                <c:pt idx="238">
                  <c:v>-76.324033483874047</c:v>
                </c:pt>
                <c:pt idx="239">
                  <c:v>-73.539238300955731</c:v>
                </c:pt>
                <c:pt idx="240">
                  <c:v>-70.870189167248185</c:v>
                </c:pt>
                <c:pt idx="241">
                  <c:v>-68.186577651117801</c:v>
                </c:pt>
                <c:pt idx="242">
                  <c:v>-65.365573361475924</c:v>
                </c:pt>
                <c:pt idx="243">
                  <c:v>-63.90961162696351</c:v>
                </c:pt>
                <c:pt idx="244">
                  <c:v>-62.947916167380839</c:v>
                </c:pt>
                <c:pt idx="245">
                  <c:v>-62.008594250848546</c:v>
                </c:pt>
                <c:pt idx="246">
                  <c:v>-60.732702331173201</c:v>
                </c:pt>
                <c:pt idx="247">
                  <c:v>-58.930018452903141</c:v>
                </c:pt>
                <c:pt idx="248">
                  <c:v>-55.740740427738331</c:v>
                </c:pt>
                <c:pt idx="249">
                  <c:v>-52.936525747117926</c:v>
                </c:pt>
                <c:pt idx="250">
                  <c:v>-54.24972297511485</c:v>
                </c:pt>
                <c:pt idx="251">
                  <c:v>-56.322081681958394</c:v>
                </c:pt>
                <c:pt idx="252">
                  <c:v>-57.513930198606957</c:v>
                </c:pt>
                <c:pt idx="253">
                  <c:v>-58.505915210922211</c:v>
                </c:pt>
                <c:pt idx="254">
                  <c:v>-59.277767337122498</c:v>
                </c:pt>
                <c:pt idx="255">
                  <c:v>-60.070180026521214</c:v>
                </c:pt>
                <c:pt idx="256">
                  <c:v>-61.361360334391009</c:v>
                </c:pt>
                <c:pt idx="257">
                  <c:v>-63.994521379937595</c:v>
                </c:pt>
                <c:pt idx="258">
                  <c:v>-66.49804790503913</c:v>
                </c:pt>
                <c:pt idx="259">
                  <c:v>-68.985958186886918</c:v>
                </c:pt>
                <c:pt idx="260">
                  <c:v>-71.580289719365226</c:v>
                </c:pt>
                <c:pt idx="261">
                  <c:v>-73.891684897182984</c:v>
                </c:pt>
                <c:pt idx="262">
                  <c:v>-76.284869635725613</c:v>
                </c:pt>
                <c:pt idx="263">
                  <c:v>-78.65284554516515</c:v>
                </c:pt>
                <c:pt idx="264">
                  <c:v>-82.678262595342545</c:v>
                </c:pt>
                <c:pt idx="265">
                  <c:v>-91.371994972370715</c:v>
                </c:pt>
                <c:pt idx="266">
                  <c:v>-107.27231701865158</c:v>
                </c:pt>
                <c:pt idx="267">
                  <c:v>-128.54900213385656</c:v>
                </c:pt>
                <c:pt idx="268">
                  <c:v>-149.96947044122498</c:v>
                </c:pt>
                <c:pt idx="269">
                  <c:v>-166.0535328909736</c:v>
                </c:pt>
                <c:pt idx="270">
                  <c:v>-174.85183664350035</c:v>
                </c:pt>
                <c:pt idx="271">
                  <c:v>-178.95644970125539</c:v>
                </c:pt>
                <c:pt idx="272">
                  <c:v>-181.38418112500145</c:v>
                </c:pt>
                <c:pt idx="273">
                  <c:v>-183.83862066987825</c:v>
                </c:pt>
                <c:pt idx="274">
                  <c:v>-186.24594816171916</c:v>
                </c:pt>
                <c:pt idx="275">
                  <c:v>-189.0307433446375</c:v>
                </c:pt>
                <c:pt idx="276">
                  <c:v>-191.69979247834496</c:v>
                </c:pt>
                <c:pt idx="277">
                  <c:v>-194.38340399447543</c:v>
                </c:pt>
                <c:pt idx="278">
                  <c:v>-197.20440828411728</c:v>
                </c:pt>
                <c:pt idx="279">
                  <c:v>-198.66037001862975</c:v>
                </c:pt>
                <c:pt idx="280">
                  <c:v>-199.62206547821231</c:v>
                </c:pt>
                <c:pt idx="281">
                  <c:v>-200.56138739474466</c:v>
                </c:pt>
                <c:pt idx="282">
                  <c:v>-201.83727931442007</c:v>
                </c:pt>
                <c:pt idx="283">
                  <c:v>-203.63996319269006</c:v>
                </c:pt>
                <c:pt idx="284">
                  <c:v>-188.61010182755058</c:v>
                </c:pt>
                <c:pt idx="285">
                  <c:v>-187.88702735312194</c:v>
                </c:pt>
                <c:pt idx="286">
                  <c:v>-186.09502361618286</c:v>
                </c:pt>
                <c:pt idx="287">
                  <c:v>-184.51794113029365</c:v>
                </c:pt>
                <c:pt idx="288">
                  <c:v>-183.26965577476895</c:v>
                </c:pt>
                <c:pt idx="289">
                  <c:v>-181.56618375501398</c:v>
                </c:pt>
                <c:pt idx="290">
                  <c:v>-177.76943782129928</c:v>
                </c:pt>
                <c:pt idx="291">
                  <c:v>-174.67720069503758</c:v>
                </c:pt>
                <c:pt idx="292">
                  <c:v>-171.83362436434106</c:v>
                </c:pt>
                <c:pt idx="293">
                  <c:v>-169.08129501450961</c:v>
                </c:pt>
                <c:pt idx="294">
                  <c:v>-166.28557040239605</c:v>
                </c:pt>
                <c:pt idx="295">
                  <c:v>-163.29395789243503</c:v>
                </c:pt>
                <c:pt idx="296">
                  <c:v>-159.78993734845585</c:v>
                </c:pt>
                <c:pt idx="297">
                  <c:v>-152.34449831512865</c:v>
                </c:pt>
                <c:pt idx="298">
                  <c:v>-145.82177568430228</c:v>
                </c:pt>
                <c:pt idx="299">
                  <c:v>-138.36549969423723</c:v>
                </c:pt>
                <c:pt idx="300">
                  <c:v>-128.48597537061957</c:v>
                </c:pt>
                <c:pt idx="301">
                  <c:v>-111.80743776722437</c:v>
                </c:pt>
                <c:pt idx="302">
                  <c:v>-91.664693790129206</c:v>
                </c:pt>
                <c:pt idx="303">
                  <c:v>-71.422200992372325</c:v>
                </c:pt>
                <c:pt idx="304">
                  <c:v>-54.577626991691588</c:v>
                </c:pt>
                <c:pt idx="305">
                  <c:v>-44.563697526175048</c:v>
                </c:pt>
                <c:pt idx="306">
                  <c:v>-37.001925454769548</c:v>
                </c:pt>
                <c:pt idx="307">
                  <c:v>-30.344156632490524</c:v>
                </c:pt>
                <c:pt idx="308">
                  <c:v>-22.615042256970213</c:v>
                </c:pt>
                <c:pt idx="309">
                  <c:v>-18.886234967935422</c:v>
                </c:pt>
                <c:pt idx="310">
                  <c:v>-15.688475017803114</c:v>
                </c:pt>
                <c:pt idx="311">
                  <c:v>-12.693461914271452</c:v>
                </c:pt>
                <c:pt idx="312">
                  <c:v>-9.7389155474847371</c:v>
                </c:pt>
                <c:pt idx="313">
                  <c:v>-6.6792015678107504</c:v>
                </c:pt>
                <c:pt idx="314">
                  <c:v>-3.3343885280188772</c:v>
                </c:pt>
                <c:pt idx="315">
                  <c:v>0.99226448742636819</c:v>
                </c:pt>
                <c:pt idx="316">
                  <c:v>3.1560094110031969</c:v>
                </c:pt>
                <c:pt idx="317">
                  <c:v>4.9287365610985177</c:v>
                </c:pt>
                <c:pt idx="318">
                  <c:v>7.2005137611528198</c:v>
                </c:pt>
                <c:pt idx="319">
                  <c:v>10.16317035106394</c:v>
                </c:pt>
                <c:pt idx="320">
                  <c:v>12.29652836977688</c:v>
                </c:pt>
                <c:pt idx="321">
                  <c:v>11.573453895348194</c:v>
                </c:pt>
                <c:pt idx="322">
                  <c:v>9.7814501584091857</c:v>
                </c:pt>
                <c:pt idx="323">
                  <c:v>8.2043676725199219</c:v>
                </c:pt>
                <c:pt idx="324">
                  <c:v>6.9560823169952073</c:v>
                </c:pt>
                <c:pt idx="325">
                  <c:v>5.2526102972402242</c:v>
                </c:pt>
                <c:pt idx="326">
                  <c:v>1.4558643635255635</c:v>
                </c:pt>
                <c:pt idx="327">
                  <c:v>-1.6363727627361442</c:v>
                </c:pt>
                <c:pt idx="328">
                  <c:v>-4.4799490934326514</c:v>
                </c:pt>
                <c:pt idx="329">
                  <c:v>-7.2322784432641214</c:v>
                </c:pt>
                <c:pt idx="330">
                  <c:v>-10.028003055377724</c:v>
                </c:pt>
                <c:pt idx="331">
                  <c:v>-13.019615565338711</c:v>
                </c:pt>
                <c:pt idx="332">
                  <c:v>-16.523636109317891</c:v>
                </c:pt>
                <c:pt idx="333">
                  <c:v>-23.969075142645039</c:v>
                </c:pt>
                <c:pt idx="334">
                  <c:v>-30.491797773471419</c:v>
                </c:pt>
                <c:pt idx="335">
                  <c:v>-37.948073763536549</c:v>
                </c:pt>
                <c:pt idx="336">
                  <c:v>-47.827598087154172</c:v>
                </c:pt>
                <c:pt idx="337">
                  <c:v>-64.506135690549385</c:v>
                </c:pt>
                <c:pt idx="338">
                  <c:v>-84.648879667644536</c:v>
                </c:pt>
                <c:pt idx="339">
                  <c:v>-104.8913724654014</c:v>
                </c:pt>
                <c:pt idx="340">
                  <c:v>-121.73594646608211</c:v>
                </c:pt>
                <c:pt idx="341">
                  <c:v>-131.74987593159867</c:v>
                </c:pt>
                <c:pt idx="342">
                  <c:v>-139.31164800300414</c:v>
                </c:pt>
                <c:pt idx="343">
                  <c:v>-145.96941682528319</c:v>
                </c:pt>
                <c:pt idx="344">
                  <c:v>-153.69853120080359</c:v>
                </c:pt>
                <c:pt idx="345">
                  <c:v>-157.42733848983832</c:v>
                </c:pt>
                <c:pt idx="346">
                  <c:v>-160.62509843997063</c:v>
                </c:pt>
                <c:pt idx="347">
                  <c:v>-163.62011154350228</c:v>
                </c:pt>
                <c:pt idx="348">
                  <c:v>-166.57465791028898</c:v>
                </c:pt>
                <c:pt idx="349">
                  <c:v>-169.63437188996298</c:v>
                </c:pt>
                <c:pt idx="350">
                  <c:v>-172.97918492975481</c:v>
                </c:pt>
                <c:pt idx="351">
                  <c:v>-177.3058379452001</c:v>
                </c:pt>
                <c:pt idx="352">
                  <c:v>-179.469582868777</c:v>
                </c:pt>
                <c:pt idx="353">
                  <c:v>-181.24231001887227</c:v>
                </c:pt>
                <c:pt idx="354">
                  <c:v>-183.51408721892653</c:v>
                </c:pt>
                <c:pt idx="355">
                  <c:v>-167.4920572460471</c:v>
                </c:pt>
                <c:pt idx="356">
                  <c:v>-167.21851941976118</c:v>
                </c:pt>
                <c:pt idx="357">
                  <c:v>-165.89599096082205</c:v>
                </c:pt>
                <c:pt idx="358">
                  <c:v>-163.77322557579137</c:v>
                </c:pt>
                <c:pt idx="359">
                  <c:v>-160.88639367734683</c:v>
                </c:pt>
                <c:pt idx="360">
                  <c:v>-156.18536653383674</c:v>
                </c:pt>
                <c:pt idx="361">
                  <c:v>-152.18428845453138</c:v>
                </c:pt>
                <c:pt idx="362">
                  <c:v>-148.53735188844229</c:v>
                </c:pt>
                <c:pt idx="363">
                  <c:v>-145.01194743438126</c:v>
                </c:pt>
                <c:pt idx="364">
                  <c:v>-141.82298460436436</c:v>
                </c:pt>
                <c:pt idx="365">
                  <c:v>-138.50673020922483</c:v>
                </c:pt>
                <c:pt idx="366">
                  <c:v>-131.81510470056361</c:v>
                </c:pt>
                <c:pt idx="367">
                  <c:v>-124.74809329719125</c:v>
                </c:pt>
                <c:pt idx="368">
                  <c:v>-116.86466369936207</c:v>
                </c:pt>
                <c:pt idx="369">
                  <c:v>-107.37290062965502</c:v>
                </c:pt>
                <c:pt idx="370">
                  <c:v>-97.303714355156472</c:v>
                </c:pt>
                <c:pt idx="371">
                  <c:v>-83.615112601675975</c:v>
                </c:pt>
                <c:pt idx="372">
                  <c:v>-68.444949533338431</c:v>
                </c:pt>
                <c:pt idx="373">
                  <c:v>-49.305101403028779</c:v>
                </c:pt>
                <c:pt idx="374">
                  <c:v>-30.099388086157713</c:v>
                </c:pt>
                <c:pt idx="375">
                  <c:v>-14.799700826894295</c:v>
                </c:pt>
                <c:pt idx="376">
                  <c:v>-0.92923468717884816</c:v>
                </c:pt>
                <c:pt idx="377">
                  <c:v>9.3664064652374392</c:v>
                </c:pt>
                <c:pt idx="378">
                  <c:v>19.210075293976892</c:v>
                </c:pt>
                <c:pt idx="379">
                  <c:v>27.392538057836937</c:v>
                </c:pt>
                <c:pt idx="380">
                  <c:v>34.731825030221678</c:v>
                </c:pt>
                <c:pt idx="381">
                  <c:v>41.686311100656376</c:v>
                </c:pt>
                <c:pt idx="382">
                  <c:v>45.233657455149505</c:v>
                </c:pt>
                <c:pt idx="383">
                  <c:v>48.662302504827672</c:v>
                </c:pt>
                <c:pt idx="384">
                  <c:v>52.664239675801049</c:v>
                </c:pt>
                <c:pt idx="385">
                  <c:v>56.814255266699242</c:v>
                </c:pt>
                <c:pt idx="386">
                  <c:v>61.376366669846426</c:v>
                </c:pt>
                <c:pt idx="387">
                  <c:v>66.752601973705509</c:v>
                </c:pt>
                <c:pt idx="388">
                  <c:v>70.350589316464493</c:v>
                </c:pt>
                <c:pt idx="389">
                  <c:v>73.435738558801035</c:v>
                </c:pt>
                <c:pt idx="390">
                  <c:v>75.822297637478272</c:v>
                </c:pt>
                <c:pt idx="391">
                  <c:v>77.434891976092842</c:v>
                </c:pt>
                <c:pt idx="392">
                  <c:v>77.161354149806925</c:v>
                </c:pt>
                <c:pt idx="393">
                  <c:v>75.838825690867878</c:v>
                </c:pt>
                <c:pt idx="394">
                  <c:v>73.71606030583709</c:v>
                </c:pt>
                <c:pt idx="395">
                  <c:v>70.829228407392577</c:v>
                </c:pt>
                <c:pt idx="396">
                  <c:v>66.128201263882573</c:v>
                </c:pt>
                <c:pt idx="397">
                  <c:v>62.127123184577137</c:v>
                </c:pt>
                <c:pt idx="398">
                  <c:v>58.480186618488098</c:v>
                </c:pt>
                <c:pt idx="399">
                  <c:v>54.954782164427009</c:v>
                </c:pt>
                <c:pt idx="400">
                  <c:v>51.765819334410118</c:v>
                </c:pt>
                <c:pt idx="401">
                  <c:v>48.449564939270594</c:v>
                </c:pt>
                <c:pt idx="402">
                  <c:v>41.75793943060939</c:v>
                </c:pt>
                <c:pt idx="403">
                  <c:v>34.690928027237014</c:v>
                </c:pt>
                <c:pt idx="404">
                  <c:v>26.807498429407893</c:v>
                </c:pt>
                <c:pt idx="405">
                  <c:v>17.315735359700852</c:v>
                </c:pt>
                <c:pt idx="406">
                  <c:v>7.2465490852021972</c:v>
                </c:pt>
                <c:pt idx="407">
                  <c:v>-6.4420526682782651</c:v>
                </c:pt>
                <c:pt idx="408">
                  <c:v>-21.612215736615845</c:v>
                </c:pt>
                <c:pt idx="409">
                  <c:v>-40.752063866925447</c:v>
                </c:pt>
                <c:pt idx="410">
                  <c:v>-59.957777183796509</c:v>
                </c:pt>
                <c:pt idx="411">
                  <c:v>-75.257464443059902</c:v>
                </c:pt>
                <c:pt idx="412">
                  <c:v>-89.127930582775349</c:v>
                </c:pt>
                <c:pt idx="413">
                  <c:v>-99.423571735191615</c:v>
                </c:pt>
                <c:pt idx="414">
                  <c:v>-109.26724056393113</c:v>
                </c:pt>
                <c:pt idx="415">
                  <c:v>-117.44970332779121</c:v>
                </c:pt>
                <c:pt idx="416">
                  <c:v>-124.78899030017593</c:v>
                </c:pt>
                <c:pt idx="417">
                  <c:v>-131.74347637061058</c:v>
                </c:pt>
                <c:pt idx="418">
                  <c:v>-135.29082272510371</c:v>
                </c:pt>
                <c:pt idx="419">
                  <c:v>-138.71946777478192</c:v>
                </c:pt>
                <c:pt idx="420">
                  <c:v>-142.72140494575524</c:v>
                </c:pt>
                <c:pt idx="421">
                  <c:v>-146.87142053665346</c:v>
                </c:pt>
                <c:pt idx="422">
                  <c:v>-151.43353193980067</c:v>
                </c:pt>
                <c:pt idx="423">
                  <c:v>-156.80976724365971</c:v>
                </c:pt>
                <c:pt idx="424">
                  <c:v>-160.4077545864188</c:v>
                </c:pt>
                <c:pt idx="425">
                  <c:v>-163.4929038287552</c:v>
                </c:pt>
                <c:pt idx="426">
                  <c:v>-146.09293997688854</c:v>
                </c:pt>
                <c:pt idx="427">
                  <c:v>-146.10413063703237</c:v>
                </c:pt>
                <c:pt idx="428">
                  <c:v>-144.97648351114859</c:v>
                </c:pt>
                <c:pt idx="429">
                  <c:v>-142.18040791100552</c:v>
                </c:pt>
                <c:pt idx="430">
                  <c:v>-135.85673788649405</c:v>
                </c:pt>
                <c:pt idx="431">
                  <c:v>-130.84461528683985</c:v>
                </c:pt>
                <c:pt idx="432">
                  <c:v>-126.49607521189486</c:v>
                </c:pt>
                <c:pt idx="433">
                  <c:v>-122.45279919549036</c:v>
                </c:pt>
                <c:pt idx="434">
                  <c:v>-118.46669781285409</c:v>
                </c:pt>
                <c:pt idx="435">
                  <c:v>-111.94109731575297</c:v>
                </c:pt>
                <c:pt idx="436">
                  <c:v>-104.28240765697807</c:v>
                </c:pt>
                <c:pt idx="437">
                  <c:v>-97.184256760306042</c:v>
                </c:pt>
                <c:pt idx="438">
                  <c:v>-89.58481963850673</c:v>
                </c:pt>
                <c:pt idx="439">
                  <c:v>-80.954847957601629</c:v>
                </c:pt>
                <c:pt idx="440">
                  <c:v>-70.326772203310838</c:v>
                </c:pt>
                <c:pt idx="441">
                  <c:v>-55.504639756603076</c:v>
                </c:pt>
                <c:pt idx="442">
                  <c:v>-40.022163059630685</c:v>
                </c:pt>
                <c:pt idx="443">
                  <c:v>-24.047402763038708</c:v>
                </c:pt>
                <c:pt idx="444">
                  <c:v>-6.9356937413923365</c:v>
                </c:pt>
                <c:pt idx="445">
                  <c:v>10.217017802492125</c:v>
                </c:pt>
                <c:pt idx="446">
                  <c:v>26.309639604109886</c:v>
                </c:pt>
                <c:pt idx="447">
                  <c:v>42.025443583891445</c:v>
                </c:pt>
                <c:pt idx="448">
                  <c:v>57.325964251976515</c:v>
                </c:pt>
                <c:pt idx="449">
                  <c:v>68.330474438522089</c:v>
                </c:pt>
                <c:pt idx="450">
                  <c:v>77.285599174764826</c:v>
                </c:pt>
                <c:pt idx="451">
                  <c:v>85.186326749124717</c:v>
                </c:pt>
                <c:pt idx="452">
                  <c:v>92.580545968622573</c:v>
                </c:pt>
                <c:pt idx="453">
                  <c:v>100.71425180575879</c:v>
                </c:pt>
                <c:pt idx="454">
                  <c:v>107.79133490569515</c:v>
                </c:pt>
                <c:pt idx="455">
                  <c:v>112.28352100454728</c:v>
                </c:pt>
                <c:pt idx="456">
                  <c:v>116.86807469939048</c:v>
                </c:pt>
                <c:pt idx="457">
                  <c:v>121.83069987280884</c:v>
                </c:pt>
                <c:pt idx="458">
                  <c:v>127.59824901961332</c:v>
                </c:pt>
                <c:pt idx="459">
                  <c:v>134.97382527002642</c:v>
                </c:pt>
                <c:pt idx="460">
                  <c:v>138.85936883822126</c:v>
                </c:pt>
                <c:pt idx="461">
                  <c:v>141.10683362256043</c:v>
                </c:pt>
                <c:pt idx="462">
                  <c:v>142.29218289475381</c:v>
                </c:pt>
                <c:pt idx="463">
                  <c:v>142.30337355489763</c:v>
                </c:pt>
                <c:pt idx="464">
                  <c:v>141.17572642901388</c:v>
                </c:pt>
                <c:pt idx="465">
                  <c:v>138.37965082887078</c:v>
                </c:pt>
                <c:pt idx="466">
                  <c:v>132.05598080435928</c:v>
                </c:pt>
                <c:pt idx="467">
                  <c:v>127.04385820470515</c:v>
                </c:pt>
                <c:pt idx="468">
                  <c:v>122.69531812976012</c:v>
                </c:pt>
                <c:pt idx="469">
                  <c:v>118.65204211335562</c:v>
                </c:pt>
                <c:pt idx="470">
                  <c:v>114.66594073071937</c:v>
                </c:pt>
                <c:pt idx="471">
                  <c:v>108.14034023361823</c:v>
                </c:pt>
                <c:pt idx="472">
                  <c:v>100.48165057484333</c:v>
                </c:pt>
                <c:pt idx="473">
                  <c:v>93.383499678171304</c:v>
                </c:pt>
                <c:pt idx="474">
                  <c:v>85.784062556372021</c:v>
                </c:pt>
                <c:pt idx="475">
                  <c:v>77.154090875466977</c:v>
                </c:pt>
                <c:pt idx="476">
                  <c:v>66.526015121176172</c:v>
                </c:pt>
                <c:pt idx="477">
                  <c:v>51.703882674468296</c:v>
                </c:pt>
                <c:pt idx="478">
                  <c:v>36.221405977495948</c:v>
                </c:pt>
                <c:pt idx="479">
                  <c:v>20.246645680903946</c:v>
                </c:pt>
                <c:pt idx="480">
                  <c:v>3.1349366592576193</c:v>
                </c:pt>
                <c:pt idx="481">
                  <c:v>-14.017774884626839</c:v>
                </c:pt>
                <c:pt idx="482">
                  <c:v>-30.110396686244581</c:v>
                </c:pt>
                <c:pt idx="483">
                  <c:v>-45.826200666026104</c:v>
                </c:pt>
                <c:pt idx="484">
                  <c:v>-61.12672133411116</c:v>
                </c:pt>
                <c:pt idx="485">
                  <c:v>-72.131231520656783</c:v>
                </c:pt>
                <c:pt idx="486">
                  <c:v>-81.086356256899606</c:v>
                </c:pt>
                <c:pt idx="487">
                  <c:v>-88.987083831259483</c:v>
                </c:pt>
                <c:pt idx="488">
                  <c:v>-96.381303050757296</c:v>
                </c:pt>
                <c:pt idx="489">
                  <c:v>-104.51500888789353</c:v>
                </c:pt>
                <c:pt idx="490">
                  <c:v>-111.59209198782987</c:v>
                </c:pt>
                <c:pt idx="491">
                  <c:v>-116.084278086682</c:v>
                </c:pt>
                <c:pt idx="492">
                  <c:v>-120.6688317815252</c:v>
                </c:pt>
                <c:pt idx="493">
                  <c:v>-125.63145695494353</c:v>
                </c:pt>
                <c:pt idx="494">
                  <c:v>-131.39900610174806</c:v>
                </c:pt>
                <c:pt idx="495">
                  <c:v>-138.77458235216125</c:v>
                </c:pt>
                <c:pt idx="496">
                  <c:v>-142.66012592035602</c:v>
                </c:pt>
                <c:pt idx="497">
                  <c:v>-124.16994134479248</c:v>
                </c:pt>
                <c:pt idx="498">
                  <c:v>-124.22457722894748</c:v>
                </c:pt>
                <c:pt idx="499">
                  <c:v>-123.17290234796053</c:v>
                </c:pt>
                <c:pt idx="500">
                  <c:v>-117.46449288272194</c:v>
                </c:pt>
                <c:pt idx="501">
                  <c:v>-110.8246283347008</c:v>
                </c:pt>
                <c:pt idx="502">
                  <c:v>-105.35445318326154</c:v>
                </c:pt>
                <c:pt idx="503">
                  <c:v>-99.4111279764264</c:v>
                </c:pt>
                <c:pt idx="504">
                  <c:v>-92.71221511728578</c:v>
                </c:pt>
                <c:pt idx="505">
                  <c:v>-84.15581360341983</c:v>
                </c:pt>
                <c:pt idx="506">
                  <c:v>-75.833211420104561</c:v>
                </c:pt>
                <c:pt idx="507">
                  <c:v>-67.773101690321909</c:v>
                </c:pt>
                <c:pt idx="508">
                  <c:v>-59.832033241028491</c:v>
                </c:pt>
                <c:pt idx="509">
                  <c:v>-53.196215648736363</c:v>
                </c:pt>
                <c:pt idx="510">
                  <c:v>-44.273592383506106</c:v>
                </c:pt>
                <c:pt idx="511">
                  <c:v>-32.100296895999669</c:v>
                </c:pt>
                <c:pt idx="512">
                  <c:v>-15.134168928220632</c:v>
                </c:pt>
                <c:pt idx="513">
                  <c:v>3.4294513662162771</c:v>
                </c:pt>
                <c:pt idx="514">
                  <c:v>19.08832382214333</c:v>
                </c:pt>
                <c:pt idx="515">
                  <c:v>35.45200826056027</c:v>
                </c:pt>
                <c:pt idx="516">
                  <c:v>51.851830635411574</c:v>
                </c:pt>
                <c:pt idx="517">
                  <c:v>67.622480733570598</c:v>
                </c:pt>
                <c:pt idx="518">
                  <c:v>86.630602371956371</c:v>
                </c:pt>
                <c:pt idx="519">
                  <c:v>104.10246445464472</c:v>
                </c:pt>
                <c:pt idx="520">
                  <c:v>116.68799779815637</c:v>
                </c:pt>
                <c:pt idx="521">
                  <c:v>126.0480069840745</c:v>
                </c:pt>
                <c:pt idx="522">
                  <c:v>133.16846218633935</c:v>
                </c:pt>
                <c:pt idx="523">
                  <c:v>141.72724379501483</c:v>
                </c:pt>
                <c:pt idx="524">
                  <c:v>150.38900852903402</c:v>
                </c:pt>
                <c:pt idx="525">
                  <c:v>159.29555143596968</c:v>
                </c:pt>
                <c:pt idx="526">
                  <c:v>168.42814041035837</c:v>
                </c:pt>
                <c:pt idx="527">
                  <c:v>175.60743290082328</c:v>
                </c:pt>
                <c:pt idx="528">
                  <c:v>182.18920170118727</c:v>
                </c:pt>
                <c:pt idx="529">
                  <c:v>188.52397420712018</c:v>
                </c:pt>
                <c:pt idx="530">
                  <c:v>196.36643986745284</c:v>
                </c:pt>
                <c:pt idx="531">
                  <c:v>203.38688347213096</c:v>
                </c:pt>
                <c:pt idx="532">
                  <c:v>205.53610146546478</c:v>
                </c:pt>
                <c:pt idx="533">
                  <c:v>206.62559245047723</c:v>
                </c:pt>
                <c:pt idx="534">
                  <c:v>206.68022833463223</c:v>
                </c:pt>
                <c:pt idx="535">
                  <c:v>205.62855345364537</c:v>
                </c:pt>
                <c:pt idx="536">
                  <c:v>199.92014398840669</c:v>
                </c:pt>
                <c:pt idx="537">
                  <c:v>193.28027944038556</c:v>
                </c:pt>
                <c:pt idx="538">
                  <c:v>187.81010428894629</c:v>
                </c:pt>
                <c:pt idx="539">
                  <c:v>181.86677908211115</c:v>
                </c:pt>
                <c:pt idx="540">
                  <c:v>175.16786622297059</c:v>
                </c:pt>
                <c:pt idx="541">
                  <c:v>166.61146470910458</c:v>
                </c:pt>
                <c:pt idx="542">
                  <c:v>158.28886252578934</c:v>
                </c:pt>
                <c:pt idx="543">
                  <c:v>150.22875279600663</c:v>
                </c:pt>
                <c:pt idx="544">
                  <c:v>142.28768434671329</c:v>
                </c:pt>
                <c:pt idx="545">
                  <c:v>135.65186675442118</c:v>
                </c:pt>
                <c:pt idx="546">
                  <c:v>126.72924348919091</c:v>
                </c:pt>
                <c:pt idx="547">
                  <c:v>114.5559480016845</c:v>
                </c:pt>
                <c:pt idx="548">
                  <c:v>97.589820033905369</c:v>
                </c:pt>
                <c:pt idx="549">
                  <c:v>79.026199739468467</c:v>
                </c:pt>
                <c:pt idx="550">
                  <c:v>63.367327283541428</c:v>
                </c:pt>
                <c:pt idx="551">
                  <c:v>47.003642845124517</c:v>
                </c:pt>
                <c:pt idx="552">
                  <c:v>30.603820470273202</c:v>
                </c:pt>
                <c:pt idx="553">
                  <c:v>14.833170372114211</c:v>
                </c:pt>
                <c:pt idx="554">
                  <c:v>-4.1749512662715418</c:v>
                </c:pt>
                <c:pt idx="555">
                  <c:v>-21.64681334895986</c:v>
                </c:pt>
                <c:pt idx="556">
                  <c:v>-34.232346692471559</c:v>
                </c:pt>
                <c:pt idx="557">
                  <c:v>-43.592355878389732</c:v>
                </c:pt>
                <c:pt idx="558">
                  <c:v>-50.712811080654596</c:v>
                </c:pt>
                <c:pt idx="559">
                  <c:v>-59.271592689330014</c:v>
                </c:pt>
                <c:pt idx="560">
                  <c:v>-67.933357423349236</c:v>
                </c:pt>
                <c:pt idx="561">
                  <c:v>-76.839900330284877</c:v>
                </c:pt>
                <c:pt idx="562">
                  <c:v>-85.972489304673559</c:v>
                </c:pt>
                <c:pt idx="563">
                  <c:v>-93.151781795138504</c:v>
                </c:pt>
                <c:pt idx="564">
                  <c:v>-99.733550595502493</c:v>
                </c:pt>
                <c:pt idx="565">
                  <c:v>-106.06832310143537</c:v>
                </c:pt>
                <c:pt idx="566">
                  <c:v>-113.91078876176809</c:v>
                </c:pt>
                <c:pt idx="567">
                  <c:v>-120.93123236644618</c:v>
                </c:pt>
                <c:pt idx="568">
                  <c:v>-101.30440625077254</c:v>
                </c:pt>
                <c:pt idx="569">
                  <c:v>-101.31529126927573</c:v>
                </c:pt>
                <c:pt idx="570">
                  <c:v>-97.969131787321331</c:v>
                </c:pt>
                <c:pt idx="571">
                  <c:v>-92.028534077395349</c:v>
                </c:pt>
                <c:pt idx="572">
                  <c:v>-83.32342085365984</c:v>
                </c:pt>
                <c:pt idx="573">
                  <c:v>-72.586637102210219</c:v>
                </c:pt>
                <c:pt idx="574">
                  <c:v>-64.7099517390523</c:v>
                </c:pt>
                <c:pt idx="575">
                  <c:v>-54.430972713315001</c:v>
                </c:pt>
                <c:pt idx="576">
                  <c:v>-45.424727410025909</c:v>
                </c:pt>
                <c:pt idx="577">
                  <c:v>-37.087833839818927</c:v>
                </c:pt>
                <c:pt idx="578">
                  <c:v>-28.935686110567673</c:v>
                </c:pt>
                <c:pt idx="579">
                  <c:v>-20.477773860284998</c:v>
                </c:pt>
                <c:pt idx="580">
                  <c:v>-11.077730765135428</c:v>
                </c:pt>
                <c:pt idx="581">
                  <c:v>-2.4818156326764296</c:v>
                </c:pt>
                <c:pt idx="582">
                  <c:v>8.6384788591074084</c:v>
                </c:pt>
                <c:pt idx="583">
                  <c:v>25.475847533790457</c:v>
                </c:pt>
                <c:pt idx="584">
                  <c:v>44.346733434438761</c:v>
                </c:pt>
                <c:pt idx="585">
                  <c:v>62.176721648186565</c:v>
                </c:pt>
                <c:pt idx="586">
                  <c:v>77.872624361037282</c:v>
                </c:pt>
                <c:pt idx="587">
                  <c:v>93.606093713962863</c:v>
                </c:pt>
                <c:pt idx="588">
                  <c:v>111.71360720654479</c:v>
                </c:pt>
                <c:pt idx="589">
                  <c:v>131.04598094615795</c:v>
                </c:pt>
                <c:pt idx="590">
                  <c:v>148.53318557444283</c:v>
                </c:pt>
                <c:pt idx="591">
                  <c:v>160.43142375027392</c:v>
                </c:pt>
                <c:pt idx="592">
                  <c:v>169.59912072752849</c:v>
                </c:pt>
                <c:pt idx="593">
                  <c:v>179.74089400317916</c:v>
                </c:pt>
                <c:pt idx="594">
                  <c:v>188.84923763479674</c:v>
                </c:pt>
                <c:pt idx="595">
                  <c:v>197.60426446682237</c:v>
                </c:pt>
                <c:pt idx="596">
                  <c:v>206.53156958264049</c:v>
                </c:pt>
                <c:pt idx="597">
                  <c:v>216.15124205841454</c:v>
                </c:pt>
                <c:pt idx="598">
                  <c:v>227.11263634908659</c:v>
                </c:pt>
                <c:pt idx="599">
                  <c:v>235.60964071606855</c:v>
                </c:pt>
                <c:pt idx="600">
                  <c:v>247.15024934084215</c:v>
                </c:pt>
                <c:pt idx="601">
                  <c:v>257.05400307679332</c:v>
                </c:pt>
                <c:pt idx="602">
                  <c:v>264.32868801045026</c:v>
                </c:pt>
                <c:pt idx="603">
                  <c:v>268.92981270560057</c:v>
                </c:pt>
                <c:pt idx="604">
                  <c:v>270.0164655442768</c:v>
                </c:pt>
                <c:pt idx="605">
                  <c:v>270.02735056277993</c:v>
                </c:pt>
                <c:pt idx="606">
                  <c:v>266.68119108082573</c:v>
                </c:pt>
                <c:pt idx="607">
                  <c:v>260.74059337089966</c:v>
                </c:pt>
                <c:pt idx="608">
                  <c:v>252.03548014716404</c:v>
                </c:pt>
                <c:pt idx="609">
                  <c:v>241.2986963957145</c:v>
                </c:pt>
                <c:pt idx="610">
                  <c:v>233.42201103255655</c:v>
                </c:pt>
                <c:pt idx="611">
                  <c:v>223.14303200681934</c:v>
                </c:pt>
                <c:pt idx="612">
                  <c:v>214.13678670353022</c:v>
                </c:pt>
                <c:pt idx="613">
                  <c:v>205.79989313332322</c:v>
                </c:pt>
                <c:pt idx="614">
                  <c:v>197.647745404072</c:v>
                </c:pt>
                <c:pt idx="615">
                  <c:v>189.18983315378932</c:v>
                </c:pt>
                <c:pt idx="616">
                  <c:v>179.78979005863971</c:v>
                </c:pt>
                <c:pt idx="617">
                  <c:v>171.19387492618074</c:v>
                </c:pt>
                <c:pt idx="618">
                  <c:v>160.07358043439694</c:v>
                </c:pt>
                <c:pt idx="619">
                  <c:v>143.2362117597138</c:v>
                </c:pt>
                <c:pt idx="620">
                  <c:v>124.36532585906549</c:v>
                </c:pt>
                <c:pt idx="621">
                  <c:v>106.53533764531768</c:v>
                </c:pt>
                <c:pt idx="622">
                  <c:v>90.839434932467</c:v>
                </c:pt>
                <c:pt idx="623">
                  <c:v>75.105965579541419</c:v>
                </c:pt>
                <c:pt idx="624">
                  <c:v>56.99845208695956</c:v>
                </c:pt>
                <c:pt idx="625">
                  <c:v>37.666078347346364</c:v>
                </c:pt>
                <c:pt idx="626">
                  <c:v>20.178873719061556</c:v>
                </c:pt>
                <c:pt idx="627">
                  <c:v>8.2806355432303889</c:v>
                </c:pt>
                <c:pt idx="628">
                  <c:v>-0.88706143402427529</c:v>
                </c:pt>
                <c:pt idx="629">
                  <c:v>-11.028834709674925</c:v>
                </c:pt>
                <c:pt idx="630">
                  <c:v>-20.13717834129244</c:v>
                </c:pt>
                <c:pt idx="631">
                  <c:v>-28.892205173318104</c:v>
                </c:pt>
                <c:pt idx="632">
                  <c:v>-37.819510289136204</c:v>
                </c:pt>
                <c:pt idx="633">
                  <c:v>-47.4391827649102</c:v>
                </c:pt>
                <c:pt idx="634">
                  <c:v>-58.400577055582218</c:v>
                </c:pt>
                <c:pt idx="635">
                  <c:v>-66.897581422564187</c:v>
                </c:pt>
                <c:pt idx="636">
                  <c:v>-78.438190047337841</c:v>
                </c:pt>
                <c:pt idx="637">
                  <c:v>-88.341943783289125</c:v>
                </c:pt>
                <c:pt idx="638">
                  <c:v>-95.616628716945982</c:v>
                </c:pt>
                <c:pt idx="639">
                  <c:v>-77.313111459634058</c:v>
                </c:pt>
                <c:pt idx="640">
                  <c:v>-76.019548879972888</c:v>
                </c:pt>
                <c:pt idx="641">
                  <c:v>-71.295476578331659</c:v>
                </c:pt>
                <c:pt idx="642">
                  <c:v>-61.106809808612297</c:v>
                </c:pt>
                <c:pt idx="643">
                  <c:v>-49.081686493604025</c:v>
                </c:pt>
                <c:pt idx="644">
                  <c:v>-37.669518250141408</c:v>
                </c:pt>
                <c:pt idx="645">
                  <c:v>-25.195324041442205</c:v>
                </c:pt>
                <c:pt idx="646">
                  <c:v>-14.880289410274116</c:v>
                </c:pt>
                <c:pt idx="647">
                  <c:v>-6.5812177862911483</c:v>
                </c:pt>
                <c:pt idx="648">
                  <c:v>1.9696148320310414</c:v>
                </c:pt>
                <c:pt idx="649">
                  <c:v>10.699146364378635</c:v>
                </c:pt>
                <c:pt idx="650">
                  <c:v>20.134264911620988</c:v>
                </c:pt>
                <c:pt idx="651">
                  <c:v>30.467818073699021</c:v>
                </c:pt>
                <c:pt idx="652">
                  <c:v>42.809972975814702</c:v>
                </c:pt>
                <c:pt idx="653">
                  <c:v>54.682797479764986</c:v>
                </c:pt>
                <c:pt idx="654">
                  <c:v>68.237885975701346</c:v>
                </c:pt>
                <c:pt idx="655">
                  <c:v>84.602742497304718</c:v>
                </c:pt>
                <c:pt idx="656">
                  <c:v>102.83452091699607</c:v>
                </c:pt>
                <c:pt idx="657">
                  <c:v>120.33255285640047</c:v>
                </c:pt>
                <c:pt idx="658">
                  <c:v>137.96376791366706</c:v>
                </c:pt>
                <c:pt idx="659">
                  <c:v>156.57040579354225</c:v>
                </c:pt>
                <c:pt idx="660">
                  <c:v>173.68768461204564</c:v>
                </c:pt>
                <c:pt idx="661">
                  <c:v>188.11675178921644</c:v>
                </c:pt>
                <c:pt idx="662">
                  <c:v>200.81658506316938</c:v>
                </c:pt>
                <c:pt idx="663">
                  <c:v>214.06115888223653</c:v>
                </c:pt>
                <c:pt idx="664">
                  <c:v>225.14124301479723</c:v>
                </c:pt>
                <c:pt idx="665">
                  <c:v>235.17972878067172</c:v>
                </c:pt>
                <c:pt idx="666">
                  <c:v>244.52850940377954</c:v>
                </c:pt>
                <c:pt idx="667">
                  <c:v>253.71065059368229</c:v>
                </c:pt>
                <c:pt idx="668">
                  <c:v>262.68975546505715</c:v>
                </c:pt>
                <c:pt idx="669">
                  <c:v>273.75257078817117</c:v>
                </c:pt>
                <c:pt idx="670">
                  <c:v>287.12027325259066</c:v>
                </c:pt>
                <c:pt idx="671">
                  <c:v>299.39053761411503</c:v>
                </c:pt>
                <c:pt idx="672">
                  <c:v>312.39288917880498</c:v>
                </c:pt>
                <c:pt idx="673">
                  <c:v>323.75077787882776</c:v>
                </c:pt>
                <c:pt idx="674">
                  <c:v>329.7612760245072</c:v>
                </c:pt>
                <c:pt idx="675">
                  <c:v>332.28157894095779</c:v>
                </c:pt>
                <c:pt idx="676">
                  <c:v>330.98801636129662</c:v>
                </c:pt>
                <c:pt idx="677">
                  <c:v>326.2639440596555</c:v>
                </c:pt>
                <c:pt idx="678">
                  <c:v>316.07527728993603</c:v>
                </c:pt>
                <c:pt idx="679">
                  <c:v>304.05015397492775</c:v>
                </c:pt>
                <c:pt idx="680">
                  <c:v>292.63798573146516</c:v>
                </c:pt>
                <c:pt idx="681">
                  <c:v>280.16379152276591</c:v>
                </c:pt>
                <c:pt idx="682">
                  <c:v>269.84875689159787</c:v>
                </c:pt>
                <c:pt idx="683">
                  <c:v>261.5496852676149</c:v>
                </c:pt>
                <c:pt idx="684">
                  <c:v>252.9988526492927</c:v>
                </c:pt>
                <c:pt idx="685">
                  <c:v>244.26932111694509</c:v>
                </c:pt>
                <c:pt idx="686">
                  <c:v>234.83420256970277</c:v>
                </c:pt>
                <c:pt idx="687">
                  <c:v>224.50064940762471</c:v>
                </c:pt>
                <c:pt idx="688">
                  <c:v>212.15849450550911</c:v>
                </c:pt>
                <c:pt idx="689">
                  <c:v>200.2856700015588</c:v>
                </c:pt>
                <c:pt idx="690">
                  <c:v>186.73058150562233</c:v>
                </c:pt>
                <c:pt idx="691">
                  <c:v>170.36572498401901</c:v>
                </c:pt>
                <c:pt idx="692">
                  <c:v>152.13394656432763</c:v>
                </c:pt>
                <c:pt idx="693">
                  <c:v>134.63591462492329</c:v>
                </c:pt>
                <c:pt idx="694">
                  <c:v>117.0046995676567</c:v>
                </c:pt>
                <c:pt idx="695">
                  <c:v>98.398061687781535</c:v>
                </c:pt>
                <c:pt idx="696">
                  <c:v>81.280782869278141</c:v>
                </c:pt>
                <c:pt idx="697">
                  <c:v>66.851715692107391</c:v>
                </c:pt>
                <c:pt idx="698">
                  <c:v>54.151882418154443</c:v>
                </c:pt>
                <c:pt idx="699">
                  <c:v>40.907308599087173</c:v>
                </c:pt>
                <c:pt idx="700">
                  <c:v>29.827224466526488</c:v>
                </c:pt>
                <c:pt idx="701">
                  <c:v>19.788738700652033</c:v>
                </c:pt>
                <c:pt idx="702">
                  <c:v>10.439958077544205</c:v>
                </c:pt>
                <c:pt idx="703">
                  <c:v>1.2578168876414964</c:v>
                </c:pt>
                <c:pt idx="704">
                  <c:v>-7.7212879837333332</c:v>
                </c:pt>
                <c:pt idx="705">
                  <c:v>-18.784103306847356</c:v>
                </c:pt>
                <c:pt idx="706">
                  <c:v>-32.151805771266851</c:v>
                </c:pt>
                <c:pt idx="707">
                  <c:v>-44.422070132791163</c:v>
                </c:pt>
                <c:pt idx="708">
                  <c:v>-57.424421697481364</c:v>
                </c:pt>
                <c:pt idx="709">
                  <c:v>-68.782310397504034</c:v>
                </c:pt>
                <c:pt idx="710">
                  <c:v>-51.965836194641525</c:v>
                </c:pt>
                <c:pt idx="711">
                  <c:v>-47.565939326470215</c:v>
                </c:pt>
                <c:pt idx="712">
                  <c:v>-33.813879163865067</c:v>
                </c:pt>
                <c:pt idx="713">
                  <c:v>-23.031509953315947</c:v>
                </c:pt>
                <c:pt idx="714">
                  <c:v>-12.45442636432017</c:v>
                </c:pt>
                <c:pt idx="715">
                  <c:v>0.96215330467009608</c:v>
                </c:pt>
                <c:pt idx="716">
                  <c:v>13.660759060262166</c:v>
                </c:pt>
                <c:pt idx="717">
                  <c:v>24.552979793725854</c:v>
                </c:pt>
                <c:pt idx="718">
                  <c:v>35.125824506130385</c:v>
                </c:pt>
                <c:pt idx="719">
                  <c:v>44.926592285815701</c:v>
                </c:pt>
                <c:pt idx="720">
                  <c:v>53.649549773418698</c:v>
                </c:pt>
                <c:pt idx="721">
                  <c:v>63.663593233072177</c:v>
                </c:pt>
                <c:pt idx="722">
                  <c:v>74.830627727252704</c:v>
                </c:pt>
                <c:pt idx="723">
                  <c:v>88.302931667887137</c:v>
                </c:pt>
                <c:pt idx="724">
                  <c:v>103.06502215693794</c:v>
                </c:pt>
                <c:pt idx="725">
                  <c:v>115.31726568549981</c:v>
                </c:pt>
                <c:pt idx="726">
                  <c:v>127.7985405716143</c:v>
                </c:pt>
                <c:pt idx="727">
                  <c:v>143.11120633876263</c:v>
                </c:pt>
                <c:pt idx="728">
                  <c:v>162.83983323332643</c:v>
                </c:pt>
                <c:pt idx="729">
                  <c:v>182.92430618491969</c:v>
                </c:pt>
                <c:pt idx="730">
                  <c:v>199.23600164604878</c:v>
                </c:pt>
                <c:pt idx="731">
                  <c:v>212.50173123744986</c:v>
                </c:pt>
                <c:pt idx="732">
                  <c:v>225.52351523101265</c:v>
                </c:pt>
                <c:pt idx="733">
                  <c:v>241.25983188394133</c:v>
                </c:pt>
                <c:pt idx="734">
                  <c:v>255.65300683433338</c:v>
                </c:pt>
                <c:pt idx="735">
                  <c:v>267.60896835949382</c:v>
                </c:pt>
                <c:pt idx="736">
                  <c:v>278.38679041656849</c:v>
                </c:pt>
                <c:pt idx="737">
                  <c:v>287.81638492275465</c:v>
                </c:pt>
                <c:pt idx="738">
                  <c:v>298.25105378630201</c:v>
                </c:pt>
                <c:pt idx="739">
                  <c:v>309.54996644171962</c:v>
                </c:pt>
                <c:pt idx="740">
                  <c:v>321.24965998913342</c:v>
                </c:pt>
                <c:pt idx="741">
                  <c:v>334.92134970985614</c:v>
                </c:pt>
                <c:pt idx="742">
                  <c:v>349.40295722451697</c:v>
                </c:pt>
                <c:pt idx="743">
                  <c:v>360.86262930274086</c:v>
                </c:pt>
                <c:pt idx="744">
                  <c:v>372.54410372175232</c:v>
                </c:pt>
                <c:pt idx="745">
                  <c:v>387.40051091313387</c:v>
                </c:pt>
                <c:pt idx="746">
                  <c:v>393.19071186378483</c:v>
                </c:pt>
                <c:pt idx="747">
                  <c:v>388.79081499561346</c:v>
                </c:pt>
                <c:pt idx="748">
                  <c:v>375.03875483300851</c:v>
                </c:pt>
                <c:pt idx="749">
                  <c:v>364.25638562245922</c:v>
                </c:pt>
                <c:pt idx="750">
                  <c:v>353.67930203346344</c:v>
                </c:pt>
                <c:pt idx="751">
                  <c:v>340.26272236447323</c:v>
                </c:pt>
                <c:pt idx="752">
                  <c:v>327.56411660888114</c:v>
                </c:pt>
                <c:pt idx="753">
                  <c:v>316.67189587541748</c:v>
                </c:pt>
                <c:pt idx="754">
                  <c:v>306.09905116301286</c:v>
                </c:pt>
                <c:pt idx="755">
                  <c:v>296.29828338332754</c:v>
                </c:pt>
                <c:pt idx="756">
                  <c:v>287.57532589572452</c:v>
                </c:pt>
                <c:pt idx="757">
                  <c:v>277.56128243607111</c:v>
                </c:pt>
                <c:pt idx="758">
                  <c:v>266.39424794189063</c:v>
                </c:pt>
                <c:pt idx="759">
                  <c:v>252.92194400125624</c:v>
                </c:pt>
                <c:pt idx="760">
                  <c:v>238.15985351220539</c:v>
                </c:pt>
                <c:pt idx="761">
                  <c:v>225.90760998364345</c:v>
                </c:pt>
                <c:pt idx="762">
                  <c:v>213.42633509752895</c:v>
                </c:pt>
                <c:pt idx="763">
                  <c:v>198.11366933038065</c:v>
                </c:pt>
                <c:pt idx="764">
                  <c:v>178.38504243581684</c:v>
                </c:pt>
                <c:pt idx="765">
                  <c:v>158.30056948422362</c:v>
                </c:pt>
                <c:pt idx="766">
                  <c:v>141.98887402309452</c:v>
                </c:pt>
                <c:pt idx="767">
                  <c:v>128.72314443169347</c:v>
                </c:pt>
                <c:pt idx="768">
                  <c:v>115.70136043813075</c:v>
                </c:pt>
                <c:pt idx="769">
                  <c:v>99.965043785201985</c:v>
                </c:pt>
                <c:pt idx="770">
                  <c:v>85.571868834809777</c:v>
                </c:pt>
                <c:pt idx="771">
                  <c:v>73.615907309649458</c:v>
                </c:pt>
                <c:pt idx="772">
                  <c:v>62.838085252574842</c:v>
                </c:pt>
                <c:pt idx="773">
                  <c:v>53.408490746388651</c:v>
                </c:pt>
                <c:pt idx="774">
                  <c:v>42.973821882841236</c:v>
                </c:pt>
                <c:pt idx="775">
                  <c:v>31.674909227423655</c:v>
                </c:pt>
                <c:pt idx="776">
                  <c:v>19.97521568000991</c:v>
                </c:pt>
                <c:pt idx="777">
                  <c:v>6.3035259592872706</c:v>
                </c:pt>
                <c:pt idx="778">
                  <c:v>-8.1780815553735522</c:v>
                </c:pt>
                <c:pt idx="779">
                  <c:v>-19.63775363359764</c:v>
                </c:pt>
                <c:pt idx="780">
                  <c:v>-31.319228052609049</c:v>
                </c:pt>
                <c:pt idx="781">
                  <c:v>-18.913293161292671</c:v>
                </c:pt>
                <c:pt idx="782">
                  <c:v>-3.7251639194372501</c:v>
                </c:pt>
                <c:pt idx="783">
                  <c:v>7.8081529068535644</c:v>
                </c:pt>
                <c:pt idx="784">
                  <c:v>17.517339698914441</c:v>
                </c:pt>
                <c:pt idx="785">
                  <c:v>28.022631581079708</c:v>
                </c:pt>
                <c:pt idx="786">
                  <c:v>40.08939842700488</c:v>
                </c:pt>
                <c:pt idx="787">
                  <c:v>53.797476170673065</c:v>
                </c:pt>
                <c:pt idx="788">
                  <c:v>66.20652874963028</c:v>
                </c:pt>
                <c:pt idx="789">
                  <c:v>77.259452405323941</c:v>
                </c:pt>
                <c:pt idx="790">
                  <c:v>87.64755826243902</c:v>
                </c:pt>
                <c:pt idx="791">
                  <c:v>97.985466909352667</c:v>
                </c:pt>
                <c:pt idx="792">
                  <c:v>108.91874811423453</c:v>
                </c:pt>
                <c:pt idx="793">
                  <c:v>120.30989598639324</c:v>
                </c:pt>
                <c:pt idx="794">
                  <c:v>134.544215086279</c:v>
                </c:pt>
                <c:pt idx="795">
                  <c:v>148.95695029856978</c:v>
                </c:pt>
                <c:pt idx="796">
                  <c:v>162.25013459210771</c:v>
                </c:pt>
                <c:pt idx="797">
                  <c:v>174.58626366548577</c:v>
                </c:pt>
                <c:pt idx="798">
                  <c:v>188.51739120245446</c:v>
                </c:pt>
                <c:pt idx="799">
                  <c:v>205.61618748986336</c:v>
                </c:pt>
                <c:pt idx="800">
                  <c:v>223.81879475238574</c:v>
                </c:pt>
                <c:pt idx="801">
                  <c:v>238.59042875975254</c:v>
                </c:pt>
                <c:pt idx="802">
                  <c:v>251.63561388197681</c:v>
                </c:pt>
                <c:pt idx="803">
                  <c:v>265.6958603465896</c:v>
                </c:pt>
                <c:pt idx="804">
                  <c:v>280.98758052534095</c:v>
                </c:pt>
                <c:pt idx="805">
                  <c:v>296.21522055621199</c:v>
                </c:pt>
                <c:pt idx="806">
                  <c:v>308.50190993658794</c:v>
                </c:pt>
                <c:pt idx="807">
                  <c:v>320.23478481376264</c:v>
                </c:pt>
                <c:pt idx="808">
                  <c:v>331.32434470468428</c:v>
                </c:pt>
                <c:pt idx="809">
                  <c:v>342.46071425140082</c:v>
                </c:pt>
                <c:pt idx="810">
                  <c:v>354.30515751889993</c:v>
                </c:pt>
                <c:pt idx="811">
                  <c:v>367.54105839461602</c:v>
                </c:pt>
                <c:pt idx="812">
                  <c:v>382.27797042186461</c:v>
                </c:pt>
                <c:pt idx="813">
                  <c:v>395.38203970737834</c:v>
                </c:pt>
                <c:pt idx="814">
                  <c:v>406.84253443985739</c:v>
                </c:pt>
                <c:pt idx="815">
                  <c:v>417.43805625434049</c:v>
                </c:pt>
                <c:pt idx="816">
                  <c:v>429.97369560029767</c:v>
                </c:pt>
                <c:pt idx="817">
                  <c:v>446.39457701825546</c:v>
                </c:pt>
                <c:pt idx="818">
                  <c:v>431.20644777640001</c:v>
                </c:pt>
                <c:pt idx="819">
                  <c:v>419.67313095010934</c:v>
                </c:pt>
                <c:pt idx="820">
                  <c:v>409.96394415804832</c:v>
                </c:pt>
                <c:pt idx="821">
                  <c:v>399.45865227588308</c:v>
                </c:pt>
                <c:pt idx="822">
                  <c:v>387.39188542995794</c:v>
                </c:pt>
                <c:pt idx="823">
                  <c:v>373.6838076862897</c:v>
                </c:pt>
                <c:pt idx="824">
                  <c:v>361.27475510733257</c:v>
                </c:pt>
                <c:pt idx="825">
                  <c:v>350.22183145163888</c:v>
                </c:pt>
                <c:pt idx="826">
                  <c:v>339.8337255945238</c:v>
                </c:pt>
                <c:pt idx="827">
                  <c:v>329.49581694761008</c:v>
                </c:pt>
                <c:pt idx="828">
                  <c:v>318.56253574272824</c:v>
                </c:pt>
                <c:pt idx="829">
                  <c:v>307.17138787056956</c:v>
                </c:pt>
                <c:pt idx="830">
                  <c:v>292.93706877068382</c:v>
                </c:pt>
                <c:pt idx="831">
                  <c:v>278.52433355839304</c:v>
                </c:pt>
                <c:pt idx="832">
                  <c:v>265.23114926485505</c:v>
                </c:pt>
                <c:pt idx="833">
                  <c:v>252.89502019147702</c:v>
                </c:pt>
                <c:pt idx="834">
                  <c:v>238.9638926545083</c:v>
                </c:pt>
                <c:pt idx="835">
                  <c:v>221.86509636709943</c:v>
                </c:pt>
                <c:pt idx="836">
                  <c:v>203.66248910457702</c:v>
                </c:pt>
                <c:pt idx="837">
                  <c:v>188.89085509721028</c:v>
                </c:pt>
                <c:pt idx="838">
                  <c:v>175.84566997498595</c:v>
                </c:pt>
                <c:pt idx="839">
                  <c:v>161.78542351037328</c:v>
                </c:pt>
                <c:pt idx="840">
                  <c:v>146.49370333162193</c:v>
                </c:pt>
                <c:pt idx="841">
                  <c:v>131.26606330075072</c:v>
                </c:pt>
                <c:pt idx="842">
                  <c:v>118.97937392037478</c:v>
                </c:pt>
                <c:pt idx="843">
                  <c:v>107.24649904320013</c:v>
                </c:pt>
                <c:pt idx="844">
                  <c:v>96.156939152278483</c:v>
                </c:pt>
                <c:pt idx="845">
                  <c:v>85.020569605562002</c:v>
                </c:pt>
                <c:pt idx="846">
                  <c:v>73.176126338062858</c:v>
                </c:pt>
                <c:pt idx="847">
                  <c:v>59.940225462346746</c:v>
                </c:pt>
                <c:pt idx="848">
                  <c:v>45.20331343509821</c:v>
                </c:pt>
                <c:pt idx="849">
                  <c:v>32.099244149584507</c:v>
                </c:pt>
                <c:pt idx="850">
                  <c:v>20.638749417105259</c:v>
                </c:pt>
                <c:pt idx="851">
                  <c:v>10.043227602622238</c:v>
                </c:pt>
                <c:pt idx="852">
                  <c:v>29.786289339144162</c:v>
                </c:pt>
                <c:pt idx="853">
                  <c:v>41.997210556210007</c:v>
                </c:pt>
                <c:pt idx="854">
                  <c:v>51.341039217816927</c:v>
                </c:pt>
                <c:pt idx="855">
                  <c:v>61.305071488023231</c:v>
                </c:pt>
                <c:pt idx="856">
                  <c:v>72.033485062858603</c:v>
                </c:pt>
                <c:pt idx="857">
                  <c:v>82.759092073659446</c:v>
                </c:pt>
                <c:pt idx="858">
                  <c:v>95.038460984049749</c:v>
                </c:pt>
                <c:pt idx="859">
                  <c:v>107.86165748774505</c:v>
                </c:pt>
                <c:pt idx="860">
                  <c:v>119.62136808291766</c:v>
                </c:pt>
                <c:pt idx="861">
                  <c:v>130.84548866543639</c:v>
                </c:pt>
                <c:pt idx="862">
                  <c:v>142.17251484570045</c:v>
                </c:pt>
                <c:pt idx="863">
                  <c:v>154.28986799127077</c:v>
                </c:pt>
                <c:pt idx="864">
                  <c:v>167.9159297173035</c:v>
                </c:pt>
                <c:pt idx="865">
                  <c:v>180.67348738347843</c:v>
                </c:pt>
                <c:pt idx="866">
                  <c:v>193.57864016491081</c:v>
                </c:pt>
                <c:pt idx="867">
                  <c:v>207.44258050202848</c:v>
                </c:pt>
                <c:pt idx="868">
                  <c:v>221.29070869382582</c:v>
                </c:pt>
                <c:pt idx="869">
                  <c:v>233.93493323928973</c:v>
                </c:pt>
                <c:pt idx="870">
                  <c:v>248.93894840485871</c:v>
                </c:pt>
                <c:pt idx="871">
                  <c:v>264.83347263787311</c:v>
                </c:pt>
                <c:pt idx="872">
                  <c:v>278.16195724064511</c:v>
                </c:pt>
                <c:pt idx="873">
                  <c:v>292.74065416085961</c:v>
                </c:pt>
                <c:pt idx="874">
                  <c:v>307.38865258578369</c:v>
                </c:pt>
                <c:pt idx="875">
                  <c:v>321.07532593945456</c:v>
                </c:pt>
                <c:pt idx="876">
                  <c:v>334.72269338179672</c:v>
                </c:pt>
                <c:pt idx="877">
                  <c:v>349.27871381224082</c:v>
                </c:pt>
                <c:pt idx="878">
                  <c:v>362.24797537050495</c:v>
                </c:pt>
                <c:pt idx="879">
                  <c:v>374.38752796346904</c:v>
                </c:pt>
                <c:pt idx="880">
                  <c:v>386.43111953408777</c:v>
                </c:pt>
                <c:pt idx="881">
                  <c:v>399.06687401866117</c:v>
                </c:pt>
                <c:pt idx="882">
                  <c:v>412.87421051714034</c:v>
                </c:pt>
                <c:pt idx="883">
                  <c:v>426.075659730692</c:v>
                </c:pt>
                <c:pt idx="884">
                  <c:v>437.7298737723213</c:v>
                </c:pt>
                <c:pt idx="885">
                  <c:v>449.45394618842886</c:v>
                </c:pt>
                <c:pt idx="886">
                  <c:v>460.41066506575385</c:v>
                </c:pt>
                <c:pt idx="887">
                  <c:v>470.66148071660257</c:v>
                </c:pt>
                <c:pt idx="888">
                  <c:v>483.95140270563809</c:v>
                </c:pt>
                <c:pt idx="889">
                  <c:v>471.74048148857219</c:v>
                </c:pt>
                <c:pt idx="890">
                  <c:v>462.39665282696546</c:v>
                </c:pt>
                <c:pt idx="891">
                  <c:v>452.43262055675899</c:v>
                </c:pt>
                <c:pt idx="892">
                  <c:v>441.70420698192356</c:v>
                </c:pt>
                <c:pt idx="893">
                  <c:v>430.97859997112278</c:v>
                </c:pt>
                <c:pt idx="894">
                  <c:v>418.69923106073247</c:v>
                </c:pt>
                <c:pt idx="895">
                  <c:v>405.8760345570372</c:v>
                </c:pt>
                <c:pt idx="896">
                  <c:v>394.11632396186462</c:v>
                </c:pt>
                <c:pt idx="897">
                  <c:v>382.8922033793458</c:v>
                </c:pt>
                <c:pt idx="898">
                  <c:v>371.56517719908175</c:v>
                </c:pt>
                <c:pt idx="899">
                  <c:v>359.44782405351145</c:v>
                </c:pt>
                <c:pt idx="900">
                  <c:v>345.82176232747872</c:v>
                </c:pt>
                <c:pt idx="901">
                  <c:v>333.06420466130385</c:v>
                </c:pt>
                <c:pt idx="902">
                  <c:v>320.15905187987147</c:v>
                </c:pt>
                <c:pt idx="903">
                  <c:v>306.29511154275372</c:v>
                </c:pt>
                <c:pt idx="904">
                  <c:v>292.44698335095637</c:v>
                </c:pt>
                <c:pt idx="905">
                  <c:v>279.80275880549243</c:v>
                </c:pt>
                <c:pt idx="906">
                  <c:v>264.79874363992349</c:v>
                </c:pt>
                <c:pt idx="907">
                  <c:v>248.90421940690908</c:v>
                </c:pt>
                <c:pt idx="908">
                  <c:v>235.57573480413714</c:v>
                </c:pt>
                <c:pt idx="909">
                  <c:v>220.99703788392264</c:v>
                </c:pt>
                <c:pt idx="910">
                  <c:v>206.34903945899862</c:v>
                </c:pt>
                <c:pt idx="911">
                  <c:v>192.66236610532772</c:v>
                </c:pt>
                <c:pt idx="912">
                  <c:v>179.01499866298542</c:v>
                </c:pt>
                <c:pt idx="913">
                  <c:v>164.45897823254137</c:v>
                </c:pt>
                <c:pt idx="914">
                  <c:v>151.48971667427725</c:v>
                </c:pt>
                <c:pt idx="915">
                  <c:v>139.35016408131315</c:v>
                </c:pt>
                <c:pt idx="916">
                  <c:v>127.30657251069454</c:v>
                </c:pt>
                <c:pt idx="917">
                  <c:v>114.67081802612108</c:v>
                </c:pt>
                <c:pt idx="918">
                  <c:v>100.86348152764188</c:v>
                </c:pt>
                <c:pt idx="919">
                  <c:v>87.662032314090311</c:v>
                </c:pt>
                <c:pt idx="920">
                  <c:v>76.007818272460952</c:v>
                </c:pt>
                <c:pt idx="921">
                  <c:v>64.283745856353306</c:v>
                </c:pt>
                <c:pt idx="922">
                  <c:v>53.327026979028318</c:v>
                </c:pt>
                <c:pt idx="923">
                  <c:v>81.107466048719232</c:v>
                </c:pt>
                <c:pt idx="924">
                  <c:v>90.374088024733055</c:v>
                </c:pt>
                <c:pt idx="925">
                  <c:v>99.648138928776547</c:v>
                </c:pt>
                <c:pt idx="926">
                  <c:v>109.12164746728052</c:v>
                </c:pt>
                <c:pt idx="927">
                  <c:v>118.46357309831819</c:v>
                </c:pt>
                <c:pt idx="928">
                  <c:v>128.52556658741807</c:v>
                </c:pt>
                <c:pt idx="929">
                  <c:v>138.43223848707746</c:v>
                </c:pt>
                <c:pt idx="930">
                  <c:v>149.15297168498336</c:v>
                </c:pt>
                <c:pt idx="931">
                  <c:v>161.44395633642381</c:v>
                </c:pt>
                <c:pt idx="932">
                  <c:v>173.64981928707206</c:v>
                </c:pt>
                <c:pt idx="933">
                  <c:v>186.39796807329355</c:v>
                </c:pt>
                <c:pt idx="934">
                  <c:v>200.43919773956276</c:v>
                </c:pt>
                <c:pt idx="935">
                  <c:v>214.10081650787097</c:v>
                </c:pt>
                <c:pt idx="936">
                  <c:v>227.40771528866213</c:v>
                </c:pt>
                <c:pt idx="937">
                  <c:v>239.00809316852749</c:v>
                </c:pt>
                <c:pt idx="938">
                  <c:v>251.89328170891449</c:v>
                </c:pt>
                <c:pt idx="939">
                  <c:v>265.2481086483005</c:v>
                </c:pt>
                <c:pt idx="940">
                  <c:v>279.31544995559926</c:v>
                </c:pt>
                <c:pt idx="941">
                  <c:v>292.3532574069323</c:v>
                </c:pt>
                <c:pt idx="942">
                  <c:v>306.0708871875317</c:v>
                </c:pt>
                <c:pt idx="943">
                  <c:v>320.82108432209759</c:v>
                </c:pt>
                <c:pt idx="944">
                  <c:v>334.87097463777849</c:v>
                </c:pt>
                <c:pt idx="945">
                  <c:v>348.44087857212963</c:v>
                </c:pt>
                <c:pt idx="946">
                  <c:v>360.77318651896985</c:v>
                </c:pt>
                <c:pt idx="947">
                  <c:v>374.80532137327361</c:v>
                </c:pt>
                <c:pt idx="948">
                  <c:v>389.24996711646446</c:v>
                </c:pt>
                <c:pt idx="949">
                  <c:v>404.18495340683484</c:v>
                </c:pt>
                <c:pt idx="950">
                  <c:v>417.81774895627416</c:v>
                </c:pt>
                <c:pt idx="951">
                  <c:v>430.94485478304273</c:v>
                </c:pt>
                <c:pt idx="952">
                  <c:v>444.24771119264801</c:v>
                </c:pt>
                <c:pt idx="953">
                  <c:v>455.9499367748341</c:v>
                </c:pt>
                <c:pt idx="954">
                  <c:v>466.8113087661917</c:v>
                </c:pt>
                <c:pt idx="955">
                  <c:v>477.70905006036446</c:v>
                </c:pt>
                <c:pt idx="956">
                  <c:v>487.97480787759525</c:v>
                </c:pt>
                <c:pt idx="957">
                  <c:v>498.40531023034993</c:v>
                </c:pt>
                <c:pt idx="958">
                  <c:v>508.6856917516414</c:v>
                </c:pt>
                <c:pt idx="959">
                  <c:v>518.88663418388251</c:v>
                </c:pt>
                <c:pt idx="960">
                  <c:v>509.62001220786863</c:v>
                </c:pt>
                <c:pt idx="961">
                  <c:v>500.34596130382522</c:v>
                </c:pt>
                <c:pt idx="962">
                  <c:v>490.87245276532121</c:v>
                </c:pt>
                <c:pt idx="963">
                  <c:v>481.53052713428349</c:v>
                </c:pt>
                <c:pt idx="964">
                  <c:v>471.46853364518358</c:v>
                </c:pt>
                <c:pt idx="965">
                  <c:v>461.5618617455242</c:v>
                </c:pt>
                <c:pt idx="966">
                  <c:v>450.84112854761838</c:v>
                </c:pt>
                <c:pt idx="967">
                  <c:v>438.55014389617793</c:v>
                </c:pt>
                <c:pt idx="968">
                  <c:v>426.34428094552965</c:v>
                </c:pt>
                <c:pt idx="969">
                  <c:v>413.59613215930813</c:v>
                </c:pt>
                <c:pt idx="970">
                  <c:v>399.55490249303898</c:v>
                </c:pt>
                <c:pt idx="971">
                  <c:v>385.89328372473074</c:v>
                </c:pt>
                <c:pt idx="972">
                  <c:v>372.58638494393961</c:v>
                </c:pt>
                <c:pt idx="973">
                  <c:v>360.98600706407427</c:v>
                </c:pt>
                <c:pt idx="974">
                  <c:v>348.10081852368717</c:v>
                </c:pt>
                <c:pt idx="975">
                  <c:v>334.74599158430118</c:v>
                </c:pt>
                <c:pt idx="976">
                  <c:v>320.67865027700236</c:v>
                </c:pt>
                <c:pt idx="977">
                  <c:v>307.64084282566938</c:v>
                </c:pt>
                <c:pt idx="978">
                  <c:v>293.92321304506999</c:v>
                </c:pt>
                <c:pt idx="979">
                  <c:v>279.17301591050415</c:v>
                </c:pt>
                <c:pt idx="980">
                  <c:v>265.12312559482325</c:v>
                </c:pt>
                <c:pt idx="981">
                  <c:v>251.55322166047216</c:v>
                </c:pt>
                <c:pt idx="982">
                  <c:v>239.22091371363192</c:v>
                </c:pt>
                <c:pt idx="983">
                  <c:v>225.18877885932801</c:v>
                </c:pt>
                <c:pt idx="984">
                  <c:v>210.74413311613722</c:v>
                </c:pt>
                <c:pt idx="985">
                  <c:v>195.80914682576685</c:v>
                </c:pt>
                <c:pt idx="986">
                  <c:v>182.17635127632752</c:v>
                </c:pt>
                <c:pt idx="987">
                  <c:v>169.04924544955898</c:v>
                </c:pt>
                <c:pt idx="988">
                  <c:v>155.74638903995373</c:v>
                </c:pt>
                <c:pt idx="989">
                  <c:v>144.04416345776761</c:v>
                </c:pt>
                <c:pt idx="990">
                  <c:v>133.18279146641004</c:v>
                </c:pt>
                <c:pt idx="991">
                  <c:v>122.28505017223728</c:v>
                </c:pt>
                <c:pt idx="992">
                  <c:v>112.01929235500631</c:v>
                </c:pt>
                <c:pt idx="993">
                  <c:v>101.58879000225173</c:v>
                </c:pt>
                <c:pt idx="994">
                  <c:v>136.22036116497227</c:v>
                </c:pt>
                <c:pt idx="995">
                  <c:v>142.48328332928739</c:v>
                </c:pt>
                <c:pt idx="996">
                  <c:v>148.72984309922711</c:v>
                </c:pt>
                <c:pt idx="997">
                  <c:v>155.16993471449766</c:v>
                </c:pt>
                <c:pt idx="998">
                  <c:v>162.08584213054732</c:v>
                </c:pt>
                <c:pt idx="999">
                  <c:v>169.81511416383529</c:v>
                </c:pt>
                <c:pt idx="1000">
                  <c:v>178.77989088964398</c:v>
                </c:pt>
                <c:pt idx="1001">
                  <c:v>188.8756473258905</c:v>
                </c:pt>
                <c:pt idx="1002">
                  <c:v>201.89414466655586</c:v>
                </c:pt>
                <c:pt idx="1003">
                  <c:v>215.43521859687417</c:v>
                </c:pt>
                <c:pt idx="1004">
                  <c:v>229.70989349155411</c:v>
                </c:pt>
                <c:pt idx="1005">
                  <c:v>245.0201626630782</c:v>
                </c:pt>
                <c:pt idx="1006">
                  <c:v>258.64925982768017</c:v>
                </c:pt>
                <c:pt idx="1007">
                  <c:v>272.08212962755704</c:v>
                </c:pt>
                <c:pt idx="1008">
                  <c:v>284.94823376903281</c:v>
                </c:pt>
                <c:pt idx="1009">
                  <c:v>296.7036484726176</c:v>
                </c:pt>
                <c:pt idx="1010">
                  <c:v>309.33604327433778</c:v>
                </c:pt>
                <c:pt idx="1011">
                  <c:v>322.2971331020471</c:v>
                </c:pt>
                <c:pt idx="1012">
                  <c:v>335.8999761334631</c:v>
                </c:pt>
                <c:pt idx="1013">
                  <c:v>349.97398210157689</c:v>
                </c:pt>
                <c:pt idx="1014">
                  <c:v>363.40352359999287</c:v>
                </c:pt>
                <c:pt idx="1015">
                  <c:v>376.51710049761999</c:v>
                </c:pt>
                <c:pt idx="1016">
                  <c:v>388.78482808311372</c:v>
                </c:pt>
                <c:pt idx="1017">
                  <c:v>402.22283329153669</c:v>
                </c:pt>
                <c:pt idx="1018">
                  <c:v>416.31538304662354</c:v>
                </c:pt>
                <c:pt idx="1019">
                  <c:v>430.68372513918484</c:v>
                </c:pt>
                <c:pt idx="1020">
                  <c:v>446.94172244294896</c:v>
                </c:pt>
                <c:pt idx="1021">
                  <c:v>462.19813876910212</c:v>
                </c:pt>
                <c:pt idx="1022">
                  <c:v>476.77046112878293</c:v>
                </c:pt>
                <c:pt idx="1023">
                  <c:v>490.89134662628589</c:v>
                </c:pt>
                <c:pt idx="1024">
                  <c:v>501.96479518519095</c:v>
                </c:pt>
                <c:pt idx="1025">
                  <c:v>511.89078074244219</c:v>
                </c:pt>
                <c:pt idx="1026">
                  <c:v>520.53861251502371</c:v>
                </c:pt>
                <c:pt idx="1027">
                  <c:v>528.29342654541779</c:v>
                </c:pt>
                <c:pt idx="1028">
                  <c:v>535.6325873037423</c:v>
                </c:pt>
                <c:pt idx="1029">
                  <c:v>542.80072822696332</c:v>
                </c:pt>
                <c:pt idx="1030">
                  <c:v>550.03014725544892</c:v>
                </c:pt>
                <c:pt idx="1031">
                  <c:v>543.76722509113381</c:v>
                </c:pt>
                <c:pt idx="1032">
                  <c:v>537.5206653211942</c:v>
                </c:pt>
                <c:pt idx="1033">
                  <c:v>531.0805737059236</c:v>
                </c:pt>
                <c:pt idx="1034">
                  <c:v>524.16466628987382</c:v>
                </c:pt>
                <c:pt idx="1035">
                  <c:v>516.43539425658594</c:v>
                </c:pt>
                <c:pt idx="1036">
                  <c:v>507.47061753077719</c:v>
                </c:pt>
                <c:pt idx="1037">
                  <c:v>497.37486109453079</c:v>
                </c:pt>
                <c:pt idx="1038">
                  <c:v>484.35636375386537</c:v>
                </c:pt>
                <c:pt idx="1039">
                  <c:v>470.815289823547</c:v>
                </c:pt>
                <c:pt idx="1040">
                  <c:v>456.54061492886706</c:v>
                </c:pt>
                <c:pt idx="1041">
                  <c:v>441.230345757343</c:v>
                </c:pt>
                <c:pt idx="1042">
                  <c:v>427.601248592741</c:v>
                </c:pt>
                <c:pt idx="1043">
                  <c:v>414.16837879286425</c:v>
                </c:pt>
                <c:pt idx="1044">
                  <c:v>401.30227465138847</c:v>
                </c:pt>
                <c:pt idx="1045">
                  <c:v>389.54685994780357</c:v>
                </c:pt>
                <c:pt idx="1046">
                  <c:v>376.91446514608333</c:v>
                </c:pt>
                <c:pt idx="1047">
                  <c:v>363.95337531837407</c:v>
                </c:pt>
                <c:pt idx="1048">
                  <c:v>350.35053228695807</c:v>
                </c:pt>
                <c:pt idx="1049">
                  <c:v>336.27652631884428</c:v>
                </c:pt>
                <c:pt idx="1050">
                  <c:v>322.84698482042836</c:v>
                </c:pt>
                <c:pt idx="1051">
                  <c:v>309.73340792280118</c:v>
                </c:pt>
                <c:pt idx="1052">
                  <c:v>297.46568033730756</c:v>
                </c:pt>
                <c:pt idx="1053">
                  <c:v>284.02767512888454</c:v>
                </c:pt>
                <c:pt idx="1054">
                  <c:v>269.93512537379752</c:v>
                </c:pt>
                <c:pt idx="1055">
                  <c:v>255.5667832812363</c:v>
                </c:pt>
                <c:pt idx="1056">
                  <c:v>239.30878597747227</c:v>
                </c:pt>
                <c:pt idx="1057">
                  <c:v>224.05236965131908</c:v>
                </c:pt>
                <c:pt idx="1058">
                  <c:v>209.48004729163827</c:v>
                </c:pt>
                <c:pt idx="1059">
                  <c:v>195.35916179413533</c:v>
                </c:pt>
                <c:pt idx="1060">
                  <c:v>184.28571323523019</c:v>
                </c:pt>
                <c:pt idx="1061">
                  <c:v>174.35972767797907</c:v>
                </c:pt>
                <c:pt idx="1062">
                  <c:v>165.71189590539748</c:v>
                </c:pt>
                <c:pt idx="1063">
                  <c:v>157.95708187500333</c:v>
                </c:pt>
                <c:pt idx="1064">
                  <c:v>150.6179211166789</c:v>
                </c:pt>
                <c:pt idx="1065">
                  <c:v>182.29373138538432</c:v>
                </c:pt>
                <c:pt idx="1066">
                  <c:v>186.92123719104151</c:v>
                </c:pt>
                <c:pt idx="1067">
                  <c:v>192.44274598567199</c:v>
                </c:pt>
                <c:pt idx="1068">
                  <c:v>198.29017453338378</c:v>
                </c:pt>
                <c:pt idx="1069">
                  <c:v>204.62840010159735</c:v>
                </c:pt>
                <c:pt idx="1070">
                  <c:v>211.83764288274728</c:v>
                </c:pt>
                <c:pt idx="1071">
                  <c:v>220.31791057203523</c:v>
                </c:pt>
                <c:pt idx="1072">
                  <c:v>230.62318076185821</c:v>
                </c:pt>
                <c:pt idx="1073">
                  <c:v>242.86325299345339</c:v>
                </c:pt>
                <c:pt idx="1074">
                  <c:v>257.8859472542307</c:v>
                </c:pt>
                <c:pt idx="1075">
                  <c:v>273.84697036074624</c:v>
                </c:pt>
                <c:pt idx="1076">
                  <c:v>288.81560964778379</c:v>
                </c:pt>
                <c:pt idx="1077">
                  <c:v>303.131255007645</c:v>
                </c:pt>
                <c:pt idx="1078">
                  <c:v>316.50702393948632</c:v>
                </c:pt>
                <c:pt idx="1079">
                  <c:v>329.2887024431883</c:v>
                </c:pt>
                <c:pt idx="1080">
                  <c:v>341.77308910832903</c:v>
                </c:pt>
                <c:pt idx="1081">
                  <c:v>353.4000997214203</c:v>
                </c:pt>
                <c:pt idx="1082">
                  <c:v>366.14358019572188</c:v>
                </c:pt>
                <c:pt idx="1083">
                  <c:v>379.13102769479138</c:v>
                </c:pt>
                <c:pt idx="1084">
                  <c:v>392.47377594522789</c:v>
                </c:pt>
                <c:pt idx="1085">
                  <c:v>405.63447620717369</c:v>
                </c:pt>
                <c:pt idx="1086">
                  <c:v>417.69877083157985</c:v>
                </c:pt>
                <c:pt idx="1087">
                  <c:v>430.65685500392675</c:v>
                </c:pt>
                <c:pt idx="1088">
                  <c:v>443.97386442805367</c:v>
                </c:pt>
                <c:pt idx="1089">
                  <c:v>457.97529370832331</c:v>
                </c:pt>
                <c:pt idx="1090">
                  <c:v>473.04651110571035</c:v>
                </c:pt>
                <c:pt idx="1091">
                  <c:v>488.90761151341439</c:v>
                </c:pt>
                <c:pt idx="1092">
                  <c:v>505.95809892808552</c:v>
                </c:pt>
                <c:pt idx="1093">
                  <c:v>522.13358053834759</c:v>
                </c:pt>
                <c:pt idx="1094">
                  <c:v>535.4502510033135</c:v>
                </c:pt>
                <c:pt idx="1095">
                  <c:v>546.7817330535679</c:v>
                </c:pt>
                <c:pt idx="1096">
                  <c:v>556.21803357095087</c:v>
                </c:pt>
                <c:pt idx="1097">
                  <c:v>564.33866261726553</c:v>
                </c:pt>
                <c:pt idx="1098">
                  <c:v>571.56535884489563</c:v>
                </c:pt>
                <c:pt idx="1099">
                  <c:v>578.24010600176462</c:v>
                </c:pt>
                <c:pt idx="1100">
                  <c:v>584.66620872075828</c:v>
                </c:pt>
                <c:pt idx="1101">
                  <c:v>590.21318522285651</c:v>
                </c:pt>
                <c:pt idx="1102">
                  <c:v>585.58567941719934</c:v>
                </c:pt>
                <c:pt idx="1103">
                  <c:v>580.06417062256889</c:v>
                </c:pt>
                <c:pt idx="1104">
                  <c:v>574.21674207485705</c:v>
                </c:pt>
                <c:pt idx="1105">
                  <c:v>567.87851650664345</c:v>
                </c:pt>
                <c:pt idx="1106">
                  <c:v>560.66927372549355</c:v>
                </c:pt>
                <c:pt idx="1107">
                  <c:v>552.18900603620557</c:v>
                </c:pt>
                <c:pt idx="1108">
                  <c:v>541.88373584638259</c:v>
                </c:pt>
                <c:pt idx="1109">
                  <c:v>529.64366361478744</c:v>
                </c:pt>
                <c:pt idx="1110">
                  <c:v>514.62096935401007</c:v>
                </c:pt>
                <c:pt idx="1111">
                  <c:v>498.65994624749453</c:v>
                </c:pt>
                <c:pt idx="1112">
                  <c:v>483.69130696045704</c:v>
                </c:pt>
                <c:pt idx="1113">
                  <c:v>469.37566160059583</c:v>
                </c:pt>
                <c:pt idx="1114">
                  <c:v>455.99989266875457</c:v>
                </c:pt>
                <c:pt idx="1115">
                  <c:v>443.21821416505253</c:v>
                </c:pt>
                <c:pt idx="1116">
                  <c:v>430.73382749991174</c:v>
                </c:pt>
                <c:pt idx="1117">
                  <c:v>419.10681688682047</c:v>
                </c:pt>
                <c:pt idx="1118">
                  <c:v>406.36333641251889</c:v>
                </c:pt>
                <c:pt idx="1119">
                  <c:v>393.37588891344939</c:v>
                </c:pt>
                <c:pt idx="1120">
                  <c:v>380.03314066301289</c:v>
                </c:pt>
                <c:pt idx="1121">
                  <c:v>366.87244040106708</c:v>
                </c:pt>
                <c:pt idx="1122">
                  <c:v>354.80814577666098</c:v>
                </c:pt>
                <c:pt idx="1123">
                  <c:v>341.85006160431408</c:v>
                </c:pt>
                <c:pt idx="1124">
                  <c:v>328.53305218018716</c:v>
                </c:pt>
                <c:pt idx="1125">
                  <c:v>314.53162289991741</c:v>
                </c:pt>
                <c:pt idx="1126">
                  <c:v>299.46040550253042</c:v>
                </c:pt>
                <c:pt idx="1127">
                  <c:v>283.59930509482638</c:v>
                </c:pt>
                <c:pt idx="1128">
                  <c:v>266.54881768015525</c:v>
                </c:pt>
                <c:pt idx="1129">
                  <c:v>250.37333606989318</c:v>
                </c:pt>
                <c:pt idx="1130">
                  <c:v>237.05666560492736</c:v>
                </c:pt>
                <c:pt idx="1131">
                  <c:v>225.72518355467281</c:v>
                </c:pt>
                <c:pt idx="1132">
                  <c:v>216.28888303728991</c:v>
                </c:pt>
                <c:pt idx="1133">
                  <c:v>208.1682539909753</c:v>
                </c:pt>
                <c:pt idx="1134">
                  <c:v>200.94155776334512</c:v>
                </c:pt>
                <c:pt idx="1135">
                  <c:v>194.26681060647616</c:v>
                </c:pt>
                <c:pt idx="1136">
                  <c:v>228.93625959328344</c:v>
                </c:pt>
                <c:pt idx="1137">
                  <c:v>232.09916334543206</c:v>
                </c:pt>
                <c:pt idx="1138">
                  <c:v>237.13707260288794</c:v>
                </c:pt>
                <c:pt idx="1139">
                  <c:v>242.41057516476513</c:v>
                </c:pt>
                <c:pt idx="1140">
                  <c:v>248.29879481534658</c:v>
                </c:pt>
                <c:pt idx="1141">
                  <c:v>255.10057628726923</c:v>
                </c:pt>
                <c:pt idx="1142">
                  <c:v>263.20528145904842</c:v>
                </c:pt>
                <c:pt idx="1143">
                  <c:v>273.15864457504858</c:v>
                </c:pt>
                <c:pt idx="1144">
                  <c:v>285.77074304186334</c:v>
                </c:pt>
                <c:pt idx="1145">
                  <c:v>301.09584663941848</c:v>
                </c:pt>
                <c:pt idx="1146">
                  <c:v>317.60842216616646</c:v>
                </c:pt>
                <c:pt idx="1147">
                  <c:v>333.28085355295838</c:v>
                </c:pt>
                <c:pt idx="1148">
                  <c:v>347.55928117239307</c:v>
                </c:pt>
                <c:pt idx="1149">
                  <c:v>360.8766025686956</c:v>
                </c:pt>
                <c:pt idx="1150">
                  <c:v>373.57508199058009</c:v>
                </c:pt>
                <c:pt idx="1151">
                  <c:v>385.94599251882158</c:v>
                </c:pt>
                <c:pt idx="1152">
                  <c:v>398.25942352974448</c:v>
                </c:pt>
                <c:pt idx="1153">
                  <c:v>409.96164610699736</c:v>
                </c:pt>
                <c:pt idx="1154">
                  <c:v>422.38195469100515</c:v>
                </c:pt>
                <c:pt idx="1155">
                  <c:v>435.05376417858361</c:v>
                </c:pt>
                <c:pt idx="1156">
                  <c:v>447.1368473239279</c:v>
                </c:pt>
                <c:pt idx="1157">
                  <c:v>459.84910570033708</c:v>
                </c:pt>
                <c:pt idx="1158">
                  <c:v>472.66196915944818</c:v>
                </c:pt>
                <c:pt idx="1159">
                  <c:v>485.86708386773466</c:v>
                </c:pt>
                <c:pt idx="1160">
                  <c:v>499.78366100000568</c:v>
                </c:pt>
                <c:pt idx="1161">
                  <c:v>514.79296203526462</c:v>
                </c:pt>
                <c:pt idx="1162">
                  <c:v>531.38558773988916</c:v>
                </c:pt>
                <c:pt idx="1163">
                  <c:v>549.0101209304122</c:v>
                </c:pt>
                <c:pt idx="1164">
                  <c:v>565.52731863259783</c:v>
                </c:pt>
                <c:pt idx="1165">
                  <c:v>579.26613772074006</c:v>
                </c:pt>
                <c:pt idx="1166">
                  <c:v>590.24225085802766</c:v>
                </c:pt>
                <c:pt idx="1167">
                  <c:v>599.29798472268476</c:v>
                </c:pt>
                <c:pt idx="1168">
                  <c:v>607.00433963423495</c:v>
                </c:pt>
                <c:pt idx="1169">
                  <c:v>613.77199605116107</c:v>
                </c:pt>
                <c:pt idx="1170">
                  <c:v>619.91941494350533</c:v>
                </c:pt>
                <c:pt idx="1171">
                  <c:v>625.78792537939069</c:v>
                </c:pt>
                <c:pt idx="1172">
                  <c:v>629.82706520277691</c:v>
                </c:pt>
                <c:pt idx="1173">
                  <c:v>626.66416145062828</c:v>
                </c:pt>
                <c:pt idx="1174">
                  <c:v>621.6262521931726</c:v>
                </c:pt>
                <c:pt idx="1175">
                  <c:v>616.35274963129518</c:v>
                </c:pt>
                <c:pt idx="1176">
                  <c:v>610.46452998071379</c:v>
                </c:pt>
                <c:pt idx="1177">
                  <c:v>603.66274850879108</c:v>
                </c:pt>
                <c:pt idx="1178">
                  <c:v>595.55804333701201</c:v>
                </c:pt>
                <c:pt idx="1179">
                  <c:v>585.6046802210119</c:v>
                </c:pt>
                <c:pt idx="1180">
                  <c:v>572.99258175419698</c:v>
                </c:pt>
                <c:pt idx="1181">
                  <c:v>557.66747815664189</c:v>
                </c:pt>
                <c:pt idx="1182">
                  <c:v>541.15490262989397</c:v>
                </c:pt>
                <c:pt idx="1183">
                  <c:v>525.48247124310205</c:v>
                </c:pt>
                <c:pt idx="1184">
                  <c:v>511.2040436236673</c:v>
                </c:pt>
                <c:pt idx="1185">
                  <c:v>497.88672222736483</c:v>
                </c:pt>
                <c:pt idx="1186">
                  <c:v>485.1882428054804</c:v>
                </c:pt>
                <c:pt idx="1187">
                  <c:v>472.81733227723879</c:v>
                </c:pt>
                <c:pt idx="1188">
                  <c:v>460.50390126631589</c:v>
                </c:pt>
                <c:pt idx="1189">
                  <c:v>448.80167868906301</c:v>
                </c:pt>
                <c:pt idx="1190">
                  <c:v>436.38137010505528</c:v>
                </c:pt>
                <c:pt idx="1191">
                  <c:v>423.70956061747677</c:v>
                </c:pt>
                <c:pt idx="1192">
                  <c:v>411.62647747213248</c:v>
                </c:pt>
                <c:pt idx="1193">
                  <c:v>398.9142190957233</c:v>
                </c:pt>
                <c:pt idx="1194">
                  <c:v>386.10135563661231</c:v>
                </c:pt>
                <c:pt idx="1195">
                  <c:v>372.89624092832577</c:v>
                </c:pt>
                <c:pt idx="1196">
                  <c:v>358.97966379605458</c:v>
                </c:pt>
                <c:pt idx="1197">
                  <c:v>343.97036276079575</c:v>
                </c:pt>
                <c:pt idx="1198">
                  <c:v>327.37773705617121</c:v>
                </c:pt>
                <c:pt idx="1199">
                  <c:v>309.75320386564823</c:v>
                </c:pt>
                <c:pt idx="1200">
                  <c:v>293.23600616346255</c:v>
                </c:pt>
                <c:pt idx="1201">
                  <c:v>279.49718707532031</c:v>
                </c:pt>
                <c:pt idx="1202">
                  <c:v>268.52107393803271</c:v>
                </c:pt>
                <c:pt idx="1203">
                  <c:v>259.46534007337561</c:v>
                </c:pt>
                <c:pt idx="1204">
                  <c:v>251.75898516182548</c:v>
                </c:pt>
                <c:pt idx="1205">
                  <c:v>244.99132874489925</c:v>
                </c:pt>
                <c:pt idx="1206">
                  <c:v>238.8439098525551</c:v>
                </c:pt>
                <c:pt idx="1207">
                  <c:v>276.75440332428354</c:v>
                </c:pt>
                <c:pt idx="1208">
                  <c:v>278.73054406181791</c:v>
                </c:pt>
                <c:pt idx="1209">
                  <c:v>282.84285532606827</c:v>
                </c:pt>
                <c:pt idx="1210">
                  <c:v>287.72473019163749</c:v>
                </c:pt>
                <c:pt idx="1211">
                  <c:v>293.27007205827135</c:v>
                </c:pt>
                <c:pt idx="1212">
                  <c:v>299.76574641981153</c:v>
                </c:pt>
                <c:pt idx="1213">
                  <c:v>307.59236975484185</c:v>
                </c:pt>
                <c:pt idx="1214">
                  <c:v>317.28907247406079</c:v>
                </c:pt>
                <c:pt idx="1215">
                  <c:v>329.66083530215536</c:v>
                </c:pt>
                <c:pt idx="1216">
                  <c:v>345.24724963750833</c:v>
                </c:pt>
                <c:pt idx="1217">
                  <c:v>362.05818185432634</c:v>
                </c:pt>
                <c:pt idx="1218">
                  <c:v>377.70755422426384</c:v>
                </c:pt>
                <c:pt idx="1219">
                  <c:v>391.94553112428054</c:v>
                </c:pt>
                <c:pt idx="1220">
                  <c:v>405.20317181215398</c:v>
                </c:pt>
                <c:pt idx="1221">
                  <c:v>417.81955617198935</c:v>
                </c:pt>
                <c:pt idx="1222">
                  <c:v>430.08095592573903</c:v>
                </c:pt>
                <c:pt idx="1223">
                  <c:v>442.24985868610651</c:v>
                </c:pt>
                <c:pt idx="1224">
                  <c:v>454.61008846189219</c:v>
                </c:pt>
                <c:pt idx="1225">
                  <c:v>465.67393508591186</c:v>
                </c:pt>
                <c:pt idx="1226">
                  <c:v>476.90298371750055</c:v>
                </c:pt>
                <c:pt idx="1227">
                  <c:v>489.58095673108699</c:v>
                </c:pt>
                <c:pt idx="1228">
                  <c:v>502.12094865741142</c:v>
                </c:pt>
                <c:pt idx="1229">
                  <c:v>514.80005757756282</c:v>
                </c:pt>
                <c:pt idx="1230">
                  <c:v>527.90147166168344</c:v>
                </c:pt>
                <c:pt idx="1231">
                  <c:v>541.73877697501484</c:v>
                </c:pt>
                <c:pt idx="1232">
                  <c:v>556.68958107102242</c:v>
                </c:pt>
                <c:pt idx="1233">
                  <c:v>573.24228554601154</c:v>
                </c:pt>
                <c:pt idx="1234">
                  <c:v>591.18417661005435</c:v>
                </c:pt>
                <c:pt idx="1235">
                  <c:v>607.98418627638569</c:v>
                </c:pt>
                <c:pt idx="1236">
                  <c:v>621.48047040713755</c:v>
                </c:pt>
                <c:pt idx="1237">
                  <c:v>632.19646781926372</c:v>
                </c:pt>
                <c:pt idx="1238">
                  <c:v>640.96926751799344</c:v>
                </c:pt>
                <c:pt idx="1239">
                  <c:v>648.36302719083028</c:v>
                </c:pt>
                <c:pt idx="1240">
                  <c:v>654.77931081187239</c:v>
                </c:pt>
                <c:pt idx="1241">
                  <c:v>660.52403929319132</c:v>
                </c:pt>
                <c:pt idx="1242">
                  <c:v>665.51070386553704</c:v>
                </c:pt>
                <c:pt idx="1243">
                  <c:v>668.2653296595962</c:v>
                </c:pt>
                <c:pt idx="1244">
                  <c:v>666.28918892206184</c:v>
                </c:pt>
                <c:pt idx="1245">
                  <c:v>662.17687765781159</c:v>
                </c:pt>
                <c:pt idx="1246">
                  <c:v>657.29500279224237</c:v>
                </c:pt>
                <c:pt idx="1247">
                  <c:v>651.7496609256084</c:v>
                </c:pt>
                <c:pt idx="1248">
                  <c:v>645.25398656406821</c:v>
                </c:pt>
                <c:pt idx="1249">
                  <c:v>637.42736322903795</c:v>
                </c:pt>
                <c:pt idx="1250">
                  <c:v>627.73066050981902</c:v>
                </c:pt>
                <c:pt idx="1251">
                  <c:v>615.35889768172433</c:v>
                </c:pt>
                <c:pt idx="1252">
                  <c:v>599.77248334637147</c:v>
                </c:pt>
                <c:pt idx="1253">
                  <c:v>582.96155112955353</c:v>
                </c:pt>
                <c:pt idx="1254">
                  <c:v>567.31217875961602</c:v>
                </c:pt>
                <c:pt idx="1255">
                  <c:v>553.07420185959927</c:v>
                </c:pt>
                <c:pt idx="1256">
                  <c:v>539.81656117172588</c:v>
                </c:pt>
                <c:pt idx="1257">
                  <c:v>527.20017681189051</c:v>
                </c:pt>
                <c:pt idx="1258">
                  <c:v>514.93877705814066</c:v>
                </c:pt>
                <c:pt idx="1259">
                  <c:v>502.76987429777324</c:v>
                </c:pt>
                <c:pt idx="1260">
                  <c:v>490.40964452198756</c:v>
                </c:pt>
                <c:pt idx="1261">
                  <c:v>479.34579789796794</c:v>
                </c:pt>
                <c:pt idx="1262">
                  <c:v>468.1167492663792</c:v>
                </c:pt>
                <c:pt idx="1263">
                  <c:v>455.43877625279276</c:v>
                </c:pt>
                <c:pt idx="1264">
                  <c:v>442.89878432646839</c:v>
                </c:pt>
                <c:pt idx="1265">
                  <c:v>430.21967540631709</c:v>
                </c:pt>
                <c:pt idx="1266">
                  <c:v>417.11826132219636</c:v>
                </c:pt>
                <c:pt idx="1267">
                  <c:v>403.28095600886491</c:v>
                </c:pt>
                <c:pt idx="1268">
                  <c:v>388.33015191285727</c:v>
                </c:pt>
                <c:pt idx="1269">
                  <c:v>371.7774474378682</c:v>
                </c:pt>
                <c:pt idx="1270">
                  <c:v>353.8355563738254</c:v>
                </c:pt>
                <c:pt idx="1271">
                  <c:v>337.03554670749406</c:v>
                </c:pt>
                <c:pt idx="1272">
                  <c:v>323.53926257674226</c:v>
                </c:pt>
                <c:pt idx="1273">
                  <c:v>312.82326516461598</c:v>
                </c:pt>
                <c:pt idx="1274">
                  <c:v>304.05046546588642</c:v>
                </c:pt>
                <c:pt idx="1275">
                  <c:v>296.65670579304953</c:v>
                </c:pt>
                <c:pt idx="1276">
                  <c:v>290.24042217200724</c:v>
                </c:pt>
                <c:pt idx="1277">
                  <c:v>284.49569369068843</c:v>
                </c:pt>
                <c:pt idx="1278">
                  <c:v>325.31568941140586</c:v>
                </c:pt>
                <c:pt idx="1279">
                  <c:v>326.60834628054806</c:v>
                </c:pt>
                <c:pt idx="1280">
                  <c:v>329.81493347498065</c:v>
                </c:pt>
                <c:pt idx="1281">
                  <c:v>334.40840084458796</c:v>
                </c:pt>
                <c:pt idx="1282">
                  <c:v>339.7061693323368</c:v>
                </c:pt>
                <c:pt idx="1283">
                  <c:v>345.98543572479241</c:v>
                </c:pt>
                <c:pt idx="1284">
                  <c:v>353.6198951570683</c:v>
                </c:pt>
                <c:pt idx="1285">
                  <c:v>363.14366312906878</c:v>
                </c:pt>
                <c:pt idx="1286">
                  <c:v>375.3580310015073</c:v>
                </c:pt>
                <c:pt idx="1287">
                  <c:v>390.3111341872534</c:v>
                </c:pt>
                <c:pt idx="1288">
                  <c:v>406.48516635248524</c:v>
                </c:pt>
                <c:pt idx="1289">
                  <c:v>422.10702475357789</c:v>
                </c:pt>
                <c:pt idx="1290">
                  <c:v>436.30172807185255</c:v>
                </c:pt>
                <c:pt idx="1291">
                  <c:v>449.49868491736959</c:v>
                </c:pt>
                <c:pt idx="1292">
                  <c:v>462.03408627148281</c:v>
                </c:pt>
                <c:pt idx="1293">
                  <c:v>474.18969633689733</c:v>
                </c:pt>
                <c:pt idx="1294">
                  <c:v>486.22115072763279</c:v>
                </c:pt>
                <c:pt idx="1295">
                  <c:v>497.64515500286194</c:v>
                </c:pt>
                <c:pt idx="1296">
                  <c:v>508.99186658373634</c:v>
                </c:pt>
                <c:pt idx="1297">
                  <c:v>520.45667705164362</c:v>
                </c:pt>
                <c:pt idx="1298">
                  <c:v>532.13280400071733</c:v>
                </c:pt>
                <c:pt idx="1299">
                  <c:v>544.5148445057664</c:v>
                </c:pt>
                <c:pt idx="1300">
                  <c:v>557.07059339283819</c:v>
                </c:pt>
                <c:pt idx="1301">
                  <c:v>570.07569399963324</c:v>
                </c:pt>
                <c:pt idx="1302">
                  <c:v>583.83872987775965</c:v>
                </c:pt>
                <c:pt idx="1303">
                  <c:v>598.73406194680183</c:v>
                </c:pt>
                <c:pt idx="1304">
                  <c:v>615.24817913917343</c:v>
                </c:pt>
                <c:pt idx="1305">
                  <c:v>632.50732947695587</c:v>
                </c:pt>
                <c:pt idx="1306">
                  <c:v>648.62794512226515</c:v>
                </c:pt>
                <c:pt idx="1307">
                  <c:v>661.96452599079566</c:v>
                </c:pt>
                <c:pt idx="1308">
                  <c:v>672.50414038306337</c:v>
                </c:pt>
                <c:pt idx="1309">
                  <c:v>681.08006350674077</c:v>
                </c:pt>
                <c:pt idx="1310">
                  <c:v>688.25122388087675</c:v>
                </c:pt>
                <c:pt idx="1311">
                  <c:v>694.41193203843329</c:v>
                </c:pt>
                <c:pt idx="1312">
                  <c:v>699.85793743578415</c:v>
                </c:pt>
                <c:pt idx="1313">
                  <c:v>703.87119898792969</c:v>
                </c:pt>
                <c:pt idx="1314">
                  <c:v>705.96045176029338</c:v>
                </c:pt>
                <c:pt idx="1315">
                  <c:v>704.66779489115117</c:v>
                </c:pt>
                <c:pt idx="1316">
                  <c:v>701.46120769671859</c:v>
                </c:pt>
                <c:pt idx="1317">
                  <c:v>696.86774032711139</c:v>
                </c:pt>
                <c:pt idx="1318">
                  <c:v>691.56997183936232</c:v>
                </c:pt>
                <c:pt idx="1319">
                  <c:v>685.29070544690683</c:v>
                </c:pt>
                <c:pt idx="1320">
                  <c:v>677.65624601463094</c:v>
                </c:pt>
                <c:pt idx="1321">
                  <c:v>668.13247804263051</c:v>
                </c:pt>
                <c:pt idx="1322">
                  <c:v>655.91811017019199</c:v>
                </c:pt>
                <c:pt idx="1323">
                  <c:v>640.96500698444584</c:v>
                </c:pt>
                <c:pt idx="1324">
                  <c:v>624.79097481921406</c:v>
                </c:pt>
                <c:pt idx="1325">
                  <c:v>609.16911641812135</c:v>
                </c:pt>
                <c:pt idx="1326">
                  <c:v>594.97441309984674</c:v>
                </c:pt>
                <c:pt idx="1327">
                  <c:v>581.77745625432976</c:v>
                </c:pt>
                <c:pt idx="1328">
                  <c:v>569.24205490021643</c:v>
                </c:pt>
                <c:pt idx="1329">
                  <c:v>557.08644483480191</c:v>
                </c:pt>
                <c:pt idx="1330">
                  <c:v>545.05499044406645</c:v>
                </c:pt>
                <c:pt idx="1331">
                  <c:v>533.63098616883724</c:v>
                </c:pt>
                <c:pt idx="1332">
                  <c:v>522.28427458796295</c:v>
                </c:pt>
                <c:pt idx="1333">
                  <c:v>510.81946412005561</c:v>
                </c:pt>
                <c:pt idx="1334">
                  <c:v>499.14333717098191</c:v>
                </c:pt>
                <c:pt idx="1335">
                  <c:v>486.76129666593283</c:v>
                </c:pt>
                <c:pt idx="1336">
                  <c:v>474.2055477788611</c:v>
                </c:pt>
                <c:pt idx="1337">
                  <c:v>461.20044717206605</c:v>
                </c:pt>
                <c:pt idx="1338">
                  <c:v>447.43741129393948</c:v>
                </c:pt>
                <c:pt idx="1339">
                  <c:v>432.54207922489746</c:v>
                </c:pt>
                <c:pt idx="1340">
                  <c:v>416.02796203252592</c:v>
                </c:pt>
                <c:pt idx="1341">
                  <c:v>398.76881169474342</c:v>
                </c:pt>
                <c:pt idx="1342">
                  <c:v>382.64819604943403</c:v>
                </c:pt>
                <c:pt idx="1343">
                  <c:v>369.31161518090369</c:v>
                </c:pt>
                <c:pt idx="1344">
                  <c:v>358.77200078863592</c:v>
                </c:pt>
                <c:pt idx="1345">
                  <c:v>350.19607766495858</c:v>
                </c:pt>
                <c:pt idx="1346">
                  <c:v>343.0249172908226</c:v>
                </c:pt>
                <c:pt idx="1347">
                  <c:v>336.86420913326589</c:v>
                </c:pt>
                <c:pt idx="1348">
                  <c:v>331.41820373591509</c:v>
                </c:pt>
                <c:pt idx="1349">
                  <c:v>375.1399569250724</c:v>
                </c:pt>
                <c:pt idx="1350">
                  <c:v>376.03430168504701</c:v>
                </c:pt>
                <c:pt idx="1351">
                  <c:v>378.80756223051264</c:v>
                </c:pt>
                <c:pt idx="1352">
                  <c:v>382.62688865636113</c:v>
                </c:pt>
                <c:pt idx="1353">
                  <c:v>387.76036754819597</c:v>
                </c:pt>
                <c:pt idx="1354">
                  <c:v>393.90136379806768</c:v>
                </c:pt>
                <c:pt idx="1355">
                  <c:v>401.41836816115443</c:v>
                </c:pt>
                <c:pt idx="1356">
                  <c:v>410.84193780492689</c:v>
                </c:pt>
                <c:pt idx="1357">
                  <c:v>422.39983178159605</c:v>
                </c:pt>
                <c:pt idx="1358">
                  <c:v>436.43333524657311</c:v>
                </c:pt>
                <c:pt idx="1359">
                  <c:v>451.7368608466362</c:v>
                </c:pt>
                <c:pt idx="1360">
                  <c:v>466.48995461114413</c:v>
                </c:pt>
                <c:pt idx="1361">
                  <c:v>480.63901402895999</c:v>
                </c:pt>
                <c:pt idx="1362">
                  <c:v>493.77456450699577</c:v>
                </c:pt>
                <c:pt idx="1363">
                  <c:v>506.23019009038359</c:v>
                </c:pt>
                <c:pt idx="1364">
                  <c:v>518.28359405752224</c:v>
                </c:pt>
                <c:pt idx="1365">
                  <c:v>529.43475937908852</c:v>
                </c:pt>
                <c:pt idx="1366">
                  <c:v>541.23218574534292</c:v>
                </c:pt>
                <c:pt idx="1367">
                  <c:v>552.35390236482954</c:v>
                </c:pt>
                <c:pt idx="1368">
                  <c:v>563.56531576063196</c:v>
                </c:pt>
                <c:pt idx="1369">
                  <c:v>575.585475508326</c:v>
                </c:pt>
                <c:pt idx="1370">
                  <c:v>587.03094415982514</c:v>
                </c:pt>
                <c:pt idx="1371">
                  <c:v>599.47274912406795</c:v>
                </c:pt>
                <c:pt idx="1372">
                  <c:v>612.38821036557829</c:v>
                </c:pt>
                <c:pt idx="1373">
                  <c:v>626.08147666959758</c:v>
                </c:pt>
                <c:pt idx="1374">
                  <c:v>640.9240468307728</c:v>
                </c:pt>
                <c:pt idx="1375">
                  <c:v>656.52137282520539</c:v>
                </c:pt>
                <c:pt idx="1376">
                  <c:v>672.84358623277046</c:v>
                </c:pt>
                <c:pt idx="1377">
                  <c:v>687.98148483963905</c:v>
                </c:pt>
                <c:pt idx="1378">
                  <c:v>700.59923882868793</c:v>
                </c:pt>
                <c:pt idx="1379">
                  <c:v>711.03521848617845</c:v>
                </c:pt>
                <c:pt idx="1380">
                  <c:v>719.48910577584775</c:v>
                </c:pt>
                <c:pt idx="1381">
                  <c:v>726.51607990048683</c:v>
                </c:pt>
                <c:pt idx="1382">
                  <c:v>732.50495033706659</c:v>
                </c:pt>
                <c:pt idx="1383">
                  <c:v>737.11336860917788</c:v>
                </c:pt>
                <c:pt idx="1384">
                  <c:v>740.71835758917859</c:v>
                </c:pt>
                <c:pt idx="1385">
                  <c:v>742.39259243444633</c:v>
                </c:pt>
                <c:pt idx="1386">
                  <c:v>741.49824767447171</c:v>
                </c:pt>
                <c:pt idx="1387">
                  <c:v>738.72498712900619</c:v>
                </c:pt>
                <c:pt idx="1388">
                  <c:v>734.90566070315754</c:v>
                </c:pt>
                <c:pt idx="1389">
                  <c:v>729.77218181132275</c:v>
                </c:pt>
                <c:pt idx="1390">
                  <c:v>723.63118556145105</c:v>
                </c:pt>
                <c:pt idx="1391">
                  <c:v>716.11418119836435</c:v>
                </c:pt>
                <c:pt idx="1392">
                  <c:v>706.6906115545919</c:v>
                </c:pt>
                <c:pt idx="1393">
                  <c:v>695.13271757792268</c:v>
                </c:pt>
                <c:pt idx="1394">
                  <c:v>681.09921411294567</c:v>
                </c:pt>
                <c:pt idx="1395">
                  <c:v>665.79568851288263</c:v>
                </c:pt>
                <c:pt idx="1396">
                  <c:v>651.04259474837465</c:v>
                </c:pt>
                <c:pt idx="1397">
                  <c:v>636.89353533055885</c:v>
                </c:pt>
                <c:pt idx="1398">
                  <c:v>623.75798485252301</c:v>
                </c:pt>
                <c:pt idx="1399">
                  <c:v>611.3023592691352</c:v>
                </c:pt>
                <c:pt idx="1400">
                  <c:v>599.24895530199649</c:v>
                </c:pt>
                <c:pt idx="1401">
                  <c:v>588.09778998043009</c:v>
                </c:pt>
                <c:pt idx="1402">
                  <c:v>576.30036361417581</c:v>
                </c:pt>
                <c:pt idx="1403">
                  <c:v>565.17864699468919</c:v>
                </c:pt>
                <c:pt idx="1404">
                  <c:v>553.96723359888676</c:v>
                </c:pt>
                <c:pt idx="1405">
                  <c:v>541.94707385119273</c:v>
                </c:pt>
                <c:pt idx="1406">
                  <c:v>530.50160519969359</c:v>
                </c:pt>
                <c:pt idx="1407">
                  <c:v>518.05980023545078</c:v>
                </c:pt>
                <c:pt idx="1408">
                  <c:v>505.14433899394049</c:v>
                </c:pt>
                <c:pt idx="1409">
                  <c:v>491.45107268992109</c:v>
                </c:pt>
                <c:pt idx="1410">
                  <c:v>476.60850252874582</c:v>
                </c:pt>
                <c:pt idx="1411">
                  <c:v>461.01117653431339</c:v>
                </c:pt>
                <c:pt idx="1412">
                  <c:v>444.68896312674832</c:v>
                </c:pt>
                <c:pt idx="1413">
                  <c:v>429.55106451987973</c:v>
                </c:pt>
                <c:pt idx="1414">
                  <c:v>416.93331053083079</c:v>
                </c:pt>
                <c:pt idx="1415">
                  <c:v>406.49733087334016</c:v>
                </c:pt>
                <c:pt idx="1416">
                  <c:v>398.04344358367109</c:v>
                </c:pt>
                <c:pt idx="1417">
                  <c:v>391.01646945903195</c:v>
                </c:pt>
                <c:pt idx="1418">
                  <c:v>385.02759902245202</c:v>
                </c:pt>
                <c:pt idx="1419">
                  <c:v>380.41918075034084</c:v>
                </c:pt>
                <c:pt idx="1420">
                  <c:v>426.42970643337026</c:v>
                </c:pt>
                <c:pt idx="1421">
                  <c:v>427.10648075647543</c:v>
                </c:pt>
                <c:pt idx="1422">
                  <c:v>429.29349270662044</c:v>
                </c:pt>
                <c:pt idx="1423">
                  <c:v>432.85278144013176</c:v>
                </c:pt>
                <c:pt idx="1424">
                  <c:v>437.57441409943095</c:v>
                </c:pt>
                <c:pt idx="1425">
                  <c:v>443.64425663624178</c:v>
                </c:pt>
                <c:pt idx="1426">
                  <c:v>451.10795192755074</c:v>
                </c:pt>
                <c:pt idx="1427">
                  <c:v>460.01225299674684</c:v>
                </c:pt>
                <c:pt idx="1428">
                  <c:v>471.48786534852218</c:v>
                </c:pt>
                <c:pt idx="1429">
                  <c:v>483.69308946786828</c:v>
                </c:pt>
                <c:pt idx="1430">
                  <c:v>496.95384046660905</c:v>
                </c:pt>
                <c:pt idx="1431">
                  <c:v>511.6898955614646</c:v>
                </c:pt>
                <c:pt idx="1432">
                  <c:v>524.96787102673022</c:v>
                </c:pt>
                <c:pt idx="1433">
                  <c:v>538.04160465431971</c:v>
                </c:pt>
                <c:pt idx="1434">
                  <c:v>550.41879799487401</c:v>
                </c:pt>
                <c:pt idx="1435">
                  <c:v>561.61052295421587</c:v>
                </c:pt>
                <c:pt idx="1436">
                  <c:v>573.42093387368914</c:v>
                </c:pt>
                <c:pt idx="1437">
                  <c:v>584.78871231591859</c:v>
                </c:pt>
                <c:pt idx="1438">
                  <c:v>595.7671139048515</c:v>
                </c:pt>
                <c:pt idx="1439">
                  <c:v>606.81964830237882</c:v>
                </c:pt>
                <c:pt idx="1440">
                  <c:v>618.36811647432967</c:v>
                </c:pt>
                <c:pt idx="1441">
                  <c:v>630.45625692748592</c:v>
                </c:pt>
                <c:pt idx="1442">
                  <c:v>642.00547965756402</c:v>
                </c:pt>
                <c:pt idx="1443">
                  <c:v>654.83734158038521</c:v>
                </c:pt>
                <c:pt idx="1444">
                  <c:v>668.46491235007261</c:v>
                </c:pt>
                <c:pt idx="1445">
                  <c:v>682.39796066450288</c:v>
                </c:pt>
                <c:pt idx="1446">
                  <c:v>697.97245269087784</c:v>
                </c:pt>
                <c:pt idx="1447">
                  <c:v>712.11905750375922</c:v>
                </c:pt>
                <c:pt idx="1448">
                  <c:v>725.28136757778134</c:v>
                </c:pt>
                <c:pt idx="1449">
                  <c:v>737.81544755874597</c:v>
                </c:pt>
                <c:pt idx="1450">
                  <c:v>747.66997851698716</c:v>
                </c:pt>
                <c:pt idx="1451">
                  <c:v>756.0661039042825</c:v>
                </c:pt>
                <c:pt idx="1452">
                  <c:v>763.01626604905039</c:v>
                </c:pt>
                <c:pt idx="1453">
                  <c:v>768.53203010063578</c:v>
                </c:pt>
                <c:pt idx="1454">
                  <c:v>772.92587463781729</c:v>
                </c:pt>
                <c:pt idx="1455">
                  <c:v>775.91313955359215</c:v>
                </c:pt>
                <c:pt idx="1456">
                  <c:v>777.35925111396796</c:v>
                </c:pt>
                <c:pt idx="1457">
                  <c:v>776.68247679086278</c:v>
                </c:pt>
                <c:pt idx="1458">
                  <c:v>774.49546484071777</c:v>
                </c:pt>
                <c:pt idx="1459">
                  <c:v>770.93617610720639</c:v>
                </c:pt>
                <c:pt idx="1460">
                  <c:v>766.21454344790732</c:v>
                </c:pt>
                <c:pt idx="1461">
                  <c:v>760.14470091109649</c:v>
                </c:pt>
                <c:pt idx="1462">
                  <c:v>752.68100561978747</c:v>
                </c:pt>
                <c:pt idx="1463">
                  <c:v>743.77670455059138</c:v>
                </c:pt>
                <c:pt idx="1464">
                  <c:v>732.30109219881615</c:v>
                </c:pt>
                <c:pt idx="1465">
                  <c:v>720.09586807946994</c:v>
                </c:pt>
                <c:pt idx="1466">
                  <c:v>706.83511708072922</c:v>
                </c:pt>
                <c:pt idx="1467">
                  <c:v>692.09906198587362</c:v>
                </c:pt>
                <c:pt idx="1468">
                  <c:v>678.82108652060811</c:v>
                </c:pt>
                <c:pt idx="1469">
                  <c:v>665.74735289301861</c:v>
                </c:pt>
                <c:pt idx="1470">
                  <c:v>653.3701595524642</c:v>
                </c:pt>
                <c:pt idx="1471">
                  <c:v>642.17843459312246</c:v>
                </c:pt>
                <c:pt idx="1472">
                  <c:v>630.36802367364908</c:v>
                </c:pt>
                <c:pt idx="1473">
                  <c:v>619.00024523141963</c:v>
                </c:pt>
                <c:pt idx="1474">
                  <c:v>608.02184364248671</c:v>
                </c:pt>
                <c:pt idx="1475">
                  <c:v>596.9693092449595</c:v>
                </c:pt>
                <c:pt idx="1476">
                  <c:v>585.42084107300866</c:v>
                </c:pt>
                <c:pt idx="1477">
                  <c:v>573.33270061985229</c:v>
                </c:pt>
                <c:pt idx="1478">
                  <c:v>561.7834778897743</c:v>
                </c:pt>
                <c:pt idx="1479">
                  <c:v>548.951615966953</c:v>
                </c:pt>
                <c:pt idx="1480">
                  <c:v>535.32404519726549</c:v>
                </c:pt>
                <c:pt idx="1481">
                  <c:v>521.39099688283534</c:v>
                </c:pt>
                <c:pt idx="1482">
                  <c:v>505.81650485646037</c:v>
                </c:pt>
                <c:pt idx="1483">
                  <c:v>491.66990004357899</c:v>
                </c:pt>
                <c:pt idx="1484">
                  <c:v>478.50758996955688</c:v>
                </c:pt>
                <c:pt idx="1485">
                  <c:v>465.9735099885923</c:v>
                </c:pt>
                <c:pt idx="1486">
                  <c:v>456.11897903035094</c:v>
                </c:pt>
                <c:pt idx="1487">
                  <c:v>447.72285364305571</c:v>
                </c:pt>
                <c:pt idx="1488">
                  <c:v>440.77269149828777</c:v>
                </c:pt>
                <c:pt idx="1489">
                  <c:v>435.25692744670232</c:v>
                </c:pt>
                <c:pt idx="1490">
                  <c:v>430.86308290952093</c:v>
                </c:pt>
                <c:pt idx="1491">
                  <c:v>479.37056036069475</c:v>
                </c:pt>
                <c:pt idx="1492">
                  <c:v>479.90587449464402</c:v>
                </c:pt>
                <c:pt idx="1493">
                  <c:v>481.56482088173823</c:v>
                </c:pt>
                <c:pt idx="1494">
                  <c:v>485.0473816010761</c:v>
                </c:pt>
                <c:pt idx="1495">
                  <c:v>489.62223240170601</c:v>
                </c:pt>
                <c:pt idx="1496">
                  <c:v>495.67822684414227</c:v>
                </c:pt>
                <c:pt idx="1497">
                  <c:v>502.39697105340144</c:v>
                </c:pt>
                <c:pt idx="1498">
                  <c:v>511.70170882063769</c:v>
                </c:pt>
                <c:pt idx="1499">
                  <c:v>521.71363747306009</c:v>
                </c:pt>
                <c:pt idx="1500">
                  <c:v>532.17685905764449</c:v>
                </c:pt>
                <c:pt idx="1501">
                  <c:v>543.49666336119128</c:v>
                </c:pt>
                <c:pt idx="1502">
                  <c:v>556.21721297090846</c:v>
                </c:pt>
                <c:pt idx="1503">
                  <c:v>570.11996067351129</c:v>
                </c:pt>
                <c:pt idx="1504">
                  <c:v>581.55103070554514</c:v>
                </c:pt>
                <c:pt idx="1505">
                  <c:v>593.84834984630947</c:v>
                </c:pt>
                <c:pt idx="1506">
                  <c:v>605.72847943883016</c:v>
                </c:pt>
                <c:pt idx="1507">
                  <c:v>617.41860675843429</c:v>
                </c:pt>
                <c:pt idx="1508">
                  <c:v>628.39196095552393</c:v>
                </c:pt>
                <c:pt idx="1509">
                  <c:v>639.23798328169721</c:v>
                </c:pt>
                <c:pt idx="1510">
                  <c:v>650.14792329975251</c:v>
                </c:pt>
                <c:pt idx="1511">
                  <c:v>661.26407814143477</c:v>
                </c:pt>
                <c:pt idx="1512">
                  <c:v>673.22627592901233</c:v>
                </c:pt>
                <c:pt idx="1513">
                  <c:v>685.45532031879418</c:v>
                </c:pt>
                <c:pt idx="1514">
                  <c:v>698.20614464407913</c:v>
                </c:pt>
                <c:pt idx="1515">
                  <c:v>710.13494854690737</c:v>
                </c:pt>
                <c:pt idx="1516">
                  <c:v>724.72229599048137</c:v>
                </c:pt>
                <c:pt idx="1517">
                  <c:v>738.17401013795188</c:v>
                </c:pt>
                <c:pt idx="1518">
                  <c:v>750.2531159779752</c:v>
                </c:pt>
                <c:pt idx="1519">
                  <c:v>761.53344551004136</c:v>
                </c:pt>
                <c:pt idx="1520">
                  <c:v>772.45932975220569</c:v>
                </c:pt>
                <c:pt idx="1521">
                  <c:v>782.75896356483952</c:v>
                </c:pt>
                <c:pt idx="1522">
                  <c:v>790.29345254713439</c:v>
                </c:pt>
                <c:pt idx="1523">
                  <c:v>797.22414743374463</c:v>
                </c:pt>
                <c:pt idx="1524">
                  <c:v>802.64090914164717</c:v>
                </c:pt>
                <c:pt idx="1525">
                  <c:v>806.94942725399676</c:v>
                </c:pt>
                <c:pt idx="1526">
                  <c:v>809.37975629441974</c:v>
                </c:pt>
                <c:pt idx="1527">
                  <c:v>810.67480537446295</c:v>
                </c:pt>
                <c:pt idx="1528">
                  <c:v>810.13949124051373</c:v>
                </c:pt>
                <c:pt idx="1529">
                  <c:v>808.48054485341959</c:v>
                </c:pt>
                <c:pt idx="1530">
                  <c:v>804.99798413408166</c:v>
                </c:pt>
                <c:pt idx="1531">
                  <c:v>800.42313333345169</c:v>
                </c:pt>
                <c:pt idx="1532">
                  <c:v>794.36713889101543</c:v>
                </c:pt>
                <c:pt idx="1533">
                  <c:v>787.64839468175626</c:v>
                </c:pt>
                <c:pt idx="1534">
                  <c:v>778.34365691452012</c:v>
                </c:pt>
                <c:pt idx="1535">
                  <c:v>768.33172826209761</c:v>
                </c:pt>
                <c:pt idx="1536">
                  <c:v>757.86850667751321</c:v>
                </c:pt>
                <c:pt idx="1537">
                  <c:v>746.54870237396642</c:v>
                </c:pt>
                <c:pt idx="1538">
                  <c:v>733.82815276424924</c:v>
                </c:pt>
                <c:pt idx="1539">
                  <c:v>719.92540506164653</c:v>
                </c:pt>
                <c:pt idx="1540">
                  <c:v>708.49433502961267</c:v>
                </c:pt>
                <c:pt idx="1541">
                  <c:v>696.19701588884823</c:v>
                </c:pt>
                <c:pt idx="1542">
                  <c:v>684.31688629632754</c:v>
                </c:pt>
                <c:pt idx="1543">
                  <c:v>672.62675897672341</c:v>
                </c:pt>
                <c:pt idx="1544">
                  <c:v>661.65340477963377</c:v>
                </c:pt>
                <c:pt idx="1545">
                  <c:v>650.80738245346049</c:v>
                </c:pt>
                <c:pt idx="1546">
                  <c:v>639.8974424354052</c:v>
                </c:pt>
                <c:pt idx="1547">
                  <c:v>628.78128759372305</c:v>
                </c:pt>
                <c:pt idx="1548">
                  <c:v>616.81908980614548</c:v>
                </c:pt>
                <c:pt idx="1549">
                  <c:v>604.59004541636352</c:v>
                </c:pt>
                <c:pt idx="1550">
                  <c:v>591.83922109107857</c:v>
                </c:pt>
                <c:pt idx="1551">
                  <c:v>579.91041718825022</c:v>
                </c:pt>
                <c:pt idx="1552">
                  <c:v>565.32306974467633</c:v>
                </c:pt>
                <c:pt idx="1553">
                  <c:v>551.87135559720582</c:v>
                </c:pt>
                <c:pt idx="1554">
                  <c:v>539.7922497571825</c:v>
                </c:pt>
                <c:pt idx="1555">
                  <c:v>528.51192022511634</c:v>
                </c:pt>
                <c:pt idx="1556">
                  <c:v>517.58603598295201</c:v>
                </c:pt>
                <c:pt idx="1557">
                  <c:v>507.28640217031813</c:v>
                </c:pt>
                <c:pt idx="1558">
                  <c:v>499.75191318802342</c:v>
                </c:pt>
                <c:pt idx="1559">
                  <c:v>492.82121830141307</c:v>
                </c:pt>
                <c:pt idx="1560">
                  <c:v>487.40445659351042</c:v>
                </c:pt>
                <c:pt idx="1561">
                  <c:v>483.09593848116094</c:v>
                </c:pt>
                <c:pt idx="1562">
                  <c:v>534.13013032628169</c:v>
                </c:pt>
                <c:pt idx="1563">
                  <c:v>534.58746126407152</c:v>
                </c:pt>
                <c:pt idx="1564">
                  <c:v>535.78090093188803</c:v>
                </c:pt>
                <c:pt idx="1565">
                  <c:v>539.22242155954609</c:v>
                </c:pt>
                <c:pt idx="1566">
                  <c:v>543.53744554949685</c:v>
                </c:pt>
                <c:pt idx="1567">
                  <c:v>549.18717018585392</c:v>
                </c:pt>
                <c:pt idx="1568">
                  <c:v>556.70405624693785</c:v>
                </c:pt>
                <c:pt idx="1569">
                  <c:v>564.68815785395941</c:v>
                </c:pt>
                <c:pt idx="1570">
                  <c:v>573.16405318444447</c:v>
                </c:pt>
                <c:pt idx="1571">
                  <c:v>581.98048861204597</c:v>
                </c:pt>
                <c:pt idx="1572">
                  <c:v>591.47062148161876</c:v>
                </c:pt>
                <c:pt idx="1573">
                  <c:v>602.07869645415622</c:v>
                </c:pt>
                <c:pt idx="1574">
                  <c:v>613.70525388692954</c:v>
                </c:pt>
                <c:pt idx="1575">
                  <c:v>626.65060043382641</c:v>
                </c:pt>
                <c:pt idx="1576">
                  <c:v>638.05950248346494</c:v>
                </c:pt>
                <c:pt idx="1577">
                  <c:v>649.86129372946709</c:v>
                </c:pt>
                <c:pt idx="1578">
                  <c:v>661.42601876259266</c:v>
                </c:pt>
                <c:pt idx="1579">
                  <c:v>672.04868606253001</c:v>
                </c:pt>
                <c:pt idx="1580">
                  <c:v>682.772363622086</c:v>
                </c:pt>
                <c:pt idx="1581">
                  <c:v>693.55420700378045</c:v>
                </c:pt>
                <c:pt idx="1582">
                  <c:v>704.2862672058319</c:v>
                </c:pt>
                <c:pt idx="1583">
                  <c:v>716.11988668455501</c:v>
                </c:pt>
                <c:pt idx="1584">
                  <c:v>728.25223257303219</c:v>
                </c:pt>
                <c:pt idx="1585">
                  <c:v>740.0840612308732</c:v>
                </c:pt>
                <c:pt idx="1586">
                  <c:v>753.58665087265706</c:v>
                </c:pt>
                <c:pt idx="1587">
                  <c:v>765.79990194532832</c:v>
                </c:pt>
                <c:pt idx="1588">
                  <c:v>777.02657309461392</c:v>
                </c:pt>
                <c:pt idx="1589">
                  <c:v>787.15638512358896</c:v>
                </c:pt>
                <c:pt idx="1590">
                  <c:v>796.65796412443342</c:v>
                </c:pt>
                <c:pt idx="1591">
                  <c:v>805.89634559114961</c:v>
                </c:pt>
                <c:pt idx="1592">
                  <c:v>814.71295165571712</c:v>
                </c:pt>
                <c:pt idx="1593">
                  <c:v>823.1534199999785</c:v>
                </c:pt>
                <c:pt idx="1594">
                  <c:v>829.61472883619115</c:v>
                </c:pt>
                <c:pt idx="1595">
                  <c:v>834.76555131199905</c:v>
                </c:pt>
                <c:pt idx="1596">
                  <c:v>839.0241601348439</c:v>
                </c:pt>
                <c:pt idx="1597">
                  <c:v>840.96332331931626</c:v>
                </c:pt>
                <c:pt idx="1598">
                  <c:v>842.1716435966955</c:v>
                </c:pt>
                <c:pt idx="1599">
                  <c:v>841.71431265890567</c:v>
                </c:pt>
                <c:pt idx="1600">
                  <c:v>840.52087299108939</c:v>
                </c:pt>
                <c:pt idx="1601">
                  <c:v>837.07935236343121</c:v>
                </c:pt>
                <c:pt idx="1602">
                  <c:v>832.76432837348034</c:v>
                </c:pt>
                <c:pt idx="1603">
                  <c:v>827.11460373712339</c:v>
                </c:pt>
                <c:pt idx="1604">
                  <c:v>819.59771767603934</c:v>
                </c:pt>
                <c:pt idx="1605">
                  <c:v>811.61361606901789</c:v>
                </c:pt>
                <c:pt idx="1606">
                  <c:v>803.13772073853272</c:v>
                </c:pt>
                <c:pt idx="1607">
                  <c:v>794.32128531093122</c:v>
                </c:pt>
                <c:pt idx="1608">
                  <c:v>784.83115244135843</c:v>
                </c:pt>
                <c:pt idx="1609">
                  <c:v>774.22307746882109</c:v>
                </c:pt>
                <c:pt idx="1610">
                  <c:v>762.59652003604765</c:v>
                </c:pt>
                <c:pt idx="1611">
                  <c:v>749.65117348915089</c:v>
                </c:pt>
                <c:pt idx="1612">
                  <c:v>738.24227143951236</c:v>
                </c:pt>
                <c:pt idx="1613">
                  <c:v>726.4404801935101</c:v>
                </c:pt>
                <c:pt idx="1614">
                  <c:v>714.87575516038464</c:v>
                </c:pt>
                <c:pt idx="1615">
                  <c:v>704.25308786044718</c:v>
                </c:pt>
                <c:pt idx="1616">
                  <c:v>693.52941030089119</c:v>
                </c:pt>
                <c:pt idx="1617">
                  <c:v>682.74756691919674</c:v>
                </c:pt>
                <c:pt idx="1618">
                  <c:v>672.01550671714529</c:v>
                </c:pt>
                <c:pt idx="1619">
                  <c:v>660.18188723842218</c:v>
                </c:pt>
                <c:pt idx="1620">
                  <c:v>648.04954134994512</c:v>
                </c:pt>
                <c:pt idx="1621">
                  <c:v>636.21771269210399</c:v>
                </c:pt>
                <c:pt idx="1622">
                  <c:v>622.71512305032002</c:v>
                </c:pt>
                <c:pt idx="1623">
                  <c:v>610.50187197764876</c:v>
                </c:pt>
                <c:pt idx="1624">
                  <c:v>599.27520082836327</c:v>
                </c:pt>
                <c:pt idx="1625">
                  <c:v>589.14538879938823</c:v>
                </c:pt>
                <c:pt idx="1626">
                  <c:v>579.64380979854377</c:v>
                </c:pt>
                <c:pt idx="1627">
                  <c:v>570.40542833182769</c:v>
                </c:pt>
                <c:pt idx="1628">
                  <c:v>561.58882226726007</c:v>
                </c:pt>
                <c:pt idx="1629">
                  <c:v>553.14835392299869</c:v>
                </c:pt>
                <c:pt idx="1630">
                  <c:v>546.68704508678616</c:v>
                </c:pt>
                <c:pt idx="1631">
                  <c:v>541.53622261097803</c:v>
                </c:pt>
                <c:pt idx="1632">
                  <c:v>537.27761378813329</c:v>
                </c:pt>
                <c:pt idx="1633">
                  <c:v>590.85799877131853</c:v>
                </c:pt>
                <c:pt idx="1634">
                  <c:v>591.28952658967512</c:v>
                </c:pt>
                <c:pt idx="1635">
                  <c:v>592.46140731860328</c:v>
                </c:pt>
                <c:pt idx="1636">
                  <c:v>595.49398080552612</c:v>
                </c:pt>
                <c:pt idx="1637">
                  <c:v>599.62199929326846</c:v>
                </c:pt>
                <c:pt idx="1638">
                  <c:v>605.25671635783442</c:v>
                </c:pt>
                <c:pt idx="1639">
                  <c:v>612.36054757226066</c:v>
                </c:pt>
                <c:pt idx="1640">
                  <c:v>619.33083046094532</c:v>
                </c:pt>
                <c:pt idx="1641">
                  <c:v>625.93707251330397</c:v>
                </c:pt>
                <c:pt idx="1642">
                  <c:v>633.2120461687125</c:v>
                </c:pt>
                <c:pt idx="1643">
                  <c:v>640.99466465751732</c:v>
                </c:pt>
                <c:pt idx="1644">
                  <c:v>649.04193302648082</c:v>
                </c:pt>
                <c:pt idx="1645">
                  <c:v>658.97746257437211</c:v>
                </c:pt>
                <c:pt idx="1646">
                  <c:v>670.95047591066327</c:v>
                </c:pt>
                <c:pt idx="1647">
                  <c:v>683.12465026691666</c:v>
                </c:pt>
                <c:pt idx="1648">
                  <c:v>694.01805184312445</c:v>
                </c:pt>
                <c:pt idx="1649">
                  <c:v>705.23466329278654</c:v>
                </c:pt>
                <c:pt idx="1650">
                  <c:v>715.76495833240961</c:v>
                </c:pt>
                <c:pt idx="1651">
                  <c:v>726.37547845996653</c:v>
                </c:pt>
                <c:pt idx="1652">
                  <c:v>737.04208376086592</c:v>
                </c:pt>
                <c:pt idx="1653">
                  <c:v>747.68003859109228</c:v>
                </c:pt>
                <c:pt idx="1654">
                  <c:v>759.13609805865553</c:v>
                </c:pt>
                <c:pt idx="1655">
                  <c:v>770.34475938376136</c:v>
                </c:pt>
                <c:pt idx="1656">
                  <c:v>782.94267963354389</c:v>
                </c:pt>
                <c:pt idx="1657">
                  <c:v>795.44167811753641</c:v>
                </c:pt>
                <c:pt idx="1658">
                  <c:v>805.88887887671638</c:v>
                </c:pt>
                <c:pt idx="1659">
                  <c:v>814.41775130051735</c:v>
                </c:pt>
                <c:pt idx="1660">
                  <c:v>822.72808986517214</c:v>
                </c:pt>
                <c:pt idx="1661">
                  <c:v>830.56504196428511</c:v>
                </c:pt>
                <c:pt idx="1662">
                  <c:v>837.75013560833077</c:v>
                </c:pt>
                <c:pt idx="1663">
                  <c:v>845.43219912368102</c:v>
                </c:pt>
                <c:pt idx="1664">
                  <c:v>853.39061182188254</c:v>
                </c:pt>
                <c:pt idx="1665">
                  <c:v>859.89038949201392</c:v>
                </c:pt>
                <c:pt idx="1666">
                  <c:v>864.7902290236251</c:v>
                </c:pt>
                <c:pt idx="1667">
                  <c:v>868.61454962541052</c:v>
                </c:pt>
                <c:pt idx="1668">
                  <c:v>870.52564192858745</c:v>
                </c:pt>
                <c:pt idx="1669">
                  <c:v>871.70018333947814</c:v>
                </c:pt>
                <c:pt idx="1670">
                  <c:v>871.26865552112156</c:v>
                </c:pt>
                <c:pt idx="1671">
                  <c:v>870.09677479219351</c:v>
                </c:pt>
                <c:pt idx="1672">
                  <c:v>867.06420130527067</c:v>
                </c:pt>
                <c:pt idx="1673">
                  <c:v>862.93618281752833</c:v>
                </c:pt>
                <c:pt idx="1674">
                  <c:v>857.30146575296226</c:v>
                </c:pt>
                <c:pt idx="1675">
                  <c:v>850.19763453853602</c:v>
                </c:pt>
                <c:pt idx="1676">
                  <c:v>843.22735164985147</c:v>
                </c:pt>
                <c:pt idx="1677">
                  <c:v>836.6211095974927</c:v>
                </c:pt>
                <c:pt idx="1678">
                  <c:v>829.34613594208417</c:v>
                </c:pt>
                <c:pt idx="1679">
                  <c:v>821.56351745327947</c:v>
                </c:pt>
                <c:pt idx="1680">
                  <c:v>813.51624908431597</c:v>
                </c:pt>
                <c:pt idx="1681">
                  <c:v>803.58071953642457</c:v>
                </c:pt>
                <c:pt idx="1682">
                  <c:v>791.60770620013352</c:v>
                </c:pt>
                <c:pt idx="1683">
                  <c:v>779.43353184388013</c:v>
                </c:pt>
                <c:pt idx="1684">
                  <c:v>768.54013026767223</c:v>
                </c:pt>
                <c:pt idx="1685">
                  <c:v>757.32351881801014</c:v>
                </c:pt>
                <c:pt idx="1686">
                  <c:v>746.79322377838707</c:v>
                </c:pt>
                <c:pt idx="1687">
                  <c:v>736.18270365083015</c:v>
                </c:pt>
                <c:pt idx="1688">
                  <c:v>725.51609834993087</c:v>
                </c:pt>
                <c:pt idx="1689">
                  <c:v>714.87814351970439</c:v>
                </c:pt>
                <c:pt idx="1690">
                  <c:v>703.42208405214114</c:v>
                </c:pt>
                <c:pt idx="1691">
                  <c:v>692.21342272703532</c:v>
                </c:pt>
                <c:pt idx="1692">
                  <c:v>679.61550247725279</c:v>
                </c:pt>
                <c:pt idx="1693">
                  <c:v>667.11650399326015</c:v>
                </c:pt>
                <c:pt idx="1694">
                  <c:v>656.6693032340803</c:v>
                </c:pt>
                <c:pt idx="1695">
                  <c:v>648.14043081027933</c:v>
                </c:pt>
                <c:pt idx="1696">
                  <c:v>639.83009224562454</c:v>
                </c:pt>
                <c:pt idx="1697">
                  <c:v>631.99314014651156</c:v>
                </c:pt>
                <c:pt idx="1698">
                  <c:v>624.80804650246591</c:v>
                </c:pt>
                <c:pt idx="1699">
                  <c:v>617.12598298711566</c:v>
                </c:pt>
                <c:pt idx="1700">
                  <c:v>609.16757028891413</c:v>
                </c:pt>
                <c:pt idx="1701">
                  <c:v>602.66779261878287</c:v>
                </c:pt>
                <c:pt idx="1702">
                  <c:v>597.76795308717135</c:v>
                </c:pt>
                <c:pt idx="1703">
                  <c:v>593.94363248538616</c:v>
                </c:pt>
                <c:pt idx="1704">
                  <c:v>649.68655686097622</c:v>
                </c:pt>
                <c:pt idx="1705">
                  <c:v>650.13438104551585</c:v>
                </c:pt>
                <c:pt idx="1706">
                  <c:v>651.2037844333222</c:v>
                </c:pt>
                <c:pt idx="1707">
                  <c:v>653.83095188883385</c:v>
                </c:pt>
                <c:pt idx="1708">
                  <c:v>658.24916870147558</c:v>
                </c:pt>
                <c:pt idx="1709">
                  <c:v>663.57434045432524</c:v>
                </c:pt>
                <c:pt idx="1710">
                  <c:v>669.25334180479706</c:v>
                </c:pt>
                <c:pt idx="1711">
                  <c:v>674.92960751960788</c:v>
                </c:pt>
                <c:pt idx="1712">
                  <c:v>680.57743734776216</c:v>
                </c:pt>
                <c:pt idx="1713">
                  <c:v>685.98220495539772</c:v>
                </c:pt>
                <c:pt idx="1714">
                  <c:v>691.75230750183425</c:v>
                </c:pt>
                <c:pt idx="1715">
                  <c:v>698.52422735631785</c:v>
                </c:pt>
                <c:pt idx="1716">
                  <c:v>706.30539590652143</c:v>
                </c:pt>
                <c:pt idx="1717">
                  <c:v>715.75168961289614</c:v>
                </c:pt>
                <c:pt idx="1718">
                  <c:v>727.40053382629151</c:v>
                </c:pt>
                <c:pt idx="1719">
                  <c:v>739.02401603680221</c:v>
                </c:pt>
                <c:pt idx="1720">
                  <c:v>749.90727049541658</c:v>
                </c:pt>
                <c:pt idx="1721">
                  <c:v>759.54618109420164</c:v>
                </c:pt>
                <c:pt idx="1722">
                  <c:v>770.05195099670061</c:v>
                </c:pt>
                <c:pt idx="1723">
                  <c:v>780.61468983610189</c:v>
                </c:pt>
                <c:pt idx="1724">
                  <c:v>790.35191764177353</c:v>
                </c:pt>
                <c:pt idx="1725">
                  <c:v>801.44545734317308</c:v>
                </c:pt>
                <c:pt idx="1726">
                  <c:v>813.40627472877338</c:v>
                </c:pt>
                <c:pt idx="1727">
                  <c:v>825.45593651622971</c:v>
                </c:pt>
                <c:pt idx="1728">
                  <c:v>835.32241156854161</c:v>
                </c:pt>
                <c:pt idx="1729">
                  <c:v>843.51950410447807</c:v>
                </c:pt>
                <c:pt idx="1730">
                  <c:v>850.70289503134268</c:v>
                </c:pt>
                <c:pt idx="1731">
                  <c:v>856.86502574821293</c:v>
                </c:pt>
                <c:pt idx="1732">
                  <c:v>862.68647612315817</c:v>
                </c:pt>
                <c:pt idx="1733">
                  <c:v>868.82163614229364</c:v>
                </c:pt>
                <c:pt idx="1734">
                  <c:v>875.05587502937249</c:v>
                </c:pt>
                <c:pt idx="1735">
                  <c:v>881.4092931259139</c:v>
                </c:pt>
                <c:pt idx="1736">
                  <c:v>887.56203494411807</c:v>
                </c:pt>
                <c:pt idx="1737">
                  <c:v>892.80383364657985</c:v>
                </c:pt>
                <c:pt idx="1738">
                  <c:v>896.19844766512119</c:v>
                </c:pt>
                <c:pt idx="1739">
                  <c:v>897.9444807157895</c:v>
                </c:pt>
                <c:pt idx="1740">
                  <c:v>899.12803343763994</c:v>
                </c:pt>
                <c:pt idx="1741">
                  <c:v>898.68020925310032</c:v>
                </c:pt>
                <c:pt idx="1742">
                  <c:v>897.61080586529431</c:v>
                </c:pt>
                <c:pt idx="1743">
                  <c:v>894.98363840978243</c:v>
                </c:pt>
                <c:pt idx="1744">
                  <c:v>890.56542159714058</c:v>
                </c:pt>
                <c:pt idx="1745">
                  <c:v>885.24024984429093</c:v>
                </c:pt>
                <c:pt idx="1746">
                  <c:v>879.56124849381911</c:v>
                </c:pt>
                <c:pt idx="1747">
                  <c:v>873.88498277900828</c:v>
                </c:pt>
                <c:pt idx="1748">
                  <c:v>868.23715295085401</c:v>
                </c:pt>
                <c:pt idx="1749">
                  <c:v>862.83238534321845</c:v>
                </c:pt>
                <c:pt idx="1750">
                  <c:v>857.06228279678203</c:v>
                </c:pt>
                <c:pt idx="1751">
                  <c:v>850.29036294229832</c:v>
                </c:pt>
                <c:pt idx="1752">
                  <c:v>842.50919439209486</c:v>
                </c:pt>
                <c:pt idx="1753">
                  <c:v>833.06290068572014</c:v>
                </c:pt>
                <c:pt idx="1754">
                  <c:v>821.41405647232466</c:v>
                </c:pt>
                <c:pt idx="1755">
                  <c:v>809.79057426181396</c:v>
                </c:pt>
                <c:pt idx="1756">
                  <c:v>798.90731980319958</c:v>
                </c:pt>
                <c:pt idx="1757">
                  <c:v>789.26840920441452</c:v>
                </c:pt>
                <c:pt idx="1758">
                  <c:v>778.76263930191556</c:v>
                </c:pt>
                <c:pt idx="1759">
                  <c:v>768.19990046251428</c:v>
                </c:pt>
                <c:pt idx="1760">
                  <c:v>758.46267265684264</c:v>
                </c:pt>
                <c:pt idx="1761">
                  <c:v>747.36913295544309</c:v>
                </c:pt>
                <c:pt idx="1762">
                  <c:v>735.4083155698429</c:v>
                </c:pt>
                <c:pt idx="1763">
                  <c:v>723.35865378238645</c:v>
                </c:pt>
                <c:pt idx="1764">
                  <c:v>713.49217873007456</c:v>
                </c:pt>
                <c:pt idx="1765">
                  <c:v>705.29508619413809</c:v>
                </c:pt>
                <c:pt idx="1766">
                  <c:v>698.11169526727349</c:v>
                </c:pt>
                <c:pt idx="1767">
                  <c:v>691.94956455040324</c:v>
                </c:pt>
                <c:pt idx="1768">
                  <c:v>686.12811417545799</c:v>
                </c:pt>
                <c:pt idx="1769">
                  <c:v>679.99295415632253</c:v>
                </c:pt>
                <c:pt idx="1770">
                  <c:v>673.75871526924368</c:v>
                </c:pt>
                <c:pt idx="1771">
                  <c:v>667.40529717270238</c:v>
                </c:pt>
                <c:pt idx="1772">
                  <c:v>661.2525553544981</c:v>
                </c:pt>
                <c:pt idx="1773">
                  <c:v>656.01075665203609</c:v>
                </c:pt>
                <c:pt idx="1774">
                  <c:v>652.6161426334952</c:v>
                </c:pt>
                <c:pt idx="1775">
                  <c:v>807.82901704061385</c:v>
                </c:pt>
                <c:pt idx="1776">
                  <c:v>806.59250034390664</c:v>
                </c:pt>
                <c:pt idx="1777">
                  <c:v>805.55258578584733</c:v>
                </c:pt>
                <c:pt idx="1778">
                  <c:v>804.72197007960904</c:v>
                </c:pt>
                <c:pt idx="1779">
                  <c:v>804.10537654609652</c:v>
                </c:pt>
                <c:pt idx="1780">
                  <c:v>803.70749783440885</c:v>
                </c:pt>
                <c:pt idx="1781">
                  <c:v>803.08070962985312</c:v>
                </c:pt>
                <c:pt idx="1782">
                  <c:v>802.14205064722637</c:v>
                </c:pt>
                <c:pt idx="1783">
                  <c:v>801.74213843757423</c:v>
                </c:pt>
                <c:pt idx="1784">
                  <c:v>802.27150945290839</c:v>
                </c:pt>
                <c:pt idx="1785">
                  <c:v>803.80813353854728</c:v>
                </c:pt>
                <c:pt idx="1786">
                  <c:v>806.21726291025038</c:v>
                </c:pt>
                <c:pt idx="1787">
                  <c:v>809.09653785515513</c:v>
                </c:pt>
                <c:pt idx="1788">
                  <c:v>811.31702190533815</c:v>
                </c:pt>
                <c:pt idx="1789">
                  <c:v>812.42475905921879</c:v>
                </c:pt>
                <c:pt idx="1790">
                  <c:v>813.57546042297599</c:v>
                </c:pt>
                <c:pt idx="1791">
                  <c:v>814.76036846441923</c:v>
                </c:pt>
                <c:pt idx="1792">
                  <c:v>816.01623080881768</c:v>
                </c:pt>
                <c:pt idx="1793">
                  <c:v>817.1965414156449</c:v>
                </c:pt>
                <c:pt idx="1794">
                  <c:v>818.29326855016257</c:v>
                </c:pt>
                <c:pt idx="1795">
                  <c:v>819.47947967267123</c:v>
                </c:pt>
                <c:pt idx="1796">
                  <c:v>820.60919883049985</c:v>
                </c:pt>
                <c:pt idx="1797">
                  <c:v>821.71959366964563</c:v>
                </c:pt>
                <c:pt idx="1798">
                  <c:v>822.80221341490824</c:v>
                </c:pt>
                <c:pt idx="1799">
                  <c:v>824.98429035992433</c:v>
                </c:pt>
                <c:pt idx="1800">
                  <c:v>827.80495877063504</c:v>
                </c:pt>
                <c:pt idx="1801">
                  <c:v>830.19200640484996</c:v>
                </c:pt>
                <c:pt idx="1802">
                  <c:v>831.76939999733258</c:v>
                </c:pt>
                <c:pt idx="1803">
                  <c:v>832.40751490619766</c:v>
                </c:pt>
                <c:pt idx="1804">
                  <c:v>832.17508888821089</c:v>
                </c:pt>
                <c:pt idx="1805">
                  <c:v>831.43547631362162</c:v>
                </c:pt>
                <c:pt idx="1806">
                  <c:v>830.96242892675252</c:v>
                </c:pt>
                <c:pt idx="1807">
                  <c:v>830.64103916344447</c:v>
                </c:pt>
                <c:pt idx="1808">
                  <c:v>830.10340484923222</c:v>
                </c:pt>
                <c:pt idx="1809">
                  <c:v>829.35361770587906</c:v>
                </c:pt>
                <c:pt idx="1810">
                  <c:v>828.39898223243949</c:v>
                </c:pt>
                <c:pt idx="1811">
                  <c:v>827.24198144582181</c:v>
                </c:pt>
                <c:pt idx="1812">
                  <c:v>828.47849814252902</c:v>
                </c:pt>
                <c:pt idx="1813">
                  <c:v>829.51841270058833</c:v>
                </c:pt>
                <c:pt idx="1814">
                  <c:v>830.34902840682662</c:v>
                </c:pt>
                <c:pt idx="1815">
                  <c:v>830.96562194033913</c:v>
                </c:pt>
                <c:pt idx="1816">
                  <c:v>831.3635006520268</c:v>
                </c:pt>
                <c:pt idx="1817">
                  <c:v>831.99028885658254</c:v>
                </c:pt>
                <c:pt idx="1818">
                  <c:v>832.92894783920929</c:v>
                </c:pt>
                <c:pt idx="1819">
                  <c:v>833.32886004886143</c:v>
                </c:pt>
                <c:pt idx="1820">
                  <c:v>832.79948903352727</c:v>
                </c:pt>
                <c:pt idx="1821">
                  <c:v>831.26286494788837</c:v>
                </c:pt>
                <c:pt idx="1822">
                  <c:v>828.85373557618539</c:v>
                </c:pt>
                <c:pt idx="1823">
                  <c:v>825.97446063128052</c:v>
                </c:pt>
                <c:pt idx="1824">
                  <c:v>823.7539765810975</c:v>
                </c:pt>
                <c:pt idx="1825">
                  <c:v>822.64623942721687</c:v>
                </c:pt>
                <c:pt idx="1826">
                  <c:v>821.49553806345966</c:v>
                </c:pt>
                <c:pt idx="1827">
                  <c:v>820.31063002201643</c:v>
                </c:pt>
                <c:pt idx="1828">
                  <c:v>819.05476767761797</c:v>
                </c:pt>
                <c:pt idx="1829">
                  <c:v>817.87445707079075</c:v>
                </c:pt>
                <c:pt idx="1830">
                  <c:v>816.77772993627309</c:v>
                </c:pt>
                <c:pt idx="1831">
                  <c:v>815.59151881376442</c:v>
                </c:pt>
                <c:pt idx="1832">
                  <c:v>814.46179965593581</c:v>
                </c:pt>
                <c:pt idx="1833">
                  <c:v>813.35140481679002</c:v>
                </c:pt>
                <c:pt idx="1834">
                  <c:v>812.26878507152742</c:v>
                </c:pt>
                <c:pt idx="1835">
                  <c:v>810.08670812651133</c:v>
                </c:pt>
                <c:pt idx="1836">
                  <c:v>807.26603971580062</c:v>
                </c:pt>
                <c:pt idx="1837">
                  <c:v>804.87899208158569</c:v>
                </c:pt>
                <c:pt idx="1838">
                  <c:v>803.30159848910307</c:v>
                </c:pt>
                <c:pt idx="1839">
                  <c:v>802.66348358023799</c:v>
                </c:pt>
                <c:pt idx="1840">
                  <c:v>802.89590959822476</c:v>
                </c:pt>
                <c:pt idx="1841">
                  <c:v>803.63552217281404</c:v>
                </c:pt>
                <c:pt idx="1842">
                  <c:v>804.10856955968313</c:v>
                </c:pt>
                <c:pt idx="1843">
                  <c:v>804.42995932299118</c:v>
                </c:pt>
                <c:pt idx="1844">
                  <c:v>804.96759363720344</c:v>
                </c:pt>
                <c:pt idx="1845">
                  <c:v>805.7173807805566</c:v>
                </c:pt>
                <c:pt idx="1846">
                  <c:v>806.67201625399616</c:v>
                </c:pt>
                <c:pt idx="1847">
                  <c:v>807.82901704061385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4D-4984-B106-1700280D5561}"/>
            </c:ext>
          </c:extLst>
        </c:ser>
        <c:ser>
          <c:idx val="4"/>
          <c:order val="4"/>
          <c:tx>
            <c:v>User Load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failure_surface!$L$19</c:f>
              <c:numCache>
                <c:formatCode>General</c:formatCode>
                <c:ptCount val="1"/>
                <c:pt idx="0">
                  <c:v>43.402109864246775</c:v>
                </c:pt>
              </c:numCache>
            </c:numRef>
          </c:xVal>
          <c:yVal>
            <c:numRef>
              <c:f>failure_surface!$M$19</c:f>
              <c:numCache>
                <c:formatCode>General</c:formatCode>
                <c:ptCount val="1"/>
                <c:pt idx="0">
                  <c:v>106.52174953270931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B4D-4984-B106-1700280D5561}"/>
            </c:ext>
          </c:extLst>
        </c:ser>
        <c:ser>
          <c:idx val="5"/>
          <c:order val="5"/>
          <c:tx>
            <c:v>Calculated Interaction 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failure_surface!$L$20</c:f>
              <c:numCache>
                <c:formatCode>General</c:formatCode>
                <c:ptCount val="1"/>
                <c:pt idx="0">
                  <c:v>175.0637678381888</c:v>
                </c:pt>
              </c:numCache>
            </c:numRef>
          </c:xVal>
          <c:yVal>
            <c:numRef>
              <c:f>failure_surface!$M$20</c:f>
              <c:numCache>
                <c:formatCode>General</c:formatCode>
                <c:ptCount val="1"/>
                <c:pt idx="0">
                  <c:v>197.27683079554254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C4-4828-94BE-D10A935BED30}"/>
            </c:ext>
          </c:extLst>
        </c:ser>
        <c:ser>
          <c:idx val="6"/>
          <c:order val="6"/>
          <c:tx>
            <c:v>P-M Slice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diamond"/>
            <c:size val="4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failure_surface!$AC$19:$AC$119</c:f>
              <c:numCache>
                <c:formatCode>General</c:formatCode>
                <c:ptCount val="101"/>
                <c:pt idx="0">
                  <c:v>0.86176824404106445</c:v>
                </c:pt>
                <c:pt idx="1">
                  <c:v>36.105929053037592</c:v>
                </c:pt>
                <c:pt idx="2">
                  <c:v>68.960216162133079</c:v>
                </c:pt>
                <c:pt idx="3">
                  <c:v>94.025347373778786</c:v>
                </c:pt>
                <c:pt idx="4">
                  <c:v>117.43487505234813</c:v>
                </c:pt>
                <c:pt idx="5">
                  <c:v>140.45528801968979</c:v>
                </c:pt>
                <c:pt idx="6">
                  <c:v>159.66123029148144</c:v>
                </c:pt>
                <c:pt idx="7">
                  <c:v>169.83294157028084</c:v>
                </c:pt>
                <c:pt idx="8">
                  <c:v>176.19045229593263</c:v>
                </c:pt>
                <c:pt idx="9">
                  <c:v>182.0948819651064</c:v>
                </c:pt>
                <c:pt idx="10">
                  <c:v>182.33783005448106</c:v>
                </c:pt>
                <c:pt idx="11">
                  <c:v>182.92808120483051</c:v>
                </c:pt>
                <c:pt idx="12">
                  <c:v>182.82606550358807</c:v>
                </c:pt>
                <c:pt idx="13">
                  <c:v>183.29849525639935</c:v>
                </c:pt>
                <c:pt idx="14">
                  <c:v>185.24568834581603</c:v>
                </c:pt>
                <c:pt idx="15">
                  <c:v>186.22768272437079</c:v>
                </c:pt>
                <c:pt idx="16">
                  <c:v>186.10839079502935</c:v>
                </c:pt>
                <c:pt idx="17">
                  <c:v>184.6232712981008</c:v>
                </c:pt>
                <c:pt idx="18">
                  <c:v>181.81452099123652</c:v>
                </c:pt>
                <c:pt idx="19">
                  <c:v>177.47059670697462</c:v>
                </c:pt>
                <c:pt idx="20">
                  <c:v>171.4765664665683</c:v>
                </c:pt>
                <c:pt idx="21">
                  <c:v>163.70701851375918</c:v>
                </c:pt>
                <c:pt idx="22">
                  <c:v>154.02293345932895</c:v>
                </c:pt>
                <c:pt idx="23">
                  <c:v>142.26756049824812</c:v>
                </c:pt>
                <c:pt idx="24">
                  <c:v>128.28036253668802</c:v>
                </c:pt>
                <c:pt idx="25">
                  <c:v>22.144018552342857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xVal>
          <c:yVal>
            <c:numRef>
              <c:f>failure_surface!$AD$19:$AD$119</c:f>
              <c:numCache>
                <c:formatCode>General</c:formatCode>
                <c:ptCount val="101"/>
                <c:pt idx="0">
                  <c:v>-259.99897570823828</c:v>
                </c:pt>
                <c:pt idx="1">
                  <c:v>-192.57989121670514</c:v>
                </c:pt>
                <c:pt idx="2">
                  <c:v>-126.80807497148507</c:v>
                </c:pt>
                <c:pt idx="3">
                  <c:v>-66.405405135126358</c:v>
                </c:pt>
                <c:pt idx="4">
                  <c:v>-7.143998328455254</c:v>
                </c:pt>
                <c:pt idx="5">
                  <c:v>51.849278149211074</c:v>
                </c:pt>
                <c:pt idx="6">
                  <c:v>108.21317631018319</c:v>
                </c:pt>
                <c:pt idx="7">
                  <c:v>158.34973386914714</c:v>
                </c:pt>
                <c:pt idx="8">
                  <c:v>205.85713675247482</c:v>
                </c:pt>
                <c:pt idx="9">
                  <c:v>253.0522314354557</c:v>
                </c:pt>
                <c:pt idx="10">
                  <c:v>296.34486803977904</c:v>
                </c:pt>
                <c:pt idx="11">
                  <c:v>339.87685345961273</c:v>
                </c:pt>
                <c:pt idx="12">
                  <c:v>382.93165988670455</c:v>
                </c:pt>
                <c:pt idx="13">
                  <c:v>426.38244814469829</c:v>
                </c:pt>
                <c:pt idx="14">
                  <c:v>470.84979861608599</c:v>
                </c:pt>
                <c:pt idx="15">
                  <c:v>514.65183248139385</c:v>
                </c:pt>
                <c:pt idx="16">
                  <c:v>557.69474383602449</c:v>
                </c:pt>
                <c:pt idx="17">
                  <c:v>599.79618379957947</c:v>
                </c:pt>
                <c:pt idx="18">
                  <c:v>640.98516909870705</c:v>
                </c:pt>
                <c:pt idx="19">
                  <c:v>681.11608734000765</c:v>
                </c:pt>
                <c:pt idx="20">
                  <c:v>720.10951018190133</c:v>
                </c:pt>
                <c:pt idx="21">
                  <c:v>757.87899988474771</c:v>
                </c:pt>
                <c:pt idx="22">
                  <c:v>794.32890729654878</c:v>
                </c:pt>
                <c:pt idx="23">
                  <c:v>829.35101617076202</c:v>
                </c:pt>
                <c:pt idx="24">
                  <c:v>862.83466979169543</c:v>
                </c:pt>
                <c:pt idx="25">
                  <c:v>832.79948903352727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D7-4F4D-A7CD-C8FC387B8FF6}"/>
            </c:ext>
          </c:extLst>
        </c:ser>
        <c:ser>
          <c:idx val="7"/>
          <c:order val="7"/>
          <c:tx>
            <c:v>user-calc line</c:v>
          </c:tx>
          <c:spPr>
            <a:ln w="19050" cap="rnd">
              <a:solidFill>
                <a:schemeClr val="tx1">
                  <a:lumMod val="75000"/>
                  <a:lumOff val="2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failure_surface!$L$19:$L$20</c:f>
              <c:numCache>
                <c:formatCode>General</c:formatCode>
                <c:ptCount val="2"/>
                <c:pt idx="0">
                  <c:v>43.402109864246775</c:v>
                </c:pt>
                <c:pt idx="1">
                  <c:v>175.0637678381888</c:v>
                </c:pt>
              </c:numCache>
            </c:numRef>
          </c:xVal>
          <c:yVal>
            <c:numRef>
              <c:f>failure_surface!$M$19:$M$20</c:f>
              <c:numCache>
                <c:formatCode>General</c:formatCode>
                <c:ptCount val="2"/>
                <c:pt idx="0">
                  <c:v>106.52174953270931</c:v>
                </c:pt>
                <c:pt idx="1">
                  <c:v>197.27683079554254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D7-4F4D-A7CD-C8FC387B8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4525071"/>
        <c:axId val="1358811903"/>
      </c:scatterChart>
      <c:valAx>
        <c:axId val="1564525071"/>
        <c:scaling>
          <c:orientation val="minMax"/>
          <c:max val="1078"/>
          <c:min val="-1078"/>
        </c:scaling>
        <c:delete val="1"/>
        <c:axPos val="b"/>
        <c:numFmt formatCode="General" sourceLinked="1"/>
        <c:majorTickMark val="none"/>
        <c:minorTickMark val="none"/>
        <c:tickLblPos val="nextTo"/>
        <c:crossAx val="1358811903"/>
        <c:crosses val="autoZero"/>
        <c:crossBetween val="midCat"/>
        <c:majorUnit val="25"/>
      </c:valAx>
      <c:valAx>
        <c:axId val="1358811903"/>
        <c:scaling>
          <c:orientation val="minMax"/>
          <c:max val="1078"/>
          <c:min val="-1078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64525071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22" fmlaLink="$I$5" horiz="1" max="360" page="10" val="50"/>
</file>

<file path=xl/ctrlProps/ctrlProp8.xml><?xml version="1.0" encoding="utf-8"?>
<formControlPr xmlns="http://schemas.microsoft.com/office/spreadsheetml/2009/9/main" objectType="Scroll" dx="22" fmlaLink="$J$5" horiz="1" max="360" page="10" val="180"/>
</file>

<file path=xl/ctrlProps/ctrlProp9.xml><?xml version="1.0" encoding="utf-8"?>
<formControlPr xmlns="http://schemas.microsoft.com/office/spreadsheetml/2009/9/main" objectType="Scroll" dx="22" fmlaLink="$K$5" horiz="1" max="360" page="10" val="8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38102</xdr:colOff>
      <xdr:row>1</xdr:row>
      <xdr:rowOff>19050</xdr:rowOff>
    </xdr:from>
    <xdr:to>
      <xdr:col>16</xdr:col>
      <xdr:colOff>581025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19051</xdr:colOff>
      <xdr:row>46</xdr:row>
      <xdr:rowOff>26362</xdr:rowOff>
    </xdr:from>
    <xdr:to>
      <xdr:col>16</xdr:col>
      <xdr:colOff>561975</xdr:colOff>
      <xdr:row>84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119</xdr:row>
      <xdr:rowOff>157070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(Interaction Point only does not update the plots below)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60699</xdr:colOff>
      <xdr:row>127</xdr:row>
      <xdr:rowOff>69850</xdr:rowOff>
    </xdr:from>
    <xdr:to>
      <xdr:col>14</xdr:col>
      <xdr:colOff>616324</xdr:colOff>
      <xdr:row>170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(recommend running this prior to P-M curve)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121</xdr:row>
          <xdr:rowOff>152400</xdr:rowOff>
        </xdr:from>
        <xdr:to>
          <xdr:col>13</xdr:col>
          <xdr:colOff>342900</xdr:colOff>
          <xdr:row>125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a P-M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(Can take several seconds up to minutes)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19050</xdr:colOff>
      <xdr:row>170</xdr:row>
      <xdr:rowOff>180975</xdr:rowOff>
    </xdr:from>
    <xdr:to>
      <xdr:col>14</xdr:col>
      <xdr:colOff>552450</xdr:colOff>
      <xdr:row>214</xdr:row>
      <xdr:rowOff>142875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9525</xdr:colOff>
      <xdr:row>215</xdr:row>
      <xdr:rowOff>38100</xdr:rowOff>
    </xdr:from>
    <xdr:to>
      <xdr:col>14</xdr:col>
      <xdr:colOff>565150</xdr:colOff>
      <xdr:row>259</xdr:row>
      <xdr:rowOff>6350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20</xdr:row>
          <xdr:rowOff>95250</xdr:rowOff>
        </xdr:from>
        <xdr:to>
          <xdr:col>19</xdr:col>
          <xdr:colOff>819150</xdr:colOff>
          <xdr:row>23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Bars From Pattern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123265</xdr:colOff>
      <xdr:row>47</xdr:row>
      <xdr:rowOff>1118</xdr:rowOff>
    </xdr:from>
    <xdr:to>
      <xdr:col>43</xdr:col>
      <xdr:colOff>112059</xdr:colOff>
      <xdr:row>80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122</xdr:row>
          <xdr:rowOff>66675</xdr:rowOff>
        </xdr:from>
        <xdr:to>
          <xdr:col>18</xdr:col>
          <xdr:colOff>266700</xdr:colOff>
          <xdr:row>125</xdr:row>
          <xdr:rowOff>142875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find an interaction point with the same 3d unit vector of the applied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122</xdr:row>
          <xdr:rowOff>76200</xdr:rowOff>
        </xdr:from>
        <xdr:to>
          <xdr:col>21</xdr:col>
          <xdr:colOff>266700</xdr:colOff>
          <xdr:row>125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Failure Surface Slices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(takes a very long time to run)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67236</xdr:colOff>
      <xdr:row>82</xdr:row>
      <xdr:rowOff>34735</xdr:rowOff>
    </xdr:from>
    <xdr:to>
      <xdr:col>24</xdr:col>
      <xdr:colOff>78441</xdr:colOff>
      <xdr:row>107</xdr:row>
      <xdr:rowOff>134469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7</xdr:row>
      <xdr:rowOff>38100</xdr:rowOff>
    </xdr:from>
    <xdr:to>
      <xdr:col>23</xdr:col>
      <xdr:colOff>28575</xdr:colOff>
      <xdr:row>48</xdr:row>
      <xdr:rowOff>123825</xdr:rowOff>
    </xdr:to>
    <xdr:graphicFrame macro="">
      <xdr:nvGraphicFramePr>
        <xdr:cNvPr id="2" name="Chart_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590550</xdr:colOff>
          <xdr:row>1</xdr:row>
          <xdr:rowOff>9525</xdr:rowOff>
        </xdr:from>
        <xdr:to>
          <xdr:col>25</xdr:col>
          <xdr:colOff>600075</xdr:colOff>
          <xdr:row>2</xdr:row>
          <xdr:rowOff>0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3</xdr:row>
          <xdr:rowOff>0</xdr:rowOff>
        </xdr:from>
        <xdr:to>
          <xdr:col>25</xdr:col>
          <xdr:colOff>590550</xdr:colOff>
          <xdr:row>3</xdr:row>
          <xdr:rowOff>180975</xdr:rowOff>
        </xdr:to>
        <xdr:sp macro="" textlink="">
          <xdr:nvSpPr>
            <xdr:cNvPr id="2054" name="Scroll Ba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590550</xdr:colOff>
          <xdr:row>5</xdr:row>
          <xdr:rowOff>0</xdr:rowOff>
        </xdr:from>
        <xdr:to>
          <xdr:col>25</xdr:col>
          <xdr:colOff>600075</xdr:colOff>
          <xdr:row>5</xdr:row>
          <xdr:rowOff>180975</xdr:rowOff>
        </xdr:to>
        <xdr:sp macro="" textlink="">
          <xdr:nvSpPr>
            <xdr:cNvPr id="2055" name="Scroll Bar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AD490"/>
  <sheetViews>
    <sheetView tabSelected="1" topLeftCell="A103" zoomScale="85" zoomScaleNormal="85" workbookViewId="0">
      <selection activeCell="B120" sqref="B120"/>
    </sheetView>
  </sheetViews>
  <sheetFormatPr defaultColWidth="8.85546875" defaultRowHeight="15" x14ac:dyDescent="0.25"/>
  <cols>
    <col min="1" max="1" width="16.42578125" customWidth="1"/>
    <col min="2" max="2" width="18.710937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20.28515625" bestFit="1" customWidth="1"/>
    <col min="8" max="8" width="14.7109375" bestFit="1" customWidth="1"/>
    <col min="9" max="9" width="13.7109375" bestFit="1" customWidth="1"/>
    <col min="10" max="10" width="10.140625" customWidth="1"/>
    <col min="11" max="11" width="11.7109375" customWidth="1"/>
    <col min="12" max="12" width="12.28515625" bestFit="1" customWidth="1"/>
    <col min="13" max="13" width="12.7109375" bestFit="1" customWidth="1"/>
    <col min="14" max="14" width="12.42578125" customWidth="1"/>
    <col min="15" max="15" width="9.7109375" bestFit="1" customWidth="1"/>
    <col min="16" max="16" width="12.7109375" bestFit="1" customWidth="1"/>
    <col min="17" max="17" width="10.42578125" bestFit="1" customWidth="1"/>
    <col min="18" max="18" width="9.7109375" bestFit="1" customWidth="1"/>
    <col min="19" max="19" width="17.140625" customWidth="1"/>
    <col min="20" max="20" width="20.28515625" bestFit="1" customWidth="1"/>
    <col min="21" max="21" width="11.42578125" customWidth="1"/>
    <col min="22" max="22" width="11.85546875" customWidth="1"/>
    <col min="23" max="23" width="12.28515625" customWidth="1"/>
    <col min="24" max="24" width="11.7109375" bestFit="1" customWidth="1"/>
    <col min="25" max="25" width="12.140625" bestFit="1" customWidth="1"/>
    <col min="26" max="26" width="9" bestFit="1" customWidth="1"/>
    <col min="29" max="29" width="12.28515625" bestFit="1" customWidth="1"/>
    <col min="30" max="30" width="12.85546875" bestFit="1" customWidth="1"/>
  </cols>
  <sheetData>
    <row r="1" spans="1:21" ht="15.75" thickBot="1" x14ac:dyDescent="0.3">
      <c r="D1" t="s">
        <v>7</v>
      </c>
      <c r="G1" t="s">
        <v>14</v>
      </c>
    </row>
    <row r="2" spans="1:21" x14ac:dyDescent="0.25">
      <c r="A2" s="2" t="s">
        <v>4</v>
      </c>
      <c r="B2" s="34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  <c r="S2" s="56" t="s">
        <v>96</v>
      </c>
      <c r="T2" s="59" t="s">
        <v>97</v>
      </c>
      <c r="U2" s="39"/>
    </row>
    <row r="3" spans="1:21" x14ac:dyDescent="0.25">
      <c r="A3" s="2" t="s">
        <v>13</v>
      </c>
      <c r="B3" s="3">
        <f>(POWER(145,1.5)*33*SQRT(1000*B2))/1000</f>
        <v>4074.2806880478911</v>
      </c>
      <c r="C3" t="s">
        <v>5</v>
      </c>
      <c r="D3" s="5">
        <v>0</v>
      </c>
      <c r="E3" s="5">
        <v>0</v>
      </c>
      <c r="G3" s="6">
        <f>MAX(MAX(D3:D7),MAX(E3:E7))+1</f>
        <v>21</v>
      </c>
      <c r="H3" s="6">
        <f>G3</f>
        <v>21</v>
      </c>
      <c r="S3" s="60">
        <v>8</v>
      </c>
      <c r="T3" s="45" t="s">
        <v>100</v>
      </c>
      <c r="U3" s="43"/>
    </row>
    <row r="4" spans="1:21" x14ac:dyDescent="0.25">
      <c r="A4" s="2" t="s">
        <v>35</v>
      </c>
      <c r="B4" s="1">
        <f>IF(B2&lt;=4,0.85,IF(B2&lt;=8,0.85 - ((0.05*(B2-4))/1),0.65))</f>
        <v>0.79999999999999993</v>
      </c>
      <c r="D4" s="5">
        <f>B5</f>
        <v>20</v>
      </c>
      <c r="E4" s="5">
        <v>0</v>
      </c>
      <c r="G4">
        <v>-1</v>
      </c>
      <c r="H4">
        <v>-1</v>
      </c>
      <c r="S4" s="44">
        <f ca="1">OFFSET(Reference!A$1,MATCH('Cross Section Analysis'!S3,Reference!A$1:A$12,0)-1,1)</f>
        <v>1</v>
      </c>
      <c r="T4" s="45" t="s">
        <v>103</v>
      </c>
      <c r="U4" s="43"/>
    </row>
    <row r="5" spans="1:21" x14ac:dyDescent="0.25">
      <c r="A5" s="2" t="s">
        <v>2</v>
      </c>
      <c r="B5" s="34">
        <v>20</v>
      </c>
      <c r="C5" t="s">
        <v>6</v>
      </c>
      <c r="D5" s="5">
        <f>B5</f>
        <v>20</v>
      </c>
      <c r="E5" s="5">
        <f>B6</f>
        <v>20</v>
      </c>
      <c r="G5" t="s">
        <v>33</v>
      </c>
      <c r="S5" s="60">
        <v>3</v>
      </c>
      <c r="T5" s="45" t="s">
        <v>101</v>
      </c>
      <c r="U5" s="43"/>
    </row>
    <row r="6" spans="1:21" x14ac:dyDescent="0.25">
      <c r="A6" s="2" t="s">
        <v>3</v>
      </c>
      <c r="B6" s="34">
        <v>20</v>
      </c>
      <c r="C6" t="s">
        <v>6</v>
      </c>
      <c r="D6" s="5">
        <v>0</v>
      </c>
      <c r="E6" s="5">
        <f>B6</f>
        <v>20</v>
      </c>
      <c r="G6" t="s">
        <v>0</v>
      </c>
      <c r="H6" t="s">
        <v>1</v>
      </c>
      <c r="S6" s="44">
        <f ca="1">OFFSET(Reference!A$1,MATCH('Cross Section Analysis'!S5,Reference!A$1:A$12,0)-1,1)</f>
        <v>0.375</v>
      </c>
      <c r="T6" s="45" t="s">
        <v>105</v>
      </c>
      <c r="U6" s="43"/>
    </row>
    <row r="7" spans="1:21" x14ac:dyDescent="0.25">
      <c r="D7" s="5">
        <v>0</v>
      </c>
      <c r="E7" s="5">
        <v>0</v>
      </c>
      <c r="G7">
        <f>B5/2</f>
        <v>10</v>
      </c>
      <c r="H7">
        <f>B6/2</f>
        <v>10</v>
      </c>
      <c r="S7" s="57">
        <v>2</v>
      </c>
      <c r="T7" s="45" t="s">
        <v>106</v>
      </c>
      <c r="U7" s="43"/>
    </row>
    <row r="8" spans="1:21" x14ac:dyDescent="0.25">
      <c r="S8" s="44" t="s">
        <v>115</v>
      </c>
      <c r="T8" s="45"/>
      <c r="U8" s="43"/>
    </row>
    <row r="9" spans="1:21" x14ac:dyDescent="0.25">
      <c r="A9" t="s">
        <v>8</v>
      </c>
      <c r="S9" s="57">
        <v>3</v>
      </c>
      <c r="T9" s="45" t="s">
        <v>98</v>
      </c>
      <c r="U9" s="43"/>
    </row>
    <row r="10" spans="1:21" x14ac:dyDescent="0.25">
      <c r="A10" t="s">
        <v>9</v>
      </c>
      <c r="B10" s="34">
        <v>60</v>
      </c>
      <c r="C10" t="s">
        <v>5</v>
      </c>
      <c r="F10" s="25" t="s">
        <v>85</v>
      </c>
      <c r="S10" s="57">
        <v>3</v>
      </c>
      <c r="T10" s="45" t="s">
        <v>99</v>
      </c>
      <c r="U10" s="43"/>
    </row>
    <row r="11" spans="1:21" x14ac:dyDescent="0.25">
      <c r="A11" t="s">
        <v>12</v>
      </c>
      <c r="B11" s="3">
        <v>29000</v>
      </c>
      <c r="C11" t="s">
        <v>5</v>
      </c>
      <c r="F11" s="25" t="s">
        <v>86</v>
      </c>
      <c r="S11" s="44">
        <f>(2*S9)+((2*S10)-4)</f>
        <v>8</v>
      </c>
      <c r="T11" s="45" t="s">
        <v>104</v>
      </c>
      <c r="U11" s="43"/>
    </row>
    <row r="12" spans="1:21" x14ac:dyDescent="0.25">
      <c r="B12" s="1" t="s">
        <v>10</v>
      </c>
      <c r="C12" t="s">
        <v>11</v>
      </c>
      <c r="D12" s="1" t="s">
        <v>0</v>
      </c>
      <c r="E12" s="1" t="s">
        <v>1</v>
      </c>
      <c r="F12" s="25" t="s">
        <v>87</v>
      </c>
      <c r="S12" s="44" t="s">
        <v>113</v>
      </c>
      <c r="T12" s="58" t="s">
        <v>114</v>
      </c>
      <c r="U12" s="43"/>
    </row>
    <row r="13" spans="1:21" x14ac:dyDescent="0.25">
      <c r="A13">
        <v>1</v>
      </c>
      <c r="B13" s="33">
        <v>8</v>
      </c>
      <c r="C13" s="4">
        <f ca="1">OFFSET(Reference!A$1,MATCH('Cross Section Analysis'!B13,Reference!A$1:A$12,0)-1,2)</f>
        <v>0.79</v>
      </c>
      <c r="D13" s="34">
        <v>3.125</v>
      </c>
      <c r="E13" s="34">
        <v>3.125</v>
      </c>
      <c r="F13" s="25" t="s">
        <v>88</v>
      </c>
      <c r="S13" s="64">
        <f ca="1">2*S6</f>
        <v>0.75</v>
      </c>
      <c r="T13" s="58" t="s">
        <v>120</v>
      </c>
      <c r="U13" s="43"/>
    </row>
    <row r="14" spans="1:21" x14ac:dyDescent="0.25">
      <c r="A14">
        <v>2</v>
      </c>
      <c r="B14" s="33">
        <v>8</v>
      </c>
      <c r="C14" s="4">
        <f ca="1">OFFSET(Reference!A$1,MATCH('Cross Section Analysis'!B14,Reference!A$1:A$12,0)-1,2)</f>
        <v>0.79</v>
      </c>
      <c r="D14" s="34">
        <v>10</v>
      </c>
      <c r="E14" s="34">
        <v>3.125</v>
      </c>
      <c r="F14" s="25" t="s">
        <v>89</v>
      </c>
      <c r="S14" s="64">
        <f ca="1">0.5*S4</f>
        <v>0.5</v>
      </c>
      <c r="T14" s="58" t="s">
        <v>102</v>
      </c>
      <c r="U14" s="43"/>
    </row>
    <row r="15" spans="1:21" x14ac:dyDescent="0.25">
      <c r="A15">
        <v>3</v>
      </c>
      <c r="B15" s="33">
        <v>8</v>
      </c>
      <c r="C15" s="4">
        <f ca="1">OFFSET(Reference!A$1,MATCH('Cross Section Analysis'!B15,Reference!A$1:A$12,0)-1,2)</f>
        <v>0.79</v>
      </c>
      <c r="D15" s="34">
        <v>16.875</v>
      </c>
      <c r="E15" s="34">
        <v>3.125</v>
      </c>
      <c r="S15" s="64">
        <f ca="1">MAX(S13:S14)</f>
        <v>0.75</v>
      </c>
      <c r="T15" s="58" t="s">
        <v>107</v>
      </c>
      <c r="U15" s="43"/>
    </row>
    <row r="16" spans="1:21" x14ac:dyDescent="0.25">
      <c r="A16">
        <v>4</v>
      </c>
      <c r="B16" s="33">
        <v>8</v>
      </c>
      <c r="C16" s="4">
        <f ca="1">OFFSET(Reference!A$1,MATCH('Cross Section Analysis'!B16,Reference!A$1:A$12,0)-1,2)</f>
        <v>0.79</v>
      </c>
      <c r="D16" s="34">
        <v>3.125</v>
      </c>
      <c r="E16" s="34">
        <v>10</v>
      </c>
      <c r="S16" s="64">
        <f ca="1">S7+S6+S15</f>
        <v>3.125</v>
      </c>
      <c r="T16" s="58" t="s">
        <v>109</v>
      </c>
      <c r="U16" s="43"/>
    </row>
    <row r="17" spans="1:21" x14ac:dyDescent="0.25">
      <c r="A17">
        <v>5</v>
      </c>
      <c r="B17" s="33">
        <v>8</v>
      </c>
      <c r="C17" s="4">
        <f ca="1">OFFSET(Reference!A$1,MATCH('Cross Section Analysis'!B17,Reference!A$1:A$12,0)-1,2)</f>
        <v>0.79</v>
      </c>
      <c r="D17" s="34">
        <v>16.875</v>
      </c>
      <c r="E17" s="34">
        <v>10</v>
      </c>
      <c r="S17" s="64">
        <f ca="1">B5-S16</f>
        <v>16.875</v>
      </c>
      <c r="T17" s="58" t="s">
        <v>108</v>
      </c>
      <c r="U17" s="43"/>
    </row>
    <row r="18" spans="1:21" x14ac:dyDescent="0.25">
      <c r="A18">
        <v>6</v>
      </c>
      <c r="B18" s="33">
        <v>8</v>
      </c>
      <c r="C18" s="4">
        <f ca="1">OFFSET(Reference!A$1,MATCH('Cross Section Analysis'!B18,Reference!A$1:A$12,0)-1,2)</f>
        <v>0.79</v>
      </c>
      <c r="D18" s="34">
        <v>3.125</v>
      </c>
      <c r="E18" s="34">
        <v>16.875</v>
      </c>
      <c r="S18" s="64">
        <f ca="1">B6-S16</f>
        <v>16.875</v>
      </c>
      <c r="T18" s="58" t="s">
        <v>110</v>
      </c>
      <c r="U18" s="43"/>
    </row>
    <row r="19" spans="1:21" x14ac:dyDescent="0.25">
      <c r="A19">
        <v>7</v>
      </c>
      <c r="B19" s="33">
        <v>8</v>
      </c>
      <c r="C19" s="4">
        <f ca="1">OFFSET(Reference!A$1,MATCH('Cross Section Analysis'!B19,Reference!A$1:A$12,0)-1,2)</f>
        <v>0.79</v>
      </c>
      <c r="D19" s="34">
        <v>10</v>
      </c>
      <c r="E19" s="34">
        <v>16.875</v>
      </c>
      <c r="S19" s="64">
        <f ca="1">(B5-(2*S16))/(S10-1)</f>
        <v>6.875</v>
      </c>
      <c r="T19" s="58" t="s">
        <v>111</v>
      </c>
      <c r="U19" s="43"/>
    </row>
    <row r="20" spans="1:21" x14ac:dyDescent="0.25">
      <c r="A20">
        <v>8</v>
      </c>
      <c r="B20" s="33">
        <v>8</v>
      </c>
      <c r="C20" s="4">
        <f ca="1">OFFSET(Reference!A$1,MATCH('Cross Section Analysis'!B20,Reference!A$1:A$12,0)-1,2)</f>
        <v>0.79</v>
      </c>
      <c r="D20" s="34">
        <v>16.875</v>
      </c>
      <c r="E20" s="34">
        <v>16.875</v>
      </c>
      <c r="S20" s="64">
        <f ca="1">(B6 - (2*S16))/(S9-1)</f>
        <v>6.875</v>
      </c>
      <c r="T20" s="58" t="s">
        <v>112</v>
      </c>
      <c r="U20" s="43"/>
    </row>
    <row r="21" spans="1:21" x14ac:dyDescent="0.25">
      <c r="A21">
        <v>9</v>
      </c>
      <c r="B21" s="33">
        <v>0</v>
      </c>
      <c r="C21" s="4">
        <f ca="1">OFFSET(Reference!A$1,MATCH('Cross Section Analysis'!B21,Reference!A$1:A$12,0)-1,2)</f>
        <v>0</v>
      </c>
      <c r="D21" s="34">
        <v>0</v>
      </c>
      <c r="E21" s="34">
        <v>0</v>
      </c>
      <c r="S21" s="44"/>
      <c r="T21" s="45"/>
      <c r="U21" s="43"/>
    </row>
    <row r="22" spans="1:21" x14ac:dyDescent="0.25">
      <c r="A22">
        <v>10</v>
      </c>
      <c r="B22" s="33">
        <v>0</v>
      </c>
      <c r="C22" s="4">
        <f ca="1">OFFSET(Reference!A$1,MATCH('Cross Section Analysis'!B22,Reference!A$1:A$12,0)-1,2)</f>
        <v>0</v>
      </c>
      <c r="D22" s="34">
        <v>0</v>
      </c>
      <c r="E22" s="34">
        <v>0</v>
      </c>
      <c r="S22" s="44"/>
      <c r="T22" s="45"/>
      <c r="U22" s="43"/>
    </row>
    <row r="23" spans="1:21" x14ac:dyDescent="0.25">
      <c r="A23">
        <v>11</v>
      </c>
      <c r="B23" s="33">
        <v>0</v>
      </c>
      <c r="C23" s="4">
        <f ca="1">OFFSET(Reference!A$1,MATCH('Cross Section Analysis'!B23,Reference!A$1:A$12,0)-1,2)</f>
        <v>0</v>
      </c>
      <c r="D23" s="34">
        <v>0</v>
      </c>
      <c r="E23" s="34">
        <v>0</v>
      </c>
      <c r="S23" s="44"/>
      <c r="T23" s="45"/>
      <c r="U23" s="43"/>
    </row>
    <row r="24" spans="1:21" x14ac:dyDescent="0.25">
      <c r="A24">
        <v>12</v>
      </c>
      <c r="B24" s="33">
        <v>0</v>
      </c>
      <c r="C24" s="4">
        <f ca="1">OFFSET(Reference!A$1,MATCH('Cross Section Analysis'!B24,Reference!A$1:A$12,0)-1,2)</f>
        <v>0</v>
      </c>
      <c r="D24" s="34">
        <v>0</v>
      </c>
      <c r="E24" s="34">
        <v>0</v>
      </c>
      <c r="S24" s="44"/>
      <c r="T24" s="45"/>
      <c r="U24" s="43"/>
    </row>
    <row r="25" spans="1:21" ht="15.75" thickBot="1" x14ac:dyDescent="0.3">
      <c r="C25" s="4">
        <f ca="1">SUM(C13:C24)</f>
        <v>6.32</v>
      </c>
      <c r="D25" s="65">
        <f ca="1">(C25/(B5*B6))*100</f>
        <v>1.58</v>
      </c>
      <c r="E25" s="66" t="str">
        <f>"=%As"</f>
        <v>=%As</v>
      </c>
      <c r="F25" s="67" t="str">
        <f ca="1">IF(AND(D25&gt;=1,D25&lt;=4),"OK","NG")</f>
        <v>OK</v>
      </c>
      <c r="S25" s="40"/>
      <c r="T25" s="61"/>
      <c r="U25" s="41"/>
    </row>
    <row r="26" spans="1:21" x14ac:dyDescent="0.25">
      <c r="A26" s="24" t="s">
        <v>15</v>
      </c>
    </row>
    <row r="27" spans="1:21" x14ac:dyDescent="0.25">
      <c r="A27" s="2" t="s">
        <v>16</v>
      </c>
    </row>
    <row r="28" spans="1:21" x14ac:dyDescent="0.25">
      <c r="A28" s="2" t="s">
        <v>17</v>
      </c>
      <c r="B28">
        <f>B5*B6</f>
        <v>400</v>
      </c>
      <c r="C28" t="s">
        <v>18</v>
      </c>
      <c r="D28">
        <v>1</v>
      </c>
    </row>
    <row r="29" spans="1:21" x14ac:dyDescent="0.25">
      <c r="A29" s="2" t="s">
        <v>19</v>
      </c>
      <c r="B29">
        <f>B28*0.85*B2*D28</f>
        <v>1700</v>
      </c>
      <c r="C29" t="s">
        <v>20</v>
      </c>
    </row>
    <row r="30" spans="1:21" x14ac:dyDescent="0.25">
      <c r="A30" s="2" t="s">
        <v>21</v>
      </c>
      <c r="B30">
        <f>B29*(B6/2)</f>
        <v>17000</v>
      </c>
      <c r="C30" t="s">
        <v>23</v>
      </c>
    </row>
    <row r="31" spans="1:21" x14ac:dyDescent="0.25">
      <c r="A31" s="2" t="s">
        <v>22</v>
      </c>
      <c r="B31">
        <f>B29*(B5/2)</f>
        <v>17000</v>
      </c>
      <c r="C31" t="s">
        <v>23</v>
      </c>
    </row>
    <row r="33" spans="1:30" x14ac:dyDescent="0.25">
      <c r="A33" s="2" t="s">
        <v>24</v>
      </c>
      <c r="C33" s="1" t="s">
        <v>70</v>
      </c>
      <c r="D33" s="1" t="s">
        <v>25</v>
      </c>
      <c r="E33" s="1" t="s">
        <v>26</v>
      </c>
      <c r="F33" s="1" t="s">
        <v>27</v>
      </c>
    </row>
    <row r="34" spans="1:30" x14ac:dyDescent="0.25">
      <c r="A34">
        <f>A13</f>
        <v>1</v>
      </c>
      <c r="B34" s="7">
        <f ca="1">C13</f>
        <v>0.79</v>
      </c>
      <c r="C34" s="6">
        <f>($B$10-((0.85*$B$2)*$D$28))</f>
        <v>55.75</v>
      </c>
      <c r="D34" s="6">
        <f ca="1">B34*C34</f>
        <v>44.042500000000004</v>
      </c>
      <c r="E34" s="6">
        <f ca="1">D34*E13</f>
        <v>137.6328125</v>
      </c>
      <c r="F34" s="6">
        <f ca="1">D34*D13</f>
        <v>137.6328125</v>
      </c>
    </row>
    <row r="35" spans="1:30" x14ac:dyDescent="0.25">
      <c r="A35">
        <f t="shared" ref="A35:A45" si="0">A14</f>
        <v>2</v>
      </c>
      <c r="B35" s="7">
        <f t="shared" ref="B35:B45" ca="1" si="1">C14</f>
        <v>0.79</v>
      </c>
      <c r="C35" s="6">
        <f t="shared" ref="C35:C45" si="2">($B$10-((0.85*$B$2)*$D$28))</f>
        <v>55.75</v>
      </c>
      <c r="D35" s="6">
        <f t="shared" ref="D35:D45" ca="1" si="3">B35*C35</f>
        <v>44.042500000000004</v>
      </c>
      <c r="E35" s="6">
        <f t="shared" ref="E35:E45" ca="1" si="4">D35*E14</f>
        <v>137.6328125</v>
      </c>
      <c r="F35" s="6">
        <f t="shared" ref="F35:F45" ca="1" si="5">D35*D14</f>
        <v>440.42500000000007</v>
      </c>
    </row>
    <row r="36" spans="1:30" x14ac:dyDescent="0.25">
      <c r="A36">
        <f t="shared" si="0"/>
        <v>3</v>
      </c>
      <c r="B36" s="7">
        <f t="shared" ca="1" si="1"/>
        <v>0.79</v>
      </c>
      <c r="C36" s="6">
        <f t="shared" si="2"/>
        <v>55.75</v>
      </c>
      <c r="D36" s="6">
        <f t="shared" ca="1" si="3"/>
        <v>44.042500000000004</v>
      </c>
      <c r="E36" s="6">
        <f t="shared" ca="1" si="4"/>
        <v>137.6328125</v>
      </c>
      <c r="F36" s="6">
        <f t="shared" ca="1" si="5"/>
        <v>743.21718750000002</v>
      </c>
    </row>
    <row r="37" spans="1:30" x14ac:dyDescent="0.25">
      <c r="A37">
        <f t="shared" si="0"/>
        <v>4</v>
      </c>
      <c r="B37" s="7">
        <f t="shared" ca="1" si="1"/>
        <v>0.79</v>
      </c>
      <c r="C37" s="6">
        <f t="shared" si="2"/>
        <v>55.75</v>
      </c>
      <c r="D37" s="6">
        <f t="shared" ca="1" si="3"/>
        <v>44.042500000000004</v>
      </c>
      <c r="E37" s="6">
        <f t="shared" ca="1" si="4"/>
        <v>440.42500000000007</v>
      </c>
      <c r="F37" s="6">
        <f t="shared" ca="1" si="5"/>
        <v>137.6328125</v>
      </c>
    </row>
    <row r="38" spans="1:30" x14ac:dyDescent="0.25">
      <c r="A38">
        <f t="shared" si="0"/>
        <v>5</v>
      </c>
      <c r="B38" s="7">
        <f t="shared" ca="1" si="1"/>
        <v>0.79</v>
      </c>
      <c r="C38" s="6">
        <f t="shared" si="2"/>
        <v>55.75</v>
      </c>
      <c r="D38" s="6">
        <f t="shared" ca="1" si="3"/>
        <v>44.042500000000004</v>
      </c>
      <c r="E38" s="6">
        <f t="shared" ca="1" si="4"/>
        <v>440.42500000000007</v>
      </c>
      <c r="F38" s="6">
        <f t="shared" ca="1" si="5"/>
        <v>743.21718750000002</v>
      </c>
    </row>
    <row r="39" spans="1:30" x14ac:dyDescent="0.25">
      <c r="A39">
        <f t="shared" si="0"/>
        <v>6</v>
      </c>
      <c r="B39" s="7">
        <f t="shared" ca="1" si="1"/>
        <v>0.79</v>
      </c>
      <c r="C39" s="6">
        <f t="shared" si="2"/>
        <v>55.75</v>
      </c>
      <c r="D39" s="6">
        <f t="shared" ca="1" si="3"/>
        <v>44.042500000000004</v>
      </c>
      <c r="E39" s="6">
        <f t="shared" ca="1" si="4"/>
        <v>743.21718750000002</v>
      </c>
      <c r="F39" s="6">
        <f t="shared" ca="1" si="5"/>
        <v>137.6328125</v>
      </c>
    </row>
    <row r="40" spans="1:30" x14ac:dyDescent="0.25">
      <c r="A40">
        <f t="shared" si="0"/>
        <v>7</v>
      </c>
      <c r="B40" s="7">
        <f t="shared" ca="1" si="1"/>
        <v>0.79</v>
      </c>
      <c r="C40" s="6">
        <f t="shared" si="2"/>
        <v>55.75</v>
      </c>
      <c r="D40" s="6">
        <f t="shared" ca="1" si="3"/>
        <v>44.042500000000004</v>
      </c>
      <c r="E40" s="6">
        <f ca="1">D40*E19</f>
        <v>743.21718750000002</v>
      </c>
      <c r="F40" s="6">
        <f t="shared" ca="1" si="5"/>
        <v>440.42500000000007</v>
      </c>
    </row>
    <row r="41" spans="1:30" x14ac:dyDescent="0.25">
      <c r="A41">
        <f t="shared" si="0"/>
        <v>8</v>
      </c>
      <c r="B41" s="7">
        <f t="shared" ca="1" si="1"/>
        <v>0.79</v>
      </c>
      <c r="C41" s="6">
        <f t="shared" si="2"/>
        <v>55.75</v>
      </c>
      <c r="D41" s="6">
        <f t="shared" ca="1" si="3"/>
        <v>44.042500000000004</v>
      </c>
      <c r="E41" s="6">
        <f t="shared" ca="1" si="4"/>
        <v>743.21718750000002</v>
      </c>
      <c r="F41" s="6">
        <f t="shared" ca="1" si="5"/>
        <v>743.21718750000002</v>
      </c>
    </row>
    <row r="42" spans="1:30" x14ac:dyDescent="0.25">
      <c r="A42">
        <f t="shared" si="0"/>
        <v>9</v>
      </c>
      <c r="B42" s="7">
        <f t="shared" ca="1" si="1"/>
        <v>0</v>
      </c>
      <c r="C42" s="6">
        <f t="shared" si="2"/>
        <v>55.75</v>
      </c>
      <c r="D42" s="6">
        <f t="shared" ca="1" si="3"/>
        <v>0</v>
      </c>
      <c r="E42" s="6">
        <f t="shared" ca="1" si="4"/>
        <v>0</v>
      </c>
      <c r="F42" s="6">
        <f t="shared" ca="1" si="5"/>
        <v>0</v>
      </c>
    </row>
    <row r="43" spans="1:30" x14ac:dyDescent="0.25">
      <c r="A43">
        <f t="shared" si="0"/>
        <v>10</v>
      </c>
      <c r="B43" s="7">
        <f t="shared" ca="1" si="1"/>
        <v>0</v>
      </c>
      <c r="C43" s="6">
        <f t="shared" si="2"/>
        <v>55.75</v>
      </c>
      <c r="D43" s="6">
        <f t="shared" ca="1" si="3"/>
        <v>0</v>
      </c>
      <c r="E43" s="6">
        <f t="shared" ca="1" si="4"/>
        <v>0</v>
      </c>
      <c r="F43" s="6">
        <f t="shared" ca="1" si="5"/>
        <v>0</v>
      </c>
    </row>
    <row r="44" spans="1:30" x14ac:dyDescent="0.25">
      <c r="A44">
        <f t="shared" si="0"/>
        <v>11</v>
      </c>
      <c r="B44" s="7">
        <f t="shared" ca="1" si="1"/>
        <v>0</v>
      </c>
      <c r="C44" s="6">
        <f t="shared" si="2"/>
        <v>55.75</v>
      </c>
      <c r="D44" s="6">
        <f t="shared" ca="1" si="3"/>
        <v>0</v>
      </c>
      <c r="E44" s="6">
        <f t="shared" ca="1" si="4"/>
        <v>0</v>
      </c>
      <c r="F44" s="6">
        <f t="shared" ca="1" si="5"/>
        <v>0</v>
      </c>
    </row>
    <row r="45" spans="1:30" ht="15.75" thickBot="1" x14ac:dyDescent="0.3">
      <c r="A45">
        <f t="shared" si="0"/>
        <v>12</v>
      </c>
      <c r="B45" s="7">
        <f t="shared" ca="1" si="1"/>
        <v>0</v>
      </c>
      <c r="C45" s="6">
        <f t="shared" si="2"/>
        <v>55.75</v>
      </c>
      <c r="D45" s="23">
        <f t="shared" ca="1" si="3"/>
        <v>0</v>
      </c>
      <c r="E45" s="23">
        <f t="shared" ca="1" si="4"/>
        <v>0</v>
      </c>
      <c r="F45" s="23">
        <f t="shared" ca="1" si="5"/>
        <v>0</v>
      </c>
    </row>
    <row r="46" spans="1:30" ht="15.75" thickTop="1" x14ac:dyDescent="0.25">
      <c r="C46" s="6"/>
      <c r="D46" s="6">
        <f ca="1">SUM(D34:D45)</f>
        <v>352.34000000000009</v>
      </c>
      <c r="E46" s="6">
        <f t="shared" ref="E46:F46" ca="1" si="6">SUM(E34:E45)</f>
        <v>3523.4</v>
      </c>
      <c r="F46" s="6">
        <f t="shared" ca="1" si="6"/>
        <v>3523.4</v>
      </c>
    </row>
    <row r="47" spans="1:30" x14ac:dyDescent="0.25">
      <c r="AC47" s="1" t="s">
        <v>119</v>
      </c>
      <c r="AD47" s="1" t="s">
        <v>74</v>
      </c>
    </row>
    <row r="48" spans="1:30" x14ac:dyDescent="0.25">
      <c r="A48" s="2" t="s">
        <v>28</v>
      </c>
      <c r="B48" s="6">
        <f ca="1">B29+D46</f>
        <v>2052.34</v>
      </c>
      <c r="D48" t="s">
        <v>31</v>
      </c>
      <c r="E48" t="s">
        <v>32</v>
      </c>
      <c r="AC48">
        <v>1E-4</v>
      </c>
      <c r="AD48">
        <v>-511.47999996574822</v>
      </c>
    </row>
    <row r="49" spans="1:30" x14ac:dyDescent="0.25">
      <c r="A49" s="2" t="s">
        <v>29</v>
      </c>
      <c r="B49" s="6">
        <f ca="1">E46+B30</f>
        <v>20523.400000000001</v>
      </c>
      <c r="D49" s="1">
        <f ca="1">B50/B48</f>
        <v>10</v>
      </c>
      <c r="E49" s="4">
        <f ca="1">B49/B48</f>
        <v>10</v>
      </c>
      <c r="AC49">
        <v>0.84846400599152683</v>
      </c>
      <c r="AD49">
        <v>-509.0142463865194</v>
      </c>
    </row>
    <row r="50" spans="1:30" x14ac:dyDescent="0.25">
      <c r="A50" s="2" t="s">
        <v>30</v>
      </c>
      <c r="B50" s="6">
        <f ca="1">F46+B31</f>
        <v>20523.400000000001</v>
      </c>
      <c r="AC50">
        <v>1.6968280119830537</v>
      </c>
      <c r="AD50">
        <v>-501.61814796708427</v>
      </c>
    </row>
    <row r="51" spans="1:30" x14ac:dyDescent="0.25">
      <c r="AC51">
        <v>2.5451920179745806</v>
      </c>
      <c r="AD51">
        <v>-481.14919045340156</v>
      </c>
    </row>
    <row r="52" spans="1:30" x14ac:dyDescent="0.25">
      <c r="A52" s="25" t="s">
        <v>34</v>
      </c>
      <c r="AC52">
        <v>3.3935560239661076</v>
      </c>
      <c r="AD52">
        <v>-423.92395872645216</v>
      </c>
    </row>
    <row r="53" spans="1:30" x14ac:dyDescent="0.25">
      <c r="A53" s="2" t="s">
        <v>36</v>
      </c>
      <c r="B53" s="32">
        <v>0.78539816339744828</v>
      </c>
      <c r="C53" t="s">
        <v>136</v>
      </c>
      <c r="F53">
        <f>B53-360</f>
        <v>-359.21460183660253</v>
      </c>
      <c r="AC53">
        <v>4.2419200299576341</v>
      </c>
      <c r="AD53">
        <v>-377.75538272001813</v>
      </c>
    </row>
    <row r="54" spans="1:30" x14ac:dyDescent="0.25">
      <c r="AC54">
        <v>5.0902840359491615</v>
      </c>
      <c r="AD54">
        <v>-334.65011918820323</v>
      </c>
    </row>
    <row r="55" spans="1:30" x14ac:dyDescent="0.25">
      <c r="A55" s="2" t="s">
        <v>16</v>
      </c>
      <c r="AC55">
        <v>5.938648041940688</v>
      </c>
      <c r="AD55">
        <v>-273.62580501049058</v>
      </c>
    </row>
    <row r="56" spans="1:30" x14ac:dyDescent="0.25">
      <c r="A56" s="1" t="s">
        <v>0</v>
      </c>
      <c r="B56" s="1" t="s">
        <v>1</v>
      </c>
      <c r="C56" s="1" t="s">
        <v>37</v>
      </c>
      <c r="D56" s="1" t="s">
        <v>38</v>
      </c>
      <c r="AC56">
        <v>6.7870120479322145</v>
      </c>
      <c r="AD56">
        <v>-209.88208545196227</v>
      </c>
    </row>
    <row r="57" spans="1:30" x14ac:dyDescent="0.25">
      <c r="A57" s="6">
        <f ca="1">D3-$D$49</f>
        <v>-10</v>
      </c>
      <c r="B57" s="7">
        <f ca="1">E3-$E$49</f>
        <v>-10</v>
      </c>
      <c r="C57" s="4">
        <f ca="1">A57*COS($B$53)+B57*SIN($B$53)</f>
        <v>-14.142135623730951</v>
      </c>
      <c r="D57" s="4">
        <f ca="1">-1*A57*SIN($B$53)+B57*COS($B$53)</f>
        <v>0</v>
      </c>
      <c r="F57" t="s">
        <v>39</v>
      </c>
      <c r="G57">
        <f ca="1">MAX(D57:D61)-MIN(D57:D61)</f>
        <v>28.284271247461902</v>
      </c>
      <c r="H57" t="s">
        <v>6</v>
      </c>
      <c r="T57" t="s">
        <v>79</v>
      </c>
      <c r="AC57">
        <v>7.6353760539237419</v>
      </c>
      <c r="AD57">
        <v>-147.15584362017046</v>
      </c>
    </row>
    <row r="58" spans="1:30" x14ac:dyDescent="0.25">
      <c r="A58" s="6">
        <f ca="1">D4-$D$49</f>
        <v>10</v>
      </c>
      <c r="B58" s="7">
        <f t="shared" ref="B58:B61" ca="1" si="7">E4-$E$49</f>
        <v>-10</v>
      </c>
      <c r="C58" s="4">
        <f t="shared" ref="C58:C61" ca="1" si="8">A58*COS($B$53)+B58*SIN($B$53)</f>
        <v>0</v>
      </c>
      <c r="D58" s="4">
        <f t="shared" ref="D58:D61" ca="1" si="9">-1*A58*SIN($B$53)+B58*COS($B$53)</f>
        <v>-14.142135623730951</v>
      </c>
      <c r="F58" t="s">
        <v>61</v>
      </c>
      <c r="G58" s="7">
        <f ca="1">MAX(D57:D61)</f>
        <v>14.142135623730951</v>
      </c>
      <c r="T58" t="s">
        <v>0</v>
      </c>
      <c r="U58" t="s">
        <v>1</v>
      </c>
      <c r="AC58">
        <v>8.4837400599152684</v>
      </c>
      <c r="AD58">
        <v>-71.527273923512126</v>
      </c>
    </row>
    <row r="59" spans="1:30" x14ac:dyDescent="0.25">
      <c r="A59" s="6">
        <f ca="1">D5-$D$49</f>
        <v>10</v>
      </c>
      <c r="B59" s="7">
        <f t="shared" ca="1" si="7"/>
        <v>10</v>
      </c>
      <c r="C59" s="4">
        <f t="shared" ca="1" si="8"/>
        <v>14.142135623730951</v>
      </c>
      <c r="D59" s="4">
        <f t="shared" ca="1" si="9"/>
        <v>0</v>
      </c>
      <c r="T59">
        <f ca="1">MAX(MAX(C57:C61),MAX(D57:D61))</f>
        <v>14.142135623730951</v>
      </c>
      <c r="U59">
        <f ca="1">T59</f>
        <v>14.142135623730951</v>
      </c>
      <c r="AC59">
        <v>9.3321040659067958</v>
      </c>
      <c r="AD59">
        <v>8.0394099633140996</v>
      </c>
    </row>
    <row r="60" spans="1:30" x14ac:dyDescent="0.25">
      <c r="A60" s="6">
        <f ca="1">D6-$D$49</f>
        <v>-10</v>
      </c>
      <c r="B60" s="7">
        <f t="shared" ca="1" si="7"/>
        <v>10</v>
      </c>
      <c r="C60" s="4">
        <f t="shared" ca="1" si="8"/>
        <v>0</v>
      </c>
      <c r="D60" s="4">
        <f t="shared" ca="1" si="9"/>
        <v>14.142135623730951</v>
      </c>
      <c r="T60">
        <f ca="1">-1*T59</f>
        <v>-14.142135623730951</v>
      </c>
      <c r="U60">
        <f ca="1">-1*U59</f>
        <v>-14.142135623730951</v>
      </c>
      <c r="AC60">
        <v>10.180468071898321</v>
      </c>
      <c r="AD60">
        <v>85.994597556448355</v>
      </c>
    </row>
    <row r="61" spans="1:30" x14ac:dyDescent="0.25">
      <c r="A61" s="6">
        <f ca="1">D7-$D$49</f>
        <v>-10</v>
      </c>
      <c r="B61" s="7">
        <f t="shared" ca="1" si="7"/>
        <v>-10</v>
      </c>
      <c r="C61" s="4">
        <f t="shared" ca="1" si="8"/>
        <v>-14.142135623730951</v>
      </c>
      <c r="D61" s="4">
        <f t="shared" ca="1" si="9"/>
        <v>0</v>
      </c>
      <c r="AC61">
        <v>11.028832077889849</v>
      </c>
      <c r="AD61">
        <v>156.79029312164562</v>
      </c>
    </row>
    <row r="62" spans="1:30" x14ac:dyDescent="0.25">
      <c r="A62" s="6"/>
      <c r="AC62">
        <v>11.877196083881376</v>
      </c>
      <c r="AD62">
        <v>225.26442853695733</v>
      </c>
    </row>
    <row r="63" spans="1:30" x14ac:dyDescent="0.25">
      <c r="A63" s="26" t="s">
        <v>24</v>
      </c>
      <c r="F63" s="1" t="s">
        <v>37</v>
      </c>
      <c r="G63" s="1" t="s">
        <v>38</v>
      </c>
      <c r="AC63">
        <v>12.725560089872902</v>
      </c>
      <c r="AD63">
        <v>289.74523792278285</v>
      </c>
    </row>
    <row r="64" spans="1:30" x14ac:dyDescent="0.25">
      <c r="A64" s="8">
        <f t="shared" ref="A64:C75" si="10">A13</f>
        <v>1</v>
      </c>
      <c r="B64" s="6">
        <f t="shared" si="10"/>
        <v>8</v>
      </c>
      <c r="C64" s="6">
        <f t="shared" ca="1" si="10"/>
        <v>0.79</v>
      </c>
      <c r="D64" s="6">
        <f ca="1">D13-$D$49</f>
        <v>-6.875</v>
      </c>
      <c r="E64" s="6">
        <f ca="1">E13-$E$49</f>
        <v>-6.875</v>
      </c>
      <c r="F64" s="4">
        <f ca="1">IF(C64&gt;0,D64*COS($B$53)+E64*SIN($B$53),0)</f>
        <v>-9.7227182413150288</v>
      </c>
      <c r="G64" s="4">
        <f ca="1">IF(C64&gt;0,-1*D64*SIN($B$53)+E64*COS($B$53),0)</f>
        <v>-8.8817841970012523E-16</v>
      </c>
      <c r="AC64">
        <v>13.573924095864429</v>
      </c>
      <c r="AD64">
        <v>357.56913058445247</v>
      </c>
    </row>
    <row r="65" spans="1:30" x14ac:dyDescent="0.25">
      <c r="A65" s="8">
        <f t="shared" si="10"/>
        <v>2</v>
      </c>
      <c r="B65" s="6">
        <f t="shared" si="10"/>
        <v>8</v>
      </c>
      <c r="C65" s="6">
        <f t="shared" ca="1" si="10"/>
        <v>0.79</v>
      </c>
      <c r="D65" s="6">
        <f t="shared" ref="D65:D75" ca="1" si="11">D14-$D$49</f>
        <v>0</v>
      </c>
      <c r="E65" s="6">
        <f t="shared" ref="E65:E75" ca="1" si="12">E14-$E$49</f>
        <v>-6.875</v>
      </c>
      <c r="F65" s="4">
        <f t="shared" ref="F65:F75" ca="1" si="13">IF(C65&gt;0,D65*COS($B$53)+E65*SIN($B$53),0)</f>
        <v>-4.8613591206575135</v>
      </c>
      <c r="G65" s="4">
        <f t="shared" ref="G65:G75" ca="1" si="14">IF(C65&gt;0,-1*D65*SIN($B$53)+E65*COS($B$53),0)</f>
        <v>-4.8613591206575144</v>
      </c>
      <c r="S65" t="s">
        <v>161</v>
      </c>
      <c r="T65">
        <f ca="1">(MIN(E98:E109)*B96)/(0.002-B96)</f>
        <v>-13.258252147247767</v>
      </c>
      <c r="AC65">
        <v>14.422288101855957</v>
      </c>
      <c r="AD65">
        <v>420.94762248794086</v>
      </c>
    </row>
    <row r="66" spans="1:30" x14ac:dyDescent="0.25">
      <c r="A66" s="8">
        <f t="shared" si="10"/>
        <v>3</v>
      </c>
      <c r="B66" s="6">
        <f t="shared" si="10"/>
        <v>8</v>
      </c>
      <c r="C66" s="6">
        <f t="shared" ca="1" si="10"/>
        <v>0.79</v>
      </c>
      <c r="D66" s="6">
        <f t="shared" ca="1" si="11"/>
        <v>6.875</v>
      </c>
      <c r="E66" s="6">
        <f t="shared" ca="1" si="12"/>
        <v>-6.875</v>
      </c>
      <c r="F66" s="4">
        <f t="shared" ca="1" si="13"/>
        <v>8.8817841970012523E-16</v>
      </c>
      <c r="G66" s="4">
        <f t="shared" ca="1" si="14"/>
        <v>-9.7227182413150288</v>
      </c>
      <c r="S66" t="s">
        <v>160</v>
      </c>
      <c r="T66">
        <f ca="1">(MAX(E98:E109)*B96)/(0.002-B96)</f>
        <v>-71.594561595137932</v>
      </c>
      <c r="AC66">
        <v>15.270652107847484</v>
      </c>
      <c r="AD66">
        <v>480.52826342919457</v>
      </c>
    </row>
    <row r="67" spans="1:30" x14ac:dyDescent="0.25">
      <c r="A67" s="8">
        <f t="shared" si="10"/>
        <v>4</v>
      </c>
      <c r="B67" s="6">
        <f t="shared" si="10"/>
        <v>8</v>
      </c>
      <c r="C67" s="6">
        <f t="shared" ca="1" si="10"/>
        <v>0.79</v>
      </c>
      <c r="D67" s="6">
        <f t="shared" ca="1" si="11"/>
        <v>-6.875</v>
      </c>
      <c r="E67" s="6">
        <f t="shared" ca="1" si="12"/>
        <v>0</v>
      </c>
      <c r="F67" s="4">
        <f t="shared" ca="1" si="13"/>
        <v>-4.8613591206575144</v>
      </c>
      <c r="G67" s="4">
        <f t="shared" ca="1" si="14"/>
        <v>4.8613591206575135</v>
      </c>
      <c r="S67" t="s">
        <v>156</v>
      </c>
      <c r="T67" s="7">
        <f ca="1">G57</f>
        <v>28.284271247461902</v>
      </c>
      <c r="AC67">
        <v>16.11901611383901</v>
      </c>
      <c r="AD67">
        <v>554.50569764896204</v>
      </c>
    </row>
    <row r="68" spans="1:30" x14ac:dyDescent="0.25">
      <c r="A68" s="8">
        <f t="shared" si="10"/>
        <v>5</v>
      </c>
      <c r="B68" s="6">
        <f t="shared" si="10"/>
        <v>8</v>
      </c>
      <c r="C68" s="6">
        <f t="shared" ca="1" si="10"/>
        <v>0.79</v>
      </c>
      <c r="D68" s="6">
        <f t="shared" ca="1" si="11"/>
        <v>6.875</v>
      </c>
      <c r="E68" s="6">
        <f t="shared" ca="1" si="12"/>
        <v>0</v>
      </c>
      <c r="F68" s="4">
        <f t="shared" ca="1" si="13"/>
        <v>4.8613591206575144</v>
      </c>
      <c r="G68" s="4">
        <f t="shared" ca="1" si="14"/>
        <v>-4.8613591206575135</v>
      </c>
      <c r="S68" t="s">
        <v>155</v>
      </c>
      <c r="T68">
        <f ca="1">(MAX(E98:E109)*B96)/(-0.002-B96)</f>
        <v>-14.318912319027588</v>
      </c>
      <c r="AC68">
        <v>16.967380119830537</v>
      </c>
      <c r="AD68">
        <v>631.19785127691489</v>
      </c>
    </row>
    <row r="69" spans="1:30" x14ac:dyDescent="0.25">
      <c r="A69" s="8">
        <f t="shared" si="10"/>
        <v>6</v>
      </c>
      <c r="B69" s="6">
        <f t="shared" si="10"/>
        <v>8</v>
      </c>
      <c r="C69" s="6">
        <f t="shared" ca="1" si="10"/>
        <v>0.79</v>
      </c>
      <c r="D69" s="6">
        <f t="shared" ca="1" si="11"/>
        <v>-6.875</v>
      </c>
      <c r="E69" s="6">
        <f t="shared" ca="1" si="12"/>
        <v>6.875</v>
      </c>
      <c r="F69" s="4">
        <f t="shared" ca="1" si="13"/>
        <v>-8.8817841970012523E-16</v>
      </c>
      <c r="G69" s="4">
        <f t="shared" ca="1" si="14"/>
        <v>9.7227182413150288</v>
      </c>
      <c r="S69" t="s">
        <v>157</v>
      </c>
      <c r="T69">
        <f ca="1">(MAX(E98:E109)*B96)/(-0.005-B96)</f>
        <v>-8.9493201993922415</v>
      </c>
      <c r="AC69">
        <v>17.815744125822064</v>
      </c>
      <c r="AD69">
        <v>709.57150994149004</v>
      </c>
    </row>
    <row r="70" spans="1:30" x14ac:dyDescent="0.25">
      <c r="A70" s="8">
        <f t="shared" si="10"/>
        <v>7</v>
      </c>
      <c r="B70" s="6">
        <f t="shared" si="10"/>
        <v>8</v>
      </c>
      <c r="C70" s="6">
        <f t="shared" ca="1" si="10"/>
        <v>0.79</v>
      </c>
      <c r="D70" s="6">
        <f t="shared" ca="1" si="11"/>
        <v>0</v>
      </c>
      <c r="E70" s="6">
        <f t="shared" ca="1" si="12"/>
        <v>6.875</v>
      </c>
      <c r="F70" s="4">
        <f t="shared" ca="1" si="13"/>
        <v>4.8613591206575135</v>
      </c>
      <c r="G70" s="4">
        <f t="shared" ca="1" si="14"/>
        <v>4.8613591206575144</v>
      </c>
      <c r="S70" t="s">
        <v>159</v>
      </c>
      <c r="T70">
        <f ca="1">(MIN(E98:E109)*B96)/(-0.002-B96)</f>
        <v>-2.6516504294495533</v>
      </c>
      <c r="AC70">
        <v>18.664108131813592</v>
      </c>
      <c r="AD70">
        <v>786.36741593930969</v>
      </c>
    </row>
    <row r="71" spans="1:30" x14ac:dyDescent="0.25">
      <c r="A71" s="8">
        <f t="shared" si="10"/>
        <v>8</v>
      </c>
      <c r="B71" s="6">
        <f t="shared" si="10"/>
        <v>8</v>
      </c>
      <c r="C71" s="6">
        <f t="shared" ca="1" si="10"/>
        <v>0.79</v>
      </c>
      <c r="D71" s="6">
        <f t="shared" ca="1" si="11"/>
        <v>6.875</v>
      </c>
      <c r="E71" s="6">
        <f t="shared" ca="1" si="12"/>
        <v>6.875</v>
      </c>
      <c r="F71" s="4">
        <f t="shared" ca="1" si="13"/>
        <v>9.7227182413150288</v>
      </c>
      <c r="G71" s="4">
        <f t="shared" ca="1" si="14"/>
        <v>8.8817841970012523E-16</v>
      </c>
      <c r="S71" t="s">
        <v>162</v>
      </c>
      <c r="T71">
        <f ca="1">(MIN(E98:E109)*B96)/((-1*B10/B11)-B96)</f>
        <v>-2.615573552858403</v>
      </c>
      <c r="AC71">
        <v>19.512472137805116</v>
      </c>
      <c r="AD71">
        <v>861.79136204179383</v>
      </c>
    </row>
    <row r="72" spans="1:30" x14ac:dyDescent="0.25">
      <c r="A72" s="8">
        <f t="shared" si="10"/>
        <v>9</v>
      </c>
      <c r="B72" s="6">
        <f t="shared" si="10"/>
        <v>0</v>
      </c>
      <c r="C72" s="6">
        <f t="shared" ca="1" si="10"/>
        <v>0</v>
      </c>
      <c r="D72" s="6">
        <f t="shared" ca="1" si="11"/>
        <v>-10</v>
      </c>
      <c r="E72" s="6">
        <f t="shared" ca="1" si="12"/>
        <v>-10</v>
      </c>
      <c r="F72" s="4">
        <f t="shared" ca="1" si="13"/>
        <v>0</v>
      </c>
      <c r="G72" s="4">
        <f t="shared" ca="1" si="14"/>
        <v>0</v>
      </c>
      <c r="AC72">
        <v>20.360836143796643</v>
      </c>
      <c r="AD72">
        <v>936.0148423935816</v>
      </c>
    </row>
    <row r="73" spans="1:30" x14ac:dyDescent="0.25">
      <c r="A73" s="8">
        <f t="shared" si="10"/>
        <v>10</v>
      </c>
      <c r="B73" s="6">
        <f t="shared" si="10"/>
        <v>0</v>
      </c>
      <c r="C73" s="6">
        <f t="shared" ca="1" si="10"/>
        <v>0</v>
      </c>
      <c r="D73" s="6">
        <f t="shared" ca="1" si="11"/>
        <v>-10</v>
      </c>
      <c r="E73" s="6">
        <f t="shared" ca="1" si="12"/>
        <v>-10</v>
      </c>
      <c r="F73" s="4">
        <f t="shared" ca="1" si="13"/>
        <v>0</v>
      </c>
      <c r="G73" s="4">
        <f t="shared" ca="1" si="14"/>
        <v>0</v>
      </c>
      <c r="AC73">
        <v>21.20920014978817</v>
      </c>
      <c r="AD73">
        <v>1005.6735372055418</v>
      </c>
    </row>
    <row r="74" spans="1:30" x14ac:dyDescent="0.25">
      <c r="A74" s="8">
        <f t="shared" si="10"/>
        <v>11</v>
      </c>
      <c r="B74" s="6">
        <f t="shared" si="10"/>
        <v>0</v>
      </c>
      <c r="C74" s="6">
        <f t="shared" ca="1" si="10"/>
        <v>0</v>
      </c>
      <c r="D74" s="6">
        <f t="shared" ca="1" si="11"/>
        <v>-10</v>
      </c>
      <c r="E74" s="6">
        <f t="shared" ca="1" si="12"/>
        <v>-10</v>
      </c>
      <c r="F74" s="4">
        <f t="shared" ca="1" si="13"/>
        <v>0</v>
      </c>
      <c r="G74" s="4">
        <f t="shared" ca="1" si="14"/>
        <v>0</v>
      </c>
      <c r="AC74">
        <v>22.057564155779698</v>
      </c>
      <c r="AD74">
        <v>1077.9060894488857</v>
      </c>
    </row>
    <row r="75" spans="1:30" x14ac:dyDescent="0.25">
      <c r="A75" s="8">
        <f t="shared" si="10"/>
        <v>12</v>
      </c>
      <c r="B75" s="6">
        <f t="shared" si="10"/>
        <v>0</v>
      </c>
      <c r="C75" s="6">
        <f t="shared" ca="1" si="10"/>
        <v>0</v>
      </c>
      <c r="D75" s="6">
        <f t="shared" ca="1" si="11"/>
        <v>-10</v>
      </c>
      <c r="E75" s="6">
        <f t="shared" ca="1" si="12"/>
        <v>-10</v>
      </c>
      <c r="F75" s="4">
        <f t="shared" ca="1" si="13"/>
        <v>0</v>
      </c>
      <c r="G75" s="4">
        <f t="shared" ca="1" si="14"/>
        <v>0</v>
      </c>
      <c r="AC75">
        <v>22.905928161771225</v>
      </c>
      <c r="AD75">
        <v>1149.3079589557024</v>
      </c>
    </row>
    <row r="76" spans="1:30" x14ac:dyDescent="0.25">
      <c r="G76" s="7">
        <f ca="1">MIN(G64:G75)</f>
        <v>-9.7227182413150288</v>
      </c>
      <c r="AC76">
        <v>23.754292167762753</v>
      </c>
      <c r="AD76">
        <v>1218.723444480265</v>
      </c>
    </row>
    <row r="77" spans="1:30" x14ac:dyDescent="0.25">
      <c r="D77" t="s">
        <v>0</v>
      </c>
      <c r="E77" t="s">
        <v>1</v>
      </c>
      <c r="AC77">
        <v>24.60265617375428</v>
      </c>
      <c r="AD77">
        <v>1283.9609792646324</v>
      </c>
    </row>
    <row r="78" spans="1:30" x14ac:dyDescent="0.25">
      <c r="A78" s="2" t="s">
        <v>40</v>
      </c>
      <c r="B78" s="80">
        <v>10.033870993897093</v>
      </c>
      <c r="C78" t="s">
        <v>6</v>
      </c>
      <c r="D78" s="4">
        <f ca="1">MIN(C57:C61)</f>
        <v>-14.142135623730951</v>
      </c>
      <c r="E78" s="4">
        <f ca="1">MAX(D57:D61)-B78</f>
        <v>4.1082646298338581</v>
      </c>
      <c r="S78" s="7">
        <f ca="1">S79</f>
        <v>-14.142135623730951</v>
      </c>
      <c r="T78">
        <v>0</v>
      </c>
      <c r="AC78">
        <v>25.451020179745804</v>
      </c>
      <c r="AD78">
        <v>1345.0392487446311</v>
      </c>
    </row>
    <row r="79" spans="1:30" x14ac:dyDescent="0.25">
      <c r="A79" s="2"/>
      <c r="D79" s="4">
        <f ca="1">MAX(C57:C61)</f>
        <v>14.142135623730951</v>
      </c>
      <c r="E79" s="4">
        <f ca="1">E78</f>
        <v>4.1082646298338581</v>
      </c>
      <c r="S79" s="7">
        <f ca="1">MIN(D57:D61)</f>
        <v>-14.142135623730951</v>
      </c>
      <c r="T79" s="7">
        <f ca="1">((B78-(S80-S79))/B78)*B96</f>
        <v>-5.4566379011645435E-3</v>
      </c>
      <c r="U79">
        <v>0</v>
      </c>
      <c r="AC79">
        <v>26.299384185737331</v>
      </c>
      <c r="AD79">
        <v>1402.0161682514208</v>
      </c>
    </row>
    <row r="80" spans="1:30" x14ac:dyDescent="0.25">
      <c r="A80" s="2"/>
      <c r="S80" s="7">
        <f ca="1">MAX(D57:D61)</f>
        <v>14.142135623730951</v>
      </c>
      <c r="T80">
        <f>B96</f>
        <v>3.0000000000000001E-3</v>
      </c>
      <c r="U80">
        <v>0</v>
      </c>
      <c r="AC80">
        <v>27.147748191728859</v>
      </c>
      <c r="AD80">
        <v>1446.9038</v>
      </c>
    </row>
    <row r="81" spans="1:30" x14ac:dyDescent="0.25">
      <c r="A81" s="2" t="s">
        <v>41</v>
      </c>
      <c r="B81" s="1">
        <f>B78*B4</f>
        <v>8.0270967951176733</v>
      </c>
      <c r="C81" t="s">
        <v>6</v>
      </c>
      <c r="D81" t="s">
        <v>0</v>
      </c>
      <c r="E81" t="s">
        <v>1</v>
      </c>
      <c r="S81" s="7">
        <f ca="1">S80</f>
        <v>14.142135623730951</v>
      </c>
      <c r="T81">
        <v>0</v>
      </c>
      <c r="AC81">
        <v>27.996112197720386</v>
      </c>
      <c r="AD81">
        <v>1446.9038</v>
      </c>
    </row>
    <row r="82" spans="1:30" x14ac:dyDescent="0.25">
      <c r="D82" s="4">
        <f ca="1">MIN(C57:C61)</f>
        <v>-14.142135623730951</v>
      </c>
      <c r="E82" s="4">
        <f ca="1">MAX(D57:D61)-B81</f>
        <v>6.1150388286132777</v>
      </c>
      <c r="AC82">
        <v>28.844476203711913</v>
      </c>
      <c r="AD82">
        <v>1446.9038</v>
      </c>
    </row>
    <row r="83" spans="1:30" x14ac:dyDescent="0.25">
      <c r="D83" s="4">
        <f ca="1">MAX(C57:C61)</f>
        <v>14.142135623730951</v>
      </c>
      <c r="E83" s="4">
        <f ca="1">E82</f>
        <v>6.1150388286132777</v>
      </c>
      <c r="AC83">
        <v>29.692840209703441</v>
      </c>
      <c r="AD83">
        <v>1446.9038</v>
      </c>
    </row>
    <row r="84" spans="1:30" x14ac:dyDescent="0.25">
      <c r="A84" t="s">
        <v>46</v>
      </c>
      <c r="AC84">
        <v>30.541204215694965</v>
      </c>
      <c r="AD84">
        <v>1446.9038</v>
      </c>
    </row>
    <row r="85" spans="1:30" x14ac:dyDescent="0.25">
      <c r="A85" s="2" t="s">
        <v>54</v>
      </c>
      <c r="B85" s="1">
        <f>0.85*B2</f>
        <v>4.25</v>
      </c>
      <c r="C85" t="s">
        <v>5</v>
      </c>
      <c r="AC85">
        <v>31.389568221686492</v>
      </c>
      <c r="AD85">
        <v>1446.9038</v>
      </c>
    </row>
    <row r="86" spans="1:30" x14ac:dyDescent="0.25">
      <c r="AC86">
        <v>32.237932227678023</v>
      </c>
      <c r="AD86">
        <v>1446.9038</v>
      </c>
    </row>
    <row r="87" spans="1:30" x14ac:dyDescent="0.25">
      <c r="A87" t="s">
        <v>47</v>
      </c>
      <c r="B87" t="s">
        <v>42</v>
      </c>
      <c r="C87" t="s">
        <v>43</v>
      </c>
      <c r="D87" t="s">
        <v>44</v>
      </c>
      <c r="E87" t="s">
        <v>45</v>
      </c>
      <c r="G87" s="1" t="s">
        <v>48</v>
      </c>
      <c r="H87" s="1" t="s">
        <v>49</v>
      </c>
      <c r="I87" s="1" t="s">
        <v>50</v>
      </c>
      <c r="J87" s="1" t="s">
        <v>51</v>
      </c>
      <c r="K87" s="1" t="s">
        <v>52</v>
      </c>
      <c r="L87" s="1" t="s">
        <v>53</v>
      </c>
      <c r="AC87">
        <v>33.086296233669543</v>
      </c>
      <c r="AD87">
        <v>1446.9038</v>
      </c>
    </row>
    <row r="88" spans="1:30" x14ac:dyDescent="0.25">
      <c r="A88">
        <v>1</v>
      </c>
      <c r="B88" s="4">
        <f t="shared" ref="B88:C91" ca="1" si="15">C57</f>
        <v>-14.142135623730951</v>
      </c>
      <c r="C88" s="4">
        <f t="shared" ca="1" si="15"/>
        <v>0</v>
      </c>
      <c r="D88" s="4">
        <f t="shared" ref="D88:E91" ca="1" si="16">C58</f>
        <v>0</v>
      </c>
      <c r="E88" s="4">
        <f t="shared" ca="1" si="16"/>
        <v>-14.142135623730951</v>
      </c>
      <c r="F88" s="1">
        <f ca="1">IF(AND(E88&gt;=E$82,C88&lt;=E$82),1,IF(AND(C88&gt;=E$82,E88&gt;=E$82),3,IF(AND(E88&lt;=E$82,C88&gt;=E$82),2,0)))</f>
        <v>0</v>
      </c>
      <c r="G88" s="1">
        <f ca="1">IF(E88=C88,"H",IF(B88=D88,"V",(E88-C88)/(D88-B88)))</f>
        <v>-1</v>
      </c>
      <c r="H88" s="4" t="e">
        <f ca="1">IF(OR(F88=1,F88=2),IF(G88="V",B88,(E$82-C88+(G88*B88))/G88),NA())</f>
        <v>#N/A</v>
      </c>
      <c r="I88" s="4" t="e">
        <f ca="1">IF(OR(F88=1,F88=2),E$82,NA())</f>
        <v>#N/A</v>
      </c>
      <c r="J88" s="5">
        <f ca="1">IF(F88=0,0,IF(F88=1,-0.5*B$85*(H88+D88)*(I88-E88),IF(F88=2,-0.5*B$85*(B88+H88)*(C88-I88),IF(F88=3,-0.5*B$85*(B88+D88)*(C88-E88),0))))</f>
        <v>0</v>
      </c>
      <c r="K88" s="5">
        <f ca="1">IF(F88=1,(1/6)*B$85*(E88-I88)*((H88*(2*I88+E88))+(D88*(I88+2*E88))),IF(F88=2,(1/6)*B$85*(I88-C88)*((B88*(2*C88+I88))+(H88*(C88+2*I88))),IF(F88=3,(1/6)*B$85*(E88-C88)*((B88*(2*C88+E88))+(D88*(C88+2*E88))),0)))</f>
        <v>0</v>
      </c>
      <c r="L88" s="5">
        <f ca="1">IF(F88=1,(1/6)*B$85*(POWER(H88,2)+H88*D88+POWER(D88,2))*(E88-I88),IF(F88=2,(1/6)*B$85*(POWER(B88,2)+B88*H88+POWER(H88,2))*(I88-C88),IF(F88=3,(1/6)*B$85*(POWER(B88,2)+B88*D88+POWER(D88,2))*(E88-C88),0)))</f>
        <v>0</v>
      </c>
      <c r="AC88">
        <v>33.934660239661071</v>
      </c>
      <c r="AD88">
        <v>1446.9038</v>
      </c>
    </row>
    <row r="89" spans="1:30" x14ac:dyDescent="0.25">
      <c r="A89">
        <v>2</v>
      </c>
      <c r="B89" s="4">
        <f t="shared" ca="1" si="15"/>
        <v>0</v>
      </c>
      <c r="C89" s="4">
        <f t="shared" ca="1" si="15"/>
        <v>-14.142135623730951</v>
      </c>
      <c r="D89" s="4">
        <f t="shared" ca="1" si="16"/>
        <v>14.142135623730951</v>
      </c>
      <c r="E89" s="4">
        <f t="shared" ca="1" si="16"/>
        <v>0</v>
      </c>
      <c r="F89" s="1">
        <f t="shared" ref="F89:F91" ca="1" si="17">IF(AND(E89&gt;=E$82,C89&lt;=E$82),1,IF(AND(C89&gt;=E$82,E89&gt;=E$82),3,IF(AND(E89&lt;=E$82,C89&gt;=E$82),2,0)))</f>
        <v>0</v>
      </c>
      <c r="G89" s="1">
        <f t="shared" ref="G89:G91" ca="1" si="18">IF(E89=C89,"H",IF(B89=D89,"V",(E89-C89)/(D89-B89)))</f>
        <v>1</v>
      </c>
      <c r="H89" s="4" t="e">
        <f t="shared" ref="H89:H91" ca="1" si="19">IF(OR(F89=1,F89=2),IF(G89="V",B89,(E$82-C89+(G89*B89))/G89),NA())</f>
        <v>#N/A</v>
      </c>
      <c r="I89" s="4" t="e">
        <f t="shared" ref="I89:I91" ca="1" si="20">IF(OR(F89=1,F89=2),E$82,NA())</f>
        <v>#N/A</v>
      </c>
      <c r="J89" s="5">
        <f ca="1">IF(F89=0,0,IF(F89=1,-0.5*B$85*(H89+D89)*(I89-E89),IF(F89=2,-0.5*B$85*(B89+H89)*(C89-I89),IF(F89=3,-0.5*B$85*(B89+D89)*(C89-E89),0))))</f>
        <v>0</v>
      </c>
      <c r="K89" s="5">
        <f t="shared" ref="K89:K91" ca="1" si="21">IF(F89=1,(1/6)*B$85*(E89-I89)*((H89*(2*I89+E89))+(D89*(I89+2*E89))),IF(F89=2,(1/6)*B$85*(I89-C89)*((B89*(2*C89+I89))+(H89*(C89+2*I89))),IF(F89=3,(1/6)*B$85*(E89-C89)*((B89*(2*C89+E89))+(D89*(C89+2*E89))),0)))</f>
        <v>0</v>
      </c>
      <c r="L89" s="5">
        <f t="shared" ref="L89:L91" ca="1" si="22">IF(F89=1,(1/6)*B$85*(POWER(H89,2)+H89*D89+POWER(D89,2))*(E89-I89),IF(F89=2,(1/6)*B$85*(POWER(B89,2)+B89*H89+POWER(H89,2))*(I89-C89),IF(F89=3,(1/6)*B$85*(POWER(B89,2)+B89*D89+POWER(D89,2))*(E89-C89),0)))</f>
        <v>0</v>
      </c>
      <c r="AC89">
        <v>34.783024245652598</v>
      </c>
      <c r="AD89">
        <v>1446.9038</v>
      </c>
    </row>
    <row r="90" spans="1:30" x14ac:dyDescent="0.25">
      <c r="A90">
        <v>3</v>
      </c>
      <c r="B90" s="4">
        <f t="shared" ca="1" si="15"/>
        <v>14.142135623730951</v>
      </c>
      <c r="C90" s="4">
        <f t="shared" ca="1" si="15"/>
        <v>0</v>
      </c>
      <c r="D90" s="4">
        <f t="shared" ca="1" si="16"/>
        <v>0</v>
      </c>
      <c r="E90" s="4">
        <f t="shared" ca="1" si="16"/>
        <v>14.142135623730951</v>
      </c>
      <c r="F90" s="1">
        <f t="shared" ca="1" si="17"/>
        <v>1</v>
      </c>
      <c r="G90" s="1">
        <f t="shared" ca="1" si="18"/>
        <v>-1</v>
      </c>
      <c r="H90" s="4">
        <f t="shared" ca="1" si="19"/>
        <v>8.0270967951176733</v>
      </c>
      <c r="I90" s="4">
        <f t="shared" ca="1" si="20"/>
        <v>6.1150388286132777</v>
      </c>
      <c r="J90" s="5">
        <f t="shared" ref="J90:J91" ca="1" si="23">IF(F90=0,0,IF(F90=1,-0.5*B$85*(H90+D90)*(I90-E90),IF(F90=2,-0.5*B$85*(B90+H90)*(C90-I90),IF(F90=3,-0.5*B$85*(B90+D90)*(C90-E90),0))))</f>
        <v>136.9228512861504</v>
      </c>
      <c r="K90" s="5">
        <f t="shared" ca="1" si="21"/>
        <v>1203.6528790517282</v>
      </c>
      <c r="L90" s="5">
        <f t="shared" ca="1" si="22"/>
        <v>366.36432691247717</v>
      </c>
      <c r="AC90">
        <v>35.631388251644125</v>
      </c>
      <c r="AD90">
        <v>1446.9038</v>
      </c>
    </row>
    <row r="91" spans="1:30" ht="15.75" thickBot="1" x14ac:dyDescent="0.3">
      <c r="A91">
        <v>4</v>
      </c>
      <c r="B91" s="4">
        <f t="shared" ca="1" si="15"/>
        <v>0</v>
      </c>
      <c r="C91" s="4">
        <f t="shared" ca="1" si="15"/>
        <v>14.142135623730951</v>
      </c>
      <c r="D91" s="4">
        <f t="shared" ca="1" si="16"/>
        <v>-14.142135623730951</v>
      </c>
      <c r="E91" s="4">
        <f t="shared" ca="1" si="16"/>
        <v>0</v>
      </c>
      <c r="F91" s="1">
        <f t="shared" ca="1" si="17"/>
        <v>2</v>
      </c>
      <c r="G91" s="1">
        <f t="shared" ca="1" si="18"/>
        <v>1</v>
      </c>
      <c r="H91" s="4">
        <f t="shared" ca="1" si="19"/>
        <v>-8.0270967951176733</v>
      </c>
      <c r="I91" s="4">
        <f t="shared" ca="1" si="20"/>
        <v>6.1150388286132777</v>
      </c>
      <c r="J91" s="22">
        <f t="shared" ca="1" si="23"/>
        <v>136.9228512861504</v>
      </c>
      <c r="K91" s="22">
        <f t="shared" ca="1" si="21"/>
        <v>1203.6528790517282</v>
      </c>
      <c r="L91" s="22">
        <f t="shared" ca="1" si="22"/>
        <v>-366.36432691247717</v>
      </c>
      <c r="V91" s="69"/>
      <c r="AC91">
        <v>36.479752257635653</v>
      </c>
      <c r="AD91">
        <v>1446.9038</v>
      </c>
    </row>
    <row r="92" spans="1:30" ht="15.75" thickTop="1" x14ac:dyDescent="0.25">
      <c r="B92" s="1"/>
      <c r="C92" s="1"/>
      <c r="D92" s="1"/>
      <c r="E92" s="1"/>
      <c r="F92" s="1"/>
      <c r="G92" s="1"/>
      <c r="H92" s="1"/>
      <c r="I92" s="1"/>
      <c r="J92" s="5">
        <f ca="1">SUM(J88:J91)</f>
        <v>273.84570257230081</v>
      </c>
      <c r="K92" s="5">
        <f ca="1">SUM(K88:K91)</f>
        <v>2407.3057581034564</v>
      </c>
      <c r="L92" s="5">
        <f ca="1">SUM(L88:L91)*-1</f>
        <v>0</v>
      </c>
      <c r="V92" s="69"/>
      <c r="AC92">
        <v>37.32811626362718</v>
      </c>
      <c r="AD92">
        <v>1446.9038</v>
      </c>
    </row>
    <row r="93" spans="1:30" x14ac:dyDescent="0.25">
      <c r="V93" s="69"/>
      <c r="AC93">
        <v>38.176480269618708</v>
      </c>
      <c r="AD93">
        <v>1446.9038</v>
      </c>
    </row>
    <row r="94" spans="1:30" x14ac:dyDescent="0.25">
      <c r="T94" s="45"/>
      <c r="U94" s="45"/>
      <c r="V94" s="45"/>
      <c r="W94" s="45"/>
      <c r="X94" s="45"/>
      <c r="Y94" s="45"/>
      <c r="Z94" s="45"/>
      <c r="AC94">
        <v>39.024844275610235</v>
      </c>
      <c r="AD94">
        <v>1446.9038</v>
      </c>
    </row>
    <row r="95" spans="1:30" x14ac:dyDescent="0.25">
      <c r="A95" t="s">
        <v>55</v>
      </c>
      <c r="T95" s="45"/>
      <c r="U95" s="45"/>
      <c r="V95" s="70"/>
      <c r="W95" s="70"/>
      <c r="X95" s="70"/>
      <c r="Y95" s="45"/>
      <c r="Z95" s="45"/>
      <c r="AC95">
        <v>39.873208281601762</v>
      </c>
      <c r="AD95">
        <v>1446.9038</v>
      </c>
    </row>
    <row r="96" spans="1:30" x14ac:dyDescent="0.25">
      <c r="A96" s="2" t="s">
        <v>57</v>
      </c>
      <c r="B96" s="1">
        <v>3.0000000000000001E-3</v>
      </c>
      <c r="T96" s="45"/>
      <c r="U96" s="45"/>
      <c r="V96" s="45"/>
      <c r="W96" s="45"/>
      <c r="X96" s="45"/>
      <c r="Y96" s="45"/>
      <c r="Z96" s="45"/>
      <c r="AC96">
        <v>40.72157228759329</v>
      </c>
      <c r="AD96">
        <v>1446.9038</v>
      </c>
    </row>
    <row r="97" spans="1:30" x14ac:dyDescent="0.25">
      <c r="A97" t="s">
        <v>56</v>
      </c>
      <c r="B97" t="s">
        <v>59</v>
      </c>
      <c r="C97" t="str">
        <f t="shared" ref="C97:C109" si="24">F63</f>
        <v>x'</v>
      </c>
      <c r="D97" t="str">
        <f t="shared" ref="D97:D109" si="25">G63</f>
        <v>y'</v>
      </c>
      <c r="E97" t="s">
        <v>60</v>
      </c>
      <c r="F97" t="s">
        <v>58</v>
      </c>
      <c r="G97" t="s">
        <v>62</v>
      </c>
      <c r="H97" s="1" t="s">
        <v>63</v>
      </c>
      <c r="I97" s="1" t="s">
        <v>64</v>
      </c>
      <c r="J97" s="1" t="s">
        <v>65</v>
      </c>
      <c r="M97" t="s">
        <v>134</v>
      </c>
      <c r="T97" s="45"/>
      <c r="U97" s="45"/>
      <c r="V97" s="45"/>
      <c r="W97" s="45"/>
      <c r="X97" s="45"/>
      <c r="Y97" s="45"/>
      <c r="Z97" s="45"/>
      <c r="AC97">
        <v>41.569936293584817</v>
      </c>
      <c r="AD97">
        <v>1446.9038</v>
      </c>
    </row>
    <row r="98" spans="1:30" x14ac:dyDescent="0.25">
      <c r="A98" s="8">
        <f>A64</f>
        <v>1</v>
      </c>
      <c r="B98" s="7">
        <f ca="1">C13</f>
        <v>0.79</v>
      </c>
      <c r="C98">
        <f t="shared" ca="1" si="24"/>
        <v>-9.7227182413150288</v>
      </c>
      <c r="D98">
        <f t="shared" ca="1" si="25"/>
        <v>-8.8817841970012523E-16</v>
      </c>
      <c r="E98" s="7">
        <f ca="1">G$58-D98</f>
        <v>14.142135623730951</v>
      </c>
      <c r="F98" s="10">
        <f ca="1">IF(B98=0,0,((B$78-E98)/B$78)*B$96)</f>
        <v>-1.2283189505822719E-3</v>
      </c>
      <c r="G98" s="4">
        <f ca="1">IF(AND(F98&gt;0,E98&lt;=B$81),MIN((F98*B$11),B$10)-B$85,MAX(F98*B$11,-1*B$10))</f>
        <v>-35.621249566885886</v>
      </c>
      <c r="H98" s="4">
        <f ca="1">G98*B98</f>
        <v>-28.140787157839853</v>
      </c>
      <c r="I98" s="4">
        <f ca="1">H98*D98</f>
        <v>2.4994039866967779E-14</v>
      </c>
      <c r="J98" s="4">
        <f ca="1">H98*C98*-1</f>
        <v>-273.60494462449321</v>
      </c>
      <c r="M98" s="1" t="s">
        <v>124</v>
      </c>
      <c r="N98" s="1" t="s">
        <v>125</v>
      </c>
      <c r="O98" s="1" t="s">
        <v>126</v>
      </c>
      <c r="P98" s="1" t="s">
        <v>135</v>
      </c>
      <c r="Q98" s="1" t="s">
        <v>127</v>
      </c>
      <c r="R98" s="1" t="s">
        <v>129</v>
      </c>
      <c r="S98" s="1" t="s">
        <v>128</v>
      </c>
      <c r="T98" s="45"/>
      <c r="U98" s="45"/>
      <c r="V98" s="45"/>
      <c r="W98" s="45"/>
      <c r="X98" s="71"/>
      <c r="Y98" s="71"/>
      <c r="Z98" s="71"/>
      <c r="AC98">
        <v>42.418300299576345</v>
      </c>
      <c r="AD98">
        <v>1446.9038</v>
      </c>
    </row>
    <row r="99" spans="1:30" x14ac:dyDescent="0.25">
      <c r="A99" s="8">
        <f t="shared" ref="A99:A108" si="26">A65</f>
        <v>2</v>
      </c>
      <c r="B99" s="7">
        <f t="shared" ref="B99:B109" ca="1" si="27">C14</f>
        <v>0.79</v>
      </c>
      <c r="C99">
        <f t="shared" ca="1" si="24"/>
        <v>-4.8613591206575135</v>
      </c>
      <c r="D99">
        <f t="shared" ca="1" si="25"/>
        <v>-4.8613591206575144</v>
      </c>
      <c r="E99" s="7">
        <f t="shared" ref="E99:E109" ca="1" si="28">G$58-D99</f>
        <v>19.003494744388465</v>
      </c>
      <c r="F99" s="10">
        <f t="shared" ref="F99:F109" ca="1" si="29">IF(B99=0,0,((B$78-E99)/B$78)*B$96)</f>
        <v>-2.6818035898449276E-3</v>
      </c>
      <c r="G99" s="4">
        <f ca="1">IF(AND(F99&gt;0,E99&lt;=B$81),MIN((F99*B$11),B$10)-B$85,MAX(F99*B$11,-1*B$10))</f>
        <v>-60</v>
      </c>
      <c r="H99" s="4">
        <f t="shared" ref="H99:H109" ca="1" si="30">G99*B99</f>
        <v>-47.400000000000006</v>
      </c>
      <c r="I99" s="4">
        <f t="shared" ref="I99:I109" ca="1" si="31">H99*D99</f>
        <v>230.4284223191662</v>
      </c>
      <c r="J99" s="4">
        <f t="shared" ref="J99:J109" ca="1" si="32">H99*C99*-1</f>
        <v>-230.42842231916617</v>
      </c>
      <c r="M99" s="77">
        <v>-381</v>
      </c>
      <c r="N99" s="77">
        <v>-69.849999999999994</v>
      </c>
      <c r="O99" s="77">
        <v>0</v>
      </c>
      <c r="P99" s="77">
        <f>SQRT((N99*N99)+(O99*O99)+(M99*M99))</f>
        <v>387.34999999999997</v>
      </c>
      <c r="Q99" s="77">
        <f>N99/P99</f>
        <v>-0.18032786885245902</v>
      </c>
      <c r="R99" s="77">
        <f>O99/P99</f>
        <v>0</v>
      </c>
      <c r="S99" s="77">
        <f>M99/P99</f>
        <v>-0.98360655737704927</v>
      </c>
      <c r="T99" s="70"/>
      <c r="U99" s="70"/>
      <c r="V99" s="70"/>
      <c r="W99" s="68"/>
      <c r="X99" s="68"/>
      <c r="Y99" s="68"/>
      <c r="Z99" s="68"/>
      <c r="AC99">
        <v>43.266664305567872</v>
      </c>
      <c r="AD99">
        <v>1446.9038</v>
      </c>
    </row>
    <row r="100" spans="1:30" x14ac:dyDescent="0.25">
      <c r="A100" s="8">
        <f t="shared" si="26"/>
        <v>3</v>
      </c>
      <c r="B100" s="7">
        <f t="shared" ca="1" si="27"/>
        <v>0.79</v>
      </c>
      <c r="C100">
        <f t="shared" ca="1" si="24"/>
        <v>8.8817841970012523E-16</v>
      </c>
      <c r="D100">
        <f t="shared" ca="1" si="25"/>
        <v>-9.7227182413150288</v>
      </c>
      <c r="E100" s="7">
        <f t="shared" ca="1" si="28"/>
        <v>23.86485386504598</v>
      </c>
      <c r="F100" s="10">
        <f t="shared" ca="1" si="29"/>
        <v>-4.1352882291075845E-3</v>
      </c>
      <c r="G100" s="4">
        <f t="shared" ref="G100:G109" ca="1" si="33">IF(AND(F100&gt;0,E100&lt;=B$81),MIN((F100*B$11),B$10)-B$85,MAX(F100*B$11,-1*B$10))</f>
        <v>-60</v>
      </c>
      <c r="H100" s="4">
        <f t="shared" ca="1" si="30"/>
        <v>-47.400000000000006</v>
      </c>
      <c r="I100" s="4">
        <f t="shared" ca="1" si="31"/>
        <v>460.8568446383324</v>
      </c>
      <c r="J100" s="4">
        <f t="shared" ca="1" si="32"/>
        <v>4.2099657093785941E-14</v>
      </c>
      <c r="M100" s="78">
        <v>2904.0124999999998</v>
      </c>
      <c r="N100" s="78">
        <v>64.902000000000001</v>
      </c>
      <c r="O100" s="78">
        <v>0</v>
      </c>
      <c r="P100" s="77">
        <f>SQRT((N100*N100)+(O100*O100)+(M100*M100))</f>
        <v>2904.7376593696458</v>
      </c>
      <c r="Q100" s="78">
        <f>N100/P100</f>
        <v>2.2343497971546358E-2</v>
      </c>
      <c r="R100" s="78">
        <f>O100/P100</f>
        <v>0</v>
      </c>
      <c r="S100" s="78">
        <f>M100/P100</f>
        <v>0.99975035288735736</v>
      </c>
      <c r="T100" s="70"/>
      <c r="U100" s="70"/>
      <c r="V100" s="70"/>
      <c r="W100" s="68"/>
      <c r="X100" s="68"/>
      <c r="Y100" s="68"/>
      <c r="Z100" s="68"/>
      <c r="AC100">
        <v>44.115028311559392</v>
      </c>
      <c r="AD100">
        <v>1446.9038</v>
      </c>
    </row>
    <row r="101" spans="1:30" x14ac:dyDescent="0.25">
      <c r="A101" s="8">
        <f t="shared" si="26"/>
        <v>4</v>
      </c>
      <c r="B101" s="7">
        <f t="shared" ca="1" si="27"/>
        <v>0.79</v>
      </c>
      <c r="C101">
        <f t="shared" ca="1" si="24"/>
        <v>-4.8613591206575144</v>
      </c>
      <c r="D101">
        <f t="shared" ca="1" si="25"/>
        <v>4.8613591206575135</v>
      </c>
      <c r="E101" s="7">
        <f t="shared" ca="1" si="28"/>
        <v>9.2807765030734366</v>
      </c>
      <c r="F101" s="10">
        <f t="shared" ca="1" si="29"/>
        <v>2.2516568868038409E-4</v>
      </c>
      <c r="G101" s="4">
        <f t="shared" ca="1" si="33"/>
        <v>6.5298049717311386</v>
      </c>
      <c r="H101" s="4">
        <f t="shared" ca="1" si="30"/>
        <v>5.1585459276675998</v>
      </c>
      <c r="I101" s="4">
        <f t="shared" ca="1" si="31"/>
        <v>25.077544294797562</v>
      </c>
      <c r="J101" s="4">
        <f t="shared" ca="1" si="32"/>
        <v>25.077544294797566</v>
      </c>
      <c r="T101" s="45"/>
      <c r="U101" s="45"/>
      <c r="V101" s="45"/>
      <c r="W101" s="45"/>
      <c r="X101" s="71"/>
      <c r="Y101" s="71"/>
      <c r="Z101" s="71"/>
      <c r="AA101" s="45"/>
      <c r="AC101">
        <v>44.96339231755092</v>
      </c>
      <c r="AD101">
        <v>1446.9038</v>
      </c>
    </row>
    <row r="102" spans="1:30" x14ac:dyDescent="0.25">
      <c r="A102" s="8">
        <f t="shared" si="26"/>
        <v>5</v>
      </c>
      <c r="B102" s="7">
        <f t="shared" ca="1" si="27"/>
        <v>0.79</v>
      </c>
      <c r="C102">
        <f t="shared" ca="1" si="24"/>
        <v>4.8613591206575144</v>
      </c>
      <c r="D102">
        <f t="shared" ca="1" si="25"/>
        <v>-4.8613591206575135</v>
      </c>
      <c r="E102" s="7">
        <f t="shared" ca="1" si="28"/>
        <v>19.003494744388465</v>
      </c>
      <c r="F102" s="10">
        <f t="shared" ca="1" si="29"/>
        <v>-2.6818035898449276E-3</v>
      </c>
      <c r="G102" s="4">
        <f t="shared" ca="1" si="33"/>
        <v>-60</v>
      </c>
      <c r="H102" s="4">
        <f t="shared" ca="1" si="30"/>
        <v>-47.400000000000006</v>
      </c>
      <c r="I102" s="4">
        <f t="shared" ca="1" si="31"/>
        <v>230.42842231916617</v>
      </c>
      <c r="J102" s="4">
        <f t="shared" ca="1" si="32"/>
        <v>230.4284223191662</v>
      </c>
      <c r="T102" s="45"/>
      <c r="U102" s="45"/>
      <c r="V102" s="45"/>
      <c r="W102" s="70"/>
      <c r="X102" s="71"/>
      <c r="Y102" s="71"/>
      <c r="Z102" s="71"/>
      <c r="AA102" s="45"/>
      <c r="AC102">
        <v>45.811756323542447</v>
      </c>
      <c r="AD102">
        <v>1446.9038</v>
      </c>
    </row>
    <row r="103" spans="1:30" x14ac:dyDescent="0.25">
      <c r="A103" s="8">
        <f t="shared" si="26"/>
        <v>6</v>
      </c>
      <c r="B103" s="7">
        <f t="shared" ca="1" si="27"/>
        <v>0.79</v>
      </c>
      <c r="C103">
        <f t="shared" ca="1" si="24"/>
        <v>-8.8817841970012523E-16</v>
      </c>
      <c r="D103">
        <f t="shared" ca="1" si="25"/>
        <v>9.7227182413150288</v>
      </c>
      <c r="E103" s="7">
        <f t="shared" ca="1" si="28"/>
        <v>4.4194173824159222</v>
      </c>
      <c r="F103" s="10">
        <f t="shared" ca="1" si="29"/>
        <v>1.67865032794304E-3</v>
      </c>
      <c r="G103" s="4">
        <f t="shared" ca="1" si="33"/>
        <v>44.430859510348157</v>
      </c>
      <c r="H103" s="4">
        <f t="shared" ca="1" si="30"/>
        <v>35.100379013175043</v>
      </c>
      <c r="I103" s="4">
        <f t="shared" ca="1" si="31"/>
        <v>341.2710953084682</v>
      </c>
      <c r="J103" s="4">
        <f t="shared" ca="1" si="32"/>
        <v>3.1175399162797251E-14</v>
      </c>
      <c r="T103" s="45"/>
      <c r="U103" s="45"/>
      <c r="V103" s="45"/>
      <c r="W103" s="70"/>
      <c r="X103" s="71"/>
      <c r="Y103" s="71"/>
      <c r="Z103" s="71"/>
      <c r="AA103" s="45"/>
      <c r="AC103">
        <v>46.660120329533974</v>
      </c>
      <c r="AD103">
        <v>1446.9038</v>
      </c>
    </row>
    <row r="104" spans="1:30" x14ac:dyDescent="0.25">
      <c r="A104" s="8">
        <f t="shared" si="26"/>
        <v>7</v>
      </c>
      <c r="B104" s="7">
        <f t="shared" ca="1" si="27"/>
        <v>0.79</v>
      </c>
      <c r="C104">
        <f t="shared" ca="1" si="24"/>
        <v>4.8613591206575135</v>
      </c>
      <c r="D104">
        <f t="shared" ca="1" si="25"/>
        <v>4.8613591206575144</v>
      </c>
      <c r="E104" s="7">
        <f t="shared" ca="1" si="28"/>
        <v>9.2807765030734366</v>
      </c>
      <c r="F104" s="10">
        <f t="shared" ca="1" si="29"/>
        <v>2.2516568868038409E-4</v>
      </c>
      <c r="G104" s="4">
        <f t="shared" ca="1" si="33"/>
        <v>6.5298049717311386</v>
      </c>
      <c r="H104" s="4">
        <f t="shared" ca="1" si="30"/>
        <v>5.1585459276675998</v>
      </c>
      <c r="I104" s="4">
        <f t="shared" ca="1" si="31"/>
        <v>25.077544294797566</v>
      </c>
      <c r="J104" s="4">
        <f t="shared" ca="1" si="32"/>
        <v>-25.077544294797562</v>
      </c>
      <c r="T104" s="45"/>
      <c r="U104" s="45"/>
      <c r="V104" s="45"/>
      <c r="W104" s="70"/>
      <c r="X104" s="45"/>
      <c r="Y104" s="45"/>
      <c r="Z104" s="45"/>
      <c r="AC104">
        <v>47.508484335525502</v>
      </c>
      <c r="AD104">
        <v>1446.9038</v>
      </c>
    </row>
    <row r="105" spans="1:30" x14ac:dyDescent="0.25">
      <c r="A105" s="8">
        <f t="shared" si="26"/>
        <v>8</v>
      </c>
      <c r="B105" s="7">
        <f t="shared" ca="1" si="27"/>
        <v>0.79</v>
      </c>
      <c r="C105">
        <f t="shared" ca="1" si="24"/>
        <v>9.7227182413150288</v>
      </c>
      <c r="D105">
        <f t="shared" ca="1" si="25"/>
        <v>8.8817841970012523E-16</v>
      </c>
      <c r="E105" s="7">
        <f t="shared" ca="1" si="28"/>
        <v>14.142135623730951</v>
      </c>
      <c r="F105" s="10">
        <f t="shared" ca="1" si="29"/>
        <v>-1.2283189505822719E-3</v>
      </c>
      <c r="G105" s="4">
        <f t="shared" ca="1" si="33"/>
        <v>-35.621249566885886</v>
      </c>
      <c r="H105" s="4">
        <f t="shared" ca="1" si="30"/>
        <v>-28.140787157839853</v>
      </c>
      <c r="I105" s="4">
        <f t="shared" ca="1" si="31"/>
        <v>-2.4994039866967779E-14</v>
      </c>
      <c r="J105" s="4">
        <f t="shared" ca="1" si="32"/>
        <v>273.60494462449321</v>
      </c>
      <c r="T105" s="45"/>
      <c r="U105" s="45"/>
      <c r="V105" s="45"/>
      <c r="W105" s="45"/>
      <c r="X105" s="45"/>
      <c r="Y105" s="45"/>
      <c r="Z105" s="45"/>
      <c r="AC105">
        <v>48.356848341517029</v>
      </c>
      <c r="AD105">
        <v>1446.9038</v>
      </c>
    </row>
    <row r="106" spans="1:30" x14ac:dyDescent="0.25">
      <c r="A106" s="8">
        <f t="shared" si="26"/>
        <v>9</v>
      </c>
      <c r="B106" s="7">
        <f t="shared" ca="1" si="27"/>
        <v>0</v>
      </c>
      <c r="C106">
        <f t="shared" ca="1" si="24"/>
        <v>0</v>
      </c>
      <c r="D106">
        <f t="shared" ca="1" si="25"/>
        <v>0</v>
      </c>
      <c r="E106" s="7">
        <f t="shared" ca="1" si="28"/>
        <v>14.142135623730951</v>
      </c>
      <c r="F106" s="10">
        <f t="shared" ca="1" si="29"/>
        <v>0</v>
      </c>
      <c r="G106" s="4">
        <f t="shared" ca="1" si="33"/>
        <v>0</v>
      </c>
      <c r="H106" s="4">
        <f t="shared" ca="1" si="30"/>
        <v>0</v>
      </c>
      <c r="I106" s="4">
        <f t="shared" ca="1" si="31"/>
        <v>0</v>
      </c>
      <c r="J106" s="4">
        <f t="shared" ca="1" si="32"/>
        <v>0</v>
      </c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C106">
        <v>49.205212347508557</v>
      </c>
      <c r="AD106">
        <v>1446.9038</v>
      </c>
    </row>
    <row r="107" spans="1:30" x14ac:dyDescent="0.25">
      <c r="A107" s="8">
        <f t="shared" si="26"/>
        <v>10</v>
      </c>
      <c r="B107" s="7">
        <f t="shared" ca="1" si="27"/>
        <v>0</v>
      </c>
      <c r="C107">
        <f t="shared" ca="1" si="24"/>
        <v>0</v>
      </c>
      <c r="D107">
        <f t="shared" ca="1" si="25"/>
        <v>0</v>
      </c>
      <c r="E107" s="7">
        <f t="shared" ca="1" si="28"/>
        <v>14.142135623730951</v>
      </c>
      <c r="F107" s="10">
        <f t="shared" ca="1" si="29"/>
        <v>0</v>
      </c>
      <c r="G107" s="4">
        <f t="shared" ca="1" si="33"/>
        <v>0</v>
      </c>
      <c r="H107" s="4">
        <f t="shared" ca="1" si="30"/>
        <v>0</v>
      </c>
      <c r="I107" s="4">
        <f t="shared" ca="1" si="31"/>
        <v>0</v>
      </c>
      <c r="J107" s="4">
        <f t="shared" ca="1" si="32"/>
        <v>0</v>
      </c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C107">
        <v>50.053576353500084</v>
      </c>
      <c r="AD107">
        <v>1446.9038</v>
      </c>
    </row>
    <row r="108" spans="1:30" x14ac:dyDescent="0.25">
      <c r="A108" s="8">
        <f t="shared" si="26"/>
        <v>11</v>
      </c>
      <c r="B108" s="7">
        <f t="shared" ca="1" si="27"/>
        <v>0</v>
      </c>
      <c r="C108">
        <f t="shared" ca="1" si="24"/>
        <v>0</v>
      </c>
      <c r="D108">
        <f t="shared" ca="1" si="25"/>
        <v>0</v>
      </c>
      <c r="E108" s="7">
        <f t="shared" ca="1" si="28"/>
        <v>14.142135623730951</v>
      </c>
      <c r="F108" s="10">
        <f t="shared" ca="1" si="29"/>
        <v>0</v>
      </c>
      <c r="G108" s="4">
        <f t="shared" ca="1" si="33"/>
        <v>0</v>
      </c>
      <c r="H108" s="4">
        <f t="shared" ca="1" si="30"/>
        <v>0</v>
      </c>
      <c r="I108" s="4">
        <f t="shared" ca="1" si="31"/>
        <v>0</v>
      </c>
      <c r="J108" s="4">
        <f t="shared" ca="1" si="32"/>
        <v>0</v>
      </c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C108">
        <v>50.901940359491611</v>
      </c>
      <c r="AD108">
        <v>1446.9038</v>
      </c>
    </row>
    <row r="109" spans="1:30" ht="15.75" thickBot="1" x14ac:dyDescent="0.3">
      <c r="A109" s="8">
        <f>A75</f>
        <v>12</v>
      </c>
      <c r="B109" s="7">
        <f t="shared" ca="1" si="27"/>
        <v>0</v>
      </c>
      <c r="C109">
        <f t="shared" ca="1" si="24"/>
        <v>0</v>
      </c>
      <c r="D109">
        <f t="shared" ca="1" si="25"/>
        <v>0</v>
      </c>
      <c r="E109" s="7">
        <f t="shared" ca="1" si="28"/>
        <v>14.142135623730951</v>
      </c>
      <c r="F109" s="21">
        <f t="shared" ca="1" si="29"/>
        <v>0</v>
      </c>
      <c r="G109" s="4">
        <f t="shared" ca="1" si="33"/>
        <v>0</v>
      </c>
      <c r="H109" s="20">
        <f t="shared" ca="1" si="30"/>
        <v>0</v>
      </c>
      <c r="I109" s="20">
        <f t="shared" ca="1" si="31"/>
        <v>0</v>
      </c>
      <c r="J109" s="20">
        <f t="shared" ca="1" si="32"/>
        <v>0</v>
      </c>
      <c r="AC109">
        <v>51.750304365483139</v>
      </c>
      <c r="AD109">
        <v>1446.9038</v>
      </c>
    </row>
    <row r="110" spans="1:30" ht="15.75" thickTop="1" x14ac:dyDescent="0.25">
      <c r="F110" s="10">
        <f ca="1">MIN(F98:F109)</f>
        <v>-4.1352882291075845E-3</v>
      </c>
      <c r="H110" s="4">
        <f ca="1">SUM(H98:H109)</f>
        <v>-153.06410344716949</v>
      </c>
      <c r="I110" s="4">
        <f ca="1">SUM(I98:I109)</f>
        <v>1313.1398731747281</v>
      </c>
      <c r="J110" s="4">
        <f ca="1">SUM(J98:J109)</f>
        <v>1.1368683772161603E-13</v>
      </c>
      <c r="M110" t="s">
        <v>121</v>
      </c>
      <c r="S110" t="s">
        <v>122</v>
      </c>
      <c r="Y110" t="s">
        <v>123</v>
      </c>
      <c r="AC110">
        <v>52.598668371474666</v>
      </c>
      <c r="AD110">
        <v>1446.9038</v>
      </c>
    </row>
    <row r="111" spans="1:30" x14ac:dyDescent="0.25">
      <c r="M111">
        <f ca="1">SQRT((J114*J114)+(J115*J115)+(J116*J116))</f>
        <v>275.48315218889405</v>
      </c>
      <c r="N111" s="46">
        <f ca="1">J114/M111</f>
        <v>0.65887480320880776</v>
      </c>
      <c r="O111" s="46">
        <f ca="1">J115/M111</f>
        <v>0.65887480320880765</v>
      </c>
      <c r="P111" s="46">
        <f ca="1">J116/M111</f>
        <v>0.36299860522198979</v>
      </c>
      <c r="Q111">
        <f ca="1">SQRT((N111*N111)+(O111*O111)+(P111*P111))</f>
        <v>1</v>
      </c>
      <c r="S111">
        <f>SQRT((B119*B119)+(B120*B120)+(B118*B118))</f>
        <v>118.53269591129698</v>
      </c>
      <c r="T111" s="62">
        <f>B119/S111</f>
        <v>0.37964208654863801</v>
      </c>
      <c r="U111" s="62">
        <f>B120/S111</f>
        <v>0.37964208654863801</v>
      </c>
      <c r="V111" s="62">
        <f>B118/S111</f>
        <v>0.84364908121919557</v>
      </c>
      <c r="W111">
        <f>SQRT((T111*T111)+(U111*U111)+(V111*V111))</f>
        <v>1</v>
      </c>
      <c r="Y111" s="62">
        <f ca="1">N111-T111</f>
        <v>0.27923271666016974</v>
      </c>
      <c r="Z111" s="62">
        <f t="shared" ref="Z111:AA111" ca="1" si="34">O111-U111</f>
        <v>0.27923271666016963</v>
      </c>
      <c r="AA111" s="62">
        <f t="shared" ca="1" si="34"/>
        <v>-0.48065047599720578</v>
      </c>
      <c r="AB111" s="1">
        <f ca="1">SQRT((Y111*Y111)+(Z111*Z111)+(AA111*AA111))</f>
        <v>0.62206647569466211</v>
      </c>
      <c r="AC111">
        <v>53.447032377466194</v>
      </c>
      <c r="AD111">
        <v>1446.9038</v>
      </c>
    </row>
    <row r="112" spans="1:30" x14ac:dyDescent="0.25">
      <c r="AC112">
        <v>54.295396383457721</v>
      </c>
      <c r="AD112">
        <v>1446.9038</v>
      </c>
    </row>
    <row r="113" spans="1:30" x14ac:dyDescent="0.25">
      <c r="A113" s="2" t="s">
        <v>66</v>
      </c>
      <c r="B113" s="29">
        <f ca="1">J92+H110</f>
        <v>120.78159912513132</v>
      </c>
      <c r="C113" t="s">
        <v>20</v>
      </c>
      <c r="D113" t="s">
        <v>67</v>
      </c>
      <c r="I113" s="2" t="s">
        <v>72</v>
      </c>
      <c r="J113" s="1">
        <f ca="1">IF(ABS(F110)&lt;0.002,0.65,IF(ABS(F110)&gt;0.005,0.9,0.65+((ABS(F110)-0.002)*(250/3))))</f>
        <v>0.8279406857589654</v>
      </c>
      <c r="AC113">
        <v>55.143760389449241</v>
      </c>
      <c r="AD113">
        <v>1446.9038</v>
      </c>
    </row>
    <row r="114" spans="1:30" ht="15.75" thickBot="1" x14ac:dyDescent="0.3">
      <c r="A114" s="2" t="s">
        <v>68</v>
      </c>
      <c r="B114" s="4">
        <f ca="1">(((K92+I110)*COS(-1*B53))+((L92+J110)*SIN(-1*B53)))</f>
        <v>2630.75233491267</v>
      </c>
      <c r="C114" t="s">
        <v>23</v>
      </c>
      <c r="D114" s="4">
        <f ca="1">(B113*(E49-H7))</f>
        <v>0</v>
      </c>
      <c r="E114" t="s">
        <v>23</v>
      </c>
      <c r="F114" s="4">
        <f ca="1">B114+D114</f>
        <v>2630.75233491267</v>
      </c>
      <c r="G114" s="9" t="str">
        <f>"= Mnx,gc"</f>
        <v>= Mnx,gc</v>
      </c>
      <c r="H114" s="4">
        <f ca="1">F114/12</f>
        <v>219.22936124272249</v>
      </c>
      <c r="I114" t="s">
        <v>71</v>
      </c>
      <c r="J114" s="27">
        <f ca="1">H114*J113</f>
        <v>181.50890768579961</v>
      </c>
      <c r="K114" t="s">
        <v>71</v>
      </c>
      <c r="P114" t="s">
        <v>84</v>
      </c>
      <c r="V114">
        <v>-4.2813522643366345E-10</v>
      </c>
      <c r="W114" s="6"/>
      <c r="AC114">
        <v>55.992124395440769</v>
      </c>
      <c r="AD114">
        <v>1446.9038</v>
      </c>
    </row>
    <row r="115" spans="1:30" ht="15.75" thickBot="1" x14ac:dyDescent="0.3">
      <c r="A115" s="2" t="s">
        <v>69</v>
      </c>
      <c r="B115" s="4">
        <f ca="1">(-1*(K92+I110)*SIN(-1*B53))+((L92+J110)*COS(-1*B53))</f>
        <v>2630.7523349126695</v>
      </c>
      <c r="C115" t="s">
        <v>23</v>
      </c>
      <c r="D115" s="1">
        <f ca="1">-1*B113*(D49-G7)</f>
        <v>0</v>
      </c>
      <c r="E115" t="s">
        <v>23</v>
      </c>
      <c r="F115" s="4">
        <f ca="1">B115+D115</f>
        <v>2630.7523349126695</v>
      </c>
      <c r="G115" s="9" t="str">
        <f>"= Mny,gc"</f>
        <v>= Mny,gc</v>
      </c>
      <c r="H115" s="4">
        <f ca="1">F115/12</f>
        <v>219.22936124272246</v>
      </c>
      <c r="I115" t="s">
        <v>71</v>
      </c>
      <c r="J115" s="27">
        <f ca="1">H115*J113</f>
        <v>181.50890768579958</v>
      </c>
      <c r="K115" t="s">
        <v>71</v>
      </c>
      <c r="M115" s="74" t="s">
        <v>132</v>
      </c>
      <c r="N115" s="75">
        <f ca="1">IF(AND(J114=0,J115=0),0,ATAN2(J114,J115))</f>
        <v>0.78539816339744828</v>
      </c>
      <c r="P115">
        <f ca="1">(-1*0.003*MAX(E98:E109))/(0.002-0.003)</f>
        <v>71.594561595137932</v>
      </c>
      <c r="V115">
        <v>-2.8542211857878761E-10</v>
      </c>
      <c r="W115" s="6"/>
      <c r="X115" s="6"/>
      <c r="AC115">
        <v>56.840488401432296</v>
      </c>
      <c r="AD115">
        <v>1446.9038</v>
      </c>
    </row>
    <row r="116" spans="1:30" ht="15.75" thickBot="1" x14ac:dyDescent="0.3">
      <c r="J116" s="28">
        <f ca="1">MIN(B113*J113,J117)</f>
        <v>100.00000000672568</v>
      </c>
      <c r="K116" t="s">
        <v>20</v>
      </c>
      <c r="T116" s="2" t="s">
        <v>118</v>
      </c>
      <c r="U116" s="63">
        <v>1E-4</v>
      </c>
      <c r="AC116">
        <v>57.688852407423823</v>
      </c>
      <c r="AD116">
        <v>1446.9038</v>
      </c>
    </row>
    <row r="117" spans="1:30" ht="15.75" thickBot="1" x14ac:dyDescent="0.3">
      <c r="A117" s="19" t="s">
        <v>73</v>
      </c>
      <c r="B117" t="s">
        <v>90</v>
      </c>
      <c r="G117" s="2" t="s">
        <v>139</v>
      </c>
      <c r="H117" s="5">
        <f ca="1">B48</f>
        <v>2052.34</v>
      </c>
      <c r="I117" t="s">
        <v>80</v>
      </c>
      <c r="J117" s="1">
        <f ca="1">0.65*((0.85*B2*B5*B6)+((B10-0.85*B2)*SUM(C13:C24)))*0.8</f>
        <v>1067.2168000000001</v>
      </c>
      <c r="K117" t="s">
        <v>20</v>
      </c>
      <c r="L117" s="72" t="s">
        <v>130</v>
      </c>
      <c r="M117" s="73">
        <f ca="1">SQRT((J114*J114)+(J115*J115))</f>
        <v>256.69235894078389</v>
      </c>
      <c r="N117" t="s">
        <v>91</v>
      </c>
      <c r="O117">
        <f ca="1">J114/M117</f>
        <v>0.70710678118654757</v>
      </c>
      <c r="P117">
        <f ca="1">J115/M117</f>
        <v>0.70710678118654746</v>
      </c>
      <c r="T117" s="2" t="s">
        <v>93</v>
      </c>
      <c r="U117" s="51">
        <f ca="1">B118-J116</f>
        <v>-6.7256848979013739E-9</v>
      </c>
      <c r="AC117">
        <v>58.537216413415351</v>
      </c>
      <c r="AD117">
        <v>1446.9038</v>
      </c>
    </row>
    <row r="118" spans="1:30" ht="15.75" thickBot="1" x14ac:dyDescent="0.3">
      <c r="A118" s="2" t="s">
        <v>74</v>
      </c>
      <c r="B118" s="32">
        <v>100</v>
      </c>
      <c r="C118" t="s">
        <v>20</v>
      </c>
      <c r="I118" t="s">
        <v>81</v>
      </c>
      <c r="J118" s="1">
        <f ca="1">-1*0.9*B10*SUM(C13:C24)</f>
        <v>-341.28000000000003</v>
      </c>
      <c r="K118" t="s">
        <v>20</v>
      </c>
      <c r="O118">
        <f ca="1">ABS(O117)/O117</f>
        <v>1</v>
      </c>
      <c r="P118">
        <f ca="1">ABS(P117)/P117</f>
        <v>1</v>
      </c>
      <c r="Q118">
        <f ca="1">P118*O118</f>
        <v>1</v>
      </c>
      <c r="T118" s="2" t="s">
        <v>95</v>
      </c>
      <c r="U118" s="54">
        <f ca="1">B121-N115</f>
        <v>0</v>
      </c>
      <c r="AC118">
        <v>59.385580419406878</v>
      </c>
      <c r="AD118">
        <v>1446.9038</v>
      </c>
    </row>
    <row r="119" spans="1:30" ht="15.75" thickBot="1" x14ac:dyDescent="0.3">
      <c r="A119" s="2" t="s">
        <v>75</v>
      </c>
      <c r="B119" s="32">
        <v>45</v>
      </c>
      <c r="C119" t="s">
        <v>71</v>
      </c>
      <c r="G119" s="2" t="s">
        <v>77</v>
      </c>
      <c r="H119" s="31">
        <v>25</v>
      </c>
      <c r="L119">
        <f ca="1">B118-J116</f>
        <v>-6.7256848979013739E-9</v>
      </c>
      <c r="M119" s="42">
        <f ca="1">N115-B121</f>
        <v>0</v>
      </c>
      <c r="O119">
        <f>B119/E120</f>
        <v>0.70710678118654746</v>
      </c>
      <c r="P119">
        <f>B120/E120</f>
        <v>0.70710678118654746</v>
      </c>
      <c r="AC119">
        <v>60.233944425398406</v>
      </c>
      <c r="AD119">
        <v>1446.9038</v>
      </c>
    </row>
    <row r="120" spans="1:30" ht="15.75" thickBot="1" x14ac:dyDescent="0.3">
      <c r="A120" s="2" t="s">
        <v>76</v>
      </c>
      <c r="B120" s="32">
        <v>45</v>
      </c>
      <c r="C120" t="s">
        <v>71</v>
      </c>
      <c r="D120">
        <f>B118</f>
        <v>100</v>
      </c>
      <c r="E120" s="74">
        <f>SQRT((B119*B119)+(B120*B120))</f>
        <v>63.63961030678928</v>
      </c>
      <c r="F120" s="73" t="s">
        <v>131</v>
      </c>
      <c r="G120" s="2" t="s">
        <v>78</v>
      </c>
      <c r="H120" s="50">
        <v>0</v>
      </c>
      <c r="I120" s="50">
        <v>19</v>
      </c>
      <c r="O120">
        <f>ABS(O119)/O119</f>
        <v>1</v>
      </c>
      <c r="P120">
        <f>ABS(P119)/P119</f>
        <v>1</v>
      </c>
      <c r="Q120">
        <f>P120*O120</f>
        <v>1</v>
      </c>
      <c r="AC120">
        <v>61.082308431389933</v>
      </c>
      <c r="AD120">
        <v>1446.9038</v>
      </c>
    </row>
    <row r="121" spans="1:30" ht="15.75" thickBot="1" x14ac:dyDescent="0.3">
      <c r="A121" s="72" t="s">
        <v>133</v>
      </c>
      <c r="B121" s="76">
        <f>IF(AND(B119=0,B120=0),0,ATAN2(B119,B120))</f>
        <v>0.78539816339744828</v>
      </c>
      <c r="G121" s="2" t="s">
        <v>117</v>
      </c>
      <c r="H121" s="1">
        <v>1</v>
      </c>
      <c r="O121">
        <f ca="1">O117-O119</f>
        <v>0</v>
      </c>
      <c r="P121">
        <f ca="1">P117-P119</f>
        <v>0</v>
      </c>
      <c r="AC121">
        <v>61.93067243738146</v>
      </c>
      <c r="AD121">
        <v>1446.9038</v>
      </c>
    </row>
    <row r="122" spans="1:30" x14ac:dyDescent="0.25">
      <c r="G122" s="2" t="s">
        <v>116</v>
      </c>
      <c r="H122" s="1">
        <v>19</v>
      </c>
      <c r="U122" s="1"/>
      <c r="AC122">
        <v>62.779036443372988</v>
      </c>
      <c r="AD122">
        <v>1446.9038</v>
      </c>
    </row>
    <row r="123" spans="1:30" x14ac:dyDescent="0.25">
      <c r="A123" s="12"/>
      <c r="B123" s="13"/>
      <c r="C123" s="13"/>
      <c r="D123" s="13"/>
      <c r="E123" s="13"/>
      <c r="F123" s="13"/>
      <c r="G123" s="13"/>
      <c r="H123" s="13"/>
      <c r="I123" s="13"/>
      <c r="AC123">
        <v>63.627400449364515</v>
      </c>
      <c r="AD123">
        <v>1446.9038</v>
      </c>
    </row>
    <row r="124" spans="1:30" x14ac:dyDescent="0.25">
      <c r="A124" s="14"/>
      <c r="B124" s="13"/>
      <c r="C124" s="13"/>
      <c r="D124" s="13"/>
      <c r="E124" s="13"/>
      <c r="F124" s="13"/>
      <c r="G124" s="13"/>
      <c r="H124" s="15">
        <v>0</v>
      </c>
      <c r="I124" s="30">
        <v>0</v>
      </c>
      <c r="J124" s="13"/>
      <c r="K124" s="13"/>
      <c r="L124" s="11"/>
      <c r="M124" s="13"/>
      <c r="N124" s="13"/>
      <c r="AC124">
        <v>64.475764455356043</v>
      </c>
      <c r="AD124">
        <v>1446.9038</v>
      </c>
    </row>
    <row r="125" spans="1:30" x14ac:dyDescent="0.25">
      <c r="A125" s="14"/>
      <c r="B125" s="18"/>
      <c r="C125" s="13"/>
      <c r="D125" s="14"/>
      <c r="E125" s="15"/>
      <c r="F125" s="15"/>
      <c r="G125" s="14">
        <v>25</v>
      </c>
      <c r="H125" s="18">
        <f ca="1">J114</f>
        <v>181.50890768579961</v>
      </c>
      <c r="I125" s="3">
        <f ca="1">J115</f>
        <v>181.50890768579958</v>
      </c>
      <c r="J125" s="14"/>
      <c r="K125" s="15"/>
      <c r="L125" s="11"/>
      <c r="M125" s="14"/>
      <c r="N125" s="15"/>
      <c r="AC125">
        <v>65.32412846134757</v>
      </c>
      <c r="AD125">
        <v>1446.9038</v>
      </c>
    </row>
    <row r="126" spans="1:30" x14ac:dyDescent="0.25">
      <c r="A126" s="14"/>
      <c r="B126" s="16"/>
      <c r="C126" s="15"/>
      <c r="D126" s="14"/>
      <c r="E126" s="18"/>
      <c r="F126" s="13"/>
      <c r="G126" s="14">
        <v>72</v>
      </c>
      <c r="H126" s="15"/>
      <c r="I126" s="11"/>
      <c r="J126" s="14"/>
      <c r="K126" s="15"/>
      <c r="L126" s="11"/>
      <c r="M126" s="14"/>
      <c r="N126" s="15"/>
      <c r="AC126">
        <v>66.172492467339097</v>
      </c>
      <c r="AD126">
        <v>1446.9038</v>
      </c>
    </row>
    <row r="127" spans="1:30" ht="15.75" thickBot="1" x14ac:dyDescent="0.3">
      <c r="A127" s="14">
        <f>(2*PI())/360</f>
        <v>1.7453292519943295E-2</v>
      </c>
      <c r="B127" s="15"/>
      <c r="C127" s="16"/>
      <c r="D127" s="14"/>
      <c r="E127" s="15"/>
      <c r="F127" s="13"/>
      <c r="G127" s="14">
        <v>1847</v>
      </c>
      <c r="H127" s="15"/>
      <c r="I127" s="11"/>
      <c r="J127" s="14"/>
      <c r="K127" s="15"/>
      <c r="L127" s="11"/>
      <c r="M127" s="14"/>
      <c r="N127" s="15"/>
      <c r="Q127" s="2" t="s">
        <v>83</v>
      </c>
      <c r="R127" s="55">
        <v>25</v>
      </c>
      <c r="AC127">
        <v>67.020856473330625</v>
      </c>
      <c r="AD127">
        <v>1446.9038</v>
      </c>
    </row>
    <row r="128" spans="1:30" ht="17.25" x14ac:dyDescent="0.25">
      <c r="A128" s="14" t="s">
        <v>82</v>
      </c>
      <c r="B128" s="15" t="s">
        <v>75</v>
      </c>
      <c r="C128" s="16" t="s">
        <v>76</v>
      </c>
      <c r="D128" s="14" t="s">
        <v>92</v>
      </c>
      <c r="E128" s="15"/>
      <c r="F128" s="13"/>
      <c r="G128" s="14"/>
      <c r="H128" s="15"/>
      <c r="I128" s="11"/>
      <c r="J128" s="14"/>
      <c r="K128" s="15"/>
      <c r="L128" s="11"/>
      <c r="M128" s="14"/>
      <c r="N128" s="15"/>
      <c r="Q128" t="s">
        <v>74</v>
      </c>
      <c r="R128" t="s">
        <v>48</v>
      </c>
      <c r="T128" t="s">
        <v>137</v>
      </c>
      <c r="U128" t="s">
        <v>138</v>
      </c>
      <c r="V128" s="38" t="s">
        <v>94</v>
      </c>
      <c r="W128" s="39"/>
      <c r="AC128">
        <v>67.869220479322152</v>
      </c>
      <c r="AD128">
        <v>1446.9038</v>
      </c>
    </row>
    <row r="129" spans="1:30" x14ac:dyDescent="0.25">
      <c r="A129" s="35">
        <v>-3.1415926535897931</v>
      </c>
      <c r="B129" s="47">
        <v>-283.46232815521159</v>
      </c>
      <c r="C129" s="47">
        <v>-3.8991599750976374E-14</v>
      </c>
      <c r="D129" s="48">
        <f>ATAN2(B129,C129)</f>
        <v>-3.1415926535897931</v>
      </c>
      <c r="E129" s="15"/>
      <c r="F129" s="13"/>
      <c r="G129" s="14"/>
      <c r="H129" s="15"/>
      <c r="I129" s="11"/>
      <c r="J129" s="14"/>
      <c r="K129" s="15"/>
      <c r="L129" s="11"/>
      <c r="M129" s="14"/>
      <c r="N129" s="15"/>
      <c r="P129" s="37"/>
      <c r="Q129" s="37">
        <f ca="1">J118+1</f>
        <v>-340.28000000000003</v>
      </c>
      <c r="R129" s="37" t="e">
        <v>#N/A</v>
      </c>
      <c r="S129" s="37">
        <v>3.1415926535823915</v>
      </c>
      <c r="V129" s="52" t="s">
        <v>74</v>
      </c>
      <c r="W129" s="53" t="s">
        <v>48</v>
      </c>
      <c r="AC129">
        <v>68.717584485313679</v>
      </c>
      <c r="AD129">
        <v>1446.9038</v>
      </c>
    </row>
    <row r="130" spans="1:30" x14ac:dyDescent="0.25">
      <c r="A130" s="36">
        <v>-3.12413936106985</v>
      </c>
      <c r="B130" s="47">
        <v>-283.4126239234804</v>
      </c>
      <c r="C130" s="47">
        <v>-5.5505222304779513</v>
      </c>
      <c r="D130" s="48">
        <f t="shared" ref="D130:D193" si="35">ATAN2(B130,C130)</f>
        <v>-3.1220105592191101</v>
      </c>
      <c r="E130" s="15"/>
      <c r="F130" s="13"/>
      <c r="G130" s="14"/>
      <c r="H130" s="15"/>
      <c r="I130" s="11"/>
      <c r="J130" s="14"/>
      <c r="K130" s="15"/>
      <c r="L130" s="11"/>
      <c r="M130" s="14"/>
      <c r="N130" s="15"/>
      <c r="P130" s="37">
        <v>1</v>
      </c>
      <c r="Q130">
        <v>-340.18</v>
      </c>
      <c r="R130">
        <v>1.2635928390826827</v>
      </c>
      <c r="S130" s="37">
        <v>0.78539816339744828</v>
      </c>
      <c r="T130">
        <v>-377.97777557757655</v>
      </c>
      <c r="U130">
        <v>1.4039920434252029</v>
      </c>
      <c r="V130" s="44">
        <v>0</v>
      </c>
      <c r="W130" s="43">
        <v>0</v>
      </c>
      <c r="AC130">
        <v>69.565948491305207</v>
      </c>
      <c r="AD130">
        <v>1446.9038</v>
      </c>
    </row>
    <row r="131" spans="1:30" x14ac:dyDescent="0.25">
      <c r="A131" s="36">
        <v>-3.1066860685499065</v>
      </c>
      <c r="B131" s="47">
        <v>-283.29902827259355</v>
      </c>
      <c r="C131" s="47">
        <v>-10.932304804561044</v>
      </c>
      <c r="D131" s="48">
        <f t="shared" si="35"/>
        <v>-3.1030225138860974</v>
      </c>
      <c r="E131" s="13"/>
      <c r="F131" s="13"/>
      <c r="G131" s="13"/>
      <c r="H131" s="13"/>
      <c r="I131" s="13"/>
      <c r="P131" s="37">
        <v>2</v>
      </c>
      <c r="Q131">
        <v>-283.88412800000003</v>
      </c>
      <c r="R131">
        <v>52.94137224865009</v>
      </c>
      <c r="S131">
        <v>0.78539816339744817</v>
      </c>
      <c r="T131">
        <v>-315.42686900421336</v>
      </c>
      <c r="U131">
        <v>58.823746942944545</v>
      </c>
      <c r="V131" s="44">
        <f>D120</f>
        <v>100</v>
      </c>
      <c r="W131" s="43">
        <f>E120</f>
        <v>63.63961030678928</v>
      </c>
      <c r="AC131">
        <v>70.414312497296734</v>
      </c>
      <c r="AD131">
        <v>1446.9038</v>
      </c>
    </row>
    <row r="132" spans="1:30" ht="15.75" thickBot="1" x14ac:dyDescent="0.3">
      <c r="A132" s="36">
        <v>-3.0892327760299634</v>
      </c>
      <c r="B132" s="47">
        <v>-283.12105431393883</v>
      </c>
      <c r="C132" s="47">
        <v>-16.171768576533911</v>
      </c>
      <c r="D132" s="48">
        <f t="shared" si="35"/>
        <v>-3.0845350273054932</v>
      </c>
      <c r="E132" s="13"/>
      <c r="F132" s="13"/>
      <c r="G132" s="13"/>
      <c r="H132" s="13"/>
      <c r="I132" s="13"/>
      <c r="P132" s="37">
        <v>3</v>
      </c>
      <c r="Q132">
        <v>-227.58825600000003</v>
      </c>
      <c r="R132">
        <v>101.11492959574504</v>
      </c>
      <c r="S132">
        <v>0.78539816339744828</v>
      </c>
      <c r="T132">
        <v>-252.87584000000004</v>
      </c>
      <c r="U132">
        <v>112.34992177305003</v>
      </c>
      <c r="V132" s="40">
        <f ca="1">J116</f>
        <v>100.00000000672568</v>
      </c>
      <c r="W132" s="41">
        <f ca="1">SQRT((J114*J114)+(J115*J115))</f>
        <v>256.69235894078389</v>
      </c>
      <c r="AC132">
        <v>71.262676503288247</v>
      </c>
      <c r="AD132">
        <v>1446.9038</v>
      </c>
    </row>
    <row r="133" spans="1:30" x14ac:dyDescent="0.25">
      <c r="A133" s="36">
        <v>-3.0717794835100198</v>
      </c>
      <c r="B133" s="47">
        <v>-282.94949631153816</v>
      </c>
      <c r="C133" s="47">
        <v>-19.602362885877088</v>
      </c>
      <c r="D133" s="48">
        <f t="shared" si="35"/>
        <v>-3.0724245072871765</v>
      </c>
      <c r="E133" s="13"/>
      <c r="F133" s="13"/>
      <c r="G133" s="13"/>
      <c r="H133" s="13"/>
      <c r="I133" s="13"/>
      <c r="P133" s="37">
        <v>4</v>
      </c>
      <c r="Q133">
        <v>-171.29238400000003</v>
      </c>
      <c r="R133">
        <v>137.86740977670723</v>
      </c>
      <c r="S133">
        <v>0.78539816339744828</v>
      </c>
      <c r="T133">
        <v>-190.32486874098075</v>
      </c>
      <c r="U133">
        <v>153.18601086300802</v>
      </c>
      <c r="AC133">
        <v>72.111040509279775</v>
      </c>
      <c r="AD133">
        <v>1446.9038</v>
      </c>
    </row>
    <row r="134" spans="1:30" x14ac:dyDescent="0.25">
      <c r="A134" s="36">
        <v>-3.0543261909900767</v>
      </c>
      <c r="B134" s="47">
        <v>-282.64319013986301</v>
      </c>
      <c r="C134" s="47">
        <v>-24.626889145905849</v>
      </c>
      <c r="D134" s="48">
        <f t="shared" si="35"/>
        <v>-3.0546814810335854</v>
      </c>
      <c r="E134" s="13"/>
      <c r="F134" s="13"/>
      <c r="G134" s="13"/>
      <c r="H134" s="13"/>
      <c r="I134" s="13"/>
      <c r="P134" s="37">
        <v>5</v>
      </c>
      <c r="Q134">
        <v>-114.99651200000002</v>
      </c>
      <c r="R134">
        <v>172.19231295744817</v>
      </c>
      <c r="S134">
        <v>0.78539816339744828</v>
      </c>
      <c r="T134">
        <v>-127.77396522799646</v>
      </c>
      <c r="U134">
        <v>191.32479217494242</v>
      </c>
      <c r="AC134">
        <v>72.959404515271302</v>
      </c>
      <c r="AD134">
        <v>1446.9038</v>
      </c>
    </row>
    <row r="135" spans="1:30" x14ac:dyDescent="0.25">
      <c r="A135" s="36">
        <v>-3.0368728984701332</v>
      </c>
      <c r="B135" s="47">
        <v>-282.27062409190574</v>
      </c>
      <c r="C135" s="47">
        <v>-29.564720223816366</v>
      </c>
      <c r="D135" s="48">
        <f t="shared" si="35"/>
        <v>-3.0372342362548759</v>
      </c>
      <c r="E135" s="13"/>
      <c r="F135" s="13"/>
      <c r="G135" s="13"/>
      <c r="H135" s="13"/>
      <c r="I135" s="13"/>
      <c r="P135" s="37">
        <v>6</v>
      </c>
      <c r="Q135">
        <v>-58.700640000000021</v>
      </c>
      <c r="R135">
        <v>205.94666533628973</v>
      </c>
      <c r="S135">
        <v>0.78539816339744817</v>
      </c>
      <c r="T135">
        <v>-65.222933333333373</v>
      </c>
      <c r="U135">
        <v>228.82962815143304</v>
      </c>
      <c r="AC135">
        <v>73.80776852126283</v>
      </c>
      <c r="AD135">
        <v>1446.9038</v>
      </c>
    </row>
    <row r="136" spans="1:30" x14ac:dyDescent="0.25">
      <c r="A136" s="36">
        <v>-3.0194196059501901</v>
      </c>
      <c r="B136" s="47">
        <v>-281.83099230494662</v>
      </c>
      <c r="C136" s="47">
        <v>-34.429822602985844</v>
      </c>
      <c r="D136" s="48">
        <f t="shared" si="35"/>
        <v>-3.0200302224818798</v>
      </c>
      <c r="E136" s="13"/>
      <c r="F136" s="13"/>
      <c r="G136" s="13"/>
      <c r="H136" s="13"/>
      <c r="I136" s="13"/>
      <c r="P136" s="37">
        <v>7</v>
      </c>
      <c r="Q136">
        <v>-2.4047680000000184</v>
      </c>
      <c r="R136">
        <v>234.10793873001407</v>
      </c>
      <c r="S136">
        <v>0.78539816339744817</v>
      </c>
      <c r="T136">
        <v>-2.6719643505356601</v>
      </c>
      <c r="U136">
        <v>260.11993192223781</v>
      </c>
      <c r="AC136">
        <v>74.656132527254357</v>
      </c>
      <c r="AD136">
        <v>1446.9038</v>
      </c>
    </row>
    <row r="137" spans="1:30" x14ac:dyDescent="0.25">
      <c r="A137" s="36">
        <v>-3.0019663134302466</v>
      </c>
      <c r="B137" s="47">
        <v>-281.32307688958031</v>
      </c>
      <c r="C137" s="47">
        <v>-39.234428540685975</v>
      </c>
      <c r="D137" s="48">
        <f t="shared" si="35"/>
        <v>-3.0030224926226681</v>
      </c>
      <c r="E137" s="13"/>
      <c r="F137" s="13"/>
      <c r="G137" s="13"/>
      <c r="H137" s="13"/>
      <c r="I137" s="13"/>
      <c r="P137" s="37">
        <v>8</v>
      </c>
      <c r="Q137">
        <v>53.891103999999984</v>
      </c>
      <c r="R137">
        <v>249.02250726045341</v>
      </c>
      <c r="S137">
        <v>0.78539816339744828</v>
      </c>
      <c r="T137">
        <v>61.999167559881698</v>
      </c>
      <c r="U137">
        <v>286.48860167340422</v>
      </c>
      <c r="V137" s="42"/>
      <c r="AC137">
        <v>75.504496533245884</v>
      </c>
      <c r="AD137">
        <v>1446.9038</v>
      </c>
    </row>
    <row r="138" spans="1:30" x14ac:dyDescent="0.25">
      <c r="A138" s="36">
        <v>-2.9845130209103035</v>
      </c>
      <c r="B138" s="47">
        <v>-279.34720545775554</v>
      </c>
      <c r="C138" s="47">
        <v>-45.508712204428441</v>
      </c>
      <c r="D138" s="48">
        <f t="shared" si="35"/>
        <v>-2.9801004199660923</v>
      </c>
      <c r="E138" s="13"/>
      <c r="F138" s="13"/>
      <c r="G138" s="13"/>
      <c r="H138" s="13"/>
      <c r="I138" s="13"/>
      <c r="P138" s="37">
        <v>9</v>
      </c>
      <c r="Q138">
        <v>110.18697599999999</v>
      </c>
      <c r="R138">
        <v>258.34439290995726</v>
      </c>
      <c r="S138">
        <v>0.78539816339744828</v>
      </c>
      <c r="T138">
        <v>134.54457205960128</v>
      </c>
      <c r="U138">
        <v>315.4532145618399</v>
      </c>
      <c r="AC138">
        <v>76.352860539237412</v>
      </c>
      <c r="AD138">
        <v>1446.9038</v>
      </c>
    </row>
    <row r="139" spans="1:30" x14ac:dyDescent="0.25">
      <c r="A139" s="36">
        <v>-2.9670597283903604</v>
      </c>
      <c r="B139" s="47">
        <v>-277.30062813955692</v>
      </c>
      <c r="C139" s="47">
        <v>-51.746600547299884</v>
      </c>
      <c r="D139" s="48">
        <f t="shared" si="35"/>
        <v>-2.9571062523164815</v>
      </c>
      <c r="E139" s="13"/>
      <c r="F139" s="13"/>
      <c r="G139" s="13"/>
      <c r="H139" s="13"/>
      <c r="I139" s="13"/>
      <c r="P139" s="37">
        <v>10</v>
      </c>
      <c r="Q139">
        <v>166.48284799999999</v>
      </c>
      <c r="R139">
        <v>267.0019352369398</v>
      </c>
      <c r="S139">
        <v>0.78539816339744828</v>
      </c>
      <c r="T139">
        <v>216.01173659194359</v>
      </c>
      <c r="U139">
        <v>346.43539798130433</v>
      </c>
      <c r="AC139">
        <v>77.201224545228939</v>
      </c>
      <c r="AD139">
        <v>1446.9038</v>
      </c>
    </row>
    <row r="140" spans="1:30" x14ac:dyDescent="0.25">
      <c r="A140" s="36">
        <v>-2.9496064358704168</v>
      </c>
      <c r="B140" s="47">
        <v>-275.24575921993596</v>
      </c>
      <c r="C140" s="47">
        <v>-57.885836205180695</v>
      </c>
      <c r="D140" s="48">
        <f t="shared" si="35"/>
        <v>-2.9343073965880735</v>
      </c>
      <c r="E140" s="13"/>
      <c r="F140" s="13"/>
      <c r="G140" s="13"/>
      <c r="H140" s="13"/>
      <c r="I140" s="13"/>
      <c r="P140" s="37">
        <v>11</v>
      </c>
      <c r="Q140">
        <v>222.77871999999999</v>
      </c>
      <c r="R140">
        <v>267.3581649635808</v>
      </c>
      <c r="S140">
        <v>0.78539816339744828</v>
      </c>
      <c r="T140">
        <v>305.14127179365903</v>
      </c>
      <c r="U140">
        <v>366.20192237980291</v>
      </c>
      <c r="AC140">
        <v>78.049588551220467</v>
      </c>
      <c r="AD140">
        <v>1446.9038</v>
      </c>
    </row>
    <row r="141" spans="1:30" x14ac:dyDescent="0.25">
      <c r="A141" s="36">
        <v>-2.9321531433504737</v>
      </c>
      <c r="B141" s="47">
        <v>-273.17594052269413</v>
      </c>
      <c r="C141" s="47">
        <v>-63.938595305361858</v>
      </c>
      <c r="D141" s="48">
        <f t="shared" si="35"/>
        <v>-2.9116750349564513</v>
      </c>
      <c r="E141" s="13"/>
      <c r="F141" s="13"/>
      <c r="G141" s="13"/>
      <c r="H141" s="13"/>
      <c r="I141" s="13"/>
      <c r="P141" s="37">
        <v>12</v>
      </c>
      <c r="Q141">
        <v>279.074592</v>
      </c>
      <c r="R141">
        <v>268.22363793963808</v>
      </c>
      <c r="S141">
        <v>0.78539816339744828</v>
      </c>
      <c r="T141">
        <v>401.16940464230618</v>
      </c>
      <c r="U141">
        <v>385.57114628516473</v>
      </c>
      <c r="AC141">
        <v>78.897952557211994</v>
      </c>
      <c r="AD141">
        <v>1446.9038</v>
      </c>
    </row>
    <row r="142" spans="1:30" x14ac:dyDescent="0.25">
      <c r="A142" s="36">
        <v>-2.9146998508305302</v>
      </c>
      <c r="B142" s="47">
        <v>-271.08471652523741</v>
      </c>
      <c r="C142" s="47">
        <v>-69.916174747421053</v>
      </c>
      <c r="D142" s="48">
        <f t="shared" si="35"/>
        <v>-2.889180776712132</v>
      </c>
      <c r="E142" s="13"/>
      <c r="F142" s="13"/>
      <c r="G142" s="13"/>
      <c r="H142" s="13"/>
      <c r="I142" s="13"/>
      <c r="P142" s="37">
        <v>13</v>
      </c>
      <c r="Q142">
        <v>335.37046399999997</v>
      </c>
      <c r="R142">
        <v>268.07405444029786</v>
      </c>
      <c r="S142">
        <v>0.78539816339744828</v>
      </c>
      <c r="T142">
        <v>505.73138750447379</v>
      </c>
      <c r="U142">
        <v>404.24986115069174</v>
      </c>
      <c r="AC142">
        <v>79.746316563203521</v>
      </c>
      <c r="AD142">
        <v>1446.9038</v>
      </c>
    </row>
    <row r="143" spans="1:30" x14ac:dyDescent="0.25">
      <c r="A143" s="36">
        <v>-2.8972465583105871</v>
      </c>
      <c r="B143" s="47">
        <v>-268.9656758998596</v>
      </c>
      <c r="C143" s="47">
        <v>-75.829102613155754</v>
      </c>
      <c r="D143" s="48">
        <f t="shared" si="35"/>
        <v>-2.8667965049582014</v>
      </c>
      <c r="E143" s="13"/>
      <c r="F143" s="13"/>
      <c r="G143" s="13"/>
      <c r="H143" s="13"/>
      <c r="I143" s="13"/>
      <c r="P143" s="37">
        <v>14</v>
      </c>
      <c r="Q143">
        <v>391.666336</v>
      </c>
      <c r="R143">
        <v>268.76676835352185</v>
      </c>
      <c r="S143">
        <v>0.78539816339744817</v>
      </c>
      <c r="T143">
        <v>602.56359384615394</v>
      </c>
      <c r="U143">
        <v>413.48733592849516</v>
      </c>
      <c r="AC143">
        <v>80.594680569195049</v>
      </c>
      <c r="AD143">
        <v>1446.9038</v>
      </c>
    </row>
    <row r="144" spans="1:30" x14ac:dyDescent="0.25">
      <c r="A144" s="36">
        <v>-2.8797932657906435</v>
      </c>
      <c r="B144" s="47">
        <v>-266.81271776638442</v>
      </c>
      <c r="C144" s="47">
        <v>-81.687279599205638</v>
      </c>
      <c r="D144" s="48">
        <f t="shared" si="35"/>
        <v>-2.8444944577976754</v>
      </c>
      <c r="E144" s="13"/>
      <c r="F144" s="13"/>
      <c r="G144" s="13"/>
      <c r="H144" s="14"/>
      <c r="I144" s="17"/>
      <c r="P144" s="37">
        <v>15</v>
      </c>
      <c r="Q144">
        <v>447.96220800000003</v>
      </c>
      <c r="R144">
        <v>271.62189705095483</v>
      </c>
      <c r="S144">
        <v>0.78539816339744828</v>
      </c>
      <c r="T144">
        <v>689.17262769230751</v>
      </c>
      <c r="U144">
        <v>417.87984161685358</v>
      </c>
      <c r="AC144">
        <v>81.443044575186576</v>
      </c>
      <c r="AD144">
        <v>1446.9038</v>
      </c>
    </row>
    <row r="145" spans="1:30" x14ac:dyDescent="0.25">
      <c r="A145" s="36">
        <v>-2.8623399732707004</v>
      </c>
      <c r="B145" s="47">
        <v>-264.61974348889669</v>
      </c>
      <c r="C145" s="47">
        <v>-87.500039122850609</v>
      </c>
      <c r="D145" s="48">
        <f t="shared" si="35"/>
        <v>-2.8222470458556566</v>
      </c>
      <c r="E145" s="13"/>
      <c r="F145" s="13"/>
      <c r="G145" s="13"/>
      <c r="H145" s="14"/>
      <c r="I145" s="17"/>
      <c r="P145" s="37">
        <v>16</v>
      </c>
      <c r="Q145">
        <v>504.25808000000006</v>
      </c>
      <c r="R145">
        <v>273.06177496864478</v>
      </c>
      <c r="S145">
        <v>0.78539816339744828</v>
      </c>
      <c r="T145">
        <v>775.78166153846155</v>
      </c>
      <c r="U145">
        <v>420.09503841329973</v>
      </c>
      <c r="AC145">
        <v>82.291408581178104</v>
      </c>
      <c r="AD145">
        <v>1446.9038</v>
      </c>
    </row>
    <row r="146" spans="1:30" x14ac:dyDescent="0.25">
      <c r="A146" s="36">
        <v>-2.8448866807507569</v>
      </c>
      <c r="B146" s="47">
        <v>-262.38068230594502</v>
      </c>
      <c r="C146" s="47">
        <v>-93.276237502522079</v>
      </c>
      <c r="D146" s="48">
        <f t="shared" si="35"/>
        <v>-2.8000268059190847</v>
      </c>
      <c r="E146" s="13"/>
      <c r="F146" s="13"/>
      <c r="G146" s="13"/>
      <c r="H146" s="13"/>
      <c r="I146" s="13"/>
      <c r="P146" s="37">
        <v>17</v>
      </c>
      <c r="Q146">
        <v>560.55395200000009</v>
      </c>
      <c r="R146">
        <v>272.88685969563664</v>
      </c>
      <c r="S146">
        <v>0.78539816339744817</v>
      </c>
      <c r="T146">
        <v>862.39069538461524</v>
      </c>
      <c r="U146">
        <v>419.8259379932872</v>
      </c>
      <c r="AC146">
        <v>83.139772587169631</v>
      </c>
      <c r="AD146">
        <v>1446.9038</v>
      </c>
    </row>
    <row r="147" spans="1:30" x14ac:dyDescent="0.25">
      <c r="A147" s="36">
        <v>-2.8274333882308138</v>
      </c>
      <c r="B147" s="49">
        <v>-260.08952503740562</v>
      </c>
      <c r="C147" s="49">
        <v>-99.02433237485296</v>
      </c>
      <c r="D147" s="48">
        <f t="shared" si="35"/>
        <v>-2.7778064067091761</v>
      </c>
      <c r="P147" s="37">
        <v>18</v>
      </c>
      <c r="Q147">
        <v>616.84982400000013</v>
      </c>
      <c r="R147">
        <v>270.70925988910267</v>
      </c>
      <c r="S147">
        <v>0.78539816339744828</v>
      </c>
      <c r="T147">
        <v>948.99973087200374</v>
      </c>
      <c r="U147">
        <v>416.47578444477335</v>
      </c>
      <c r="AC147">
        <v>83.988136593161158</v>
      </c>
      <c r="AD147">
        <v>1446.9038</v>
      </c>
    </row>
    <row r="148" spans="1:30" x14ac:dyDescent="0.25">
      <c r="A148" s="36">
        <v>-2.8099800957108707</v>
      </c>
      <c r="B148" s="49">
        <v>-257.76684108084271</v>
      </c>
      <c r="C148" s="49">
        <v>-104.68425080014146</v>
      </c>
      <c r="D148" s="48">
        <f t="shared" si="35"/>
        <v>-2.7558216357647916</v>
      </c>
      <c r="P148" s="37">
        <v>19</v>
      </c>
      <c r="Q148">
        <v>673.14569600000016</v>
      </c>
      <c r="R148">
        <v>266.59084777648872</v>
      </c>
      <c r="S148">
        <v>0.78539816339744828</v>
      </c>
      <c r="T148">
        <v>1035.6086279748486</v>
      </c>
      <c r="U148">
        <v>410.13976580998263</v>
      </c>
      <c r="AC148">
        <v>84.836500599152686</v>
      </c>
      <c r="AD148">
        <v>1446.9038</v>
      </c>
    </row>
    <row r="149" spans="1:30" x14ac:dyDescent="0.25">
      <c r="A149" s="36">
        <v>-2.7925268031909272</v>
      </c>
      <c r="B149" s="49">
        <v>-254.60353834762009</v>
      </c>
      <c r="C149" s="49">
        <v>-109.50242336114495</v>
      </c>
      <c r="D149" s="48">
        <f t="shared" si="35"/>
        <v>-2.7354186832317469</v>
      </c>
      <c r="P149" s="37">
        <v>20</v>
      </c>
      <c r="Q149">
        <v>729.44156800000019</v>
      </c>
      <c r="R149">
        <v>260.22144201448094</v>
      </c>
      <c r="S149">
        <v>0.78539816339744828</v>
      </c>
      <c r="T149">
        <v>1122.2177992767706</v>
      </c>
      <c r="U149">
        <v>400.34068002227832</v>
      </c>
    </row>
    <row r="150" spans="1:30" x14ac:dyDescent="0.25">
      <c r="A150" s="36">
        <v>-2.7750735106709841</v>
      </c>
      <c r="B150" s="49">
        <v>-250.73518270350317</v>
      </c>
      <c r="C150" s="49">
        <v>-113.50563280097084</v>
      </c>
      <c r="D150" s="48">
        <f t="shared" si="35"/>
        <v>-2.7165029056344845</v>
      </c>
      <c r="P150" s="37">
        <v>21</v>
      </c>
      <c r="Q150">
        <v>785.73744000000022</v>
      </c>
      <c r="R150">
        <v>251.43252023487869</v>
      </c>
      <c r="S150">
        <v>0.78539816339744828</v>
      </c>
      <c r="T150">
        <v>1208.8268328369936</v>
      </c>
      <c r="U150">
        <v>386.81926189981334</v>
      </c>
    </row>
    <row r="151" spans="1:30" x14ac:dyDescent="0.25">
      <c r="A151" s="36">
        <v>-2.7576202181510405</v>
      </c>
      <c r="B151" s="49">
        <v>-247.10672489676622</v>
      </c>
      <c r="C151" s="49">
        <v>-117.21857539317163</v>
      </c>
      <c r="D151" s="48">
        <f t="shared" si="35"/>
        <v>-2.6986632287218759</v>
      </c>
      <c r="P151" s="37">
        <v>22</v>
      </c>
      <c r="Q151">
        <v>842.03331200000025</v>
      </c>
      <c r="R151">
        <v>240.04019378984569</v>
      </c>
      <c r="S151">
        <v>0.78539816339744817</v>
      </c>
      <c r="T151">
        <v>1295.4357472347101</v>
      </c>
      <c r="U151">
        <v>369.29260583053178</v>
      </c>
    </row>
    <row r="152" spans="1:30" x14ac:dyDescent="0.25">
      <c r="A152" s="36">
        <v>-2.7401669256310974</v>
      </c>
      <c r="B152" s="49">
        <v>-243.68910589834692</v>
      </c>
      <c r="C152" s="49">
        <v>-120.68543184104712</v>
      </c>
      <c r="D152" s="48">
        <f t="shared" si="35"/>
        <v>-2.681757525418266</v>
      </c>
      <c r="P152" s="37">
        <v>23</v>
      </c>
      <c r="Q152">
        <v>898.32918400000028</v>
      </c>
      <c r="R152">
        <v>225.84062144257084</v>
      </c>
      <c r="S152">
        <v>0.78539816339744828</v>
      </c>
      <c r="T152">
        <v>1382.0448992528914</v>
      </c>
      <c r="U152">
        <v>347.44710991164743</v>
      </c>
    </row>
    <row r="153" spans="1:30" x14ac:dyDescent="0.25">
      <c r="A153" s="36">
        <v>-2.7227136331111539</v>
      </c>
      <c r="B153" s="49">
        <v>-240.45746760574963</v>
      </c>
      <c r="C153" s="49">
        <v>-123.94256853039504</v>
      </c>
      <c r="D153" s="48">
        <f t="shared" si="35"/>
        <v>-2.6656656298827035</v>
      </c>
      <c r="P153" s="37">
        <v>24</v>
      </c>
      <c r="Q153">
        <v>954.62505600000031</v>
      </c>
      <c r="R153">
        <v>208.60396275030718</v>
      </c>
      <c r="S153">
        <v>0.78539816339744817</v>
      </c>
      <c r="T153">
        <v>1468.6539533360917</v>
      </c>
      <c r="U153">
        <v>320.92917346201102</v>
      </c>
    </row>
    <row r="154" spans="1:30" x14ac:dyDescent="0.25">
      <c r="A154" s="36">
        <v>-2.7052603405912108</v>
      </c>
      <c r="B154" s="49">
        <v>-237.3904294455464</v>
      </c>
      <c r="C154" s="49">
        <v>-127.02020469171399</v>
      </c>
      <c r="D154" s="48">
        <f t="shared" si="35"/>
        <v>-2.6502851838694106</v>
      </c>
      <c r="P154" s="37">
        <v>25</v>
      </c>
      <c r="Q154">
        <v>1010.9209280000003</v>
      </c>
      <c r="R154">
        <v>188.09482551385065</v>
      </c>
      <c r="S154">
        <v>0.78539816339744817</v>
      </c>
      <c r="T154">
        <v>1555.2629142181454</v>
      </c>
      <c r="U154">
        <v>289.37665463669327</v>
      </c>
    </row>
    <row r="155" spans="1:30" x14ac:dyDescent="0.25">
      <c r="A155" s="36">
        <v>-2.6878070480712672</v>
      </c>
      <c r="B155" s="49">
        <v>-234.46957738410205</v>
      </c>
      <c r="C155" s="49">
        <v>-129.94368015335434</v>
      </c>
      <c r="D155" s="48">
        <f t="shared" si="35"/>
        <v>-2.6355285049323851</v>
      </c>
      <c r="P155" s="37">
        <v>26</v>
      </c>
      <c r="Q155">
        <v>1067.2168000000004</v>
      </c>
      <c r="R155">
        <v>32.469313489717848</v>
      </c>
      <c r="S155">
        <v>0.78539816339744806</v>
      </c>
      <c r="T155">
        <v>1961.0107958533829</v>
      </c>
      <c r="U155">
        <v>49.952789984181301</v>
      </c>
    </row>
    <row r="156" spans="1:30" x14ac:dyDescent="0.25">
      <c r="A156" s="36">
        <v>-2.6703537555513241</v>
      </c>
      <c r="B156" s="49">
        <v>-232.63254191552869</v>
      </c>
      <c r="C156" s="49">
        <v>-132.74956541360638</v>
      </c>
      <c r="D156" s="48">
        <f t="shared" si="35"/>
        <v>-2.6230407757667962</v>
      </c>
      <c r="P156" s="37">
        <v>27</v>
      </c>
      <c r="Q156">
        <v>1067.2168000000004</v>
      </c>
      <c r="R156">
        <v>0</v>
      </c>
    </row>
    <row r="157" spans="1:30" x14ac:dyDescent="0.25">
      <c r="A157" s="36">
        <v>-2.6529004630313811</v>
      </c>
      <c r="B157" s="49">
        <v>-229.95972656333348</v>
      </c>
      <c r="C157" s="49">
        <v>-135.41018720512392</v>
      </c>
      <c r="D157" s="48">
        <f t="shared" si="35"/>
        <v>-2.6094171844011287</v>
      </c>
      <c r="P157" s="37">
        <v>28</v>
      </c>
    </row>
    <row r="158" spans="1:30" x14ac:dyDescent="0.25">
      <c r="A158" s="36">
        <v>-2.6354471705114375</v>
      </c>
      <c r="B158" s="49">
        <v>-227.39059794337399</v>
      </c>
      <c r="C158" s="49">
        <v>-137.9731557297213</v>
      </c>
      <c r="D158" s="48">
        <f t="shared" si="35"/>
        <v>-2.5962121253099846</v>
      </c>
      <c r="P158" s="37">
        <v>29</v>
      </c>
    </row>
    <row r="159" spans="1:30" x14ac:dyDescent="0.25">
      <c r="A159" s="36">
        <v>-2.6179938779914944</v>
      </c>
      <c r="B159" s="49">
        <v>-224.91397116551602</v>
      </c>
      <c r="C159" s="49">
        <v>-140.45204412459128</v>
      </c>
      <c r="D159" s="48">
        <f t="shared" si="35"/>
        <v>-2.5833744996873187</v>
      </c>
      <c r="P159" s="37">
        <v>30</v>
      </c>
    </row>
    <row r="160" spans="1:30" x14ac:dyDescent="0.25">
      <c r="A160" s="36">
        <v>-2.6005405854715509</v>
      </c>
      <c r="B160" s="49">
        <v>-222.40089431163963</v>
      </c>
      <c r="C160" s="49">
        <v>-142.94123671076278</v>
      </c>
      <c r="D160" s="48">
        <f t="shared" si="35"/>
        <v>-2.570353066179786</v>
      </c>
      <c r="P160" s="37">
        <v>31</v>
      </c>
    </row>
    <row r="161" spans="1:16" x14ac:dyDescent="0.25">
      <c r="A161" s="36">
        <v>-2.5830872929516078</v>
      </c>
      <c r="B161" s="49">
        <v>-218.99410120385454</v>
      </c>
      <c r="C161" s="49">
        <v>-146.03555511115741</v>
      </c>
      <c r="D161" s="48">
        <f t="shared" si="35"/>
        <v>-2.5534652278526404</v>
      </c>
      <c r="P161" s="37">
        <v>32</v>
      </c>
    </row>
    <row r="162" spans="1:16" x14ac:dyDescent="0.25">
      <c r="A162" s="36">
        <v>-2.5656340004316642</v>
      </c>
      <c r="B162" s="49">
        <v>-215.69864517531593</v>
      </c>
      <c r="C162" s="49">
        <v>-149.03866881374785</v>
      </c>
      <c r="D162" s="48">
        <f t="shared" si="35"/>
        <v>-2.5369610703108587</v>
      </c>
      <c r="P162" s="37">
        <v>33</v>
      </c>
    </row>
    <row r="163" spans="1:16" x14ac:dyDescent="0.25">
      <c r="A163" s="36">
        <v>-2.5481807079117211</v>
      </c>
      <c r="B163" s="49">
        <v>-212.50331857200422</v>
      </c>
      <c r="C163" s="49">
        <v>-151.96289447208295</v>
      </c>
      <c r="D163" s="48">
        <f t="shared" si="35"/>
        <v>-2.5207986707463785</v>
      </c>
      <c r="P163" s="37">
        <v>34</v>
      </c>
    </row>
    <row r="164" spans="1:16" x14ac:dyDescent="0.25">
      <c r="A164" s="36">
        <v>-2.5307274153917776</v>
      </c>
      <c r="B164" s="49">
        <v>-209.39787709308581</v>
      </c>
      <c r="C164" s="49">
        <v>-154.81925640089315</v>
      </c>
      <c r="D164" s="48">
        <f t="shared" si="35"/>
        <v>-2.5049395700180366</v>
      </c>
      <c r="P164" s="37">
        <v>35</v>
      </c>
    </row>
    <row r="165" spans="1:16" x14ac:dyDescent="0.25">
      <c r="A165" s="36">
        <v>-2.5132741228718345</v>
      </c>
      <c r="B165" s="49">
        <v>-206.37297293672725</v>
      </c>
      <c r="C165" s="49">
        <v>-157.61776014942333</v>
      </c>
      <c r="D165" s="48">
        <f t="shared" si="35"/>
        <v>-2.4893482361937771</v>
      </c>
      <c r="P165" s="37">
        <v>36</v>
      </c>
    </row>
    <row r="166" spans="1:16" x14ac:dyDescent="0.25">
      <c r="A166" s="36">
        <v>-2.4958208303518914</v>
      </c>
      <c r="B166" s="49">
        <v>-203.41995119017099</v>
      </c>
      <c r="C166" s="49">
        <v>-160.3674994575268</v>
      </c>
      <c r="D166" s="48">
        <f t="shared" si="35"/>
        <v>-2.4739916620432929</v>
      </c>
      <c r="P166" s="37">
        <v>37</v>
      </c>
    </row>
    <row r="167" spans="1:16" x14ac:dyDescent="0.25">
      <c r="A167" s="36">
        <v>-2.4783675378319479</v>
      </c>
      <c r="B167" s="49">
        <v>-200.53076974500451</v>
      </c>
      <c r="C167" s="49">
        <v>-163.07682664604729</v>
      </c>
      <c r="D167" s="48">
        <f t="shared" si="35"/>
        <v>-2.4588389731806108</v>
      </c>
      <c r="P167" s="37">
        <v>38</v>
      </c>
    </row>
    <row r="168" spans="1:16" x14ac:dyDescent="0.25">
      <c r="A168" s="36">
        <v>-2.4609142453120048</v>
      </c>
      <c r="B168" s="49">
        <v>-197.69791544449953</v>
      </c>
      <c r="C168" s="49">
        <v>-165.75348850110603</v>
      </c>
      <c r="D168" s="48">
        <f t="shared" si="35"/>
        <v>-2.4438610917043198</v>
      </c>
      <c r="P168" s="37">
        <v>39</v>
      </c>
    </row>
    <row r="169" spans="1:16" x14ac:dyDescent="0.25">
      <c r="A169" s="36">
        <v>-2.4434609527920612</v>
      </c>
      <c r="B169" s="49">
        <v>-194.9143314940157</v>
      </c>
      <c r="C169" s="49">
        <v>-168.40474636748849</v>
      </c>
      <c r="D169" s="48">
        <f t="shared" si="35"/>
        <v>-2.4290304399131797</v>
      </c>
      <c r="P169" s="37">
        <v>40</v>
      </c>
    </row>
    <row r="170" spans="1:16" x14ac:dyDescent="0.25">
      <c r="A170" s="36">
        <v>-2.4260076602721181</v>
      </c>
      <c r="B170" s="49">
        <v>-192.17328633617285</v>
      </c>
      <c r="C170" s="49">
        <v>-171.03741950714482</v>
      </c>
      <c r="D170" s="48">
        <f t="shared" si="35"/>
        <v>-2.4143206894619027</v>
      </c>
      <c r="P170" s="37">
        <v>41</v>
      </c>
    </row>
    <row r="171" spans="1:16" x14ac:dyDescent="0.25">
      <c r="A171" s="36">
        <v>-2.4085543677521746</v>
      </c>
      <c r="B171" s="49">
        <v>-189.46833581447703</v>
      </c>
      <c r="C171" s="49">
        <v>-173.65799658587545</v>
      </c>
      <c r="D171" s="48">
        <f t="shared" si="35"/>
        <v>-2.3997065097732957</v>
      </c>
      <c r="P171" s="37">
        <v>42</v>
      </c>
    </row>
    <row r="172" spans="1:16" x14ac:dyDescent="0.25">
      <c r="A172" s="36">
        <v>-2.3911010752322315</v>
      </c>
      <c r="B172" s="49">
        <v>-186.79330681720614</v>
      </c>
      <c r="C172" s="49">
        <v>-176.27275686141326</v>
      </c>
      <c r="D172" s="48">
        <f t="shared" si="35"/>
        <v>-2.385163341634589</v>
      </c>
      <c r="P172" s="37">
        <v>43</v>
      </c>
    </row>
    <row r="173" spans="1:16" x14ac:dyDescent="0.25">
      <c r="A173" s="36">
        <v>-2.3736477827122879</v>
      </c>
      <c r="B173" s="49">
        <v>-184.14213431628346</v>
      </c>
      <c r="C173" s="49">
        <v>-178.88773960690907</v>
      </c>
      <c r="D173" s="48">
        <f t="shared" si="35"/>
        <v>-2.3706672050313564</v>
      </c>
      <c r="P173" s="37">
        <v>44</v>
      </c>
    </row>
    <row r="174" spans="1:16" x14ac:dyDescent="0.25">
      <c r="A174" s="36">
        <v>-2.3561944901923448</v>
      </c>
      <c r="B174" s="49">
        <v>-181.50890298302932</v>
      </c>
      <c r="C174" s="49">
        <v>-181.50890298302934</v>
      </c>
      <c r="D174" s="48">
        <f t="shared" si="35"/>
        <v>-2.3561944901923448</v>
      </c>
      <c r="P174" s="37">
        <v>45</v>
      </c>
    </row>
    <row r="175" spans="1:16" x14ac:dyDescent="0.25">
      <c r="A175" s="36">
        <v>-2.3387411976724017</v>
      </c>
      <c r="B175" s="49">
        <v>-178.88773960690909</v>
      </c>
      <c r="C175" s="49">
        <v>-184.14213431628352</v>
      </c>
      <c r="D175" s="48">
        <f t="shared" si="35"/>
        <v>-2.3417217753533333</v>
      </c>
      <c r="P175" s="37">
        <v>46</v>
      </c>
    </row>
    <row r="176" spans="1:16" x14ac:dyDescent="0.25">
      <c r="A176" s="36">
        <v>-2.3212879051524582</v>
      </c>
      <c r="B176" s="49">
        <v>-176.27275686141326</v>
      </c>
      <c r="C176" s="49">
        <v>-186.79330681720617</v>
      </c>
      <c r="D176" s="48">
        <f t="shared" si="35"/>
        <v>-2.3272256387501007</v>
      </c>
      <c r="P176" s="37">
        <v>47</v>
      </c>
    </row>
    <row r="177" spans="1:16" x14ac:dyDescent="0.25">
      <c r="A177" s="36">
        <v>-2.3038346126325147</v>
      </c>
      <c r="B177" s="49">
        <v>-173.65799658587542</v>
      </c>
      <c r="C177" s="49">
        <v>-189.46833581447717</v>
      </c>
      <c r="D177" s="48">
        <f t="shared" si="35"/>
        <v>-2.3126824706113935</v>
      </c>
      <c r="P177" s="37">
        <v>48</v>
      </c>
    </row>
    <row r="178" spans="1:16" x14ac:dyDescent="0.25">
      <c r="A178" s="36">
        <v>-2.2863813201125716</v>
      </c>
      <c r="B178" s="49">
        <v>-171.03741950714488</v>
      </c>
      <c r="C178" s="49">
        <v>-192.17328633617291</v>
      </c>
      <c r="D178" s="48">
        <f t="shared" si="35"/>
        <v>-2.298068290922787</v>
      </c>
      <c r="P178" s="37">
        <v>49</v>
      </c>
    </row>
    <row r="179" spans="1:16" x14ac:dyDescent="0.25">
      <c r="A179" s="36">
        <v>-2.2689280275926285</v>
      </c>
      <c r="B179" s="49">
        <v>-168.40474636748849</v>
      </c>
      <c r="C179" s="49">
        <v>-194.91433149401576</v>
      </c>
      <c r="D179" s="48">
        <f t="shared" si="35"/>
        <v>-2.28335854047151</v>
      </c>
      <c r="P179" s="37">
        <v>50</v>
      </c>
    </row>
    <row r="180" spans="1:16" x14ac:dyDescent="0.25">
      <c r="A180" s="36">
        <v>-2.2514747350726849</v>
      </c>
      <c r="B180" s="49">
        <v>-165.75348850110598</v>
      </c>
      <c r="C180" s="49">
        <v>-197.69791544449956</v>
      </c>
      <c r="D180" s="48">
        <f t="shared" si="35"/>
        <v>-2.2685278886803695</v>
      </c>
      <c r="P180" s="37">
        <v>51</v>
      </c>
    </row>
    <row r="181" spans="1:16" x14ac:dyDescent="0.25">
      <c r="A181" s="36">
        <v>-2.2340214425527418</v>
      </c>
      <c r="B181" s="49">
        <v>-163.07682664604724</v>
      </c>
      <c r="C181" s="49">
        <v>-200.53076974500456</v>
      </c>
      <c r="D181" s="48">
        <f t="shared" si="35"/>
        <v>-2.2535500072040784</v>
      </c>
      <c r="P181" s="37">
        <v>52</v>
      </c>
    </row>
    <row r="182" spans="1:16" x14ac:dyDescent="0.25">
      <c r="A182" s="36">
        <v>-2.2165681500327983</v>
      </c>
      <c r="B182" s="49">
        <v>-160.3674994575268</v>
      </c>
      <c r="C182" s="49">
        <v>-203.41995119017108</v>
      </c>
      <c r="D182" s="48">
        <f t="shared" si="35"/>
        <v>-2.2383973183413968</v>
      </c>
      <c r="P182" s="37">
        <v>53</v>
      </c>
    </row>
    <row r="183" spans="1:16" x14ac:dyDescent="0.25">
      <c r="A183" s="36">
        <v>-2.1991148575128552</v>
      </c>
      <c r="B183" s="49">
        <v>-157.61776014942333</v>
      </c>
      <c r="C183" s="49">
        <v>-206.37297293672731</v>
      </c>
      <c r="D183" s="48">
        <f t="shared" si="35"/>
        <v>-2.2230407441909121</v>
      </c>
      <c r="P183" s="37">
        <v>54</v>
      </c>
    </row>
    <row r="184" spans="1:16" x14ac:dyDescent="0.25">
      <c r="A184" s="36">
        <v>-2.1816615649929121</v>
      </c>
      <c r="B184" s="49">
        <v>-154.81925640089315</v>
      </c>
      <c r="C184" s="49">
        <v>-209.39787709308584</v>
      </c>
      <c r="D184" s="48">
        <f t="shared" si="35"/>
        <v>-2.2074494103666531</v>
      </c>
      <c r="P184" s="37">
        <v>55</v>
      </c>
    </row>
    <row r="185" spans="1:16" x14ac:dyDescent="0.25">
      <c r="A185" s="36">
        <v>-2.1642082724729685</v>
      </c>
      <c r="B185" s="49">
        <v>-151.96289447208284</v>
      </c>
      <c r="C185" s="49">
        <v>-212.50331857200422</v>
      </c>
      <c r="D185" s="48">
        <f t="shared" si="35"/>
        <v>-2.1915903096383107</v>
      </c>
      <c r="P185" s="37">
        <v>56</v>
      </c>
    </row>
    <row r="186" spans="1:16" x14ac:dyDescent="0.25">
      <c r="A186" s="36">
        <v>-2.146754979953025</v>
      </c>
      <c r="B186" s="49">
        <v>-149.03866881374776</v>
      </c>
      <c r="C186" s="49">
        <v>-215.69864517531602</v>
      </c>
      <c r="D186" s="48">
        <f t="shared" si="35"/>
        <v>-2.1754279100738305</v>
      </c>
      <c r="P186" s="37">
        <v>57</v>
      </c>
    </row>
    <row r="187" spans="1:16" x14ac:dyDescent="0.25">
      <c r="A187" s="36">
        <v>-2.1293016874330819</v>
      </c>
      <c r="B187" s="49">
        <v>-146.03555511115738</v>
      </c>
      <c r="C187" s="49">
        <v>-218.99410120385465</v>
      </c>
      <c r="D187" s="48">
        <f t="shared" si="35"/>
        <v>-2.1589237525320488</v>
      </c>
      <c r="P187" s="37">
        <v>58</v>
      </c>
    </row>
    <row r="188" spans="1:16" x14ac:dyDescent="0.25">
      <c r="A188" s="36">
        <v>-2.1118483949131388</v>
      </c>
      <c r="B188" s="49">
        <v>-142.94123671076287</v>
      </c>
      <c r="C188" s="49">
        <v>-222.40089431163972</v>
      </c>
      <c r="D188" s="48">
        <f t="shared" si="35"/>
        <v>-2.1420359142049037</v>
      </c>
      <c r="P188" s="37">
        <v>59</v>
      </c>
    </row>
    <row r="189" spans="1:16" x14ac:dyDescent="0.25">
      <c r="A189" s="36">
        <v>-2.0943951023931957</v>
      </c>
      <c r="B189" s="49">
        <v>-140.45204412459134</v>
      </c>
      <c r="C189" s="49">
        <v>-224.91397116551599</v>
      </c>
      <c r="D189" s="48">
        <f t="shared" si="35"/>
        <v>-2.1290144806973714</v>
      </c>
      <c r="P189" s="37">
        <v>60</v>
      </c>
    </row>
    <row r="190" spans="1:16" x14ac:dyDescent="0.25">
      <c r="A190" s="36">
        <v>-2.0769418098732522</v>
      </c>
      <c r="B190" s="49">
        <v>-137.9731557297213</v>
      </c>
      <c r="C190" s="49">
        <v>-227.39059794337405</v>
      </c>
      <c r="D190" s="48">
        <f t="shared" si="35"/>
        <v>-2.1161768550747047</v>
      </c>
      <c r="P190" s="37">
        <v>61</v>
      </c>
    </row>
    <row r="191" spans="1:16" x14ac:dyDescent="0.25">
      <c r="A191" s="36">
        <v>-2.0594885173533086</v>
      </c>
      <c r="B191" s="49">
        <v>-135.41018720512395</v>
      </c>
      <c r="C191" s="49">
        <v>-229.95972656333362</v>
      </c>
      <c r="D191" s="48">
        <f t="shared" si="35"/>
        <v>-2.1029717959835605</v>
      </c>
      <c r="P191" s="37">
        <v>62</v>
      </c>
    </row>
    <row r="192" spans="1:16" x14ac:dyDescent="0.25">
      <c r="A192" s="36">
        <v>-2.0420352248333655</v>
      </c>
      <c r="B192" s="49">
        <v>-132.74956541360638</v>
      </c>
      <c r="C192" s="49">
        <v>-232.63254191552869</v>
      </c>
      <c r="D192" s="48">
        <f t="shared" si="35"/>
        <v>-2.0893482046178935</v>
      </c>
      <c r="P192" s="37">
        <v>63</v>
      </c>
    </row>
    <row r="193" spans="1:16" x14ac:dyDescent="0.25">
      <c r="A193" s="36">
        <v>-2.0245819323134224</v>
      </c>
      <c r="B193" s="49">
        <v>-129.94368015335436</v>
      </c>
      <c r="C193" s="49">
        <v>-234.46957738410211</v>
      </c>
      <c r="D193" s="48">
        <f t="shared" si="35"/>
        <v>-2.0768604754523046</v>
      </c>
      <c r="P193" s="37">
        <v>64</v>
      </c>
    </row>
    <row r="194" spans="1:16" x14ac:dyDescent="0.25">
      <c r="A194" s="36">
        <v>-2.0071286397934789</v>
      </c>
      <c r="B194" s="49">
        <v>-127.02020469171396</v>
      </c>
      <c r="C194" s="49">
        <v>-237.39042944554643</v>
      </c>
      <c r="D194" s="48">
        <f t="shared" ref="D194:D257" si="36">ATAN2(B194,C194)</f>
        <v>-2.0621037965152786</v>
      </c>
      <c r="P194" s="37">
        <v>65</v>
      </c>
    </row>
    <row r="195" spans="1:16" x14ac:dyDescent="0.25">
      <c r="A195" s="36">
        <v>-1.9896753472735356</v>
      </c>
      <c r="B195" s="49">
        <v>-123.94256853039499</v>
      </c>
      <c r="C195" s="49">
        <v>-240.45746760574991</v>
      </c>
      <c r="D195" s="48">
        <f t="shared" si="36"/>
        <v>-2.0467233505019853</v>
      </c>
      <c r="P195" s="37">
        <v>66</v>
      </c>
    </row>
    <row r="196" spans="1:16" x14ac:dyDescent="0.25">
      <c r="A196" s="36">
        <v>-1.9722220547535922</v>
      </c>
      <c r="B196" s="49">
        <v>-120.68543184104708</v>
      </c>
      <c r="C196" s="49">
        <v>-243.68910589834678</v>
      </c>
      <c r="D196" s="48">
        <f t="shared" si="36"/>
        <v>-2.0306314549664233</v>
      </c>
      <c r="P196" s="37">
        <v>67</v>
      </c>
    </row>
    <row r="197" spans="1:16" x14ac:dyDescent="0.25">
      <c r="A197" s="36">
        <v>-1.9547687622336489</v>
      </c>
      <c r="B197" s="49">
        <v>-117.21857539317155</v>
      </c>
      <c r="C197" s="49">
        <v>-247.10672489676645</v>
      </c>
      <c r="D197" s="48">
        <f t="shared" si="36"/>
        <v>-2.0137257516628129</v>
      </c>
      <c r="P197" s="37">
        <v>68</v>
      </c>
    </row>
    <row r="198" spans="1:16" x14ac:dyDescent="0.25">
      <c r="A198" s="36">
        <v>-1.9373154697137058</v>
      </c>
      <c r="B198" s="49">
        <v>-113.50563280097079</v>
      </c>
      <c r="C198" s="49">
        <v>-250.73518270350311</v>
      </c>
      <c r="D198" s="48">
        <f t="shared" si="36"/>
        <v>-1.995886074750205</v>
      </c>
      <c r="P198" s="37">
        <v>69</v>
      </c>
    </row>
    <row r="199" spans="1:16" x14ac:dyDescent="0.25">
      <c r="A199" s="36">
        <v>-1.9198621771937625</v>
      </c>
      <c r="B199" s="49">
        <v>-109.50242336114493</v>
      </c>
      <c r="C199" s="49">
        <v>-254.60353834762029</v>
      </c>
      <c r="D199" s="48">
        <f t="shared" si="36"/>
        <v>-1.9769702971529426</v>
      </c>
      <c r="P199" s="37">
        <v>70</v>
      </c>
    </row>
    <row r="200" spans="1:16" x14ac:dyDescent="0.25">
      <c r="A200" s="36">
        <v>-1.9024088846738192</v>
      </c>
      <c r="B200" s="49">
        <v>-104.68425080014147</v>
      </c>
      <c r="C200" s="49">
        <v>-257.7668410808426</v>
      </c>
      <c r="D200" s="48">
        <f t="shared" si="36"/>
        <v>-1.9565673446198983</v>
      </c>
      <c r="P200" s="37">
        <v>71</v>
      </c>
    </row>
    <row r="201" spans="1:16" x14ac:dyDescent="0.25">
      <c r="A201" s="36">
        <v>-1.8849555921538759</v>
      </c>
      <c r="B201" s="49">
        <v>-99.024332374852904</v>
      </c>
      <c r="C201" s="49">
        <v>-260.08952503740579</v>
      </c>
      <c r="D201" s="48">
        <f t="shared" si="36"/>
        <v>-1.9345825736755129</v>
      </c>
      <c r="P201" s="37">
        <v>72</v>
      </c>
    </row>
    <row r="202" spans="1:16" x14ac:dyDescent="0.25">
      <c r="A202" s="36">
        <v>-1.8675022996339325</v>
      </c>
      <c r="B202" s="49">
        <v>-93.276237502521965</v>
      </c>
      <c r="C202" s="49">
        <v>-262.3806823059453</v>
      </c>
      <c r="D202" s="48">
        <f t="shared" si="36"/>
        <v>-1.9123621744656041</v>
      </c>
      <c r="P202" s="37">
        <v>73</v>
      </c>
    </row>
    <row r="203" spans="1:16" x14ac:dyDescent="0.25">
      <c r="A203" s="36">
        <v>-1.8500490071139892</v>
      </c>
      <c r="B203" s="49">
        <v>-87.500039122850538</v>
      </c>
      <c r="C203" s="49">
        <v>-264.61974348889669</v>
      </c>
      <c r="D203" s="48">
        <f t="shared" si="36"/>
        <v>-1.8901419345290329</v>
      </c>
      <c r="P203" s="37">
        <v>74</v>
      </c>
    </row>
    <row r="204" spans="1:16" x14ac:dyDescent="0.25">
      <c r="A204" s="36">
        <v>-1.8325957145940459</v>
      </c>
      <c r="B204" s="49">
        <v>-81.68727959920551</v>
      </c>
      <c r="C204" s="49">
        <v>-266.81271776638465</v>
      </c>
      <c r="D204" s="48">
        <f t="shared" si="36"/>
        <v>-1.8678945225870134</v>
      </c>
      <c r="P204" s="37">
        <v>75</v>
      </c>
    </row>
    <row r="205" spans="1:16" x14ac:dyDescent="0.25">
      <c r="A205" s="36">
        <v>-1.8151424220741026</v>
      </c>
      <c r="B205" s="49">
        <v>-75.829102613155683</v>
      </c>
      <c r="C205" s="49">
        <v>-268.96567589985955</v>
      </c>
      <c r="D205" s="48">
        <f t="shared" si="36"/>
        <v>-1.8455924754264881</v>
      </c>
      <c r="P205" s="37">
        <v>76</v>
      </c>
    </row>
    <row r="206" spans="1:16" x14ac:dyDescent="0.25">
      <c r="A206" s="36">
        <v>-1.7976891295541593</v>
      </c>
      <c r="B206" s="49">
        <v>-69.916174747420939</v>
      </c>
      <c r="C206" s="49">
        <v>-271.08471652523764</v>
      </c>
      <c r="D206" s="48">
        <f t="shared" si="36"/>
        <v>-1.8232082036725572</v>
      </c>
      <c r="P206" s="37">
        <v>77</v>
      </c>
    </row>
    <row r="207" spans="1:16" x14ac:dyDescent="0.25">
      <c r="A207" s="36">
        <v>-1.7802358370342162</v>
      </c>
      <c r="B207" s="49">
        <v>-63.938595305361858</v>
      </c>
      <c r="C207" s="49">
        <v>-273.17594052269413</v>
      </c>
      <c r="D207" s="48">
        <f t="shared" si="36"/>
        <v>-1.8007139454282384</v>
      </c>
      <c r="P207">
        <v>78</v>
      </c>
    </row>
    <row r="208" spans="1:16" x14ac:dyDescent="0.25">
      <c r="A208" s="36">
        <v>-1.7627825445142729</v>
      </c>
      <c r="B208" s="49">
        <v>-57.885836205180603</v>
      </c>
      <c r="C208" s="49">
        <v>-275.24575921993591</v>
      </c>
      <c r="D208" s="48">
        <f t="shared" si="36"/>
        <v>-1.7780815837966157</v>
      </c>
      <c r="P208">
        <v>79</v>
      </c>
    </row>
    <row r="209" spans="1:16" x14ac:dyDescent="0.25">
      <c r="A209" s="36">
        <v>-1.7453292519943295</v>
      </c>
      <c r="B209" s="49">
        <v>-51.746600547299892</v>
      </c>
      <c r="C209" s="49">
        <v>-277.30062813955698</v>
      </c>
      <c r="D209" s="48">
        <f t="shared" si="36"/>
        <v>-1.755282728068208</v>
      </c>
      <c r="P209">
        <v>80</v>
      </c>
    </row>
    <row r="210" spans="1:16" x14ac:dyDescent="0.25">
      <c r="A210" s="36">
        <v>-1.7278759594743862</v>
      </c>
      <c r="B210" s="49">
        <v>-45.508712204428363</v>
      </c>
      <c r="C210" s="49">
        <v>-279.34720545775565</v>
      </c>
      <c r="D210" s="48">
        <f t="shared" si="36"/>
        <v>-1.7322885604185971</v>
      </c>
      <c r="P210">
        <v>81</v>
      </c>
    </row>
    <row r="211" spans="1:16" x14ac:dyDescent="0.25">
      <c r="A211" s="36">
        <v>-1.7104226669544429</v>
      </c>
      <c r="B211" s="49">
        <v>-39.23442854068584</v>
      </c>
      <c r="C211" s="49">
        <v>-281.32307688958031</v>
      </c>
      <c r="D211" s="48">
        <f t="shared" si="36"/>
        <v>-1.7093664877620212</v>
      </c>
      <c r="P211">
        <v>82</v>
      </c>
    </row>
    <row r="212" spans="1:16" x14ac:dyDescent="0.25">
      <c r="A212" s="36">
        <v>-1.6929693744344996</v>
      </c>
      <c r="B212" s="49">
        <v>-34.42982260298583</v>
      </c>
      <c r="C212" s="49">
        <v>-281.83099230494679</v>
      </c>
      <c r="D212" s="48">
        <f t="shared" si="36"/>
        <v>-1.6923587579028094</v>
      </c>
      <c r="P212">
        <v>83</v>
      </c>
    </row>
    <row r="213" spans="1:16" x14ac:dyDescent="0.25">
      <c r="A213" s="36">
        <v>-1.6755160819145563</v>
      </c>
      <c r="B213" s="49">
        <v>-29.564720223816238</v>
      </c>
      <c r="C213" s="49">
        <v>-282.27062409190586</v>
      </c>
      <c r="D213" s="48">
        <f t="shared" si="36"/>
        <v>-1.6751547441298134</v>
      </c>
      <c r="P213">
        <v>84</v>
      </c>
    </row>
    <row r="214" spans="1:16" x14ac:dyDescent="0.25">
      <c r="A214" s="36">
        <v>-1.6580627893946129</v>
      </c>
      <c r="B214" s="49">
        <v>-24.626889145905796</v>
      </c>
      <c r="C214" s="49">
        <v>-282.64319013986301</v>
      </c>
      <c r="D214" s="48">
        <f t="shared" si="36"/>
        <v>-1.6577074993511041</v>
      </c>
      <c r="P214">
        <v>85</v>
      </c>
    </row>
    <row r="215" spans="1:16" x14ac:dyDescent="0.25">
      <c r="A215" s="36">
        <v>-1.6406094968746696</v>
      </c>
      <c r="B215" s="49">
        <v>-19.602362885876982</v>
      </c>
      <c r="C215" s="49">
        <v>-282.94949631153833</v>
      </c>
      <c r="D215" s="48">
        <f t="shared" si="36"/>
        <v>-1.6399644730975125</v>
      </c>
      <c r="P215">
        <v>86</v>
      </c>
    </row>
    <row r="216" spans="1:16" x14ac:dyDescent="0.25">
      <c r="A216" s="36">
        <v>-1.6231562043547265</v>
      </c>
      <c r="B216" s="49">
        <v>-16.171768576533939</v>
      </c>
      <c r="C216" s="49">
        <v>-283.12105431393871</v>
      </c>
      <c r="D216" s="48">
        <f t="shared" si="36"/>
        <v>-1.6278539530791962</v>
      </c>
      <c r="P216">
        <v>87</v>
      </c>
    </row>
    <row r="217" spans="1:16" x14ac:dyDescent="0.25">
      <c r="A217" s="36">
        <v>-1.6057029118347832</v>
      </c>
      <c r="B217" s="49">
        <v>-10.932304804560998</v>
      </c>
      <c r="C217" s="49">
        <v>-283.2990282725936</v>
      </c>
      <c r="D217" s="48">
        <f t="shared" si="36"/>
        <v>-1.6093664664985921</v>
      </c>
      <c r="P217">
        <v>88</v>
      </c>
    </row>
    <row r="218" spans="1:16" x14ac:dyDescent="0.25">
      <c r="A218" s="36">
        <v>-1.5882496193148399</v>
      </c>
      <c r="B218" s="49">
        <v>-5.5505222304779629</v>
      </c>
      <c r="C218" s="49">
        <v>-283.4126239234804</v>
      </c>
      <c r="D218" s="48">
        <f t="shared" si="36"/>
        <v>-1.5903784211655796</v>
      </c>
      <c r="P218">
        <v>89</v>
      </c>
    </row>
    <row r="219" spans="1:16" x14ac:dyDescent="0.25">
      <c r="A219" s="36">
        <v>-1.5707963267948966</v>
      </c>
      <c r="B219" s="49">
        <v>2.0561613979128343E-14</v>
      </c>
      <c r="C219" s="49">
        <v>-283.46232815521176</v>
      </c>
      <c r="D219" s="48">
        <f t="shared" si="36"/>
        <v>-1.5707963267948966</v>
      </c>
      <c r="P219">
        <v>90</v>
      </c>
    </row>
    <row r="220" spans="1:16" x14ac:dyDescent="0.25">
      <c r="A220" s="36">
        <v>-1.5533430342749532</v>
      </c>
      <c r="B220" s="49">
        <v>5.5505222304780073</v>
      </c>
      <c r="C220" s="49">
        <v>-283.41262392348028</v>
      </c>
      <c r="D220" s="48">
        <f t="shared" si="36"/>
        <v>-1.5512142324242133</v>
      </c>
      <c r="P220">
        <v>91</v>
      </c>
    </row>
    <row r="221" spans="1:16" x14ac:dyDescent="0.25">
      <c r="A221" s="36">
        <v>-1.5358897417550099</v>
      </c>
      <c r="B221" s="49">
        <v>10.932304804561037</v>
      </c>
      <c r="C221" s="49">
        <v>-283.29902827259355</v>
      </c>
      <c r="D221" s="48">
        <f t="shared" si="36"/>
        <v>-1.5322261870912008</v>
      </c>
      <c r="P221">
        <v>92</v>
      </c>
    </row>
    <row r="222" spans="1:16" x14ac:dyDescent="0.25">
      <c r="A222" s="36">
        <v>-1.5184364492350666</v>
      </c>
      <c r="B222" s="49">
        <v>16.17176857653396</v>
      </c>
      <c r="C222" s="49">
        <v>-283.12105431393871</v>
      </c>
      <c r="D222" s="48">
        <f t="shared" si="36"/>
        <v>-1.5137387005105967</v>
      </c>
      <c r="P222">
        <v>93</v>
      </c>
    </row>
    <row r="223" spans="1:16" x14ac:dyDescent="0.25">
      <c r="A223" s="36">
        <v>-1.5009831567151233</v>
      </c>
      <c r="B223" s="49">
        <v>19.602362885877071</v>
      </c>
      <c r="C223" s="49">
        <v>-282.94949631153821</v>
      </c>
      <c r="D223" s="48">
        <f t="shared" si="36"/>
        <v>-1.5016281804922802</v>
      </c>
      <c r="P223">
        <v>94</v>
      </c>
    </row>
    <row r="224" spans="1:16" x14ac:dyDescent="0.25">
      <c r="A224" s="36">
        <v>-1.48352986419518</v>
      </c>
      <c r="B224" s="49">
        <v>24.626889145905892</v>
      </c>
      <c r="C224" s="49">
        <v>-282.64319013986301</v>
      </c>
      <c r="D224" s="48">
        <f t="shared" si="36"/>
        <v>-1.4838851542386888</v>
      </c>
      <c r="P224">
        <v>95</v>
      </c>
    </row>
    <row r="225" spans="1:16" x14ac:dyDescent="0.25">
      <c r="A225" s="36">
        <v>-1.4660765716752366</v>
      </c>
      <c r="B225" s="49">
        <v>29.564720223816348</v>
      </c>
      <c r="C225" s="49">
        <v>-282.27062409190586</v>
      </c>
      <c r="D225" s="48">
        <f t="shared" si="36"/>
        <v>-1.4664379094599793</v>
      </c>
      <c r="P225">
        <v>96</v>
      </c>
    </row>
    <row r="226" spans="1:16" x14ac:dyDescent="0.25">
      <c r="A226" s="36">
        <v>-1.4486232791552935</v>
      </c>
      <c r="B226" s="49">
        <v>34.429822602985837</v>
      </c>
      <c r="C226" s="49">
        <v>-281.83099230494662</v>
      </c>
      <c r="D226" s="48">
        <f t="shared" si="36"/>
        <v>-1.4492338956869835</v>
      </c>
      <c r="P226">
        <v>97</v>
      </c>
    </row>
    <row r="227" spans="1:16" x14ac:dyDescent="0.25">
      <c r="A227" s="36">
        <v>-1.4311699866353502</v>
      </c>
      <c r="B227" s="49">
        <v>39.23442854068589</v>
      </c>
      <c r="C227" s="49">
        <v>-281.32307688958031</v>
      </c>
      <c r="D227" s="48">
        <f t="shared" si="36"/>
        <v>-1.4322261658277717</v>
      </c>
      <c r="P227">
        <v>98</v>
      </c>
    </row>
    <row r="228" spans="1:16" x14ac:dyDescent="0.25">
      <c r="A228" s="36">
        <v>-1.4137166941154069</v>
      </c>
      <c r="B228" s="49">
        <v>45.50871220442847</v>
      </c>
      <c r="C228" s="49">
        <v>-279.34720545775565</v>
      </c>
      <c r="D228" s="48">
        <f t="shared" si="36"/>
        <v>-1.4093040931711958</v>
      </c>
      <c r="P228">
        <v>99</v>
      </c>
    </row>
    <row r="229" spans="1:16" x14ac:dyDescent="0.25">
      <c r="A229" s="36">
        <v>-1.3962634015954636</v>
      </c>
      <c r="B229" s="49">
        <v>51.746600547299934</v>
      </c>
      <c r="C229" s="49">
        <v>-277.30062813955698</v>
      </c>
      <c r="D229" s="48">
        <f t="shared" si="36"/>
        <v>-1.3863099255215849</v>
      </c>
      <c r="P229">
        <v>100</v>
      </c>
    </row>
    <row r="230" spans="1:16" x14ac:dyDescent="0.25">
      <c r="A230" s="36">
        <v>-1.3788101090755203</v>
      </c>
      <c r="B230" s="49">
        <v>57.885836205180681</v>
      </c>
      <c r="C230" s="49">
        <v>-275.24575921993591</v>
      </c>
      <c r="D230" s="48">
        <f t="shared" si="36"/>
        <v>-1.3635110697931769</v>
      </c>
      <c r="P230">
        <v>101</v>
      </c>
    </row>
    <row r="231" spans="1:16" x14ac:dyDescent="0.25">
      <c r="A231" s="36">
        <v>-1.3613568165555769</v>
      </c>
      <c r="B231" s="49">
        <v>63.938595305361908</v>
      </c>
      <c r="C231" s="49">
        <v>-273.17594052269402</v>
      </c>
      <c r="D231" s="48">
        <f t="shared" si="36"/>
        <v>-1.3408787081615545</v>
      </c>
    </row>
    <row r="232" spans="1:16" x14ac:dyDescent="0.25">
      <c r="A232" s="36">
        <v>-1.3439035240356336</v>
      </c>
      <c r="B232" s="49">
        <v>69.916174747421067</v>
      </c>
      <c r="C232" s="49">
        <v>-271.08471652523758</v>
      </c>
      <c r="D232" s="48">
        <f t="shared" si="36"/>
        <v>-1.3183844499172355</v>
      </c>
    </row>
    <row r="233" spans="1:16" x14ac:dyDescent="0.25">
      <c r="A233" s="36">
        <v>-1.3264502315156903</v>
      </c>
      <c r="B233" s="49">
        <v>75.829102613155783</v>
      </c>
      <c r="C233" s="49">
        <v>-268.96567589985949</v>
      </c>
      <c r="D233" s="48">
        <f t="shared" si="36"/>
        <v>-1.2960001781633046</v>
      </c>
    </row>
    <row r="234" spans="1:16" x14ac:dyDescent="0.25">
      <c r="A234" s="36">
        <v>-1.308996938995747</v>
      </c>
      <c r="B234" s="49">
        <v>81.68727959920561</v>
      </c>
      <c r="C234" s="49">
        <v>-266.81271776638442</v>
      </c>
      <c r="D234" s="48">
        <f t="shared" si="36"/>
        <v>-1.2736981310027791</v>
      </c>
    </row>
    <row r="235" spans="1:16" x14ac:dyDescent="0.25">
      <c r="A235" s="36">
        <v>-1.2915436464758039</v>
      </c>
      <c r="B235" s="49">
        <v>87.500039122850595</v>
      </c>
      <c r="C235" s="49">
        <v>-264.61974348889669</v>
      </c>
      <c r="D235" s="48">
        <f t="shared" si="36"/>
        <v>-1.25145071906076</v>
      </c>
    </row>
    <row r="236" spans="1:16" x14ac:dyDescent="0.25">
      <c r="A236" s="36">
        <v>-1.2740903539558606</v>
      </c>
      <c r="B236" s="49">
        <v>93.276237502521965</v>
      </c>
      <c r="C236" s="49">
        <v>-262.38068230594519</v>
      </c>
      <c r="D236" s="48">
        <f t="shared" si="36"/>
        <v>-1.2292304791241888</v>
      </c>
    </row>
    <row r="237" spans="1:16" x14ac:dyDescent="0.25">
      <c r="A237" s="36">
        <v>-1.2566370614359172</v>
      </c>
      <c r="B237" s="49">
        <v>99.024332374852932</v>
      </c>
      <c r="C237" s="49">
        <v>-260.08952503740562</v>
      </c>
      <c r="D237" s="48">
        <f t="shared" si="36"/>
        <v>-1.2070100799142798</v>
      </c>
    </row>
    <row r="238" spans="1:16" x14ac:dyDescent="0.25">
      <c r="A238" s="36">
        <v>-1.2391837689159739</v>
      </c>
      <c r="B238" s="49">
        <v>104.68425080014146</v>
      </c>
      <c r="C238" s="49">
        <v>-257.76684108084248</v>
      </c>
      <c r="D238" s="48">
        <f t="shared" si="36"/>
        <v>-1.1850253089698948</v>
      </c>
    </row>
    <row r="239" spans="1:16" x14ac:dyDescent="0.25">
      <c r="A239" s="36">
        <v>-1.2217304763960306</v>
      </c>
      <c r="B239" s="49">
        <v>109.50242336114493</v>
      </c>
      <c r="C239" s="49">
        <v>-254.60353834762017</v>
      </c>
      <c r="D239" s="48">
        <f t="shared" si="36"/>
        <v>-1.1646223564368503</v>
      </c>
    </row>
    <row r="240" spans="1:16" x14ac:dyDescent="0.25">
      <c r="A240" s="36">
        <v>-1.2042771838760873</v>
      </c>
      <c r="B240" s="49">
        <v>113.50563280097084</v>
      </c>
      <c r="C240" s="49">
        <v>-250.73518270350311</v>
      </c>
      <c r="D240" s="48">
        <f t="shared" si="36"/>
        <v>-1.1457065788395879</v>
      </c>
    </row>
    <row r="241" spans="1:4" x14ac:dyDescent="0.25">
      <c r="A241" s="36">
        <v>-1.186823891356144</v>
      </c>
      <c r="B241" s="49">
        <v>117.21857539317162</v>
      </c>
      <c r="C241" s="49">
        <v>-247.10672489676631</v>
      </c>
      <c r="D241" s="48">
        <f t="shared" si="36"/>
        <v>-1.1278669019269798</v>
      </c>
    </row>
    <row r="242" spans="1:4" x14ac:dyDescent="0.25">
      <c r="A242" s="36">
        <v>-1.1693705988362006</v>
      </c>
      <c r="B242" s="49">
        <v>120.68543184104715</v>
      </c>
      <c r="C242" s="49">
        <v>-243.68910589834684</v>
      </c>
      <c r="D242" s="48">
        <f t="shared" si="36"/>
        <v>-1.1109611986233694</v>
      </c>
    </row>
    <row r="243" spans="1:4" x14ac:dyDescent="0.25">
      <c r="A243" s="36">
        <v>-1.1519173063162573</v>
      </c>
      <c r="B243" s="49">
        <v>123.94256853039506</v>
      </c>
      <c r="C243" s="49">
        <v>-240.45746760574971</v>
      </c>
      <c r="D243" s="48">
        <f t="shared" si="36"/>
        <v>-1.0948693030878072</v>
      </c>
    </row>
    <row r="244" spans="1:4" x14ac:dyDescent="0.25">
      <c r="A244" s="36">
        <v>-1.1344640137963142</v>
      </c>
      <c r="B244" s="49">
        <v>127.02020469171396</v>
      </c>
      <c r="C244" s="49">
        <v>-237.3904294455464</v>
      </c>
      <c r="D244" s="48">
        <f t="shared" si="36"/>
        <v>-1.0794888570745145</v>
      </c>
    </row>
    <row r="245" spans="1:4" x14ac:dyDescent="0.25">
      <c r="A245" s="36">
        <v>-1.1170107212763707</v>
      </c>
      <c r="B245" s="49">
        <v>129.94368015335439</v>
      </c>
      <c r="C245" s="49">
        <v>-234.46957738410208</v>
      </c>
      <c r="D245" s="48">
        <f t="shared" si="36"/>
        <v>-1.0647321781374885</v>
      </c>
    </row>
    <row r="246" spans="1:4" x14ac:dyDescent="0.25">
      <c r="A246" s="36">
        <v>-1.0995574287564276</v>
      </c>
      <c r="B246" s="49">
        <v>132.74956541360638</v>
      </c>
      <c r="C246" s="49">
        <v>-232.63254191552863</v>
      </c>
      <c r="D246" s="48">
        <f t="shared" si="36"/>
        <v>-1.0522444489718994</v>
      </c>
    </row>
    <row r="247" spans="1:4" x14ac:dyDescent="0.25">
      <c r="A247" s="36">
        <v>-1.082104136236484</v>
      </c>
      <c r="B247" s="49">
        <v>135.41018720512398</v>
      </c>
      <c r="C247" s="49">
        <v>-229.95972656333339</v>
      </c>
      <c r="D247" s="48">
        <f t="shared" si="36"/>
        <v>-1.0386208576062321</v>
      </c>
    </row>
    <row r="248" spans="1:4" x14ac:dyDescent="0.25">
      <c r="A248" s="36">
        <v>-1.064650843716541</v>
      </c>
      <c r="B248" s="49">
        <v>137.9731557297213</v>
      </c>
      <c r="C248" s="49">
        <v>-227.39059794337399</v>
      </c>
      <c r="D248" s="48">
        <f t="shared" si="36"/>
        <v>-1.0254157985150882</v>
      </c>
    </row>
    <row r="249" spans="1:4" x14ac:dyDescent="0.25">
      <c r="A249" s="36">
        <v>-1.0471975511965979</v>
      </c>
      <c r="B249" s="49">
        <v>140.45204412459128</v>
      </c>
      <c r="C249" s="49">
        <v>-224.91397116551607</v>
      </c>
      <c r="D249" s="48">
        <f t="shared" si="36"/>
        <v>-1.0125781728924224</v>
      </c>
    </row>
    <row r="250" spans="1:4" x14ac:dyDescent="0.25">
      <c r="A250" s="36">
        <v>-1.0297442586766543</v>
      </c>
      <c r="B250" s="49">
        <v>142.94123671076278</v>
      </c>
      <c r="C250" s="49">
        <v>-222.40089431163963</v>
      </c>
      <c r="D250" s="48">
        <f t="shared" si="36"/>
        <v>-0.99955673938488943</v>
      </c>
    </row>
    <row r="251" spans="1:4" x14ac:dyDescent="0.25">
      <c r="A251" s="36">
        <v>-1.0122909661567112</v>
      </c>
      <c r="B251" s="49">
        <v>146.03555511115741</v>
      </c>
      <c r="C251" s="49">
        <v>-218.99410120385454</v>
      </c>
      <c r="D251" s="48">
        <f t="shared" si="36"/>
        <v>-0.98266890105774407</v>
      </c>
    </row>
    <row r="252" spans="1:4" x14ac:dyDescent="0.25">
      <c r="A252" s="36">
        <v>-0.99483767363676767</v>
      </c>
      <c r="B252" s="49">
        <v>149.03866881374782</v>
      </c>
      <c r="C252" s="49">
        <v>-215.69864517531587</v>
      </c>
      <c r="D252" s="48">
        <f t="shared" si="36"/>
        <v>-0.96616474351596215</v>
      </c>
    </row>
    <row r="253" spans="1:4" x14ac:dyDescent="0.25">
      <c r="A253" s="36">
        <v>-0.97738438111682457</v>
      </c>
      <c r="B253" s="49">
        <v>151.96289447208295</v>
      </c>
      <c r="C253" s="49">
        <v>-212.5033185720043</v>
      </c>
      <c r="D253" s="48">
        <f t="shared" si="36"/>
        <v>-0.95000234395148231</v>
      </c>
    </row>
    <row r="254" spans="1:4" x14ac:dyDescent="0.25">
      <c r="A254" s="36">
        <v>-0.95993108859688103</v>
      </c>
      <c r="B254" s="49">
        <v>154.81925640089318</v>
      </c>
      <c r="C254" s="49">
        <v>-209.39787709308584</v>
      </c>
      <c r="D254" s="48">
        <f t="shared" si="36"/>
        <v>-0.9341432432231398</v>
      </c>
    </row>
    <row r="255" spans="1:4" x14ac:dyDescent="0.25">
      <c r="A255" s="36">
        <v>-0.94247779607693793</v>
      </c>
      <c r="B255" s="49">
        <v>157.61776014942333</v>
      </c>
      <c r="C255" s="49">
        <v>-206.37297293672728</v>
      </c>
      <c r="D255" s="48">
        <f t="shared" si="36"/>
        <v>-0.91855190939888087</v>
      </c>
    </row>
    <row r="256" spans="1:4" x14ac:dyDescent="0.25">
      <c r="A256" s="36">
        <v>-0.92502450355699439</v>
      </c>
      <c r="B256" s="49">
        <v>160.36749945752692</v>
      </c>
      <c r="C256" s="49">
        <v>-203.41995119017096</v>
      </c>
      <c r="D256" s="48">
        <f t="shared" si="36"/>
        <v>-0.9031953352483959</v>
      </c>
    </row>
    <row r="257" spans="1:7" x14ac:dyDescent="0.25">
      <c r="A257" s="36">
        <v>-0.9075712110370513</v>
      </c>
      <c r="B257" s="49">
        <v>163.07682664604724</v>
      </c>
      <c r="C257" s="49">
        <v>-200.53076974500456</v>
      </c>
      <c r="D257" s="48">
        <f t="shared" si="36"/>
        <v>-0.88804264638571473</v>
      </c>
    </row>
    <row r="258" spans="1:7" x14ac:dyDescent="0.25">
      <c r="A258" s="36">
        <v>-0.8901179185171082</v>
      </c>
      <c r="B258" s="49">
        <v>165.75348850110603</v>
      </c>
      <c r="C258" s="49">
        <v>-197.69791544449956</v>
      </c>
      <c r="D258" s="48">
        <f t="shared" ref="D258:D321" si="37">ATAN2(B258,C258)</f>
        <v>-0.87306476490942342</v>
      </c>
    </row>
    <row r="259" spans="1:7" x14ac:dyDescent="0.25">
      <c r="A259" s="36">
        <v>-0.87266462599716466</v>
      </c>
      <c r="B259" s="49">
        <v>168.40474636748854</v>
      </c>
      <c r="C259" s="49">
        <v>-194.91433149401576</v>
      </c>
      <c r="D259" s="48">
        <f t="shared" si="37"/>
        <v>-0.8582341131182829</v>
      </c>
    </row>
    <row r="260" spans="1:7" x14ac:dyDescent="0.25">
      <c r="A260" s="36">
        <v>-0.85521133347722156</v>
      </c>
      <c r="B260" s="49">
        <v>171.03741950714482</v>
      </c>
      <c r="C260" s="49">
        <v>-192.17328633617285</v>
      </c>
      <c r="D260" s="48">
        <f t="shared" si="37"/>
        <v>-0.84352436266700626</v>
      </c>
    </row>
    <row r="261" spans="1:7" x14ac:dyDescent="0.25">
      <c r="A261" s="36">
        <v>-0.83775804095727802</v>
      </c>
      <c r="B261" s="49">
        <v>173.65799658587551</v>
      </c>
      <c r="C261" s="49">
        <v>-189.46833581447711</v>
      </c>
      <c r="D261" s="48">
        <f t="shared" si="37"/>
        <v>-0.82891018297839936</v>
      </c>
      <c r="F261">
        <f>-1*PI()</f>
        <v>-3.1415926535897931</v>
      </c>
      <c r="G261">
        <f>-1*PI()</f>
        <v>-3.1415926535897931</v>
      </c>
    </row>
    <row r="262" spans="1:7" x14ac:dyDescent="0.25">
      <c r="A262" s="36">
        <v>-0.82030474843733492</v>
      </c>
      <c r="B262" s="49">
        <v>176.27275686141326</v>
      </c>
      <c r="C262" s="49">
        <v>-186.79330681720617</v>
      </c>
      <c r="D262" s="48">
        <f t="shared" si="37"/>
        <v>-0.81436701483969243</v>
      </c>
      <c r="F262">
        <f>PI()</f>
        <v>3.1415926535897931</v>
      </c>
      <c r="G262">
        <f>PI()</f>
        <v>3.1415926535897931</v>
      </c>
    </row>
    <row r="263" spans="1:7" x14ac:dyDescent="0.25">
      <c r="A263" s="36">
        <v>-0.80285145591739138</v>
      </c>
      <c r="B263" s="49">
        <v>178.88773960690907</v>
      </c>
      <c r="C263" s="49">
        <v>-184.14213431628346</v>
      </c>
      <c r="D263" s="48">
        <f t="shared" si="37"/>
        <v>-0.79987087823645986</v>
      </c>
    </row>
    <row r="264" spans="1:7" x14ac:dyDescent="0.25">
      <c r="A264" s="36">
        <v>-0.78539816339744828</v>
      </c>
      <c r="B264" s="49">
        <v>181.50890298302934</v>
      </c>
      <c r="C264" s="49">
        <v>-181.50890298302932</v>
      </c>
      <c r="D264" s="48">
        <f t="shared" si="37"/>
        <v>-0.78539816339744828</v>
      </c>
    </row>
    <row r="265" spans="1:7" x14ac:dyDescent="0.25">
      <c r="A265" s="36">
        <v>-0.76794487087750474</v>
      </c>
      <c r="B265" s="49">
        <v>184.1421343162836</v>
      </c>
      <c r="C265" s="49">
        <v>-178.88773960690904</v>
      </c>
      <c r="D265" s="48">
        <f t="shared" si="37"/>
        <v>-0.77092544855843625</v>
      </c>
    </row>
    <row r="266" spans="1:7" x14ac:dyDescent="0.25">
      <c r="A266" s="36">
        <v>-0.75049157835756164</v>
      </c>
      <c r="B266" s="49">
        <v>186.79330681720626</v>
      </c>
      <c r="C266" s="49">
        <v>-176.27275686141334</v>
      </c>
      <c r="D266" s="48">
        <f t="shared" si="37"/>
        <v>-0.75642931195520424</v>
      </c>
    </row>
    <row r="267" spans="1:7" x14ac:dyDescent="0.25">
      <c r="A267" s="36">
        <v>-0.73303828583761854</v>
      </c>
      <c r="B267" s="49">
        <v>189.46833581447711</v>
      </c>
      <c r="C267" s="49">
        <v>-173.65799658587551</v>
      </c>
      <c r="D267" s="48">
        <f t="shared" si="37"/>
        <v>-0.74188614381649731</v>
      </c>
    </row>
    <row r="268" spans="1:7" x14ac:dyDescent="0.25">
      <c r="A268" s="36">
        <v>-0.715584993317675</v>
      </c>
      <c r="B268" s="49">
        <v>192.17328633617285</v>
      </c>
      <c r="C268" s="49">
        <v>-171.03741950714488</v>
      </c>
      <c r="D268" s="48">
        <f t="shared" si="37"/>
        <v>-0.72727196412789052</v>
      </c>
    </row>
    <row r="269" spans="1:7" x14ac:dyDescent="0.25">
      <c r="A269" s="36">
        <v>-0.6981317007977319</v>
      </c>
      <c r="B269" s="49">
        <v>194.91433149401576</v>
      </c>
      <c r="C269" s="49">
        <v>-168.40474636748849</v>
      </c>
      <c r="D269" s="48">
        <f t="shared" si="37"/>
        <v>-0.71256221367661354</v>
      </c>
    </row>
    <row r="270" spans="1:7" x14ac:dyDescent="0.25">
      <c r="A270" s="36">
        <v>-0.68067840827778836</v>
      </c>
      <c r="B270" s="49">
        <v>197.69791544449956</v>
      </c>
      <c r="C270" s="49">
        <v>-165.75348850110598</v>
      </c>
      <c r="D270" s="48">
        <f t="shared" si="37"/>
        <v>-0.69773156188547303</v>
      </c>
    </row>
    <row r="271" spans="1:7" x14ac:dyDescent="0.25">
      <c r="A271" s="36">
        <v>-0.66322511575784526</v>
      </c>
      <c r="B271" s="49">
        <v>200.53076974500456</v>
      </c>
      <c r="C271" s="49">
        <v>-163.07682664604724</v>
      </c>
      <c r="D271" s="48">
        <f t="shared" si="37"/>
        <v>-0.68275368040918183</v>
      </c>
    </row>
    <row r="272" spans="1:7" x14ac:dyDescent="0.25">
      <c r="A272" s="36">
        <v>-0.64577182323790172</v>
      </c>
      <c r="B272" s="49">
        <v>203.41995119017099</v>
      </c>
      <c r="C272" s="49">
        <v>-160.3674994575268</v>
      </c>
      <c r="D272" s="48">
        <f t="shared" si="37"/>
        <v>-0.66760099154650032</v>
      </c>
    </row>
    <row r="273" spans="1:4" x14ac:dyDescent="0.25">
      <c r="A273" s="36">
        <v>-0.62831853071795862</v>
      </c>
      <c r="B273" s="49">
        <v>206.37297293672728</v>
      </c>
      <c r="C273" s="49">
        <v>-157.61776014942333</v>
      </c>
      <c r="D273" s="48">
        <f t="shared" si="37"/>
        <v>-0.65224441739601569</v>
      </c>
    </row>
    <row r="274" spans="1:4" x14ac:dyDescent="0.25">
      <c r="A274" s="36">
        <v>-0.61086523819801508</v>
      </c>
      <c r="B274" s="49">
        <v>209.3978770930859</v>
      </c>
      <c r="C274" s="49">
        <v>-154.81925640089304</v>
      </c>
      <c r="D274" s="48">
        <f t="shared" si="37"/>
        <v>-0.63665308357175621</v>
      </c>
    </row>
    <row r="275" spans="1:4" x14ac:dyDescent="0.25">
      <c r="A275" s="36">
        <v>-0.59341194567807198</v>
      </c>
      <c r="B275" s="49">
        <v>212.5033185720043</v>
      </c>
      <c r="C275" s="49">
        <v>-151.96289447208295</v>
      </c>
      <c r="D275" s="48">
        <f t="shared" si="37"/>
        <v>-0.62079398284341425</v>
      </c>
    </row>
    <row r="276" spans="1:4" x14ac:dyDescent="0.25">
      <c r="A276" s="36">
        <v>-0.57595865315812889</v>
      </c>
      <c r="B276" s="49">
        <v>215.69864517531587</v>
      </c>
      <c r="C276" s="49">
        <v>-149.03866881374782</v>
      </c>
      <c r="D276" s="48">
        <f t="shared" si="37"/>
        <v>-0.6046315832789344</v>
      </c>
    </row>
    <row r="277" spans="1:4" x14ac:dyDescent="0.25">
      <c r="A277" s="36">
        <v>-0.55850536063818534</v>
      </c>
      <c r="B277" s="49">
        <v>218.99410120385465</v>
      </c>
      <c r="C277" s="49">
        <v>-146.03555511115744</v>
      </c>
      <c r="D277" s="48">
        <f t="shared" si="37"/>
        <v>-0.58812742573715238</v>
      </c>
    </row>
    <row r="278" spans="1:4" x14ac:dyDescent="0.25">
      <c r="A278" s="36">
        <v>-0.54105206811824225</v>
      </c>
      <c r="B278" s="49">
        <v>222.40089431163963</v>
      </c>
      <c r="C278" s="49">
        <v>-142.94123671076275</v>
      </c>
      <c r="D278" s="48">
        <f t="shared" si="37"/>
        <v>-0.57123958741000713</v>
      </c>
    </row>
    <row r="279" spans="1:4" x14ac:dyDescent="0.25">
      <c r="A279" s="36">
        <v>-0.5235987755982987</v>
      </c>
      <c r="B279" s="49">
        <v>224.91397116551607</v>
      </c>
      <c r="C279" s="49">
        <v>-140.45204412459128</v>
      </c>
      <c r="D279" s="48">
        <f t="shared" si="37"/>
        <v>-0.55821815390247431</v>
      </c>
    </row>
    <row r="280" spans="1:4" x14ac:dyDescent="0.25">
      <c r="A280" s="36">
        <v>-0.50614548307835561</v>
      </c>
      <c r="B280" s="49">
        <v>227.39059794337405</v>
      </c>
      <c r="C280" s="49">
        <v>-137.9731557297213</v>
      </c>
      <c r="D280" s="48">
        <f t="shared" si="37"/>
        <v>-0.54538052827980832</v>
      </c>
    </row>
    <row r="281" spans="1:4" x14ac:dyDescent="0.25">
      <c r="A281" s="36">
        <v>-0.48869219055841207</v>
      </c>
      <c r="B281" s="49">
        <v>229.95972656333348</v>
      </c>
      <c r="C281" s="49">
        <v>-135.41018720512386</v>
      </c>
      <c r="D281" s="48">
        <f t="shared" si="37"/>
        <v>-0.53217546918866399</v>
      </c>
    </row>
    <row r="282" spans="1:4" x14ac:dyDescent="0.25">
      <c r="A282" s="36">
        <v>-0.47123889803846897</v>
      </c>
      <c r="B282" s="49">
        <v>232.63254191552869</v>
      </c>
      <c r="C282" s="49">
        <v>-132.74956541360638</v>
      </c>
      <c r="D282" s="48">
        <f t="shared" si="37"/>
        <v>-0.51855187782299716</v>
      </c>
    </row>
    <row r="283" spans="1:4" x14ac:dyDescent="0.25">
      <c r="A283" s="36">
        <v>-0.45378560551852543</v>
      </c>
      <c r="B283" s="49">
        <v>234.46957738410222</v>
      </c>
      <c r="C283" s="49">
        <v>-129.94368015335431</v>
      </c>
      <c r="D283" s="48">
        <f t="shared" si="37"/>
        <v>-0.50606414865740756</v>
      </c>
    </row>
    <row r="284" spans="1:4" x14ac:dyDescent="0.25">
      <c r="A284" s="36">
        <v>-0.43633231299858233</v>
      </c>
      <c r="B284" s="49">
        <v>237.3904294455464</v>
      </c>
      <c r="C284" s="49">
        <v>-127.02020469171396</v>
      </c>
      <c r="D284" s="48">
        <f t="shared" si="37"/>
        <v>-0.49130746972038219</v>
      </c>
    </row>
    <row r="285" spans="1:4" x14ac:dyDescent="0.25">
      <c r="A285" s="36">
        <v>-0.41887902047863923</v>
      </c>
      <c r="B285" s="49">
        <v>240.45746760574971</v>
      </c>
      <c r="C285" s="49">
        <v>-123.94256853039502</v>
      </c>
      <c r="D285" s="48">
        <f t="shared" si="37"/>
        <v>-0.47592702370708928</v>
      </c>
    </row>
    <row r="286" spans="1:4" x14ac:dyDescent="0.25">
      <c r="A286" s="36">
        <v>-0.40142572795869569</v>
      </c>
      <c r="B286" s="49">
        <v>243.68910589834692</v>
      </c>
      <c r="C286" s="49">
        <v>-120.68543184104709</v>
      </c>
      <c r="D286" s="48">
        <f t="shared" si="37"/>
        <v>-0.45983512817152694</v>
      </c>
    </row>
    <row r="287" spans="1:4" x14ac:dyDescent="0.25">
      <c r="A287" s="36">
        <v>-0.38397243543875259</v>
      </c>
      <c r="B287" s="49">
        <v>247.10672489676639</v>
      </c>
      <c r="C287" s="49">
        <v>-117.21857539317163</v>
      </c>
      <c r="D287" s="48">
        <f t="shared" si="37"/>
        <v>-0.44292942486791681</v>
      </c>
    </row>
    <row r="288" spans="1:4" x14ac:dyDescent="0.25">
      <c r="A288" s="36">
        <v>-0.36651914291880905</v>
      </c>
      <c r="B288" s="49">
        <v>250.73518270350331</v>
      </c>
      <c r="C288" s="49">
        <v>-113.50563280097082</v>
      </c>
      <c r="D288" s="48">
        <f t="shared" si="37"/>
        <v>-0.42508974795530818</v>
      </c>
    </row>
    <row r="289" spans="1:4" x14ac:dyDescent="0.25">
      <c r="A289" s="36">
        <v>-0.34906585039886595</v>
      </c>
      <c r="B289" s="49">
        <v>254.60353834762012</v>
      </c>
      <c r="C289" s="49">
        <v>-109.50242336114492</v>
      </c>
      <c r="D289" s="48">
        <f t="shared" si="37"/>
        <v>-0.40617397035804625</v>
      </c>
    </row>
    <row r="290" spans="1:4" x14ac:dyDescent="0.25">
      <c r="A290" s="36">
        <v>-0.33161255787892241</v>
      </c>
      <c r="B290" s="49">
        <v>257.7668410808426</v>
      </c>
      <c r="C290" s="49">
        <v>-104.68425080014137</v>
      </c>
      <c r="D290" s="48">
        <f t="shared" si="37"/>
        <v>-0.38577101782500156</v>
      </c>
    </row>
    <row r="291" spans="1:4" x14ac:dyDescent="0.25">
      <c r="A291" s="36">
        <v>-0.31415926535897931</v>
      </c>
      <c r="B291" s="49">
        <v>260.08952503740562</v>
      </c>
      <c r="C291" s="49">
        <v>-99.024332374852904</v>
      </c>
      <c r="D291" s="48">
        <f t="shared" si="37"/>
        <v>-0.36378624688061667</v>
      </c>
    </row>
    <row r="292" spans="1:4" x14ac:dyDescent="0.25">
      <c r="A292" s="36">
        <v>-0.29670597283903577</v>
      </c>
      <c r="B292" s="49">
        <v>262.38068230594536</v>
      </c>
      <c r="C292" s="49">
        <v>-93.276237502521866</v>
      </c>
      <c r="D292" s="48">
        <f t="shared" si="37"/>
        <v>-0.3415658476707073</v>
      </c>
    </row>
    <row r="293" spans="1:4" x14ac:dyDescent="0.25">
      <c r="A293" s="36">
        <v>-0.27925268031909267</v>
      </c>
      <c r="B293" s="49">
        <v>264.61974348889669</v>
      </c>
      <c r="C293" s="49">
        <v>-87.500039122850538</v>
      </c>
      <c r="D293" s="48">
        <f t="shared" si="37"/>
        <v>-0.31934560773413634</v>
      </c>
    </row>
    <row r="294" spans="1:4" x14ac:dyDescent="0.25">
      <c r="A294" s="36">
        <v>-0.26179938779914957</v>
      </c>
      <c r="B294" s="49">
        <v>266.81271776638442</v>
      </c>
      <c r="C294" s="49">
        <v>-81.68727959920561</v>
      </c>
      <c r="D294" s="48">
        <f t="shared" si="37"/>
        <v>-0.29709819579211749</v>
      </c>
    </row>
    <row r="295" spans="1:4" x14ac:dyDescent="0.25">
      <c r="A295" s="36">
        <v>-0.24434609527920603</v>
      </c>
      <c r="B295" s="49">
        <v>268.96567589985955</v>
      </c>
      <c r="C295" s="49">
        <v>-75.829102613155698</v>
      </c>
      <c r="D295" s="48">
        <f t="shared" si="37"/>
        <v>-0.27479614863159163</v>
      </c>
    </row>
    <row r="296" spans="1:4" x14ac:dyDescent="0.25">
      <c r="A296" s="36">
        <v>-0.22689280275926293</v>
      </c>
      <c r="B296" s="49">
        <v>271.08471652523752</v>
      </c>
      <c r="C296" s="49">
        <v>-69.916174747421024</v>
      </c>
      <c r="D296" s="48">
        <f t="shared" si="37"/>
        <v>-0.25241187687766109</v>
      </c>
    </row>
    <row r="297" spans="1:4" x14ac:dyDescent="0.25">
      <c r="A297" s="36">
        <v>-0.20943951023931939</v>
      </c>
      <c r="B297" s="49">
        <v>273.17594052269425</v>
      </c>
      <c r="C297" s="49">
        <v>-63.938595305361829</v>
      </c>
      <c r="D297" s="48">
        <f t="shared" si="37"/>
        <v>-0.2299176186333417</v>
      </c>
    </row>
    <row r="298" spans="1:4" x14ac:dyDescent="0.25">
      <c r="A298" s="36">
        <v>-0.1919862177193763</v>
      </c>
      <c r="B298" s="49">
        <v>275.24575921993602</v>
      </c>
      <c r="C298" s="49">
        <v>-57.885836205180667</v>
      </c>
      <c r="D298" s="48">
        <f t="shared" si="37"/>
        <v>-0.20728525700171946</v>
      </c>
    </row>
    <row r="299" spans="1:4" x14ac:dyDescent="0.25">
      <c r="A299" s="36">
        <v>-0.17453292519943275</v>
      </c>
      <c r="B299" s="49">
        <v>277.30062813955709</v>
      </c>
      <c r="C299" s="49">
        <v>-51.746600547299863</v>
      </c>
      <c r="D299" s="48">
        <f t="shared" si="37"/>
        <v>-0.1844864012733114</v>
      </c>
    </row>
    <row r="300" spans="1:4" x14ac:dyDescent="0.25">
      <c r="A300" s="36">
        <v>-0.15707963267948966</v>
      </c>
      <c r="B300" s="49">
        <v>279.34720545775565</v>
      </c>
      <c r="C300" s="49">
        <v>-45.508712204428392</v>
      </c>
      <c r="D300" s="48">
        <f t="shared" si="37"/>
        <v>-0.16149223362370069</v>
      </c>
    </row>
    <row r="301" spans="1:4" x14ac:dyDescent="0.25">
      <c r="A301" s="36">
        <v>-0.13962634015954611</v>
      </c>
      <c r="B301" s="49">
        <v>281.32307688958048</v>
      </c>
      <c r="C301" s="49">
        <v>-39.234428540685784</v>
      </c>
      <c r="D301" s="48">
        <f t="shared" si="37"/>
        <v>-0.13857016096712441</v>
      </c>
    </row>
    <row r="302" spans="1:4" x14ac:dyDescent="0.25">
      <c r="A302" s="36">
        <v>-0.12217304763960302</v>
      </c>
      <c r="B302" s="49">
        <v>281.83099230494679</v>
      </c>
      <c r="C302" s="49">
        <v>-34.429822602985837</v>
      </c>
      <c r="D302" s="48">
        <f t="shared" si="37"/>
        <v>-0.12156243110791304</v>
      </c>
    </row>
    <row r="303" spans="1:4" x14ac:dyDescent="0.25">
      <c r="A303" s="36">
        <v>-0.10471975511965992</v>
      </c>
      <c r="B303" s="49">
        <v>282.27062409190586</v>
      </c>
      <c r="C303" s="49">
        <v>-29.564720223816316</v>
      </c>
      <c r="D303" s="48">
        <f t="shared" si="37"/>
        <v>-0.1043584173349172</v>
      </c>
    </row>
    <row r="304" spans="1:4" x14ac:dyDescent="0.25">
      <c r="A304" s="36">
        <v>-8.7266462599716377E-2</v>
      </c>
      <c r="B304" s="49">
        <v>282.64319013986301</v>
      </c>
      <c r="C304" s="49">
        <v>-24.626889145905807</v>
      </c>
      <c r="D304" s="48">
        <f t="shared" si="37"/>
        <v>-8.6911172556207575E-2</v>
      </c>
    </row>
    <row r="305" spans="1:4" x14ac:dyDescent="0.25">
      <c r="A305" s="36">
        <v>-6.9813170079773279E-2</v>
      </c>
      <c r="B305" s="49">
        <v>282.94949631153821</v>
      </c>
      <c r="C305" s="49">
        <v>-19.602362885877046</v>
      </c>
      <c r="D305" s="48">
        <f t="shared" si="37"/>
        <v>-6.9168146302616293E-2</v>
      </c>
    </row>
    <row r="306" spans="1:4" x14ac:dyDescent="0.25">
      <c r="A306" s="36">
        <v>-5.2359877559829737E-2</v>
      </c>
      <c r="B306" s="49">
        <v>283.12105431393877</v>
      </c>
      <c r="C306" s="49">
        <v>-16.171768576533882</v>
      </c>
      <c r="D306" s="48">
        <f t="shared" si="37"/>
        <v>-5.7057626284299598E-2</v>
      </c>
    </row>
    <row r="307" spans="1:4" x14ac:dyDescent="0.25">
      <c r="A307" s="36">
        <v>-3.490658503988664E-2</v>
      </c>
      <c r="B307" s="49">
        <v>283.29902827259343</v>
      </c>
      <c r="C307" s="49">
        <v>-10.932304804561003</v>
      </c>
      <c r="D307" s="48">
        <f t="shared" si="37"/>
        <v>-3.857013970369564E-2</v>
      </c>
    </row>
    <row r="308" spans="1:4" x14ac:dyDescent="0.25">
      <c r="A308" s="36">
        <v>-1.7453292519943098E-2</v>
      </c>
      <c r="B308" s="49">
        <v>283.41262392348045</v>
      </c>
      <c r="C308" s="49">
        <v>-5.550522230477906</v>
      </c>
      <c r="D308" s="48">
        <f t="shared" si="37"/>
        <v>-1.958209437068285E-2</v>
      </c>
    </row>
    <row r="309" spans="1:4" x14ac:dyDescent="0.25">
      <c r="A309" s="36">
        <v>0</v>
      </c>
      <c r="B309" s="49">
        <v>283.46232815521182</v>
      </c>
      <c r="C309" s="49">
        <v>0</v>
      </c>
      <c r="D309" s="48">
        <f t="shared" si="37"/>
        <v>0</v>
      </c>
    </row>
    <row r="310" spans="1:4" x14ac:dyDescent="0.25">
      <c r="A310" s="36">
        <v>1.7453292519943542E-2</v>
      </c>
      <c r="B310" s="49">
        <v>283.41262392348028</v>
      </c>
      <c r="C310" s="49">
        <v>5.5505222304780446</v>
      </c>
      <c r="D310" s="48">
        <f t="shared" si="37"/>
        <v>1.958209437068335E-2</v>
      </c>
    </row>
    <row r="311" spans="1:4" x14ac:dyDescent="0.25">
      <c r="A311" s="36">
        <v>3.490658503988664E-2</v>
      </c>
      <c r="B311" s="49">
        <v>283.29902827259349</v>
      </c>
      <c r="C311" s="49">
        <v>10.932304804561012</v>
      </c>
      <c r="D311" s="48">
        <f t="shared" si="37"/>
        <v>3.8570139703695661E-2</v>
      </c>
    </row>
    <row r="312" spans="1:4" x14ac:dyDescent="0.25">
      <c r="A312" s="36">
        <v>5.2359877559829737E-2</v>
      </c>
      <c r="B312" s="49">
        <v>283.12105431393877</v>
      </c>
      <c r="C312" s="49">
        <v>16.171768576533868</v>
      </c>
      <c r="D312" s="48">
        <f t="shared" si="37"/>
        <v>5.7057626284299549E-2</v>
      </c>
    </row>
    <row r="313" spans="1:4" x14ac:dyDescent="0.25">
      <c r="A313" s="36">
        <v>6.9813170079773279E-2</v>
      </c>
      <c r="B313" s="49">
        <v>282.94949631153821</v>
      </c>
      <c r="C313" s="49">
        <v>19.602362885877053</v>
      </c>
      <c r="D313" s="48">
        <f t="shared" si="37"/>
        <v>6.9168146302616307E-2</v>
      </c>
    </row>
    <row r="314" spans="1:4" x14ac:dyDescent="0.25">
      <c r="A314" s="36">
        <v>8.7266462599716377E-2</v>
      </c>
      <c r="B314" s="49">
        <v>282.64319013986301</v>
      </c>
      <c r="C314" s="49">
        <v>24.626889145905814</v>
      </c>
      <c r="D314" s="48">
        <f t="shared" si="37"/>
        <v>8.6911172556207589E-2</v>
      </c>
    </row>
    <row r="315" spans="1:4" x14ac:dyDescent="0.25">
      <c r="A315" s="36">
        <v>0.10471975511965992</v>
      </c>
      <c r="B315" s="49">
        <v>282.2706240919058</v>
      </c>
      <c r="C315" s="49">
        <v>29.564720223816316</v>
      </c>
      <c r="D315" s="48">
        <f t="shared" si="37"/>
        <v>0.10435841733491721</v>
      </c>
    </row>
    <row r="316" spans="1:4" x14ac:dyDescent="0.25">
      <c r="A316" s="36">
        <v>0.12217304763960302</v>
      </c>
      <c r="B316" s="49">
        <v>281.83099230494679</v>
      </c>
      <c r="C316" s="49">
        <v>34.429822602985844</v>
      </c>
      <c r="D316" s="48">
        <f t="shared" si="37"/>
        <v>0.12156243110791307</v>
      </c>
    </row>
    <row r="317" spans="1:4" x14ac:dyDescent="0.25">
      <c r="A317" s="36">
        <v>0.13962634015954656</v>
      </c>
      <c r="B317" s="49">
        <v>281.32307688958031</v>
      </c>
      <c r="C317" s="49">
        <v>39.234428540685919</v>
      </c>
      <c r="D317" s="48">
        <f t="shared" si="37"/>
        <v>0.13857016096712496</v>
      </c>
    </row>
    <row r="318" spans="1:4" x14ac:dyDescent="0.25">
      <c r="A318" s="36">
        <v>0.15707963267948966</v>
      </c>
      <c r="B318" s="49">
        <v>279.34720545775565</v>
      </c>
      <c r="C318" s="49">
        <v>45.508712204428399</v>
      </c>
      <c r="D318" s="48">
        <f t="shared" si="37"/>
        <v>0.16149223362370071</v>
      </c>
    </row>
    <row r="319" spans="1:4" x14ac:dyDescent="0.25">
      <c r="A319" s="36">
        <v>0.1745329251994332</v>
      </c>
      <c r="B319" s="49">
        <v>277.30062813955686</v>
      </c>
      <c r="C319" s="49">
        <v>51.746600547299998</v>
      </c>
      <c r="D319" s="48">
        <f t="shared" si="37"/>
        <v>0.18448640127331201</v>
      </c>
    </row>
    <row r="320" spans="1:4" x14ac:dyDescent="0.25">
      <c r="A320" s="36">
        <v>0.1919862177193763</v>
      </c>
      <c r="B320" s="49">
        <v>275.24575921993596</v>
      </c>
      <c r="C320" s="49">
        <v>57.885836205180652</v>
      </c>
      <c r="D320" s="48">
        <f t="shared" si="37"/>
        <v>0.20728525700171943</v>
      </c>
    </row>
    <row r="321" spans="1:4" x14ac:dyDescent="0.25">
      <c r="A321" s="36">
        <v>0.20943951023931984</v>
      </c>
      <c r="B321" s="49">
        <v>273.17594052269396</v>
      </c>
      <c r="C321" s="49">
        <v>63.938595305361922</v>
      </c>
      <c r="D321" s="48">
        <f t="shared" si="37"/>
        <v>0.22991761863334226</v>
      </c>
    </row>
    <row r="322" spans="1:4" x14ac:dyDescent="0.25">
      <c r="A322" s="36">
        <v>0.22689280275926293</v>
      </c>
      <c r="B322" s="49">
        <v>271.08471652523747</v>
      </c>
      <c r="C322" s="49">
        <v>69.916174747421039</v>
      </c>
      <c r="D322" s="48">
        <f t="shared" ref="D322:D385" si="38">ATAN2(B322,C322)</f>
        <v>0.25241187687766115</v>
      </c>
    </row>
    <row r="323" spans="1:4" x14ac:dyDescent="0.25">
      <c r="A323" s="36">
        <v>0.24434609527920603</v>
      </c>
      <c r="B323" s="49">
        <v>268.96567589985955</v>
      </c>
      <c r="C323" s="49">
        <v>75.829102613155712</v>
      </c>
      <c r="D323" s="48">
        <f t="shared" si="38"/>
        <v>0.27479614863159169</v>
      </c>
    </row>
    <row r="324" spans="1:4" x14ac:dyDescent="0.25">
      <c r="A324" s="36">
        <v>0.26179938779914957</v>
      </c>
      <c r="B324" s="49">
        <v>266.81271776638442</v>
      </c>
      <c r="C324" s="49">
        <v>81.68727959920561</v>
      </c>
      <c r="D324" s="48">
        <f t="shared" si="38"/>
        <v>0.29709819579211749</v>
      </c>
    </row>
    <row r="325" spans="1:4" x14ac:dyDescent="0.25">
      <c r="A325" s="36">
        <v>0.27925268031909267</v>
      </c>
      <c r="B325" s="49">
        <v>264.61974348889669</v>
      </c>
      <c r="C325" s="49">
        <v>87.500039122850538</v>
      </c>
      <c r="D325" s="48">
        <f t="shared" si="38"/>
        <v>0.31934560773413634</v>
      </c>
    </row>
    <row r="326" spans="1:4" x14ac:dyDescent="0.25">
      <c r="A326" s="36">
        <v>0.29670597283903621</v>
      </c>
      <c r="B326" s="49">
        <v>262.38068230594513</v>
      </c>
      <c r="C326" s="49">
        <v>93.276237502522008</v>
      </c>
      <c r="D326" s="48">
        <f t="shared" si="38"/>
        <v>0.34156584767070802</v>
      </c>
    </row>
    <row r="327" spans="1:4" x14ac:dyDescent="0.25">
      <c r="A327" s="36">
        <v>0.31415926535897931</v>
      </c>
      <c r="B327" s="49">
        <v>260.08952503740568</v>
      </c>
      <c r="C327" s="49">
        <v>99.024332374852904</v>
      </c>
      <c r="D327" s="48">
        <f t="shared" si="38"/>
        <v>0.36378624688061661</v>
      </c>
    </row>
    <row r="328" spans="1:4" x14ac:dyDescent="0.25">
      <c r="A328" s="36">
        <v>0.33161255787892285</v>
      </c>
      <c r="B328" s="49">
        <v>257.76684108084248</v>
      </c>
      <c r="C328" s="49">
        <v>104.68425080014153</v>
      </c>
      <c r="D328" s="48">
        <f t="shared" si="38"/>
        <v>0.38577101782500223</v>
      </c>
    </row>
    <row r="329" spans="1:4" x14ac:dyDescent="0.25">
      <c r="A329" s="36">
        <v>0.34906585039886595</v>
      </c>
      <c r="B329" s="49">
        <v>254.60353834762012</v>
      </c>
      <c r="C329" s="49">
        <v>109.50242336114488</v>
      </c>
      <c r="D329" s="48">
        <f t="shared" si="38"/>
        <v>0.40617397035804609</v>
      </c>
    </row>
    <row r="330" spans="1:4" x14ac:dyDescent="0.25">
      <c r="A330" s="36">
        <v>0.36651914291880949</v>
      </c>
      <c r="B330" s="49">
        <v>250.73518270350303</v>
      </c>
      <c r="C330" s="49">
        <v>113.50563280097089</v>
      </c>
      <c r="D330" s="48">
        <f t="shared" si="38"/>
        <v>0.42508974795530885</v>
      </c>
    </row>
    <row r="331" spans="1:4" x14ac:dyDescent="0.25">
      <c r="A331" s="36">
        <v>0.38397243543875259</v>
      </c>
      <c r="B331" s="49">
        <v>247.10672489676639</v>
      </c>
      <c r="C331" s="49">
        <v>117.21857539317163</v>
      </c>
      <c r="D331" s="48">
        <f t="shared" si="38"/>
        <v>0.44292942486791681</v>
      </c>
    </row>
    <row r="332" spans="1:4" x14ac:dyDescent="0.25">
      <c r="A332" s="36">
        <v>0.40142572795869569</v>
      </c>
      <c r="B332" s="49">
        <v>243.68910589834692</v>
      </c>
      <c r="C332" s="49">
        <v>120.68543184104709</v>
      </c>
      <c r="D332" s="48">
        <f t="shared" si="38"/>
        <v>0.45983512817152694</v>
      </c>
    </row>
    <row r="333" spans="1:4" x14ac:dyDescent="0.25">
      <c r="A333" s="36">
        <v>0.41887902047863923</v>
      </c>
      <c r="B333" s="49">
        <v>240.45746760574971</v>
      </c>
      <c r="C333" s="49">
        <v>123.94256853039502</v>
      </c>
      <c r="D333" s="48">
        <f t="shared" si="38"/>
        <v>0.47592702370708928</v>
      </c>
    </row>
    <row r="334" spans="1:4" x14ac:dyDescent="0.25">
      <c r="A334" s="36">
        <v>0.43633231299858233</v>
      </c>
      <c r="B334" s="49">
        <v>237.39042944554643</v>
      </c>
      <c r="C334" s="49">
        <v>127.02020469171399</v>
      </c>
      <c r="D334" s="48">
        <f t="shared" si="38"/>
        <v>0.49130746972038231</v>
      </c>
    </row>
    <row r="335" spans="1:4" x14ac:dyDescent="0.25">
      <c r="A335" s="36">
        <v>0.45378560551852587</v>
      </c>
      <c r="B335" s="49">
        <v>234.46957738410208</v>
      </c>
      <c r="C335" s="49">
        <v>129.94368015335439</v>
      </c>
      <c r="D335" s="48">
        <f t="shared" si="38"/>
        <v>0.50606414865740823</v>
      </c>
    </row>
    <row r="336" spans="1:4" x14ac:dyDescent="0.25">
      <c r="A336" s="36">
        <v>0.47123889803846897</v>
      </c>
      <c r="B336" s="49">
        <v>232.63254191552869</v>
      </c>
      <c r="C336" s="49">
        <v>132.74956541360635</v>
      </c>
      <c r="D336" s="48">
        <f t="shared" si="38"/>
        <v>0.51855187782299705</v>
      </c>
    </row>
    <row r="337" spans="1:4" x14ac:dyDescent="0.25">
      <c r="A337" s="36">
        <v>0.48869219055841251</v>
      </c>
      <c r="B337" s="49">
        <v>229.95972656333353</v>
      </c>
      <c r="C337" s="49">
        <v>135.41018720512403</v>
      </c>
      <c r="D337" s="48">
        <f t="shared" si="38"/>
        <v>0.53217546918866443</v>
      </c>
    </row>
    <row r="338" spans="1:4" x14ac:dyDescent="0.25">
      <c r="A338" s="36">
        <v>0.50614548307835561</v>
      </c>
      <c r="B338" s="49">
        <v>227.39059794337399</v>
      </c>
      <c r="C338" s="49">
        <v>137.9731557297213</v>
      </c>
      <c r="D338" s="48">
        <f t="shared" si="38"/>
        <v>0.54538052827980843</v>
      </c>
    </row>
    <row r="339" spans="1:4" x14ac:dyDescent="0.25">
      <c r="A339" s="36">
        <v>0.52359877559829915</v>
      </c>
      <c r="B339" s="49">
        <v>224.91397116551599</v>
      </c>
      <c r="C339" s="49">
        <v>140.45204412459134</v>
      </c>
      <c r="D339" s="48">
        <f t="shared" si="38"/>
        <v>0.55821815390247465</v>
      </c>
    </row>
    <row r="340" spans="1:4" x14ac:dyDescent="0.25">
      <c r="A340" s="36">
        <v>0.54105206811824225</v>
      </c>
      <c r="B340" s="49">
        <v>222.40089431163963</v>
      </c>
      <c r="C340" s="49">
        <v>142.94123671076278</v>
      </c>
      <c r="D340" s="48">
        <f t="shared" si="38"/>
        <v>0.57123958741000713</v>
      </c>
    </row>
    <row r="341" spans="1:4" x14ac:dyDescent="0.25">
      <c r="A341" s="36">
        <v>0.55850536063818534</v>
      </c>
      <c r="B341" s="49">
        <v>218.99410120385463</v>
      </c>
      <c r="C341" s="49">
        <v>146.03555511115744</v>
      </c>
      <c r="D341" s="48">
        <f t="shared" si="38"/>
        <v>0.58812742573715249</v>
      </c>
    </row>
    <row r="342" spans="1:4" x14ac:dyDescent="0.25">
      <c r="A342" s="36">
        <v>0.57595865315812889</v>
      </c>
      <c r="B342" s="49">
        <v>215.69864517531587</v>
      </c>
      <c r="C342" s="49">
        <v>149.03866881374782</v>
      </c>
      <c r="D342" s="48">
        <f t="shared" si="38"/>
        <v>0.6046315832789344</v>
      </c>
    </row>
    <row r="343" spans="1:4" x14ac:dyDescent="0.25">
      <c r="A343" s="36">
        <v>0.59341194567807198</v>
      </c>
      <c r="B343" s="49">
        <v>212.5033185720043</v>
      </c>
      <c r="C343" s="49">
        <v>151.96289447208295</v>
      </c>
      <c r="D343" s="48">
        <f t="shared" si="38"/>
        <v>0.62079398284341425</v>
      </c>
    </row>
    <row r="344" spans="1:4" x14ac:dyDescent="0.25">
      <c r="A344" s="36">
        <v>0.61086523819801553</v>
      </c>
      <c r="B344" s="49">
        <v>209.39787709308584</v>
      </c>
      <c r="C344" s="49">
        <v>154.81925640089318</v>
      </c>
      <c r="D344" s="48">
        <f t="shared" si="38"/>
        <v>0.63665308357175676</v>
      </c>
    </row>
    <row r="345" spans="1:4" x14ac:dyDescent="0.25">
      <c r="A345" s="36">
        <v>0.62831853071795862</v>
      </c>
      <c r="B345" s="49">
        <v>206.37297293672728</v>
      </c>
      <c r="C345" s="49">
        <v>157.61776014942333</v>
      </c>
      <c r="D345" s="48">
        <f t="shared" si="38"/>
        <v>0.65224441739601569</v>
      </c>
    </row>
    <row r="346" spans="1:4" x14ac:dyDescent="0.25">
      <c r="A346" s="36">
        <v>0.64577182323790217</v>
      </c>
      <c r="B346" s="49">
        <v>203.41995119017096</v>
      </c>
      <c r="C346" s="49">
        <v>160.36749945752692</v>
      </c>
      <c r="D346" s="48">
        <f t="shared" si="38"/>
        <v>0.66760099154650066</v>
      </c>
    </row>
    <row r="347" spans="1:4" x14ac:dyDescent="0.25">
      <c r="A347" s="36">
        <v>0.66322511575784526</v>
      </c>
      <c r="B347" s="49">
        <v>200.53076974500456</v>
      </c>
      <c r="C347" s="49">
        <v>163.07682664604724</v>
      </c>
      <c r="D347" s="48">
        <f t="shared" si="38"/>
        <v>0.68275368040918183</v>
      </c>
    </row>
    <row r="348" spans="1:4" x14ac:dyDescent="0.25">
      <c r="A348" s="36">
        <v>0.6806784082777888</v>
      </c>
      <c r="B348" s="49">
        <v>197.69791544449953</v>
      </c>
      <c r="C348" s="49">
        <v>165.75348850110606</v>
      </c>
      <c r="D348" s="48">
        <f t="shared" si="38"/>
        <v>0.69773156188547336</v>
      </c>
    </row>
    <row r="349" spans="1:4" x14ac:dyDescent="0.25">
      <c r="A349" s="36">
        <v>0.6981317007977319</v>
      </c>
      <c r="B349" s="49">
        <v>194.91433149401576</v>
      </c>
      <c r="C349" s="49">
        <v>168.40474636748849</v>
      </c>
      <c r="D349" s="48">
        <f t="shared" si="38"/>
        <v>0.71256221367661354</v>
      </c>
    </row>
    <row r="350" spans="1:4" x14ac:dyDescent="0.25">
      <c r="A350" s="36">
        <v>0.715584993317675</v>
      </c>
      <c r="B350" s="49">
        <v>192.17328633617285</v>
      </c>
      <c r="C350" s="49">
        <v>171.03741950714488</v>
      </c>
      <c r="D350" s="48">
        <f t="shared" si="38"/>
        <v>0.72727196412789052</v>
      </c>
    </row>
    <row r="351" spans="1:4" x14ac:dyDescent="0.25">
      <c r="A351" s="36">
        <v>0.73303828583761854</v>
      </c>
      <c r="B351" s="49">
        <v>189.46833581447711</v>
      </c>
      <c r="C351" s="49">
        <v>173.65799658587551</v>
      </c>
      <c r="D351" s="48">
        <f t="shared" si="38"/>
        <v>0.74188614381649731</v>
      </c>
    </row>
    <row r="352" spans="1:4" x14ac:dyDescent="0.25">
      <c r="A352" s="36">
        <v>0.75049157835756164</v>
      </c>
      <c r="B352" s="49">
        <v>186.79330681720623</v>
      </c>
      <c r="C352" s="49">
        <v>176.27275686141337</v>
      </c>
      <c r="D352" s="48">
        <f t="shared" si="38"/>
        <v>0.75642931195520435</v>
      </c>
    </row>
    <row r="353" spans="1:4" x14ac:dyDescent="0.25">
      <c r="A353" s="36">
        <v>0.76794487087750518</v>
      </c>
      <c r="B353" s="49">
        <v>184.1421343162834</v>
      </c>
      <c r="C353" s="49">
        <v>178.88773960690898</v>
      </c>
      <c r="D353" s="48">
        <f t="shared" si="38"/>
        <v>0.77092544855843659</v>
      </c>
    </row>
    <row r="354" spans="1:4" x14ac:dyDescent="0.25">
      <c r="A354" s="36">
        <v>0.78539816339744828</v>
      </c>
      <c r="B354" s="49">
        <v>181.50890298302934</v>
      </c>
      <c r="C354" s="49">
        <v>181.50890298302932</v>
      </c>
      <c r="D354" s="48">
        <f t="shared" si="38"/>
        <v>0.78539816339744828</v>
      </c>
    </row>
    <row r="355" spans="1:4" x14ac:dyDescent="0.25">
      <c r="A355" s="36">
        <v>0.80285145591739182</v>
      </c>
      <c r="B355" s="49">
        <v>178.88773960690904</v>
      </c>
      <c r="C355" s="49">
        <v>184.1421343162836</v>
      </c>
      <c r="D355" s="48">
        <f t="shared" si="38"/>
        <v>0.7998708782364603</v>
      </c>
    </row>
    <row r="356" spans="1:4" x14ac:dyDescent="0.25">
      <c r="A356" s="36">
        <v>0.82030474843733492</v>
      </c>
      <c r="B356" s="49">
        <v>176.27275686141326</v>
      </c>
      <c r="C356" s="49">
        <v>186.79330681720617</v>
      </c>
      <c r="D356" s="48">
        <f t="shared" si="38"/>
        <v>0.81436701483969243</v>
      </c>
    </row>
    <row r="357" spans="1:4" x14ac:dyDescent="0.25">
      <c r="A357" s="36">
        <v>0.83775804095727846</v>
      </c>
      <c r="B357" s="49">
        <v>173.6579965858754</v>
      </c>
      <c r="C357" s="49">
        <v>189.46833581447717</v>
      </c>
      <c r="D357" s="48">
        <f t="shared" si="38"/>
        <v>0.8289101829783998</v>
      </c>
    </row>
    <row r="358" spans="1:4" x14ac:dyDescent="0.25">
      <c r="A358" s="36">
        <v>0.85521133347722156</v>
      </c>
      <c r="B358" s="49">
        <v>171.03741950714488</v>
      </c>
      <c r="C358" s="49">
        <v>192.17328633617291</v>
      </c>
      <c r="D358" s="48">
        <f t="shared" si="38"/>
        <v>0.84352436266700626</v>
      </c>
    </row>
    <row r="359" spans="1:4" x14ac:dyDescent="0.25">
      <c r="A359" s="36">
        <v>0.87266462599716466</v>
      </c>
      <c r="B359" s="49">
        <v>168.40474636748846</v>
      </c>
      <c r="C359" s="49">
        <v>194.91433149401567</v>
      </c>
      <c r="D359" s="48">
        <f t="shared" si="38"/>
        <v>0.8582341131182829</v>
      </c>
    </row>
    <row r="360" spans="1:4" x14ac:dyDescent="0.25">
      <c r="A360" s="36">
        <v>0.89011791851710775</v>
      </c>
      <c r="B360" s="49">
        <v>165.75348850110606</v>
      </c>
      <c r="C360" s="49">
        <v>197.69791544449947</v>
      </c>
      <c r="D360" s="48">
        <f t="shared" si="38"/>
        <v>0.87306476490942309</v>
      </c>
    </row>
    <row r="361" spans="1:4" x14ac:dyDescent="0.25">
      <c r="A361" s="36">
        <v>0.90757121103705174</v>
      </c>
      <c r="B361" s="49">
        <v>163.07682664604721</v>
      </c>
      <c r="C361" s="49">
        <v>200.53076974500459</v>
      </c>
      <c r="D361" s="48">
        <f t="shared" si="38"/>
        <v>0.88804264638571495</v>
      </c>
    </row>
    <row r="362" spans="1:4" x14ac:dyDescent="0.25">
      <c r="A362" s="36">
        <v>0.92502450355699484</v>
      </c>
      <c r="B362" s="49">
        <v>160.3674994575268</v>
      </c>
      <c r="C362" s="49">
        <v>203.41995119017099</v>
      </c>
      <c r="D362" s="48">
        <f t="shared" si="38"/>
        <v>0.90319533524839624</v>
      </c>
    </row>
    <row r="363" spans="1:4" x14ac:dyDescent="0.25">
      <c r="A363" s="36">
        <v>0.94247779607693793</v>
      </c>
      <c r="B363" s="49">
        <v>157.61776014942333</v>
      </c>
      <c r="C363" s="49">
        <v>206.37297293672728</v>
      </c>
      <c r="D363" s="48">
        <f t="shared" si="38"/>
        <v>0.91855190939888087</v>
      </c>
    </row>
    <row r="364" spans="1:4" x14ac:dyDescent="0.25">
      <c r="A364" s="36">
        <v>0.95993108859688103</v>
      </c>
      <c r="B364" s="49">
        <v>154.81925640089315</v>
      </c>
      <c r="C364" s="49">
        <v>209.39787709308581</v>
      </c>
      <c r="D364" s="48">
        <f t="shared" si="38"/>
        <v>0.9341432432231398</v>
      </c>
    </row>
    <row r="365" spans="1:4" x14ac:dyDescent="0.25">
      <c r="A365" s="36">
        <v>0.97738438111682502</v>
      </c>
      <c r="B365" s="49">
        <v>151.96289447208289</v>
      </c>
      <c r="C365" s="49">
        <v>212.50331857200436</v>
      </c>
      <c r="D365" s="48">
        <f t="shared" si="38"/>
        <v>0.95000234395148264</v>
      </c>
    </row>
    <row r="366" spans="1:4" x14ac:dyDescent="0.25">
      <c r="A366" s="36">
        <v>0.99483767363676812</v>
      </c>
      <c r="B366" s="49">
        <v>149.03866881374773</v>
      </c>
      <c r="C366" s="49">
        <v>215.69864517531599</v>
      </c>
      <c r="D366" s="48">
        <f t="shared" si="38"/>
        <v>0.96616474351596271</v>
      </c>
    </row>
    <row r="367" spans="1:4" x14ac:dyDescent="0.25">
      <c r="A367" s="36">
        <v>1.0122909661567112</v>
      </c>
      <c r="B367" s="49">
        <v>146.03555511115738</v>
      </c>
      <c r="C367" s="49">
        <v>218.99410120385454</v>
      </c>
      <c r="D367" s="48">
        <f t="shared" si="38"/>
        <v>0.98266890105774407</v>
      </c>
    </row>
    <row r="368" spans="1:4" x14ac:dyDescent="0.25">
      <c r="A368" s="36">
        <v>1.0297442586766543</v>
      </c>
      <c r="B368" s="49">
        <v>142.94123671076278</v>
      </c>
      <c r="C368" s="49">
        <v>222.40089431163963</v>
      </c>
      <c r="D368" s="48">
        <f t="shared" si="38"/>
        <v>0.99955673938488943</v>
      </c>
    </row>
    <row r="369" spans="1:4" x14ac:dyDescent="0.25">
      <c r="A369" s="36">
        <v>1.0471975511965974</v>
      </c>
      <c r="B369" s="49">
        <v>140.45204412459142</v>
      </c>
      <c r="C369" s="49">
        <v>224.91397116551599</v>
      </c>
      <c r="D369" s="48">
        <f t="shared" si="38"/>
        <v>1.0125781728924217</v>
      </c>
    </row>
    <row r="370" spans="1:4" x14ac:dyDescent="0.25">
      <c r="A370" s="36">
        <v>1.0646508437165414</v>
      </c>
      <c r="B370" s="49">
        <v>137.9731557297213</v>
      </c>
      <c r="C370" s="49">
        <v>227.39059794337419</v>
      </c>
      <c r="D370" s="48">
        <f t="shared" si="38"/>
        <v>1.0254157985150887</v>
      </c>
    </row>
    <row r="371" spans="1:4" x14ac:dyDescent="0.25">
      <c r="A371" s="36">
        <v>1.0821041362364845</v>
      </c>
      <c r="B371" s="49">
        <v>135.41018720512389</v>
      </c>
      <c r="C371" s="49">
        <v>229.95972656333348</v>
      </c>
      <c r="D371" s="48">
        <f t="shared" si="38"/>
        <v>1.0386208576062326</v>
      </c>
    </row>
    <row r="372" spans="1:4" x14ac:dyDescent="0.25">
      <c r="A372" s="36">
        <v>1.0995574287564276</v>
      </c>
      <c r="B372" s="49">
        <v>132.7495654136064</v>
      </c>
      <c r="C372" s="49">
        <v>232.63254191552869</v>
      </c>
      <c r="D372" s="48">
        <f t="shared" si="38"/>
        <v>1.0522444489718994</v>
      </c>
    </row>
    <row r="373" spans="1:4" x14ac:dyDescent="0.25">
      <c r="A373" s="36">
        <v>1.1170107212763707</v>
      </c>
      <c r="B373" s="49">
        <v>129.94368015335439</v>
      </c>
      <c r="C373" s="49">
        <v>234.46957738410205</v>
      </c>
      <c r="D373" s="48">
        <f t="shared" si="38"/>
        <v>1.0647321781374883</v>
      </c>
    </row>
    <row r="374" spans="1:4" x14ac:dyDescent="0.25">
      <c r="A374" s="36">
        <v>1.1344640137963147</v>
      </c>
      <c r="B374" s="49">
        <v>127.02020469171394</v>
      </c>
      <c r="C374" s="49">
        <v>237.39042944554649</v>
      </c>
      <c r="D374" s="48">
        <f t="shared" si="38"/>
        <v>1.0794888570745147</v>
      </c>
    </row>
    <row r="375" spans="1:4" x14ac:dyDescent="0.25">
      <c r="A375" s="36">
        <v>1.1519173063162578</v>
      </c>
      <c r="B375" s="49">
        <v>123.94256853039501</v>
      </c>
      <c r="C375" s="49">
        <v>240.45746760574977</v>
      </c>
      <c r="D375" s="48">
        <f t="shared" si="38"/>
        <v>1.0948693030878074</v>
      </c>
    </row>
    <row r="376" spans="1:4" x14ac:dyDescent="0.25">
      <c r="A376" s="36">
        <v>1.1693705988362009</v>
      </c>
      <c r="B376" s="49">
        <v>120.68543184104712</v>
      </c>
      <c r="C376" s="49">
        <v>243.68910589834692</v>
      </c>
      <c r="D376" s="48">
        <f t="shared" si="38"/>
        <v>1.1109611986233696</v>
      </c>
    </row>
    <row r="377" spans="1:4" x14ac:dyDescent="0.25">
      <c r="A377" s="36">
        <v>1.186823891356144</v>
      </c>
      <c r="B377" s="49">
        <v>117.21857539317161</v>
      </c>
      <c r="C377" s="49">
        <v>247.10672489676625</v>
      </c>
      <c r="D377" s="48">
        <f t="shared" si="38"/>
        <v>1.1278669019269798</v>
      </c>
    </row>
    <row r="378" spans="1:4" x14ac:dyDescent="0.25">
      <c r="A378" s="36">
        <v>1.2042771838760871</v>
      </c>
      <c r="B378" s="49">
        <v>113.5056328009709</v>
      </c>
      <c r="C378" s="49">
        <v>250.73518270350314</v>
      </c>
      <c r="D378" s="48">
        <f t="shared" si="38"/>
        <v>1.1457065788395879</v>
      </c>
    </row>
    <row r="379" spans="1:4" x14ac:dyDescent="0.25">
      <c r="A379" s="36">
        <v>1.2217304763960311</v>
      </c>
      <c r="B379" s="49">
        <v>109.50242336114484</v>
      </c>
      <c r="C379" s="49">
        <v>254.60353834762034</v>
      </c>
      <c r="D379" s="48">
        <f t="shared" si="38"/>
        <v>1.164622356436851</v>
      </c>
    </row>
    <row r="380" spans="1:4" x14ac:dyDescent="0.25">
      <c r="A380" s="36">
        <v>1.2391837689159741</v>
      </c>
      <c r="B380" s="49">
        <v>104.68425080014141</v>
      </c>
      <c r="C380" s="49">
        <v>257.76684108084271</v>
      </c>
      <c r="D380" s="48">
        <f t="shared" si="38"/>
        <v>1.185025308969895</v>
      </c>
    </row>
    <row r="381" spans="1:4" x14ac:dyDescent="0.25">
      <c r="A381" s="36">
        <v>1.2566370614359172</v>
      </c>
      <c r="B381" s="49">
        <v>99.024332374852932</v>
      </c>
      <c r="C381" s="49">
        <v>260.08952503740562</v>
      </c>
      <c r="D381" s="48">
        <f t="shared" si="38"/>
        <v>1.2070100799142798</v>
      </c>
    </row>
    <row r="382" spans="1:4" x14ac:dyDescent="0.25">
      <c r="A382" s="36">
        <v>1.2740903539558603</v>
      </c>
      <c r="B382" s="49">
        <v>93.276237502522065</v>
      </c>
      <c r="C382" s="49">
        <v>262.38068230594507</v>
      </c>
      <c r="D382" s="48">
        <f t="shared" si="38"/>
        <v>1.2292304791241884</v>
      </c>
    </row>
    <row r="383" spans="1:4" x14ac:dyDescent="0.25">
      <c r="A383" s="36">
        <v>1.2915436464758043</v>
      </c>
      <c r="B383" s="49">
        <v>87.500039122850467</v>
      </c>
      <c r="C383" s="49">
        <v>264.61974348889697</v>
      </c>
      <c r="D383" s="48">
        <f t="shared" si="38"/>
        <v>1.2514507190607609</v>
      </c>
    </row>
    <row r="384" spans="1:4" x14ac:dyDescent="0.25">
      <c r="A384" s="36">
        <v>1.3089969389957474</v>
      </c>
      <c r="B384" s="49">
        <v>81.68727959920551</v>
      </c>
      <c r="C384" s="49">
        <v>266.81271776638465</v>
      </c>
      <c r="D384" s="48">
        <f t="shared" si="38"/>
        <v>1.2736981310027797</v>
      </c>
    </row>
    <row r="385" spans="1:4" x14ac:dyDescent="0.25">
      <c r="A385" s="36">
        <v>1.3264502315156905</v>
      </c>
      <c r="B385" s="49">
        <v>75.829102613155712</v>
      </c>
      <c r="C385" s="49">
        <v>268.96567589985955</v>
      </c>
      <c r="D385" s="48">
        <f t="shared" si="38"/>
        <v>1.2960001781633048</v>
      </c>
    </row>
    <row r="386" spans="1:4" x14ac:dyDescent="0.25">
      <c r="A386" s="36">
        <v>1.3439035240356336</v>
      </c>
      <c r="B386" s="49">
        <v>69.916174747421067</v>
      </c>
      <c r="C386" s="49">
        <v>271.08471652523758</v>
      </c>
      <c r="D386" s="48">
        <f t="shared" ref="D386:D449" si="39">ATAN2(B386,C386)</f>
        <v>1.3183844499172355</v>
      </c>
    </row>
    <row r="387" spans="1:4" x14ac:dyDescent="0.25">
      <c r="A387" s="36">
        <v>1.3613568165555767</v>
      </c>
      <c r="B387" s="49">
        <v>63.938595305361986</v>
      </c>
      <c r="C387" s="49">
        <v>273.17594052269396</v>
      </c>
      <c r="D387" s="48">
        <f t="shared" si="39"/>
        <v>1.3408787081615541</v>
      </c>
    </row>
    <row r="388" spans="1:4" x14ac:dyDescent="0.25">
      <c r="A388" s="36">
        <v>1.3788101090755207</v>
      </c>
      <c r="B388" s="49">
        <v>57.885836205180524</v>
      </c>
      <c r="C388" s="49">
        <v>275.24575921993608</v>
      </c>
      <c r="D388" s="48">
        <f t="shared" si="39"/>
        <v>1.3635110697931776</v>
      </c>
    </row>
    <row r="389" spans="1:4" x14ac:dyDescent="0.25">
      <c r="A389" s="36">
        <v>1.3962634015954638</v>
      </c>
      <c r="B389" s="49">
        <v>51.746600547299892</v>
      </c>
      <c r="C389" s="49">
        <v>277.30062813955715</v>
      </c>
      <c r="D389" s="48">
        <f t="shared" si="39"/>
        <v>1.3863099255215852</v>
      </c>
    </row>
    <row r="390" spans="1:4" x14ac:dyDescent="0.25">
      <c r="A390" s="36">
        <v>1.4137166941154069</v>
      </c>
      <c r="B390" s="49">
        <v>45.508712204428434</v>
      </c>
      <c r="C390" s="49">
        <v>279.34720545775565</v>
      </c>
      <c r="D390" s="48">
        <f t="shared" si="39"/>
        <v>1.4093040931711958</v>
      </c>
    </row>
    <row r="391" spans="1:4" x14ac:dyDescent="0.25">
      <c r="A391" s="36">
        <v>1.43116998663535</v>
      </c>
      <c r="B391" s="49">
        <v>39.234428540685947</v>
      </c>
      <c r="C391" s="49">
        <v>281.32307688958031</v>
      </c>
      <c r="D391" s="48">
        <f t="shared" si="39"/>
        <v>1.4322261658277715</v>
      </c>
    </row>
    <row r="392" spans="1:4" x14ac:dyDescent="0.25">
      <c r="A392" s="36">
        <v>1.448623279155294</v>
      </c>
      <c r="B392" s="49">
        <v>34.429822602985723</v>
      </c>
      <c r="C392" s="49">
        <v>281.8309923049469</v>
      </c>
      <c r="D392" s="48">
        <f t="shared" si="39"/>
        <v>1.4492338956869839</v>
      </c>
    </row>
    <row r="393" spans="1:4" x14ac:dyDescent="0.25">
      <c r="A393" s="36">
        <v>1.4660765716752371</v>
      </c>
      <c r="B393" s="49">
        <v>29.564720223816234</v>
      </c>
      <c r="C393" s="49">
        <v>282.27062409190603</v>
      </c>
      <c r="D393" s="48">
        <f t="shared" si="39"/>
        <v>1.4664379094599798</v>
      </c>
    </row>
    <row r="394" spans="1:4" x14ac:dyDescent="0.25">
      <c r="A394" s="36">
        <v>1.4835298641951802</v>
      </c>
      <c r="B394" s="49">
        <v>24.626889145905825</v>
      </c>
      <c r="C394" s="49">
        <v>282.64319013986301</v>
      </c>
      <c r="D394" s="48">
        <f t="shared" si="39"/>
        <v>1.4838851542386891</v>
      </c>
    </row>
    <row r="395" spans="1:4" x14ac:dyDescent="0.25">
      <c r="A395" s="36">
        <v>1.5009831567151233</v>
      </c>
      <c r="B395" s="49">
        <v>19.602362885877056</v>
      </c>
      <c r="C395" s="49">
        <v>282.94949631153816</v>
      </c>
      <c r="D395" s="48">
        <f t="shared" si="39"/>
        <v>1.5016281804922802</v>
      </c>
    </row>
    <row r="396" spans="1:4" x14ac:dyDescent="0.25">
      <c r="A396" s="36">
        <v>1.5184364492350664</v>
      </c>
      <c r="B396" s="49">
        <v>16.171768576534053</v>
      </c>
      <c r="C396" s="49">
        <v>283.12105431393866</v>
      </c>
      <c r="D396" s="48">
        <f t="shared" si="39"/>
        <v>1.5137387005105964</v>
      </c>
    </row>
    <row r="397" spans="1:4" x14ac:dyDescent="0.25">
      <c r="A397" s="36">
        <v>1.5358897417550104</v>
      </c>
      <c r="B397" s="49">
        <v>10.9323048045609</v>
      </c>
      <c r="C397" s="49">
        <v>283.29902827259372</v>
      </c>
      <c r="D397" s="48">
        <f t="shared" si="39"/>
        <v>1.5322261870912013</v>
      </c>
    </row>
    <row r="398" spans="1:4" x14ac:dyDescent="0.25">
      <c r="A398" s="36">
        <v>1.5533430342749535</v>
      </c>
      <c r="B398" s="49">
        <v>5.5505222304779416</v>
      </c>
      <c r="C398" s="49">
        <v>283.41262392348034</v>
      </c>
      <c r="D398" s="48">
        <f t="shared" si="39"/>
        <v>1.5512142324242137</v>
      </c>
    </row>
    <row r="399" spans="1:4" x14ac:dyDescent="0.25">
      <c r="A399" s="36">
        <v>1.5707963267948966</v>
      </c>
      <c r="B399" s="49">
        <v>1.7364171668207894E-14</v>
      </c>
      <c r="C399" s="49">
        <v>283.46232815521176</v>
      </c>
      <c r="D399" s="48">
        <f t="shared" si="39"/>
        <v>1.5707963267948966</v>
      </c>
    </row>
    <row r="400" spans="1:4" x14ac:dyDescent="0.25">
      <c r="A400" s="36">
        <v>1.5882496193148397</v>
      </c>
      <c r="B400" s="49">
        <v>-5.5505222304779105</v>
      </c>
      <c r="C400" s="49">
        <v>283.4126239234804</v>
      </c>
      <c r="D400" s="48">
        <f t="shared" si="39"/>
        <v>1.5903784211655794</v>
      </c>
    </row>
    <row r="401" spans="1:4" x14ac:dyDescent="0.25">
      <c r="A401" s="36">
        <v>1.6057029118347836</v>
      </c>
      <c r="B401" s="49">
        <v>-10.932304804561127</v>
      </c>
      <c r="C401" s="49">
        <v>283.29902827259349</v>
      </c>
      <c r="D401" s="48">
        <f t="shared" si="39"/>
        <v>1.6093664664985925</v>
      </c>
    </row>
    <row r="402" spans="1:4" x14ac:dyDescent="0.25">
      <c r="A402" s="36">
        <v>1.6231562043547267</v>
      </c>
      <c r="B402" s="49">
        <v>-16.171768576533992</v>
      </c>
      <c r="C402" s="49">
        <v>283.12105431393877</v>
      </c>
      <c r="D402" s="48">
        <f t="shared" si="39"/>
        <v>1.6278539530791964</v>
      </c>
    </row>
    <row r="403" spans="1:4" x14ac:dyDescent="0.25">
      <c r="A403" s="36">
        <v>1.6406094968746698</v>
      </c>
      <c r="B403" s="49">
        <v>-19.602362885877024</v>
      </c>
      <c r="C403" s="49">
        <v>282.94949631153821</v>
      </c>
      <c r="D403" s="48">
        <f t="shared" si="39"/>
        <v>1.6399644730975127</v>
      </c>
    </row>
    <row r="404" spans="1:4" x14ac:dyDescent="0.25">
      <c r="A404" s="36">
        <v>1.6580627893946129</v>
      </c>
      <c r="B404" s="49">
        <v>-24.62688914590581</v>
      </c>
      <c r="C404" s="49">
        <v>282.64319013986312</v>
      </c>
      <c r="D404" s="48">
        <f t="shared" si="39"/>
        <v>1.6577074993511041</v>
      </c>
    </row>
    <row r="405" spans="1:4" x14ac:dyDescent="0.25">
      <c r="A405" s="36">
        <v>1.675516081914556</v>
      </c>
      <c r="B405" s="49">
        <v>-29.564720223816174</v>
      </c>
      <c r="C405" s="49">
        <v>282.27062409190609</v>
      </c>
      <c r="D405" s="48">
        <f t="shared" si="39"/>
        <v>1.6751547441298131</v>
      </c>
    </row>
    <row r="406" spans="1:4" x14ac:dyDescent="0.25">
      <c r="A406" s="36">
        <v>1.6929693744345</v>
      </c>
      <c r="B406" s="49">
        <v>-34.429822602985929</v>
      </c>
      <c r="C406" s="49">
        <v>281.83099230494668</v>
      </c>
      <c r="D406" s="48">
        <f t="shared" si="39"/>
        <v>1.6923587579028099</v>
      </c>
    </row>
    <row r="407" spans="1:4" x14ac:dyDescent="0.25">
      <c r="A407" s="36">
        <v>1.7104226669544431</v>
      </c>
      <c r="B407" s="49">
        <v>-39.234428540685911</v>
      </c>
      <c r="C407" s="49">
        <v>281.32307688958019</v>
      </c>
      <c r="D407" s="48">
        <f t="shared" si="39"/>
        <v>1.7093664877620216</v>
      </c>
    </row>
    <row r="408" spans="1:4" x14ac:dyDescent="0.25">
      <c r="A408" s="36">
        <v>1.7278759594743862</v>
      </c>
      <c r="B408" s="49">
        <v>-45.50871220442837</v>
      </c>
      <c r="C408" s="49">
        <v>279.34720545775565</v>
      </c>
      <c r="D408" s="48">
        <f t="shared" si="39"/>
        <v>1.7322885604185971</v>
      </c>
    </row>
    <row r="409" spans="1:4" x14ac:dyDescent="0.25">
      <c r="A409" s="36">
        <v>1.7453292519943293</v>
      </c>
      <c r="B409" s="49">
        <v>-51.746600547299842</v>
      </c>
      <c r="C409" s="49">
        <v>277.30062813955715</v>
      </c>
      <c r="D409" s="48">
        <f t="shared" si="39"/>
        <v>1.7552827280682077</v>
      </c>
    </row>
    <row r="410" spans="1:4" x14ac:dyDescent="0.25">
      <c r="A410" s="36">
        <v>1.7627825445142733</v>
      </c>
      <c r="B410" s="49">
        <v>-57.885836205180759</v>
      </c>
      <c r="C410" s="49">
        <v>275.24575921993579</v>
      </c>
      <c r="D410" s="48">
        <f t="shared" si="39"/>
        <v>1.7780815837966164</v>
      </c>
    </row>
    <row r="411" spans="1:4" x14ac:dyDescent="0.25">
      <c r="A411" s="36">
        <v>1.7802358370342164</v>
      </c>
      <c r="B411" s="49">
        <v>-63.938595305361908</v>
      </c>
      <c r="C411" s="49">
        <v>273.17594052269396</v>
      </c>
      <c r="D411" s="48">
        <f t="shared" si="39"/>
        <v>1.8007139454282386</v>
      </c>
    </row>
    <row r="412" spans="1:4" x14ac:dyDescent="0.25">
      <c r="A412" s="36">
        <v>1.7976891295541595</v>
      </c>
      <c r="B412" s="49">
        <v>-69.91617474742101</v>
      </c>
      <c r="C412" s="49">
        <v>271.08471652523752</v>
      </c>
      <c r="D412" s="48">
        <f t="shared" si="39"/>
        <v>1.8232082036725574</v>
      </c>
    </row>
    <row r="413" spans="1:4" x14ac:dyDescent="0.25">
      <c r="A413" s="36">
        <v>1.8151424220741026</v>
      </c>
      <c r="B413" s="49">
        <v>-75.829102613155698</v>
      </c>
      <c r="C413" s="49">
        <v>268.9656758998596</v>
      </c>
      <c r="D413" s="48">
        <f t="shared" si="39"/>
        <v>1.8455924754264881</v>
      </c>
    </row>
    <row r="414" spans="1:4" x14ac:dyDescent="0.25">
      <c r="A414" s="36">
        <v>1.8325957145940457</v>
      </c>
      <c r="B414" s="49">
        <v>-81.687279599205468</v>
      </c>
      <c r="C414" s="49">
        <v>266.81271776638476</v>
      </c>
      <c r="D414" s="48">
        <f t="shared" si="39"/>
        <v>1.8678945225870132</v>
      </c>
    </row>
    <row r="415" spans="1:4" x14ac:dyDescent="0.25">
      <c r="A415" s="36">
        <v>1.8500490071139897</v>
      </c>
      <c r="B415" s="49">
        <v>-87.500039122850666</v>
      </c>
      <c r="C415" s="49">
        <v>264.61974348889657</v>
      </c>
      <c r="D415" s="48">
        <f t="shared" si="39"/>
        <v>1.8901419345290333</v>
      </c>
    </row>
    <row r="416" spans="1:4" x14ac:dyDescent="0.25">
      <c r="A416" s="36">
        <v>1.8675022996339328</v>
      </c>
      <c r="B416" s="49">
        <v>-93.276237502522008</v>
      </c>
      <c r="C416" s="49">
        <v>262.38068230594507</v>
      </c>
      <c r="D416" s="48">
        <f t="shared" si="39"/>
        <v>1.9123621744656045</v>
      </c>
    </row>
    <row r="417" spans="1:4" x14ac:dyDescent="0.25">
      <c r="A417" s="36">
        <v>1.8849555921538759</v>
      </c>
      <c r="B417" s="49">
        <v>-99.024332374852875</v>
      </c>
      <c r="C417" s="49">
        <v>260.08952503740574</v>
      </c>
      <c r="D417" s="48">
        <f t="shared" si="39"/>
        <v>1.9345825736755129</v>
      </c>
    </row>
    <row r="418" spans="1:4" x14ac:dyDescent="0.25">
      <c r="A418" s="36">
        <v>1.902408884673819</v>
      </c>
      <c r="B418" s="49">
        <v>-104.68425080014136</v>
      </c>
      <c r="C418" s="49">
        <v>257.7668410808426</v>
      </c>
      <c r="D418" s="48">
        <f t="shared" si="39"/>
        <v>1.9565673446198981</v>
      </c>
    </row>
    <row r="419" spans="1:4" x14ac:dyDescent="0.25">
      <c r="A419" s="36">
        <v>1.919862177193763</v>
      </c>
      <c r="B419" s="49">
        <v>-109.50242336114496</v>
      </c>
      <c r="C419" s="49">
        <v>254.60353834762003</v>
      </c>
      <c r="D419" s="48">
        <f t="shared" si="39"/>
        <v>1.976970297152943</v>
      </c>
    </row>
    <row r="420" spans="1:4" x14ac:dyDescent="0.25">
      <c r="A420" s="36">
        <v>1.9373154697137061</v>
      </c>
      <c r="B420" s="49">
        <v>-113.50563280097084</v>
      </c>
      <c r="C420" s="49">
        <v>250.73518270350303</v>
      </c>
      <c r="D420" s="48">
        <f t="shared" si="39"/>
        <v>1.9958860747502052</v>
      </c>
    </row>
    <row r="421" spans="1:4" x14ac:dyDescent="0.25">
      <c r="A421" s="36">
        <v>1.9547687622336491</v>
      </c>
      <c r="B421" s="49">
        <v>-117.21857539317163</v>
      </c>
      <c r="C421" s="49">
        <v>247.10672489676639</v>
      </c>
      <c r="D421" s="48">
        <f t="shared" si="39"/>
        <v>2.0137257516628133</v>
      </c>
    </row>
    <row r="422" spans="1:4" x14ac:dyDescent="0.25">
      <c r="A422" s="36">
        <v>1.9722220547535922</v>
      </c>
      <c r="B422" s="49">
        <v>-120.68543184104708</v>
      </c>
      <c r="C422" s="49">
        <v>243.68910589834684</v>
      </c>
      <c r="D422" s="48">
        <f t="shared" si="39"/>
        <v>2.0306314549664233</v>
      </c>
    </row>
    <row r="423" spans="1:4" x14ac:dyDescent="0.25">
      <c r="A423" s="36">
        <v>1.9896753472735353</v>
      </c>
      <c r="B423" s="49">
        <v>-123.94256853039501</v>
      </c>
      <c r="C423" s="49">
        <v>240.45746760574994</v>
      </c>
      <c r="D423" s="48">
        <f t="shared" si="39"/>
        <v>2.0467233505019853</v>
      </c>
    </row>
    <row r="424" spans="1:4" x14ac:dyDescent="0.25">
      <c r="A424" s="36">
        <v>2.0071286397934793</v>
      </c>
      <c r="B424" s="49">
        <v>-127.02020469171408</v>
      </c>
      <c r="C424" s="49">
        <v>237.39042944554643</v>
      </c>
      <c r="D424" s="48">
        <f t="shared" si="39"/>
        <v>2.0621037965152791</v>
      </c>
    </row>
    <row r="425" spans="1:4" x14ac:dyDescent="0.25">
      <c r="A425" s="36">
        <v>2.0245819323134224</v>
      </c>
      <c r="B425" s="49">
        <v>-129.94368015335436</v>
      </c>
      <c r="C425" s="49">
        <v>234.46957738410211</v>
      </c>
      <c r="D425" s="48">
        <f t="shared" si="39"/>
        <v>2.0768604754523046</v>
      </c>
    </row>
    <row r="426" spans="1:4" x14ac:dyDescent="0.25">
      <c r="A426" s="36">
        <v>2.0420352248333655</v>
      </c>
      <c r="B426" s="49">
        <v>-132.74956541360638</v>
      </c>
      <c r="C426" s="49">
        <v>232.63254191552875</v>
      </c>
      <c r="D426" s="48">
        <f t="shared" si="39"/>
        <v>2.0893482046178935</v>
      </c>
    </row>
    <row r="427" spans="1:4" x14ac:dyDescent="0.25">
      <c r="A427" s="36">
        <v>2.0594885173533086</v>
      </c>
      <c r="B427" s="49">
        <v>-135.41018720512392</v>
      </c>
      <c r="C427" s="49">
        <v>229.95972656333356</v>
      </c>
      <c r="D427" s="48">
        <f t="shared" si="39"/>
        <v>2.1029717959835605</v>
      </c>
    </row>
    <row r="428" spans="1:4" x14ac:dyDescent="0.25">
      <c r="A428" s="36">
        <v>2.0769418098732526</v>
      </c>
      <c r="B428" s="49">
        <v>-137.97315572972138</v>
      </c>
      <c r="C428" s="49">
        <v>227.3905979433741</v>
      </c>
      <c r="D428" s="48">
        <f t="shared" si="39"/>
        <v>2.1161768550747047</v>
      </c>
    </row>
    <row r="429" spans="1:4" x14ac:dyDescent="0.25">
      <c r="A429" s="36">
        <v>2.0943951023931957</v>
      </c>
      <c r="B429" s="49">
        <v>-140.45204412459134</v>
      </c>
      <c r="C429" s="49">
        <v>224.91397116551599</v>
      </c>
      <c r="D429" s="48">
        <f t="shared" si="39"/>
        <v>2.1290144806973714</v>
      </c>
    </row>
    <row r="430" spans="1:4" x14ac:dyDescent="0.25">
      <c r="A430" s="36">
        <v>2.1118483949131388</v>
      </c>
      <c r="B430" s="49">
        <v>-142.94123671076287</v>
      </c>
      <c r="C430" s="49">
        <v>222.40089431163972</v>
      </c>
      <c r="D430" s="48">
        <f t="shared" si="39"/>
        <v>2.1420359142049037</v>
      </c>
    </row>
    <row r="431" spans="1:4" x14ac:dyDescent="0.25">
      <c r="A431" s="36">
        <v>2.1293016874330819</v>
      </c>
      <c r="B431" s="49">
        <v>-146.03555511115744</v>
      </c>
      <c r="C431" s="49">
        <v>218.99410120385465</v>
      </c>
      <c r="D431" s="48">
        <f t="shared" si="39"/>
        <v>2.1589237525320488</v>
      </c>
    </row>
    <row r="432" spans="1:4" x14ac:dyDescent="0.25">
      <c r="A432" s="36">
        <v>2.146754979953025</v>
      </c>
      <c r="B432" s="49">
        <v>-149.03866881374779</v>
      </c>
      <c r="C432" s="49">
        <v>215.69864517531607</v>
      </c>
      <c r="D432" s="48">
        <f t="shared" si="39"/>
        <v>2.1754279100738305</v>
      </c>
    </row>
    <row r="433" spans="1:4" x14ac:dyDescent="0.25">
      <c r="A433" s="36">
        <v>2.164208272472969</v>
      </c>
      <c r="B433" s="49">
        <v>-151.96289447208298</v>
      </c>
      <c r="C433" s="49">
        <v>212.50331857200416</v>
      </c>
      <c r="D433" s="48">
        <f t="shared" si="39"/>
        <v>2.1915903096383111</v>
      </c>
    </row>
    <row r="434" spans="1:4" x14ac:dyDescent="0.25">
      <c r="A434" s="36">
        <v>2.1816615649929121</v>
      </c>
      <c r="B434" s="49">
        <v>-154.81925640089315</v>
      </c>
      <c r="C434" s="49">
        <v>209.39787709308584</v>
      </c>
      <c r="D434" s="48">
        <f t="shared" si="39"/>
        <v>2.2074494103666531</v>
      </c>
    </row>
    <row r="435" spans="1:4" x14ac:dyDescent="0.25">
      <c r="A435" s="36">
        <v>2.1991148575128552</v>
      </c>
      <c r="B435" s="49">
        <v>-157.61776014942333</v>
      </c>
      <c r="C435" s="49">
        <v>206.37297293672728</v>
      </c>
      <c r="D435" s="48">
        <f t="shared" si="39"/>
        <v>2.2230407441909121</v>
      </c>
    </row>
    <row r="436" spans="1:4" x14ac:dyDescent="0.25">
      <c r="A436" s="36">
        <v>2.2165681500327983</v>
      </c>
      <c r="B436" s="49">
        <v>-160.36749945752678</v>
      </c>
      <c r="C436" s="49">
        <v>203.41995119017102</v>
      </c>
      <c r="D436" s="48">
        <f t="shared" si="39"/>
        <v>2.2383973183413968</v>
      </c>
    </row>
    <row r="437" spans="1:4" x14ac:dyDescent="0.25">
      <c r="A437" s="36">
        <v>2.2340214425527423</v>
      </c>
      <c r="B437" s="49">
        <v>-163.07682664604735</v>
      </c>
      <c r="C437" s="49">
        <v>200.53076974500451</v>
      </c>
      <c r="D437" s="48">
        <f t="shared" si="39"/>
        <v>2.2535500072040788</v>
      </c>
    </row>
    <row r="438" spans="1:4" x14ac:dyDescent="0.25">
      <c r="A438" s="36">
        <v>2.2514747350726854</v>
      </c>
      <c r="B438" s="49">
        <v>-165.75348850110606</v>
      </c>
      <c r="C438" s="49">
        <v>197.69791544449956</v>
      </c>
      <c r="D438" s="48">
        <f t="shared" si="39"/>
        <v>2.2685278886803699</v>
      </c>
    </row>
    <row r="439" spans="1:4" x14ac:dyDescent="0.25">
      <c r="A439" s="36">
        <v>2.2689280275926285</v>
      </c>
      <c r="B439" s="49">
        <v>-168.40474636748849</v>
      </c>
      <c r="C439" s="49">
        <v>194.91433149401576</v>
      </c>
      <c r="D439" s="48">
        <f t="shared" si="39"/>
        <v>2.28335854047151</v>
      </c>
    </row>
    <row r="440" spans="1:4" x14ac:dyDescent="0.25">
      <c r="A440" s="36">
        <v>2.2863813201125716</v>
      </c>
      <c r="B440" s="49">
        <v>-171.03741950714488</v>
      </c>
      <c r="C440" s="49">
        <v>192.17328633617285</v>
      </c>
      <c r="D440" s="48">
        <f t="shared" si="39"/>
        <v>2.298068290922787</v>
      </c>
    </row>
    <row r="441" spans="1:4" x14ac:dyDescent="0.25">
      <c r="A441" s="36">
        <v>2.3038346126325147</v>
      </c>
      <c r="B441" s="49">
        <v>-173.6579965858754</v>
      </c>
      <c r="C441" s="49">
        <v>189.46833581447717</v>
      </c>
      <c r="D441" s="48">
        <f t="shared" si="39"/>
        <v>2.3126824706113931</v>
      </c>
    </row>
    <row r="442" spans="1:4" x14ac:dyDescent="0.25">
      <c r="A442" s="36">
        <v>2.3212879051524586</v>
      </c>
      <c r="B442" s="49">
        <v>-176.27275686141326</v>
      </c>
      <c r="C442" s="49">
        <v>186.79330681720606</v>
      </c>
      <c r="D442" s="48">
        <f t="shared" si="39"/>
        <v>2.3272256387501011</v>
      </c>
    </row>
    <row r="443" spans="1:4" x14ac:dyDescent="0.25">
      <c r="A443" s="36">
        <v>2.3387411976724017</v>
      </c>
      <c r="B443" s="49">
        <v>-178.88773960690912</v>
      </c>
      <c r="C443" s="49">
        <v>184.1421343162836</v>
      </c>
      <c r="D443" s="48">
        <f t="shared" si="39"/>
        <v>2.3417217753533333</v>
      </c>
    </row>
    <row r="444" spans="1:4" x14ac:dyDescent="0.25">
      <c r="A444" s="36">
        <v>2.3561944901923448</v>
      </c>
      <c r="B444" s="49">
        <v>-181.50890298302932</v>
      </c>
      <c r="C444" s="49">
        <v>181.50890298302934</v>
      </c>
      <c r="D444" s="48">
        <f t="shared" si="39"/>
        <v>2.3561944901923448</v>
      </c>
    </row>
    <row r="445" spans="1:4" x14ac:dyDescent="0.25">
      <c r="A445" s="36">
        <v>2.3736477827122879</v>
      </c>
      <c r="B445" s="49">
        <v>-184.14213431628349</v>
      </c>
      <c r="C445" s="49">
        <v>178.88773960690909</v>
      </c>
      <c r="D445" s="48">
        <f t="shared" si="39"/>
        <v>2.3706672050313564</v>
      </c>
    </row>
    <row r="446" spans="1:4" x14ac:dyDescent="0.25">
      <c r="A446" s="36">
        <v>2.3911010752322319</v>
      </c>
      <c r="B446" s="49">
        <v>-186.79330681720623</v>
      </c>
      <c r="C446" s="49">
        <v>176.27275686141326</v>
      </c>
      <c r="D446" s="48">
        <f t="shared" si="39"/>
        <v>2.385163341634589</v>
      </c>
    </row>
    <row r="447" spans="1:4" x14ac:dyDescent="0.25">
      <c r="A447" s="36">
        <v>2.408554367752175</v>
      </c>
      <c r="B447" s="49">
        <v>-189.46833581447717</v>
      </c>
      <c r="C447" s="49">
        <v>173.65799658587542</v>
      </c>
      <c r="D447" s="48">
        <f t="shared" si="39"/>
        <v>2.3997065097732961</v>
      </c>
    </row>
    <row r="448" spans="1:4" x14ac:dyDescent="0.25">
      <c r="A448" s="36">
        <v>2.4260076602721181</v>
      </c>
      <c r="B448" s="49">
        <v>-192.17328633617285</v>
      </c>
      <c r="C448" s="49">
        <v>171.03741950714482</v>
      </c>
      <c r="D448" s="48">
        <f t="shared" si="39"/>
        <v>2.4143206894619027</v>
      </c>
    </row>
    <row r="449" spans="1:4" x14ac:dyDescent="0.25">
      <c r="A449" s="36">
        <v>2.4434609527920612</v>
      </c>
      <c r="B449" s="49">
        <v>-194.91433149401567</v>
      </c>
      <c r="C449" s="49">
        <v>168.40474636748846</v>
      </c>
      <c r="D449" s="48">
        <f t="shared" si="39"/>
        <v>2.4290304399131797</v>
      </c>
    </row>
    <row r="450" spans="1:4" x14ac:dyDescent="0.25">
      <c r="A450" s="36">
        <v>2.4609142453120043</v>
      </c>
      <c r="B450" s="49">
        <v>-197.69791544449947</v>
      </c>
      <c r="C450" s="49">
        <v>165.75348850110606</v>
      </c>
      <c r="D450" s="48">
        <f t="shared" ref="D450:D490" si="40">ATAN2(B450,C450)</f>
        <v>2.4438610917043198</v>
      </c>
    </row>
    <row r="451" spans="1:4" x14ac:dyDescent="0.25">
      <c r="A451" s="36">
        <v>2.4783675378319483</v>
      </c>
      <c r="B451" s="49">
        <v>-200.53076974500459</v>
      </c>
      <c r="C451" s="49">
        <v>163.07682664604727</v>
      </c>
      <c r="D451" s="48">
        <f t="shared" si="40"/>
        <v>2.4588389731806113</v>
      </c>
    </row>
    <row r="452" spans="1:4" x14ac:dyDescent="0.25">
      <c r="A452" s="36">
        <v>2.4958208303518914</v>
      </c>
      <c r="B452" s="49">
        <v>-203.41995119017096</v>
      </c>
      <c r="C452" s="49">
        <v>160.36749945752678</v>
      </c>
      <c r="D452" s="48">
        <f t="shared" si="40"/>
        <v>2.4739916620432929</v>
      </c>
    </row>
    <row r="453" spans="1:4" x14ac:dyDescent="0.25">
      <c r="A453" s="36">
        <v>2.5132741228718345</v>
      </c>
      <c r="B453" s="49">
        <v>-206.37297293672725</v>
      </c>
      <c r="C453" s="49">
        <v>157.61776014942333</v>
      </c>
      <c r="D453" s="48">
        <f t="shared" si="40"/>
        <v>2.4893482361937771</v>
      </c>
    </row>
    <row r="454" spans="1:4" x14ac:dyDescent="0.25">
      <c r="A454" s="36">
        <v>2.5307274153917776</v>
      </c>
      <c r="B454" s="49">
        <v>-209.39787709308578</v>
      </c>
      <c r="C454" s="49">
        <v>154.81925640089318</v>
      </c>
      <c r="D454" s="48">
        <f t="shared" si="40"/>
        <v>2.5049395700180361</v>
      </c>
    </row>
    <row r="455" spans="1:4" x14ac:dyDescent="0.25">
      <c r="A455" s="36">
        <v>2.5481807079117216</v>
      </c>
      <c r="B455" s="49">
        <v>-212.50331857200436</v>
      </c>
      <c r="C455" s="49">
        <v>151.96289447208289</v>
      </c>
      <c r="D455" s="48">
        <f t="shared" si="40"/>
        <v>2.520798670746379</v>
      </c>
    </row>
    <row r="456" spans="1:4" x14ac:dyDescent="0.25">
      <c r="A456" s="36">
        <v>2.5656340004316647</v>
      </c>
      <c r="B456" s="49">
        <v>-215.69864517531593</v>
      </c>
      <c r="C456" s="49">
        <v>149.03866881374776</v>
      </c>
      <c r="D456" s="48">
        <f t="shared" si="40"/>
        <v>2.5369610703108592</v>
      </c>
    </row>
    <row r="457" spans="1:4" x14ac:dyDescent="0.25">
      <c r="A457" s="36">
        <v>2.5830872929516078</v>
      </c>
      <c r="B457" s="49">
        <v>-218.99410120385454</v>
      </c>
      <c r="C457" s="49">
        <v>146.03555511115741</v>
      </c>
      <c r="D457" s="48">
        <f t="shared" si="40"/>
        <v>2.5534652278526404</v>
      </c>
    </row>
    <row r="458" spans="1:4" x14ac:dyDescent="0.25">
      <c r="A458" s="36">
        <v>2.6005405854715509</v>
      </c>
      <c r="B458" s="49">
        <v>-222.40089431163963</v>
      </c>
      <c r="C458" s="49">
        <v>142.94123671076278</v>
      </c>
      <c r="D458" s="48">
        <f t="shared" si="40"/>
        <v>2.570353066179786</v>
      </c>
    </row>
    <row r="459" spans="1:4" x14ac:dyDescent="0.25">
      <c r="A459" s="36">
        <v>2.617993877991494</v>
      </c>
      <c r="B459" s="49">
        <v>-224.91397116551599</v>
      </c>
      <c r="C459" s="49">
        <v>140.4520441245914</v>
      </c>
      <c r="D459" s="48">
        <f t="shared" si="40"/>
        <v>2.5833744996873182</v>
      </c>
    </row>
    <row r="460" spans="1:4" x14ac:dyDescent="0.25">
      <c r="A460" s="36">
        <v>2.635447170511438</v>
      </c>
      <c r="B460" s="49">
        <v>-227.39059794337413</v>
      </c>
      <c r="C460" s="49">
        <v>137.9731557297213</v>
      </c>
      <c r="D460" s="48">
        <f t="shared" si="40"/>
        <v>2.596212125309985</v>
      </c>
    </row>
    <row r="461" spans="1:4" x14ac:dyDescent="0.25">
      <c r="A461" s="36">
        <v>2.6529004630313811</v>
      </c>
      <c r="B461" s="49">
        <v>-229.95972656333348</v>
      </c>
      <c r="C461" s="49">
        <v>135.41018720512389</v>
      </c>
      <c r="D461" s="48">
        <f t="shared" si="40"/>
        <v>2.6094171844011291</v>
      </c>
    </row>
    <row r="462" spans="1:4" x14ac:dyDescent="0.25">
      <c r="A462" s="36">
        <v>2.6703537555513241</v>
      </c>
      <c r="B462" s="49">
        <v>-232.63254191552869</v>
      </c>
      <c r="C462" s="49">
        <v>132.74956541360643</v>
      </c>
      <c r="D462" s="48">
        <f t="shared" si="40"/>
        <v>2.6230407757667957</v>
      </c>
    </row>
    <row r="463" spans="1:4" x14ac:dyDescent="0.25">
      <c r="A463" s="36">
        <v>2.6878070480712672</v>
      </c>
      <c r="B463" s="49">
        <v>-234.46957738410202</v>
      </c>
      <c r="C463" s="49">
        <v>129.94368015335436</v>
      </c>
      <c r="D463" s="48">
        <f t="shared" si="40"/>
        <v>2.6355285049323847</v>
      </c>
    </row>
    <row r="464" spans="1:4" x14ac:dyDescent="0.25">
      <c r="A464" s="36">
        <v>2.7052603405912112</v>
      </c>
      <c r="B464" s="49">
        <v>-237.39042944554663</v>
      </c>
      <c r="C464" s="49">
        <v>127.02020469171396</v>
      </c>
      <c r="D464" s="48">
        <f t="shared" si="40"/>
        <v>2.6502851838694115</v>
      </c>
    </row>
    <row r="465" spans="1:4" x14ac:dyDescent="0.25">
      <c r="A465" s="36">
        <v>2.7227136331111543</v>
      </c>
      <c r="B465" s="49">
        <v>-240.45746760574991</v>
      </c>
      <c r="C465" s="49">
        <v>123.94256853039499</v>
      </c>
      <c r="D465" s="48">
        <f t="shared" si="40"/>
        <v>2.6656656298827044</v>
      </c>
    </row>
    <row r="466" spans="1:4" x14ac:dyDescent="0.25">
      <c r="A466" s="36">
        <v>2.7401669256310974</v>
      </c>
      <c r="B466" s="49">
        <v>-243.68910589834687</v>
      </c>
      <c r="C466" s="49">
        <v>120.68543184104709</v>
      </c>
      <c r="D466" s="48">
        <f t="shared" si="40"/>
        <v>2.681757525418266</v>
      </c>
    </row>
    <row r="467" spans="1:4" x14ac:dyDescent="0.25">
      <c r="A467" s="36">
        <v>2.7576202181510405</v>
      </c>
      <c r="B467" s="49">
        <v>-247.10672489676622</v>
      </c>
      <c r="C467" s="49">
        <v>117.21857539317163</v>
      </c>
      <c r="D467" s="48">
        <f t="shared" si="40"/>
        <v>2.6986632287218759</v>
      </c>
    </row>
    <row r="468" spans="1:4" x14ac:dyDescent="0.25">
      <c r="A468" s="36">
        <v>2.7750735106709836</v>
      </c>
      <c r="B468" s="49">
        <v>-250.73518270350303</v>
      </c>
      <c r="C468" s="49">
        <v>113.5056328009709</v>
      </c>
      <c r="D468" s="48">
        <f t="shared" si="40"/>
        <v>2.716502905634484</v>
      </c>
    </row>
    <row r="469" spans="1:4" x14ac:dyDescent="0.25">
      <c r="A469" s="36">
        <v>2.7925268031909276</v>
      </c>
      <c r="B469" s="49">
        <v>-254.60353834762034</v>
      </c>
      <c r="C469" s="49">
        <v>109.50242336114486</v>
      </c>
      <c r="D469" s="48">
        <f t="shared" si="40"/>
        <v>2.7354186832317473</v>
      </c>
    </row>
    <row r="470" spans="1:4" x14ac:dyDescent="0.25">
      <c r="A470" s="36">
        <v>2.8099800957108707</v>
      </c>
      <c r="B470" s="49">
        <v>-257.76684108084271</v>
      </c>
      <c r="C470" s="49">
        <v>104.68425080014143</v>
      </c>
      <c r="D470" s="48">
        <f t="shared" si="40"/>
        <v>2.7558216357647916</v>
      </c>
    </row>
    <row r="471" spans="1:4" x14ac:dyDescent="0.25">
      <c r="A471" s="36">
        <v>2.8274333882308138</v>
      </c>
      <c r="B471" s="49">
        <v>-260.08952503740562</v>
      </c>
      <c r="C471" s="49">
        <v>99.024332374852932</v>
      </c>
      <c r="D471" s="48">
        <f t="shared" si="40"/>
        <v>2.7778064067091766</v>
      </c>
    </row>
    <row r="472" spans="1:4" x14ac:dyDescent="0.25">
      <c r="A472" s="36">
        <v>2.8448866807507569</v>
      </c>
      <c r="B472" s="49">
        <v>-262.38068230594502</v>
      </c>
      <c r="C472" s="49">
        <v>93.276237502522079</v>
      </c>
      <c r="D472" s="48">
        <f t="shared" si="40"/>
        <v>2.8000268059190847</v>
      </c>
    </row>
    <row r="473" spans="1:4" x14ac:dyDescent="0.25">
      <c r="A473" s="36">
        <v>2.8623399732707009</v>
      </c>
      <c r="B473" s="49">
        <v>-264.61974348889692</v>
      </c>
      <c r="C473" s="49">
        <v>87.500039122850495</v>
      </c>
      <c r="D473" s="48">
        <f t="shared" si="40"/>
        <v>2.822247045855657</v>
      </c>
    </row>
    <row r="474" spans="1:4" x14ac:dyDescent="0.25">
      <c r="A474" s="36">
        <v>2.879793265790644</v>
      </c>
      <c r="B474" s="49">
        <v>-266.81271776638459</v>
      </c>
      <c r="C474" s="49">
        <v>81.68727959920551</v>
      </c>
      <c r="D474" s="48">
        <f t="shared" si="40"/>
        <v>2.8444944577976763</v>
      </c>
    </row>
    <row r="475" spans="1:4" x14ac:dyDescent="0.25">
      <c r="A475" s="36">
        <v>2.8972465583105871</v>
      </c>
      <c r="B475" s="49">
        <v>-268.96567589985955</v>
      </c>
      <c r="C475" s="49">
        <v>75.829102613155754</v>
      </c>
      <c r="D475" s="48">
        <f t="shared" si="40"/>
        <v>2.8667965049582014</v>
      </c>
    </row>
    <row r="476" spans="1:4" x14ac:dyDescent="0.25">
      <c r="A476" s="36">
        <v>2.9146998508305302</v>
      </c>
      <c r="B476" s="49">
        <v>-271.08471652523735</v>
      </c>
      <c r="C476" s="49">
        <v>69.916174747421067</v>
      </c>
      <c r="D476" s="48">
        <f t="shared" si="40"/>
        <v>2.8891807767121316</v>
      </c>
    </row>
    <row r="477" spans="1:4" x14ac:dyDescent="0.25">
      <c r="A477" s="36">
        <v>2.9321531433504733</v>
      </c>
      <c r="B477" s="49">
        <v>-273.17594052269385</v>
      </c>
      <c r="C477" s="49">
        <v>63.938595305361972</v>
      </c>
      <c r="D477" s="48">
        <f t="shared" si="40"/>
        <v>2.9116750349564504</v>
      </c>
    </row>
    <row r="478" spans="1:4" x14ac:dyDescent="0.25">
      <c r="A478" s="36">
        <v>2.9496064358704173</v>
      </c>
      <c r="B478" s="49">
        <v>-275.24575921993602</v>
      </c>
      <c r="C478" s="49">
        <v>57.885836205180553</v>
      </c>
      <c r="D478" s="48">
        <f t="shared" si="40"/>
        <v>2.9343073965880739</v>
      </c>
    </row>
    <row r="479" spans="1:4" x14ac:dyDescent="0.25">
      <c r="A479" s="36">
        <v>2.9670597283903604</v>
      </c>
      <c r="B479" s="49">
        <v>-277.30062813955692</v>
      </c>
      <c r="C479" s="49">
        <v>51.746600547299884</v>
      </c>
      <c r="D479" s="48">
        <f t="shared" si="40"/>
        <v>2.9571062523164815</v>
      </c>
    </row>
    <row r="480" spans="1:4" x14ac:dyDescent="0.25">
      <c r="A480" s="36">
        <v>2.9845130209103035</v>
      </c>
      <c r="B480" s="49">
        <v>-279.34720545775554</v>
      </c>
      <c r="C480" s="49">
        <v>45.508712204428448</v>
      </c>
      <c r="D480" s="48">
        <f t="shared" si="40"/>
        <v>2.9801004199660923</v>
      </c>
    </row>
    <row r="481" spans="1:4" x14ac:dyDescent="0.25">
      <c r="A481" s="36">
        <v>3.0019663134302466</v>
      </c>
      <c r="B481" s="49">
        <v>-281.32307688958031</v>
      </c>
      <c r="C481" s="49">
        <v>39.234428540685975</v>
      </c>
      <c r="D481" s="48">
        <f t="shared" si="40"/>
        <v>3.0030224926226681</v>
      </c>
    </row>
    <row r="482" spans="1:4" x14ac:dyDescent="0.25">
      <c r="A482" s="36">
        <v>3.0194196059501905</v>
      </c>
      <c r="B482" s="49">
        <v>-281.8309923049469</v>
      </c>
      <c r="C482" s="49">
        <v>34.429822602985737</v>
      </c>
      <c r="D482" s="48">
        <f t="shared" si="40"/>
        <v>3.0200302224818807</v>
      </c>
    </row>
    <row r="483" spans="1:4" x14ac:dyDescent="0.25">
      <c r="A483" s="36">
        <v>3.0368728984701336</v>
      </c>
      <c r="B483" s="49">
        <v>-282.27062409190597</v>
      </c>
      <c r="C483" s="49">
        <v>29.564720223816245</v>
      </c>
      <c r="D483" s="48">
        <f t="shared" si="40"/>
        <v>3.0372342362548763</v>
      </c>
    </row>
    <row r="484" spans="1:4" x14ac:dyDescent="0.25">
      <c r="A484" s="36">
        <v>3.0543261909900767</v>
      </c>
      <c r="B484" s="49">
        <v>-282.64319013986301</v>
      </c>
      <c r="C484" s="49">
        <v>24.626889145905839</v>
      </c>
      <c r="D484" s="48">
        <f t="shared" si="40"/>
        <v>3.0546814810335854</v>
      </c>
    </row>
    <row r="485" spans="1:4" x14ac:dyDescent="0.25">
      <c r="A485" s="36">
        <v>3.0717794835100198</v>
      </c>
      <c r="B485" s="49">
        <v>-282.94949631153816</v>
      </c>
      <c r="C485" s="49">
        <v>19.602362885877078</v>
      </c>
      <c r="D485" s="48">
        <f t="shared" si="40"/>
        <v>3.0724245072871765</v>
      </c>
    </row>
    <row r="486" spans="1:4" x14ac:dyDescent="0.25">
      <c r="A486" s="36">
        <v>3.0892327760299629</v>
      </c>
      <c r="B486" s="49">
        <v>-283.1210543139386</v>
      </c>
      <c r="C486" s="49">
        <v>16.171768576534074</v>
      </c>
      <c r="D486" s="48">
        <f t="shared" si="40"/>
        <v>3.0845350273054928</v>
      </c>
    </row>
    <row r="487" spans="1:4" x14ac:dyDescent="0.25">
      <c r="A487" s="36">
        <v>3.1066860685499069</v>
      </c>
      <c r="B487" s="49">
        <v>-283.29902827259372</v>
      </c>
      <c r="C487" s="49">
        <v>10.932304804560914</v>
      </c>
      <c r="D487" s="48">
        <f t="shared" si="40"/>
        <v>3.1030225138860978</v>
      </c>
    </row>
    <row r="488" spans="1:4" x14ac:dyDescent="0.25">
      <c r="A488" s="36">
        <v>3.12413936106985</v>
      </c>
      <c r="B488" s="49">
        <v>-283.4126239234804</v>
      </c>
      <c r="C488" s="49">
        <v>5.5505222304779593</v>
      </c>
      <c r="D488" s="48">
        <f t="shared" si="40"/>
        <v>3.1220105592191101</v>
      </c>
    </row>
    <row r="489" spans="1:4" x14ac:dyDescent="0.25">
      <c r="A489" s="36">
        <v>3.1415926535897931</v>
      </c>
      <c r="B489" s="49">
        <v>-283.46232815521171</v>
      </c>
      <c r="C489" s="49">
        <v>3.8991599750976386E-14</v>
      </c>
      <c r="D489" s="48">
        <f t="shared" si="40"/>
        <v>3.1415926535897931</v>
      </c>
    </row>
    <row r="490" spans="1:4" x14ac:dyDescent="0.25">
      <c r="A490" s="37"/>
      <c r="B490" s="49">
        <f>B129</f>
        <v>-283.46232815521159</v>
      </c>
      <c r="C490" s="49">
        <f>C129</f>
        <v>-3.8991599750976374E-14</v>
      </c>
      <c r="D490" s="48">
        <f t="shared" si="40"/>
        <v>-3.1415926535897931</v>
      </c>
    </row>
  </sheetData>
  <dataValidations count="1">
    <dataValidation type="list" allowBlank="1" showInputMessage="1" showErrorMessage="1" sqref="S5" xr:uid="{B4F356A9-89A3-48E9-9DEB-FAC7826A98CE}">
      <formula1>"0,3,4"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button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542925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ill_in_bar_table">
                <anchor moveWithCells="1" sizeWithCells="1">
                  <from>
                    <xdr:col>18</xdr:col>
                    <xdr:colOff>180975</xdr:colOff>
                    <xdr:row>20</xdr:row>
                    <xdr:rowOff>95250</xdr:rowOff>
                  </from>
                  <to>
                    <xdr:col>19</xdr:col>
                    <xdr:colOff>819150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bisection_method_for_na_3dvector">
                <anchor moveWithCells="1" sizeWithCells="1">
                  <from>
                    <xdr:col>14</xdr:col>
                    <xdr:colOff>447675</xdr:colOff>
                    <xdr:row>122</xdr:row>
                    <xdr:rowOff>66675</xdr:rowOff>
                  </from>
                  <to>
                    <xdr:col>18</xdr:col>
                    <xdr:colOff>266700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mx_my_surface">
                <anchor moveWithCells="1" sizeWithCells="1">
                  <from>
                    <xdr:col>19</xdr:col>
                    <xdr:colOff>38100</xdr:colOff>
                    <xdr:row>122</xdr:row>
                    <xdr:rowOff>76200</xdr:rowOff>
                  </from>
                  <to>
                    <xdr:col>21</xdr:col>
                    <xdr:colOff>266700</xdr:colOff>
                    <xdr:row>125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 S3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7F45B-A07A-45A2-96E6-A66E79875037}">
  <sheetPr codeName="Sheet3"/>
  <dimension ref="A1:AD1866"/>
  <sheetViews>
    <sheetView workbookViewId="0">
      <selection activeCell="K6" sqref="K6"/>
    </sheetView>
  </sheetViews>
  <sheetFormatPr defaultRowHeight="15" x14ac:dyDescent="0.25"/>
  <sheetData>
    <row r="1" spans="1:27" x14ac:dyDescent="0.25">
      <c r="A1" t="s">
        <v>140</v>
      </c>
      <c r="I1" t="s">
        <v>141</v>
      </c>
      <c r="J1" t="s">
        <v>142</v>
      </c>
      <c r="K1" t="s">
        <v>143</v>
      </c>
      <c r="L1" t="s">
        <v>144</v>
      </c>
      <c r="M1" t="s">
        <v>145</v>
      </c>
      <c r="N1" t="s">
        <v>145</v>
      </c>
    </row>
    <row r="2" spans="1:27" x14ac:dyDescent="0.25">
      <c r="A2" t="s">
        <v>0</v>
      </c>
      <c r="B2" t="s">
        <v>1</v>
      </c>
      <c r="C2" t="s">
        <v>146</v>
      </c>
      <c r="E2" t="s">
        <v>37</v>
      </c>
      <c r="F2" t="s">
        <v>38</v>
      </c>
      <c r="I2" s="1">
        <f>COS(J6)*COS(K6)</f>
        <v>-3.489949670250108E-2</v>
      </c>
      <c r="J2" s="1">
        <f>(COS(K6)*-1*SIN(J6)*-1*SIN(I6))+(SIN(K6)*COS(I6))</f>
        <v>0.64239604084225832</v>
      </c>
      <c r="K2" s="1">
        <f>-1*SIN(K6)*COS(J6)</f>
        <v>0.99939082701909576</v>
      </c>
      <c r="L2" s="1">
        <f>(-1*SIN(K6)*-1*SIN(J6)*-1*SIN(I6))+(COS(K6)*COS(I6))</f>
        <v>2.243296406466384E-2</v>
      </c>
      <c r="M2" s="1">
        <f>SIN(J6)</f>
        <v>1.22514845490862E-16</v>
      </c>
      <c r="N2" s="1">
        <f>COS(J6)*-1*SIN(I6)</f>
        <v>0.76604444311897801</v>
      </c>
      <c r="R2">
        <f>MAX(A19:C1866)</f>
        <v>1067.2168000000001</v>
      </c>
      <c r="S2" cm="1">
        <f t="array" ref="S2">MAX(ABS(R2:R3))</f>
        <v>1067.2168000000001</v>
      </c>
      <c r="T2">
        <f>ROUNDUP(S2,0)+10</f>
        <v>1078</v>
      </c>
      <c r="U2">
        <f>T2</f>
        <v>1078</v>
      </c>
      <c r="AA2" s="79" t="s">
        <v>147</v>
      </c>
    </row>
    <row r="3" spans="1:27" x14ac:dyDescent="0.25">
      <c r="A3">
        <f>MIN(A19:A1866)-100</f>
        <v>-462.16589190795264</v>
      </c>
      <c r="B3">
        <v>0</v>
      </c>
      <c r="C3">
        <v>0</v>
      </c>
      <c r="E3">
        <f>($I$2*A3)+($K$2*B3)+($M$2*C3)</f>
        <v>16.129357020650065</v>
      </c>
      <c r="F3">
        <f>($J$2*A3)+($L$2*B3)+($N$2*C3)</f>
        <v>-296.8935391739999</v>
      </c>
      <c r="R3">
        <f>MIN(A19:C1866)</f>
        <v>-362.1658919079527</v>
      </c>
      <c r="T3">
        <f>T2*-1</f>
        <v>-1078</v>
      </c>
      <c r="U3">
        <f>U2*-1</f>
        <v>-1078</v>
      </c>
    </row>
    <row r="4" spans="1:27" x14ac:dyDescent="0.25">
      <c r="A4">
        <f>MAX(A19:A1866)+100</f>
        <v>462.1658919079527</v>
      </c>
      <c r="B4">
        <v>0</v>
      </c>
      <c r="C4">
        <v>0</v>
      </c>
      <c r="E4">
        <f>($I$2*A4)+($K$2*B4)+($M$2*C4)</f>
        <v>-16.129357020650065</v>
      </c>
      <c r="F4">
        <f>($J$2*A4)+($L$2*B4)+($N$2*C4)</f>
        <v>296.8935391739999</v>
      </c>
      <c r="I4" s="79" t="s">
        <v>147</v>
      </c>
      <c r="J4" s="79" t="s">
        <v>148</v>
      </c>
      <c r="K4" s="79" t="s">
        <v>149</v>
      </c>
      <c r="AA4" s="79" t="s">
        <v>148</v>
      </c>
    </row>
    <row r="5" spans="1:27" x14ac:dyDescent="0.25">
      <c r="I5" s="55">
        <v>50</v>
      </c>
      <c r="J5" s="55">
        <v>180</v>
      </c>
      <c r="K5" s="55">
        <v>88</v>
      </c>
      <c r="L5" t="s">
        <v>150</v>
      </c>
      <c r="M5" s="67" t="s">
        <v>154</v>
      </c>
      <c r="N5" s="67"/>
      <c r="O5" s="67"/>
    </row>
    <row r="6" spans="1:27" x14ac:dyDescent="0.25">
      <c r="A6" t="s">
        <v>151</v>
      </c>
      <c r="I6" s="1">
        <f>RADIANS(I5)</f>
        <v>0.87266462599716477</v>
      </c>
      <c r="J6" s="1">
        <f t="shared" ref="J6:K6" si="0">RADIANS(J5)</f>
        <v>3.1415926535897931</v>
      </c>
      <c r="K6" s="1">
        <f t="shared" si="0"/>
        <v>1.5358897417550099</v>
      </c>
      <c r="L6" t="s">
        <v>136</v>
      </c>
      <c r="AA6" s="79" t="s">
        <v>149</v>
      </c>
    </row>
    <row r="7" spans="1:27" x14ac:dyDescent="0.25">
      <c r="A7" t="s">
        <v>0</v>
      </c>
      <c r="B7" t="s">
        <v>1</v>
      </c>
      <c r="C7" t="s">
        <v>146</v>
      </c>
      <c r="E7" t="s">
        <v>37</v>
      </c>
      <c r="F7" t="s">
        <v>38</v>
      </c>
    </row>
    <row r="8" spans="1:27" x14ac:dyDescent="0.25">
      <c r="A8">
        <v>0</v>
      </c>
      <c r="B8">
        <f>MIN(B19:B1866)-100</f>
        <v>-462.1658919079527</v>
      </c>
      <c r="C8">
        <v>0</v>
      </c>
      <c r="E8">
        <f>($I$2*A8)+($K$2*B8)+($M$2*C8)</f>
        <v>-461.88435293390688</v>
      </c>
      <c r="F8">
        <f>($J$2*A8)+($L$2*B8)+($N$2*C8)</f>
        <v>-10.367750845084416</v>
      </c>
    </row>
    <row r="9" spans="1:27" x14ac:dyDescent="0.25">
      <c r="A9">
        <v>0</v>
      </c>
      <c r="B9">
        <f>MAX(B19:B1866)+100</f>
        <v>462.1658919079527</v>
      </c>
      <c r="C9">
        <v>0</v>
      </c>
      <c r="E9">
        <f>($I$2*A9)+($K$2*B9)+($M$2*C9)</f>
        <v>461.88435293390688</v>
      </c>
      <c r="F9">
        <f>($J$2*A9)+($L$2*B9)+($N$2*C9)</f>
        <v>10.367750845084416</v>
      </c>
    </row>
    <row r="11" spans="1:27" x14ac:dyDescent="0.25">
      <c r="A11" t="s">
        <v>152</v>
      </c>
    </row>
    <row r="12" spans="1:27" x14ac:dyDescent="0.25">
      <c r="A12" t="s">
        <v>0</v>
      </c>
      <c r="B12" t="s">
        <v>1</v>
      </c>
      <c r="C12" t="s">
        <v>146</v>
      </c>
      <c r="E12" t="s">
        <v>37</v>
      </c>
      <c r="F12" t="s">
        <v>38</v>
      </c>
    </row>
    <row r="13" spans="1:27" x14ac:dyDescent="0.25">
      <c r="A13">
        <v>0</v>
      </c>
      <c r="B13">
        <v>0</v>
      </c>
      <c r="C13">
        <f>MIN(C19:C1866)-100</f>
        <v>-440.28000000000003</v>
      </c>
      <c r="E13">
        <f>($I$2*A13)+($K$2*B13)+($M$2*C13)</f>
        <v>-5.3940836172716724E-14</v>
      </c>
      <c r="F13">
        <f>($J$2*A13)+($L$2*B13)+($N$2*C13)</f>
        <v>-337.27404741642368</v>
      </c>
    </row>
    <row r="14" spans="1:27" x14ac:dyDescent="0.25">
      <c r="A14">
        <v>0</v>
      </c>
      <c r="B14">
        <v>0</v>
      </c>
      <c r="C14">
        <f>MAX(C19:C1866)+100</f>
        <v>1167.2168000000001</v>
      </c>
      <c r="E14">
        <f>($I$2*A14)+($K$2*B14)+($M$2*C14)</f>
        <v>1.4300138590633839E-13</v>
      </c>
      <c r="F14">
        <f>($J$2*A14)+($L$2*B14)+($N$2*C14)</f>
        <v>894.13994355511568</v>
      </c>
    </row>
    <row r="17" spans="1:30" x14ac:dyDescent="0.25">
      <c r="A17" t="s">
        <v>153</v>
      </c>
      <c r="Y17" t="s">
        <v>158</v>
      </c>
    </row>
    <row r="18" spans="1:30" x14ac:dyDescent="0.25">
      <c r="A18" t="s">
        <v>0</v>
      </c>
      <c r="B18" t="s">
        <v>1</v>
      </c>
      <c r="C18" t="s">
        <v>146</v>
      </c>
      <c r="E18" t="s">
        <v>37</v>
      </c>
      <c r="F18" t="s">
        <v>38</v>
      </c>
      <c r="Y18" t="s">
        <v>0</v>
      </c>
      <c r="Z18" t="s">
        <v>1</v>
      </c>
      <c r="AA18" t="s">
        <v>146</v>
      </c>
      <c r="AC18" t="s">
        <v>37</v>
      </c>
      <c r="AD18" t="s">
        <v>38</v>
      </c>
    </row>
    <row r="19" spans="1:30" x14ac:dyDescent="0.25">
      <c r="A19">
        <v>-0.83278867102396625</v>
      </c>
      <c r="B19">
        <v>-3.7771896200888603E-14</v>
      </c>
      <c r="C19">
        <v>-340.28000000000003</v>
      </c>
      <c r="E19">
        <f>($I$2*A19)+($K$2*B19)+($M$2*C19)</f>
        <v>2.9063905478201729E-2</v>
      </c>
      <c r="F19">
        <f>($J$2*A19)+($L$2*B19)+($N$2*C19)</f>
        <v>-261.20458324964994</v>
      </c>
      <c r="H19">
        <f>'Cross Section Analysis'!B119</f>
        <v>45</v>
      </c>
      <c r="I19">
        <f>'Cross Section Analysis'!B120</f>
        <v>45</v>
      </c>
      <c r="J19">
        <f>'Cross Section Analysis'!B118</f>
        <v>100</v>
      </c>
      <c r="L19">
        <f>($I$2*H19)+($K$2*I19)+($M$2*J19)</f>
        <v>43.402109864246775</v>
      </c>
      <c r="M19">
        <f>($J$2*H19)+($L$2*I19)+($N$2*J19)</f>
        <v>106.52174953270931</v>
      </c>
      <c r="Y19">
        <v>0.89349506517412691</v>
      </c>
      <c r="Z19">
        <v>0.8934950651741268</v>
      </c>
      <c r="AA19">
        <v>-340.17999801981892</v>
      </c>
      <c r="AC19">
        <f>($I$2*Y19)+($K$2*Z19)+($M$2*AA19)</f>
        <v>0.86176824404106445</v>
      </c>
      <c r="AD19">
        <f>($J$2*Y19)+($L$2*Z19)+($N$2*AA19)</f>
        <v>-259.99897570823828</v>
      </c>
    </row>
    <row r="20" spans="1:30" x14ac:dyDescent="0.25">
      <c r="A20">
        <v>-0.82739449496642914</v>
      </c>
      <c r="B20">
        <v>-0.76542741886306143</v>
      </c>
      <c r="C20">
        <v>-340.28000000000003</v>
      </c>
      <c r="E20">
        <f t="shared" ref="E20:E83" si="1">($I$2*A20)+($K$2*B20)+($M$2*C20)</f>
        <v>-0.73608548971193999</v>
      </c>
      <c r="F20">
        <f t="shared" ref="F20:F83" si="2">($J$2*A20)+($L$2*B20)+($N$2*C20)</f>
        <v>-261.21828885808839</v>
      </c>
      <c r="H20" s="6">
        <f ca="1">'Cross Section Analysis'!J114</f>
        <v>181.50890768579961</v>
      </c>
      <c r="I20" s="6">
        <f ca="1">'Cross Section Analysis'!J115</f>
        <v>181.50890768579958</v>
      </c>
      <c r="J20">
        <f ca="1">'Cross Section Analysis'!J116</f>
        <v>100.00000000672568</v>
      </c>
      <c r="L20">
        <f ca="1">($I$2*H20)+($K$2*I20)+($M$2*J20)</f>
        <v>175.0637678381888</v>
      </c>
      <c r="M20">
        <f ca="1">($J$2*H20)+($L$2*I20)+($N$2*J20)</f>
        <v>197.27683079554254</v>
      </c>
      <c r="Y20">
        <v>37.435203322341785</v>
      </c>
      <c r="Z20">
        <v>37.435203322341778</v>
      </c>
      <c r="AA20">
        <v>-283.88418210379206</v>
      </c>
      <c r="AC20">
        <f t="shared" ref="AC20:AC38" si="3">($I$2*Y20)+($K$2*Z20)+($M$2*AA20)</f>
        <v>36.105929053037592</v>
      </c>
      <c r="AD20">
        <f t="shared" ref="AD20:AD38" si="4">($J$2*Y20)+($L$2*Z20)+($N$2*AA20)</f>
        <v>-192.57989121670514</v>
      </c>
    </row>
    <row r="21" spans="1:30" x14ac:dyDescent="0.25">
      <c r="A21">
        <v>-0.82490121930283178</v>
      </c>
      <c r="B21">
        <v>-0.78550141389111217</v>
      </c>
      <c r="C21">
        <v>-340.28000000000003</v>
      </c>
      <c r="E21">
        <f t="shared" si="1"/>
        <v>-0.75623427027040102</v>
      </c>
      <c r="F21">
        <f t="shared" si="2"/>
        <v>-261.21713750688247</v>
      </c>
      <c r="Y21">
        <v>71.499052396351644</v>
      </c>
      <c r="Z21">
        <v>71.499052396351644</v>
      </c>
      <c r="AA21">
        <v>-227.58825600000003</v>
      </c>
      <c r="AC21">
        <f t="shared" si="3"/>
        <v>68.960216162133079</v>
      </c>
      <c r="AD21">
        <f t="shared" si="4"/>
        <v>-126.80807497148507</v>
      </c>
    </row>
    <row r="22" spans="1:30" x14ac:dyDescent="0.25">
      <c r="A22">
        <v>-0.82293597519629691</v>
      </c>
      <c r="B22">
        <v>-0.79452986449818663</v>
      </c>
      <c r="C22">
        <v>-340.28000000000003</v>
      </c>
      <c r="E22">
        <f t="shared" si="1"/>
        <v>-0.76532580701952191</v>
      </c>
      <c r="F22">
        <f t="shared" si="2"/>
        <v>-261.21607757675719</v>
      </c>
      <c r="Y22">
        <v>97.486980357734197</v>
      </c>
      <c r="Z22">
        <v>97.486980357734197</v>
      </c>
      <c r="AA22">
        <v>-171.29238186688266</v>
      </c>
      <c r="AC22">
        <f t="shared" si="3"/>
        <v>94.025347373778786</v>
      </c>
      <c r="AD22">
        <f t="shared" si="4"/>
        <v>-66.405405135126358</v>
      </c>
    </row>
    <row r="23" spans="1:30" x14ac:dyDescent="0.25">
      <c r="A23">
        <v>-0.82123399172009159</v>
      </c>
      <c r="B23">
        <v>-0.80005739494176242</v>
      </c>
      <c r="C23">
        <v>-340.28000000000003</v>
      </c>
      <c r="E23">
        <f t="shared" si="1"/>
        <v>-0.77090936860761583</v>
      </c>
      <c r="F23">
        <f t="shared" si="2"/>
        <v>-261.21510822820233</v>
      </c>
      <c r="Y23">
        <v>121.75835216040781</v>
      </c>
      <c r="Z23">
        <v>121.75835216040781</v>
      </c>
      <c r="AA23">
        <v>-114.99656870519681</v>
      </c>
      <c r="AC23">
        <f t="shared" si="3"/>
        <v>117.43487505234813</v>
      </c>
      <c r="AD23">
        <f t="shared" si="4"/>
        <v>-7.143998328455254</v>
      </c>
    </row>
    <row r="24" spans="1:30" x14ac:dyDescent="0.25">
      <c r="A24">
        <v>-0.81962410517598228</v>
      </c>
      <c r="B24">
        <v>-0.80392564544795053</v>
      </c>
      <c r="C24">
        <v>-340.28000000000003</v>
      </c>
      <c r="E24">
        <f t="shared" si="1"/>
        <v>-0.77483144691024974</v>
      </c>
      <c r="F24">
        <f t="shared" si="2"/>
        <v>-261.21416081978475</v>
      </c>
      <c r="Y24">
        <v>145.62628362204697</v>
      </c>
      <c r="Z24">
        <v>145.62628362204694</v>
      </c>
      <c r="AA24">
        <v>-58.700640000000035</v>
      </c>
      <c r="AC24">
        <f t="shared" si="3"/>
        <v>140.45528801968979</v>
      </c>
      <c r="AD24">
        <f t="shared" si="4"/>
        <v>51.849278149211074</v>
      </c>
    </row>
    <row r="25" spans="1:30" x14ac:dyDescent="0.25">
      <c r="A25">
        <v>-0.81807363359220076</v>
      </c>
      <c r="B25">
        <v>-0.80690089395555964</v>
      </c>
      <c r="C25">
        <v>-340.28000000000003</v>
      </c>
      <c r="E25">
        <f t="shared" si="1"/>
        <v>-0.77785899365478217</v>
      </c>
      <c r="F25">
        <f t="shared" si="2"/>
        <v>-261.21323154662076</v>
      </c>
      <c r="Y25">
        <v>165.53931100559774</v>
      </c>
      <c r="Z25">
        <v>165.53931100559771</v>
      </c>
      <c r="AA25">
        <v>-2.4047679154820942</v>
      </c>
      <c r="AC25">
        <f t="shared" si="3"/>
        <v>159.66123029148144</v>
      </c>
      <c r="AD25">
        <f t="shared" si="4"/>
        <v>108.21317631018319</v>
      </c>
    </row>
    <row r="26" spans="1:30" x14ac:dyDescent="0.25">
      <c r="A26">
        <v>-0.81652653365814509</v>
      </c>
      <c r="B26">
        <v>-0.80933030624719404</v>
      </c>
      <c r="C26">
        <v>-340.28000000000003</v>
      </c>
      <c r="E26">
        <f t="shared" si="1"/>
        <v>-0.78034091902313596</v>
      </c>
      <c r="F26">
        <f t="shared" si="2"/>
        <v>-261.21229219466699</v>
      </c>
      <c r="Y26">
        <v>176.08550355194288</v>
      </c>
      <c r="Z26">
        <v>176.08550355194288</v>
      </c>
      <c r="AA26">
        <v>53.891107931139672</v>
      </c>
      <c r="AC26">
        <f t="shared" si="3"/>
        <v>169.83294157028084</v>
      </c>
      <c r="AD26">
        <f t="shared" si="4"/>
        <v>158.34973386914714</v>
      </c>
    </row>
    <row r="27" spans="1:30" x14ac:dyDescent="0.25">
      <c r="A27">
        <v>-0.81493442977050934</v>
      </c>
      <c r="B27">
        <v>-0.81140627645457308</v>
      </c>
      <c r="C27">
        <v>-340.28000000000003</v>
      </c>
      <c r="E27">
        <f t="shared" si="1"/>
        <v>-0.782471188229932</v>
      </c>
      <c r="F27">
        <f t="shared" si="2"/>
        <v>-261.21131600359803</v>
      </c>
      <c r="Y27">
        <v>182.67707210815263</v>
      </c>
      <c r="Z27">
        <v>182.67707210815263</v>
      </c>
      <c r="AA27">
        <v>110.18697601908171</v>
      </c>
      <c r="AC27">
        <f t="shared" si="3"/>
        <v>176.19045229593263</v>
      </c>
      <c r="AD27">
        <f t="shared" si="4"/>
        <v>205.85713675247482</v>
      </c>
    </row>
    <row r="28" spans="1:30" x14ac:dyDescent="0.25">
      <c r="A28">
        <v>-0.813247559636749</v>
      </c>
      <c r="B28">
        <v>-0.81324755963674911</v>
      </c>
      <c r="C28">
        <v>-340.28000000000003</v>
      </c>
      <c r="E28">
        <f t="shared" si="1"/>
        <v>-0.78437022067081408</v>
      </c>
      <c r="F28">
        <f t="shared" si="2"/>
        <v>-261.21027367034213</v>
      </c>
      <c r="Y28">
        <v>188.79887899597156</v>
      </c>
      <c r="Z28">
        <v>188.79887899597153</v>
      </c>
      <c r="AA28">
        <v>166.48284800000008</v>
      </c>
      <c r="AC28">
        <f t="shared" si="3"/>
        <v>182.0948819651064</v>
      </c>
      <c r="AD28">
        <f t="shared" si="4"/>
        <v>253.0522314354557</v>
      </c>
    </row>
    <row r="29" spans="1:30" x14ac:dyDescent="0.25">
      <c r="A29">
        <v>-0.81140627645457464</v>
      </c>
      <c r="B29">
        <v>-0.81493442977051067</v>
      </c>
      <c r="C29">
        <v>-340.28000000000003</v>
      </c>
      <c r="E29">
        <f t="shared" si="1"/>
        <v>-0.78612032306521251</v>
      </c>
      <c r="F29">
        <f t="shared" si="2"/>
        <v>-261.20912867881293</v>
      </c>
      <c r="Y29">
        <v>189.05077145133961</v>
      </c>
      <c r="Z29">
        <v>189.05077145133959</v>
      </c>
      <c r="AA29">
        <v>222.77876083019007</v>
      </c>
      <c r="AC29">
        <f t="shared" si="3"/>
        <v>182.33783005448106</v>
      </c>
      <c r="AD29">
        <f t="shared" si="4"/>
        <v>296.34486803977904</v>
      </c>
    </row>
    <row r="30" spans="1:30" x14ac:dyDescent="0.25">
      <c r="A30">
        <v>-0.80933030624717706</v>
      </c>
      <c r="B30">
        <v>-0.81652653365814332</v>
      </c>
      <c r="C30">
        <v>-340.28000000000003</v>
      </c>
      <c r="E30">
        <f t="shared" si="1"/>
        <v>-0.78778390740158155</v>
      </c>
      <c r="F30">
        <f t="shared" si="2"/>
        <v>-261.20783079938008</v>
      </c>
      <c r="Y30">
        <v>189.66275326164342</v>
      </c>
      <c r="Z30">
        <v>189.66275326164339</v>
      </c>
      <c r="AA30">
        <v>279.07460965363794</v>
      </c>
      <c r="AC30">
        <f t="shared" si="3"/>
        <v>182.92808120483051</v>
      </c>
      <c r="AD30">
        <f t="shared" si="4"/>
        <v>339.87685345961273</v>
      </c>
    </row>
    <row r="31" spans="1:30" x14ac:dyDescent="0.25">
      <c r="A31">
        <v>-0.80690089395555664</v>
      </c>
      <c r="B31">
        <v>-0.81807363359220353</v>
      </c>
      <c r="C31">
        <v>-340.28000000000003</v>
      </c>
      <c r="E31">
        <f t="shared" si="1"/>
        <v>-0.78941485015042356</v>
      </c>
      <c r="F31">
        <f t="shared" si="2"/>
        <v>-261.20630486057956</v>
      </c>
      <c r="Y31">
        <v>189.55698175490633</v>
      </c>
      <c r="Z31">
        <v>189.5569817549063</v>
      </c>
      <c r="AA31">
        <v>335.3704639999965</v>
      </c>
      <c r="AC31">
        <f t="shared" si="3"/>
        <v>182.82606550358807</v>
      </c>
      <c r="AD31">
        <f t="shared" si="4"/>
        <v>382.93165988670455</v>
      </c>
    </row>
    <row r="32" spans="1:30" x14ac:dyDescent="0.25">
      <c r="A32">
        <v>-0.80392564544795275</v>
      </c>
      <c r="B32">
        <v>-0.81962410517598483</v>
      </c>
      <c r="C32">
        <v>-340.28000000000003</v>
      </c>
      <c r="E32">
        <f t="shared" si="1"/>
        <v>-0.79106821190428867</v>
      </c>
      <c r="F32">
        <f t="shared" si="2"/>
        <v>-261.2044283543911</v>
      </c>
      <c r="Y32">
        <v>190.04680446036932</v>
      </c>
      <c r="Z32">
        <v>190.04680446036926</v>
      </c>
      <c r="AA32">
        <v>391.66633600000006</v>
      </c>
      <c r="AC32">
        <f t="shared" si="3"/>
        <v>183.29849525639935</v>
      </c>
      <c r="AD32">
        <f t="shared" si="4"/>
        <v>426.38244814469829</v>
      </c>
    </row>
    <row r="33" spans="1:30" x14ac:dyDescent="0.25">
      <c r="A33">
        <v>-0.80005739494175532</v>
      </c>
      <c r="B33">
        <v>-0.82123399172009559</v>
      </c>
      <c r="C33">
        <v>-340.28000000000003</v>
      </c>
      <c r="E33">
        <f t="shared" si="1"/>
        <v>-0.79281211774479987</v>
      </c>
      <c r="F33">
        <f t="shared" si="2"/>
        <v>-261.2019795201079</v>
      </c>
      <c r="Y33">
        <v>192.06568532348447</v>
      </c>
      <c r="Z33">
        <v>192.06568532348444</v>
      </c>
      <c r="AA33">
        <v>447.96220799999992</v>
      </c>
      <c r="AC33">
        <f t="shared" si="3"/>
        <v>185.24568834581603</v>
      </c>
      <c r="AD33">
        <f t="shared" si="4"/>
        <v>470.84979861608599</v>
      </c>
    </row>
    <row r="34" spans="1:30" x14ac:dyDescent="0.25">
      <c r="A34">
        <v>-0.79452986449819085</v>
      </c>
      <c r="B34">
        <v>-0.82293597519629724</v>
      </c>
      <c r="C34">
        <v>-340.28000000000003</v>
      </c>
      <c r="E34">
        <f t="shared" si="1"/>
        <v>-0.7947059724491421</v>
      </c>
      <c r="F34">
        <f t="shared" si="2"/>
        <v>-261.19846683696949</v>
      </c>
      <c r="Y34">
        <v>193.08383276316383</v>
      </c>
      <c r="Z34">
        <v>193.0838327631638</v>
      </c>
      <c r="AA34">
        <v>504.25808000000001</v>
      </c>
      <c r="AC34">
        <f t="shared" si="3"/>
        <v>186.22768272437079</v>
      </c>
      <c r="AD34">
        <f t="shared" si="4"/>
        <v>514.65183248139385</v>
      </c>
    </row>
    <row r="35" spans="1:30" x14ac:dyDescent="0.25">
      <c r="A35">
        <v>-0.78550141389111217</v>
      </c>
      <c r="B35">
        <v>-0.82490121930283178</v>
      </c>
      <c r="C35">
        <v>-340.28000000000003</v>
      </c>
      <c r="E35">
        <f t="shared" si="1"/>
        <v>-0.79698510776425646</v>
      </c>
      <c r="F35">
        <f t="shared" si="2"/>
        <v>-261.19271108229498</v>
      </c>
      <c r="Y35">
        <v>192.96014898748669</v>
      </c>
      <c r="Z35">
        <v>192.96014898748663</v>
      </c>
      <c r="AA35">
        <v>560.55395199999998</v>
      </c>
      <c r="AC35">
        <f t="shared" si="3"/>
        <v>186.10839079502935</v>
      </c>
      <c r="AD35">
        <f t="shared" si="4"/>
        <v>557.69474383602449</v>
      </c>
    </row>
    <row r="36" spans="1:30" x14ac:dyDescent="0.25">
      <c r="A36">
        <v>-0.76542741886306065</v>
      </c>
      <c r="B36">
        <v>-0.82739449496643136</v>
      </c>
      <c r="C36">
        <v>-340.28000000000003</v>
      </c>
      <c r="E36">
        <f t="shared" si="1"/>
        <v>-0.80017743691497534</v>
      </c>
      <c r="F36">
        <f t="shared" si="2"/>
        <v>-261.17987155892848</v>
      </c>
      <c r="Y36">
        <v>191.42035339757598</v>
      </c>
      <c r="Z36">
        <v>191.42035339757595</v>
      </c>
      <c r="AA36">
        <v>616.8498250668024</v>
      </c>
      <c r="AC36">
        <f t="shared" si="3"/>
        <v>184.6232712981008</v>
      </c>
      <c r="AD36">
        <f t="shared" si="4"/>
        <v>599.79618379957947</v>
      </c>
    </row>
    <row r="37" spans="1:30" x14ac:dyDescent="0.25">
      <c r="A37">
        <v>8.5775273167997223E-15</v>
      </c>
      <c r="B37">
        <v>-0.83278867102396203</v>
      </c>
      <c r="C37">
        <v>-340.28000000000003</v>
      </c>
      <c r="E37">
        <f t="shared" si="1"/>
        <v>-0.83228135866681319</v>
      </c>
      <c r="F37">
        <f t="shared" si="2"/>
        <v>-260.68828502285635</v>
      </c>
      <c r="Y37">
        <v>188.50819626502582</v>
      </c>
      <c r="Z37">
        <v>188.50819626502579</v>
      </c>
      <c r="AA37">
        <v>673.14560818365158</v>
      </c>
      <c r="AC37">
        <f t="shared" si="3"/>
        <v>181.81452099123652</v>
      </c>
      <c r="AD37">
        <f t="shared" si="4"/>
        <v>640.98516909870705</v>
      </c>
    </row>
    <row r="38" spans="1:30" x14ac:dyDescent="0.25">
      <c r="A38">
        <v>0.76542741886306598</v>
      </c>
      <c r="B38">
        <v>-0.82739449496643303</v>
      </c>
      <c r="C38">
        <v>-340.28000000000003</v>
      </c>
      <c r="E38">
        <f t="shared" si="1"/>
        <v>-0.85360350027620779</v>
      </c>
      <c r="F38">
        <f t="shared" si="2"/>
        <v>-260.19645647206897</v>
      </c>
      <c r="Y38">
        <v>184.00434625858145</v>
      </c>
      <c r="Z38">
        <v>184.00434625858142</v>
      </c>
      <c r="AA38">
        <v>729.4415695299009</v>
      </c>
      <c r="AC38">
        <f t="shared" si="3"/>
        <v>177.47059670697462</v>
      </c>
      <c r="AD38">
        <f t="shared" si="4"/>
        <v>681.11608734000765</v>
      </c>
    </row>
    <row r="39" spans="1:30" x14ac:dyDescent="0.25">
      <c r="A39">
        <v>0.78550141389110706</v>
      </c>
      <c r="B39">
        <v>-0.82490121930282945</v>
      </c>
      <c r="C39">
        <v>-340.28000000000003</v>
      </c>
      <c r="E39">
        <f t="shared" si="1"/>
        <v>-0.85181231577205951</v>
      </c>
      <c r="F39">
        <f t="shared" si="2"/>
        <v>-260.18350508557569</v>
      </c>
      <c r="Y39">
        <v>177.78964006890658</v>
      </c>
      <c r="Z39">
        <v>177.78964006890655</v>
      </c>
      <c r="AA39">
        <v>785.73744134404592</v>
      </c>
      <c r="AC39">
        <f>($I$2*Y39)+($K$2*Z39)+($M$2*AA39)</f>
        <v>171.4765664665683</v>
      </c>
      <c r="AD39">
        <f>($J$2*Y39)+($L$2*Z39)+($N$2*AA39)</f>
        <v>720.10951018190133</v>
      </c>
    </row>
    <row r="40" spans="1:30" x14ac:dyDescent="0.25">
      <c r="A40">
        <v>0.79452986449820162</v>
      </c>
      <c r="B40">
        <v>-0.82293597519629758</v>
      </c>
      <c r="C40">
        <v>-340.28000000000003</v>
      </c>
      <c r="E40">
        <f t="shared" si="1"/>
        <v>-0.8501633572213293</v>
      </c>
      <c r="F40">
        <f t="shared" si="2"/>
        <v>-260.17766115840033</v>
      </c>
      <c r="Y40">
        <v>169.73404878613289</v>
      </c>
      <c r="Z40">
        <v>169.73404878613286</v>
      </c>
      <c r="AA40">
        <v>842.03323570256157</v>
      </c>
      <c r="AC40">
        <f t="shared" ref="AC40:AC43" si="5">($I$2*Y40)+($K$2*Z40)+($M$2*AA40)</f>
        <v>163.70701851375918</v>
      </c>
      <c r="AD40">
        <f t="shared" ref="AD40:AD43" si="6">($J$2*Y40)+($L$2*Z40)+($N$2*AA40)</f>
        <v>757.87899988474771</v>
      </c>
    </row>
    <row r="41" spans="1:30" x14ac:dyDescent="0.25">
      <c r="A41">
        <v>0.80005739494176009</v>
      </c>
      <c r="B41">
        <v>-0.82123399172008793</v>
      </c>
      <c r="C41">
        <v>-340.28000000000003</v>
      </c>
      <c r="E41">
        <f t="shared" si="1"/>
        <v>-0.84865531857795518</v>
      </c>
      <c r="F41">
        <f t="shared" si="2"/>
        <v>-260.17407211419362</v>
      </c>
      <c r="Y41">
        <v>159.69343488942584</v>
      </c>
      <c r="Z41">
        <v>159.69343488942584</v>
      </c>
      <c r="AA41">
        <v>898.32918451437945</v>
      </c>
      <c r="AC41">
        <f t="shared" si="5"/>
        <v>154.02293345932895</v>
      </c>
      <c r="AD41">
        <f t="shared" si="6"/>
        <v>794.32890729654878</v>
      </c>
    </row>
    <row r="42" spans="1:30" x14ac:dyDescent="0.25">
      <c r="A42">
        <v>0.80392564544794853</v>
      </c>
      <c r="B42">
        <v>-0.81962410517598328</v>
      </c>
      <c r="C42">
        <v>-340.28000000000003</v>
      </c>
      <c r="E42">
        <f t="shared" si="1"/>
        <v>-0.8471814127290207</v>
      </c>
      <c r="F42">
        <f t="shared" si="2"/>
        <v>-260.17155105085646</v>
      </c>
      <c r="Y42">
        <v>147.50527664312818</v>
      </c>
      <c r="Z42">
        <v>147.50527664312816</v>
      </c>
      <c r="AA42">
        <v>954.62506966845967</v>
      </c>
      <c r="AC42">
        <f t="shared" si="5"/>
        <v>142.26756049824812</v>
      </c>
      <c r="AD42">
        <f t="shared" si="6"/>
        <v>829.35101617076202</v>
      </c>
    </row>
    <row r="43" spans="1:30" x14ac:dyDescent="0.25">
      <c r="A43">
        <v>0.80690089395556008</v>
      </c>
      <c r="B43">
        <v>-0.81807363359220153</v>
      </c>
      <c r="C43">
        <v>-340.28000000000003</v>
      </c>
      <c r="E43">
        <f t="shared" si="1"/>
        <v>-0.84573572032611599</v>
      </c>
      <c r="F43">
        <f t="shared" si="2"/>
        <v>-260.1696049813213</v>
      </c>
      <c r="Y43">
        <v>133.00312662694424</v>
      </c>
      <c r="Z43">
        <v>133.00312662694421</v>
      </c>
      <c r="AA43">
        <v>1010.9208942417946</v>
      </c>
      <c r="AC43">
        <f t="shared" si="5"/>
        <v>128.28036253668802</v>
      </c>
      <c r="AD43">
        <f t="shared" si="6"/>
        <v>862.83466979169543</v>
      </c>
    </row>
    <row r="44" spans="1:30" x14ac:dyDescent="0.25">
      <c r="A44">
        <v>0.80933030624718516</v>
      </c>
      <c r="B44">
        <v>-0.81652653365814876</v>
      </c>
      <c r="C44">
        <v>-340.28000000000003</v>
      </c>
      <c r="E44">
        <f t="shared" si="1"/>
        <v>-0.8442743481098024</v>
      </c>
      <c r="F44">
        <f t="shared" si="2"/>
        <v>-260.16800963044636</v>
      </c>
      <c r="Y44">
        <v>22.959271749051339</v>
      </c>
      <c r="Z44">
        <v>22.959271749051329</v>
      </c>
      <c r="AA44">
        <v>1067.2168000000001</v>
      </c>
      <c r="AC44">
        <f t="shared" ref="AC44:AC75" si="7">($I$2*Y44)+($K$2*Z44)+($M$2*AA44)</f>
        <v>22.144018552342857</v>
      </c>
      <c r="AD44">
        <f t="shared" ref="AD44:AD75" si="8">($J$2*Y44)+($L$2*Z44)+($N$2*AA44)</f>
        <v>832.79948903352727</v>
      </c>
    </row>
    <row r="45" spans="1:30" x14ac:dyDescent="0.25">
      <c r="A45">
        <v>0.8114062764545692</v>
      </c>
      <c r="B45">
        <v>-0.81493442977050301</v>
      </c>
      <c r="C45">
        <v>-340.28000000000003</v>
      </c>
      <c r="E45">
        <f t="shared" si="1"/>
        <v>-0.84275566440423488</v>
      </c>
      <c r="F45">
        <f t="shared" si="2"/>
        <v>-260.16664031979496</v>
      </c>
      <c r="AC45">
        <f t="shared" si="7"/>
        <v>0</v>
      </c>
      <c r="AD45">
        <f t="shared" si="8"/>
        <v>0</v>
      </c>
    </row>
    <row r="46" spans="1:30" x14ac:dyDescent="0.25">
      <c r="A46">
        <v>0.81324755963675655</v>
      </c>
      <c r="B46">
        <v>-0.813247559636749</v>
      </c>
      <c r="C46">
        <v>-340.28000000000003</v>
      </c>
      <c r="E46">
        <f t="shared" si="1"/>
        <v>-0.84113408172253379</v>
      </c>
      <c r="F46">
        <f t="shared" si="2"/>
        <v>-260.16541964527158</v>
      </c>
      <c r="AC46">
        <f t="shared" si="7"/>
        <v>0</v>
      </c>
      <c r="AD46">
        <f t="shared" si="8"/>
        <v>0</v>
      </c>
    </row>
    <row r="47" spans="1:30" x14ac:dyDescent="0.25">
      <c r="A47">
        <v>0.81493442977050956</v>
      </c>
      <c r="B47">
        <v>-0.81140627645458074</v>
      </c>
      <c r="C47">
        <v>-340.28000000000003</v>
      </c>
      <c r="E47">
        <f t="shared" si="1"/>
        <v>-0.83935279111900074</v>
      </c>
      <c r="F47">
        <f t="shared" si="2"/>
        <v>-260.16429470113678</v>
      </c>
      <c r="AC47">
        <f t="shared" si="7"/>
        <v>0</v>
      </c>
      <c r="AD47">
        <f t="shared" si="8"/>
        <v>0</v>
      </c>
    </row>
    <row r="48" spans="1:30" x14ac:dyDescent="0.25">
      <c r="A48">
        <v>0.81652653365814598</v>
      </c>
      <c r="B48">
        <v>-0.80933030624718705</v>
      </c>
      <c r="C48">
        <v>-340.28000000000003</v>
      </c>
      <c r="E48">
        <f t="shared" si="1"/>
        <v>-0.83733364916094311</v>
      </c>
      <c r="F48">
        <f t="shared" si="2"/>
        <v>-260.16322536973769</v>
      </c>
      <c r="AC48">
        <f t="shared" si="7"/>
        <v>0</v>
      </c>
      <c r="AD48">
        <f t="shared" si="8"/>
        <v>0</v>
      </c>
    </row>
    <row r="49" spans="1:30" x14ac:dyDescent="0.25">
      <c r="A49">
        <v>0.81807363359219232</v>
      </c>
      <c r="B49">
        <v>-0.80690089395555287</v>
      </c>
      <c r="C49">
        <v>-340.28000000000003</v>
      </c>
      <c r="E49">
        <f t="shared" si="1"/>
        <v>-0.83495970981068324</v>
      </c>
      <c r="F49">
        <f t="shared" si="2"/>
        <v>-260.16217701994663</v>
      </c>
      <c r="AC49">
        <f t="shared" si="7"/>
        <v>0</v>
      </c>
      <c r="AD49">
        <f t="shared" si="8"/>
        <v>0</v>
      </c>
    </row>
    <row r="50" spans="1:30" x14ac:dyDescent="0.25">
      <c r="A50">
        <v>0.81962410517598161</v>
      </c>
      <c r="B50">
        <v>-0.80392564544794931</v>
      </c>
      <c r="C50">
        <v>-340.28000000000003</v>
      </c>
      <c r="E50">
        <f t="shared" si="1"/>
        <v>-0.83204038442200767</v>
      </c>
      <c r="F50">
        <f t="shared" si="2"/>
        <v>-260.16111425949691</v>
      </c>
      <c r="AC50">
        <f t="shared" si="7"/>
        <v>0</v>
      </c>
      <c r="AD50">
        <f t="shared" si="8"/>
        <v>0</v>
      </c>
    </row>
    <row r="51" spans="1:30" x14ac:dyDescent="0.25">
      <c r="A51">
        <v>0.82123399172009515</v>
      </c>
      <c r="B51">
        <v>-0.80005739494175931</v>
      </c>
      <c r="C51">
        <v>-340.28000000000003</v>
      </c>
      <c r="E51">
        <f t="shared" si="1"/>
        <v>-0.82823067457964716</v>
      </c>
      <c r="F51">
        <f t="shared" si="2"/>
        <v>-260.15999329843015</v>
      </c>
      <c r="AC51">
        <f t="shared" si="7"/>
        <v>0</v>
      </c>
      <c r="AD51">
        <f t="shared" si="8"/>
        <v>0</v>
      </c>
    </row>
    <row r="52" spans="1:30" x14ac:dyDescent="0.25">
      <c r="A52">
        <v>0.82293597519629014</v>
      </c>
      <c r="B52">
        <v>-0.79452986449818719</v>
      </c>
      <c r="C52">
        <v>-340.28000000000003</v>
      </c>
      <c r="E52">
        <f t="shared" si="1"/>
        <v>-0.82276590972498764</v>
      </c>
      <c r="F52">
        <f t="shared" si="2"/>
        <v>-260.15877595209167</v>
      </c>
      <c r="AC52">
        <f t="shared" si="7"/>
        <v>0</v>
      </c>
      <c r="AD52">
        <f t="shared" si="8"/>
        <v>0</v>
      </c>
    </row>
    <row r="53" spans="1:30" x14ac:dyDescent="0.25">
      <c r="A53">
        <v>0.824901219302835</v>
      </c>
      <c r="B53">
        <v>-0.78550141389111194</v>
      </c>
      <c r="C53">
        <v>-340.28000000000003</v>
      </c>
      <c r="E53">
        <f t="shared" si="1"/>
        <v>-0.8138115450362976</v>
      </c>
      <c r="F53">
        <f t="shared" si="2"/>
        <v>-260.15731095215028</v>
      </c>
      <c r="AC53">
        <f t="shared" si="7"/>
        <v>0</v>
      </c>
      <c r="AD53">
        <f t="shared" si="8"/>
        <v>0</v>
      </c>
    </row>
    <row r="54" spans="1:30" x14ac:dyDescent="0.25">
      <c r="A54">
        <v>0.82739449496642825</v>
      </c>
      <c r="B54">
        <v>-0.7654274188630612</v>
      </c>
      <c r="C54">
        <v>-340.28000000000003</v>
      </c>
      <c r="E54">
        <f t="shared" si="1"/>
        <v>-0.79383679260943663</v>
      </c>
      <c r="F54">
        <f t="shared" si="2"/>
        <v>-260.1552589625262</v>
      </c>
      <c r="AC54">
        <f t="shared" si="7"/>
        <v>0</v>
      </c>
      <c r="AD54">
        <f t="shared" si="8"/>
        <v>0</v>
      </c>
    </row>
    <row r="55" spans="1:30" x14ac:dyDescent="0.25">
      <c r="A55">
        <v>0.83278867102397058</v>
      </c>
      <c r="B55">
        <v>0</v>
      </c>
      <c r="C55">
        <v>-340.28000000000003</v>
      </c>
      <c r="E55">
        <f t="shared" si="1"/>
        <v>-2.9063905478323007E-2</v>
      </c>
      <c r="F55">
        <f t="shared" si="2"/>
        <v>-260.13462295940172</v>
      </c>
      <c r="AC55">
        <f t="shared" si="7"/>
        <v>0</v>
      </c>
      <c r="AD55">
        <f t="shared" si="8"/>
        <v>0</v>
      </c>
    </row>
    <row r="56" spans="1:30" x14ac:dyDescent="0.25">
      <c r="A56">
        <v>0.8273944949664378</v>
      </c>
      <c r="B56">
        <v>0.76542741886306198</v>
      </c>
      <c r="C56">
        <v>-340.28000000000003</v>
      </c>
      <c r="E56">
        <f t="shared" si="1"/>
        <v>0.73608548971185683</v>
      </c>
      <c r="F56">
        <f t="shared" si="2"/>
        <v>-260.12091735096323</v>
      </c>
      <c r="AC56">
        <f t="shared" si="7"/>
        <v>0</v>
      </c>
      <c r="AD56">
        <f t="shared" si="8"/>
        <v>0</v>
      </c>
    </row>
    <row r="57" spans="1:30" x14ac:dyDescent="0.25">
      <c r="A57">
        <v>0.82490121930283677</v>
      </c>
      <c r="B57">
        <v>0.78550141389111505</v>
      </c>
      <c r="C57">
        <v>-340.28000000000003</v>
      </c>
      <c r="E57">
        <f t="shared" si="1"/>
        <v>0.75623427027032031</v>
      </c>
      <c r="F57">
        <f t="shared" si="2"/>
        <v>-260.1220687021692</v>
      </c>
      <c r="AC57">
        <f t="shared" si="7"/>
        <v>0</v>
      </c>
      <c r="AD57">
        <f t="shared" si="8"/>
        <v>0</v>
      </c>
    </row>
    <row r="58" spans="1:30" x14ac:dyDescent="0.25">
      <c r="A58">
        <v>0.82293597519629691</v>
      </c>
      <c r="B58">
        <v>0.79452986449818708</v>
      </c>
      <c r="C58">
        <v>-340.28000000000003</v>
      </c>
      <c r="E58">
        <f t="shared" si="1"/>
        <v>0.76532580701943886</v>
      </c>
      <c r="F58">
        <f t="shared" si="2"/>
        <v>-260.12312863229448</v>
      </c>
      <c r="AC58">
        <f t="shared" si="7"/>
        <v>0</v>
      </c>
      <c r="AD58">
        <f t="shared" si="8"/>
        <v>0</v>
      </c>
    </row>
    <row r="59" spans="1:30" x14ac:dyDescent="0.25">
      <c r="A59">
        <v>0.82123399172009537</v>
      </c>
      <c r="B59">
        <v>0.80005739494175832</v>
      </c>
      <c r="C59">
        <v>-340.28000000000003</v>
      </c>
      <c r="E59">
        <f t="shared" si="1"/>
        <v>0.77090936860752812</v>
      </c>
      <c r="F59">
        <f t="shared" si="2"/>
        <v>-260.12409798084934</v>
      </c>
      <c r="AC59">
        <f t="shared" si="7"/>
        <v>0</v>
      </c>
      <c r="AD59">
        <f t="shared" si="8"/>
        <v>0</v>
      </c>
    </row>
    <row r="60" spans="1:30" x14ac:dyDescent="0.25">
      <c r="A60">
        <v>0.8196241051759845</v>
      </c>
      <c r="B60">
        <v>0.80392564544795331</v>
      </c>
      <c r="C60">
        <v>-340.28000000000003</v>
      </c>
      <c r="E60">
        <f t="shared" si="1"/>
        <v>0.77483144691016903</v>
      </c>
      <c r="F60">
        <f t="shared" si="2"/>
        <v>-260.12504538926692</v>
      </c>
      <c r="AC60">
        <f t="shared" si="7"/>
        <v>0</v>
      </c>
      <c r="AD60">
        <f t="shared" si="8"/>
        <v>0</v>
      </c>
    </row>
    <row r="61" spans="1:30" x14ac:dyDescent="0.25">
      <c r="A61">
        <v>0.81807363359221008</v>
      </c>
      <c r="B61">
        <v>0.80690089395556042</v>
      </c>
      <c r="C61">
        <v>-340.28000000000003</v>
      </c>
      <c r="E61">
        <f t="shared" si="1"/>
        <v>0.77785899365469913</v>
      </c>
      <c r="F61">
        <f t="shared" si="2"/>
        <v>-260.12597466243091</v>
      </c>
      <c r="AC61">
        <f t="shared" si="7"/>
        <v>0</v>
      </c>
      <c r="AD61">
        <f t="shared" si="8"/>
        <v>0</v>
      </c>
    </row>
    <row r="62" spans="1:30" x14ac:dyDescent="0.25">
      <c r="A62">
        <v>0.81652653365814065</v>
      </c>
      <c r="B62">
        <v>0.80933030624717517</v>
      </c>
      <c r="C62">
        <v>-340.28000000000003</v>
      </c>
      <c r="E62">
        <f t="shared" si="1"/>
        <v>0.78034091902303371</v>
      </c>
      <c r="F62">
        <f t="shared" si="2"/>
        <v>-260.12691401438468</v>
      </c>
      <c r="AC62">
        <f t="shared" si="7"/>
        <v>0</v>
      </c>
      <c r="AD62">
        <f t="shared" si="8"/>
        <v>0</v>
      </c>
    </row>
    <row r="63" spans="1:30" x14ac:dyDescent="0.25">
      <c r="A63">
        <v>0.81493442977050456</v>
      </c>
      <c r="B63">
        <v>0.8114062764545803</v>
      </c>
      <c r="C63">
        <v>-340.28000000000003</v>
      </c>
      <c r="E63">
        <f t="shared" si="1"/>
        <v>0.78247118822985595</v>
      </c>
      <c r="F63">
        <f t="shared" si="2"/>
        <v>-260.1278902054537</v>
      </c>
      <c r="AC63">
        <f t="shared" si="7"/>
        <v>0</v>
      </c>
      <c r="AD63">
        <f t="shared" si="8"/>
        <v>0</v>
      </c>
    </row>
    <row r="64" spans="1:30" x14ac:dyDescent="0.25">
      <c r="A64">
        <v>0.81324755963675055</v>
      </c>
      <c r="B64">
        <v>0.81324755963675044</v>
      </c>
      <c r="C64">
        <v>-340.28000000000003</v>
      </c>
      <c r="E64">
        <f t="shared" si="1"/>
        <v>0.78437022067073192</v>
      </c>
      <c r="F64">
        <f t="shared" si="2"/>
        <v>-260.12893253870953</v>
      </c>
      <c r="AC64">
        <f t="shared" si="7"/>
        <v>0</v>
      </c>
      <c r="AD64">
        <f t="shared" si="8"/>
        <v>0</v>
      </c>
    </row>
    <row r="65" spans="1:30" x14ac:dyDescent="0.25">
      <c r="A65">
        <v>0.81140627645457186</v>
      </c>
      <c r="B65">
        <v>0.81493442977050135</v>
      </c>
      <c r="C65">
        <v>-340.28000000000003</v>
      </c>
      <c r="E65">
        <f t="shared" si="1"/>
        <v>0.78612032306511981</v>
      </c>
      <c r="F65">
        <f t="shared" si="2"/>
        <v>-260.13007753023874</v>
      </c>
      <c r="AC65">
        <f t="shared" si="7"/>
        <v>0</v>
      </c>
      <c r="AD65">
        <f t="shared" si="8"/>
        <v>0</v>
      </c>
    </row>
    <row r="66" spans="1:30" x14ac:dyDescent="0.25">
      <c r="A66">
        <v>0.80933030624718516</v>
      </c>
      <c r="B66">
        <v>0.81652653365813965</v>
      </c>
      <c r="C66">
        <v>-340.28000000000003</v>
      </c>
      <c r="E66">
        <f t="shared" si="1"/>
        <v>0.78778390740149418</v>
      </c>
      <c r="F66">
        <f t="shared" si="2"/>
        <v>-260.13137540967159</v>
      </c>
      <c r="AC66">
        <f t="shared" si="7"/>
        <v>0</v>
      </c>
      <c r="AD66">
        <f t="shared" si="8"/>
        <v>0</v>
      </c>
    </row>
    <row r="67" spans="1:30" x14ac:dyDescent="0.25">
      <c r="A67">
        <v>0.80690089395555598</v>
      </c>
      <c r="B67">
        <v>0.81807363359220275</v>
      </c>
      <c r="C67">
        <v>-340.28000000000003</v>
      </c>
      <c r="E67">
        <f t="shared" si="1"/>
        <v>0.78941485015033941</v>
      </c>
      <c r="F67">
        <f t="shared" si="2"/>
        <v>-260.1329013484721</v>
      </c>
      <c r="AC67">
        <f t="shared" si="7"/>
        <v>0</v>
      </c>
      <c r="AD67">
        <f t="shared" si="8"/>
        <v>0</v>
      </c>
    </row>
    <row r="68" spans="1:30" x14ac:dyDescent="0.25">
      <c r="A68">
        <v>0.80392564544795109</v>
      </c>
      <c r="B68">
        <v>0.81962410517598427</v>
      </c>
      <c r="C68">
        <v>-340.28000000000003</v>
      </c>
      <c r="E68">
        <f t="shared" si="1"/>
        <v>0.79106821190420473</v>
      </c>
      <c r="F68">
        <f t="shared" si="2"/>
        <v>-260.13477785466057</v>
      </c>
      <c r="AC68">
        <f t="shared" si="7"/>
        <v>0</v>
      </c>
      <c r="AD68">
        <f t="shared" si="8"/>
        <v>0</v>
      </c>
    </row>
    <row r="69" spans="1:30" x14ac:dyDescent="0.25">
      <c r="A69">
        <v>0.80005739494174799</v>
      </c>
      <c r="B69">
        <v>0.82123399172009215</v>
      </c>
      <c r="C69">
        <v>-340.28000000000003</v>
      </c>
      <c r="E69">
        <f t="shared" si="1"/>
        <v>0.79281211774471327</v>
      </c>
      <c r="F69">
        <f t="shared" si="2"/>
        <v>-260.13722668894377</v>
      </c>
      <c r="AC69">
        <f t="shared" si="7"/>
        <v>0</v>
      </c>
      <c r="AD69">
        <f t="shared" si="8"/>
        <v>0</v>
      </c>
    </row>
    <row r="70" spans="1:30" x14ac:dyDescent="0.25">
      <c r="A70">
        <v>0.79452986449819263</v>
      </c>
      <c r="B70">
        <v>0.82293597519630002</v>
      </c>
      <c r="C70">
        <v>-340.28000000000003</v>
      </c>
      <c r="E70">
        <f t="shared" si="1"/>
        <v>0.79470597244906127</v>
      </c>
      <c r="F70">
        <f t="shared" si="2"/>
        <v>-260.14073937208218</v>
      </c>
      <c r="AC70">
        <f t="shared" si="7"/>
        <v>0</v>
      </c>
      <c r="AD70">
        <f t="shared" si="8"/>
        <v>0</v>
      </c>
    </row>
    <row r="71" spans="1:30" x14ac:dyDescent="0.25">
      <c r="A71">
        <v>0.78550141389112038</v>
      </c>
      <c r="B71">
        <v>0.82490121930282945</v>
      </c>
      <c r="C71">
        <v>-340.28000000000003</v>
      </c>
      <c r="E71">
        <f t="shared" si="1"/>
        <v>0.79698510776417031</v>
      </c>
      <c r="F71">
        <f t="shared" si="2"/>
        <v>-260.14649512675669</v>
      </c>
      <c r="AC71">
        <f t="shared" si="7"/>
        <v>0</v>
      </c>
      <c r="AD71">
        <f t="shared" si="8"/>
        <v>0</v>
      </c>
    </row>
    <row r="72" spans="1:30" x14ac:dyDescent="0.25">
      <c r="A72">
        <v>0.76542741886305743</v>
      </c>
      <c r="B72">
        <v>0.82739449496643269</v>
      </c>
      <c r="C72">
        <v>-340.28000000000003</v>
      </c>
      <c r="E72">
        <f t="shared" si="1"/>
        <v>0.80017743691489329</v>
      </c>
      <c r="F72">
        <f t="shared" si="2"/>
        <v>-260.15933465012324</v>
      </c>
      <c r="AC72">
        <f t="shared" si="7"/>
        <v>0</v>
      </c>
      <c r="AD72">
        <f t="shared" si="8"/>
        <v>0</v>
      </c>
    </row>
    <row r="73" spans="1:30" x14ac:dyDescent="0.25">
      <c r="A73">
        <v>8.5775273167997223E-15</v>
      </c>
      <c r="B73">
        <v>0.83278867102396203</v>
      </c>
      <c r="C73">
        <v>-340.28000000000003</v>
      </c>
      <c r="E73">
        <f t="shared" si="1"/>
        <v>0.83228135866672903</v>
      </c>
      <c r="F73">
        <f t="shared" si="2"/>
        <v>-260.65092118619526</v>
      </c>
      <c r="AC73">
        <f t="shared" si="7"/>
        <v>0</v>
      </c>
      <c r="AD73">
        <f t="shared" si="8"/>
        <v>0</v>
      </c>
    </row>
    <row r="74" spans="1:30" x14ac:dyDescent="0.25">
      <c r="A74">
        <v>-0.76542741886308308</v>
      </c>
      <c r="B74">
        <v>0.82739449496646256</v>
      </c>
      <c r="C74">
        <v>-340.28000000000003</v>
      </c>
      <c r="E74">
        <f t="shared" si="1"/>
        <v>0.8536035002761545</v>
      </c>
      <c r="F74">
        <f t="shared" si="2"/>
        <v>-261.14274973698269</v>
      </c>
      <c r="AC74">
        <f t="shared" si="7"/>
        <v>0</v>
      </c>
      <c r="AD74">
        <f t="shared" si="8"/>
        <v>0</v>
      </c>
    </row>
    <row r="75" spans="1:30" x14ac:dyDescent="0.25">
      <c r="A75">
        <v>-0.78550141389111017</v>
      </c>
      <c r="B75">
        <v>0.82490121930283355</v>
      </c>
      <c r="C75">
        <v>-340.28000000000003</v>
      </c>
      <c r="E75">
        <f t="shared" si="1"/>
        <v>0.85181231577198024</v>
      </c>
      <c r="F75">
        <f t="shared" si="2"/>
        <v>-261.15570112347598</v>
      </c>
      <c r="AC75">
        <f t="shared" si="7"/>
        <v>0</v>
      </c>
      <c r="AD75">
        <f t="shared" si="8"/>
        <v>0</v>
      </c>
    </row>
    <row r="76" spans="1:30" x14ac:dyDescent="0.25">
      <c r="A76">
        <v>-0.79452986449818463</v>
      </c>
      <c r="B76">
        <v>0.82293597519630235</v>
      </c>
      <c r="C76">
        <v>-340.28000000000003</v>
      </c>
      <c r="E76">
        <f t="shared" si="1"/>
        <v>0.85016335722124992</v>
      </c>
      <c r="F76">
        <f t="shared" si="2"/>
        <v>-261.16154505065128</v>
      </c>
      <c r="AC76">
        <f t="shared" ref="AC76:AC107" si="9">($I$2*Y76)+($K$2*Z76)+($M$2*AA76)</f>
        <v>0</v>
      </c>
      <c r="AD76">
        <f t="shared" ref="AD76:AD107" si="10">($J$2*Y76)+($L$2*Z76)+($N$2*AA76)</f>
        <v>0</v>
      </c>
    </row>
    <row r="77" spans="1:30" x14ac:dyDescent="0.25">
      <c r="A77">
        <v>-0.80005739494176298</v>
      </c>
      <c r="B77">
        <v>0.82123399172008726</v>
      </c>
      <c r="C77">
        <v>-340.28000000000003</v>
      </c>
      <c r="E77">
        <f t="shared" si="1"/>
        <v>0.84865531857787113</v>
      </c>
      <c r="F77">
        <f t="shared" si="2"/>
        <v>-261.16513409485805</v>
      </c>
      <c r="AC77">
        <f t="shared" si="9"/>
        <v>0</v>
      </c>
      <c r="AD77">
        <f t="shared" si="10"/>
        <v>0</v>
      </c>
    </row>
    <row r="78" spans="1:30" x14ac:dyDescent="0.25">
      <c r="A78">
        <v>-0.80392564544795519</v>
      </c>
      <c r="B78">
        <v>0.81962410517598627</v>
      </c>
      <c r="C78">
        <v>-340.28000000000003</v>
      </c>
      <c r="E78">
        <f t="shared" si="1"/>
        <v>0.84718141272894054</v>
      </c>
      <c r="F78">
        <f t="shared" si="2"/>
        <v>-261.1676551581952</v>
      </c>
      <c r="AC78">
        <f t="shared" si="9"/>
        <v>0</v>
      </c>
      <c r="AD78">
        <f t="shared" si="10"/>
        <v>0</v>
      </c>
    </row>
    <row r="79" spans="1:30" x14ac:dyDescent="0.25">
      <c r="A79">
        <v>-0.80690089395556397</v>
      </c>
      <c r="B79">
        <v>0.81807363359220064</v>
      </c>
      <c r="C79">
        <v>-340.28000000000003</v>
      </c>
      <c r="E79">
        <f t="shared" si="1"/>
        <v>0.84573572032603173</v>
      </c>
      <c r="F79">
        <f t="shared" si="2"/>
        <v>-261.16960122773037</v>
      </c>
      <c r="AC79">
        <f t="shared" si="9"/>
        <v>0</v>
      </c>
      <c r="AD79">
        <f t="shared" si="10"/>
        <v>0</v>
      </c>
    </row>
    <row r="80" spans="1:30" x14ac:dyDescent="0.25">
      <c r="A80">
        <v>-0.80933030624718716</v>
      </c>
      <c r="B80">
        <v>0.81652653365814476</v>
      </c>
      <c r="C80">
        <v>-340.28000000000003</v>
      </c>
      <c r="E80">
        <f t="shared" si="1"/>
        <v>0.84427434810971502</v>
      </c>
      <c r="F80">
        <f t="shared" si="2"/>
        <v>-261.1711965786053</v>
      </c>
      <c r="AC80">
        <f t="shared" si="9"/>
        <v>0</v>
      </c>
      <c r="AD80">
        <f t="shared" si="10"/>
        <v>0</v>
      </c>
    </row>
    <row r="81" spans="1:30" x14ac:dyDescent="0.25">
      <c r="A81">
        <v>-0.81140627645457519</v>
      </c>
      <c r="B81">
        <v>0.81493442977051012</v>
      </c>
      <c r="C81">
        <v>-340.28000000000003</v>
      </c>
      <c r="E81">
        <f t="shared" si="1"/>
        <v>0.84275566440415872</v>
      </c>
      <c r="F81">
        <f t="shared" si="2"/>
        <v>-261.1725658892567</v>
      </c>
      <c r="AC81">
        <f t="shared" si="9"/>
        <v>0</v>
      </c>
      <c r="AD81">
        <f t="shared" si="10"/>
        <v>0</v>
      </c>
    </row>
    <row r="82" spans="1:30" x14ac:dyDescent="0.25">
      <c r="A82">
        <v>-0.81324755963675499</v>
      </c>
      <c r="B82">
        <v>0.81324755963675055</v>
      </c>
      <c r="C82">
        <v>-340.28000000000003</v>
      </c>
      <c r="E82">
        <f t="shared" si="1"/>
        <v>0.84113408172245185</v>
      </c>
      <c r="F82">
        <f t="shared" si="2"/>
        <v>-261.17378656378008</v>
      </c>
      <c r="AC82">
        <f t="shared" si="9"/>
        <v>0</v>
      </c>
      <c r="AD82">
        <f t="shared" si="10"/>
        <v>0</v>
      </c>
    </row>
    <row r="83" spans="1:30" x14ac:dyDescent="0.25">
      <c r="A83">
        <v>-0.81493442977050601</v>
      </c>
      <c r="B83">
        <v>0.81140627645457153</v>
      </c>
      <c r="C83">
        <v>-340.28000000000003</v>
      </c>
      <c r="E83">
        <f t="shared" si="1"/>
        <v>0.83935279111890782</v>
      </c>
      <c r="F83">
        <f t="shared" si="2"/>
        <v>-261.17491150791489</v>
      </c>
      <c r="AC83">
        <f t="shared" si="9"/>
        <v>0</v>
      </c>
      <c r="AD83">
        <f t="shared" si="10"/>
        <v>0</v>
      </c>
    </row>
    <row r="84" spans="1:30" x14ac:dyDescent="0.25">
      <c r="A84">
        <v>-0.81652653365813765</v>
      </c>
      <c r="B84">
        <v>0.80933030624717683</v>
      </c>
      <c r="C84">
        <v>-340.28000000000003</v>
      </c>
      <c r="E84">
        <f t="shared" ref="E84:E147" si="11">($I$2*A84)+($K$2*B84)+($M$2*C84)</f>
        <v>0.83733364916084918</v>
      </c>
      <c r="F84">
        <f t="shared" ref="F84:F147" si="12">($J$2*A84)+($L$2*B84)+($N$2*C84)</f>
        <v>-261.17598083931398</v>
      </c>
      <c r="AC84">
        <f t="shared" si="9"/>
        <v>0</v>
      </c>
      <c r="AD84">
        <f t="shared" si="10"/>
        <v>0</v>
      </c>
    </row>
    <row r="85" spans="1:30" x14ac:dyDescent="0.25">
      <c r="A85">
        <v>-0.81807363359220431</v>
      </c>
      <c r="B85">
        <v>0.80690089395556186</v>
      </c>
      <c r="C85">
        <v>-340.28000000000003</v>
      </c>
      <c r="E85">
        <f t="shared" si="11"/>
        <v>0.83495970981060919</v>
      </c>
      <c r="F85">
        <f t="shared" si="12"/>
        <v>-261.17702918910504</v>
      </c>
      <c r="AC85">
        <f t="shared" si="9"/>
        <v>0</v>
      </c>
      <c r="AD85">
        <f t="shared" si="10"/>
        <v>0</v>
      </c>
    </row>
    <row r="86" spans="1:30" x14ac:dyDescent="0.25">
      <c r="A86">
        <v>-0.81962410517597772</v>
      </c>
      <c r="B86">
        <v>0.80392564544794964</v>
      </c>
      <c r="C86">
        <v>-340.28000000000003</v>
      </c>
      <c r="E86">
        <f t="shared" si="11"/>
        <v>0.83204038442192441</v>
      </c>
      <c r="F86">
        <f t="shared" si="12"/>
        <v>-261.17809194955476</v>
      </c>
      <c r="AC86">
        <f t="shared" si="9"/>
        <v>0</v>
      </c>
      <c r="AD86">
        <f t="shared" si="10"/>
        <v>0</v>
      </c>
    </row>
    <row r="87" spans="1:30" x14ac:dyDescent="0.25">
      <c r="A87">
        <v>-0.82123399172009803</v>
      </c>
      <c r="B87">
        <v>0.80005739494175687</v>
      </c>
      <c r="C87">
        <v>-340.28000000000003</v>
      </c>
      <c r="E87">
        <f t="shared" si="11"/>
        <v>0.82823067457956134</v>
      </c>
      <c r="F87">
        <f t="shared" si="12"/>
        <v>-261.17921291062152</v>
      </c>
      <c r="AC87">
        <f t="shared" si="9"/>
        <v>0</v>
      </c>
      <c r="AD87">
        <f t="shared" si="10"/>
        <v>0</v>
      </c>
    </row>
    <row r="88" spans="1:30" x14ac:dyDescent="0.25">
      <c r="A88">
        <v>-0.82293597519629758</v>
      </c>
      <c r="B88">
        <v>0.79452986449818541</v>
      </c>
      <c r="C88">
        <v>-340.28000000000003</v>
      </c>
      <c r="E88">
        <f t="shared" si="11"/>
        <v>0.8227659097249026</v>
      </c>
      <c r="F88">
        <f t="shared" si="12"/>
        <v>-261.18043025695999</v>
      </c>
      <c r="AC88">
        <f t="shared" si="9"/>
        <v>0</v>
      </c>
      <c r="AD88">
        <f t="shared" si="10"/>
        <v>0</v>
      </c>
    </row>
    <row r="89" spans="1:30" x14ac:dyDescent="0.25">
      <c r="A89">
        <v>-0.82490121930283178</v>
      </c>
      <c r="B89">
        <v>0.78550141389111217</v>
      </c>
      <c r="C89">
        <v>-340.28000000000003</v>
      </c>
      <c r="E89">
        <f t="shared" si="11"/>
        <v>0.81381154503621422</v>
      </c>
      <c r="F89">
        <f t="shared" si="12"/>
        <v>-261.18189525690138</v>
      </c>
      <c r="AC89">
        <f t="shared" si="9"/>
        <v>0</v>
      </c>
      <c r="AD89">
        <f t="shared" si="10"/>
        <v>0</v>
      </c>
    </row>
    <row r="90" spans="1:30" x14ac:dyDescent="0.25">
      <c r="A90">
        <v>-45.961617009141335</v>
      </c>
      <c r="B90">
        <v>-3.7605403515589641E-14</v>
      </c>
      <c r="C90">
        <v>-283.98012800000004</v>
      </c>
      <c r="E90">
        <f t="shared" si="11"/>
        <v>1.6040373012520732</v>
      </c>
      <c r="F90">
        <f t="shared" si="12"/>
        <v>-247.06695980799671</v>
      </c>
      <c r="AC90">
        <f t="shared" si="9"/>
        <v>0</v>
      </c>
      <c r="AD90">
        <f t="shared" si="10"/>
        <v>0</v>
      </c>
    </row>
    <row r="91" spans="1:30" x14ac:dyDescent="0.25">
      <c r="A91">
        <v>-45.107888384309085</v>
      </c>
      <c r="B91">
        <v>-18.46725165655835</v>
      </c>
      <c r="C91">
        <v>-283.98012800000004</v>
      </c>
      <c r="E91">
        <f t="shared" si="11"/>
        <v>-16.881759303892668</v>
      </c>
      <c r="F91">
        <f t="shared" si="12"/>
        <v>-246.93280311223543</v>
      </c>
      <c r="AC91">
        <f t="shared" si="9"/>
        <v>0</v>
      </c>
      <c r="AD91">
        <f t="shared" si="10"/>
        <v>0</v>
      </c>
    </row>
    <row r="92" spans="1:30" x14ac:dyDescent="0.25">
      <c r="A92">
        <v>-41.746543550222881</v>
      </c>
      <c r="B92">
        <v>-30.420185464208181</v>
      </c>
      <c r="C92">
        <v>-283.98012800000004</v>
      </c>
      <c r="E92">
        <f t="shared" si="11"/>
        <v>-28.944720950177505</v>
      </c>
      <c r="F92">
        <f t="shared" si="12"/>
        <v>-245.04162823348719</v>
      </c>
      <c r="AC92">
        <f t="shared" si="9"/>
        <v>0</v>
      </c>
      <c r="AD92">
        <f t="shared" si="10"/>
        <v>0</v>
      </c>
    </row>
    <row r="93" spans="1:30" x14ac:dyDescent="0.25">
      <c r="A93">
        <v>-40.269900230990942</v>
      </c>
      <c r="B93">
        <v>-33.645262388534945</v>
      </c>
      <c r="C93">
        <v>-283.98012800000004</v>
      </c>
      <c r="E93">
        <f t="shared" si="11"/>
        <v>-32.21936735343094</v>
      </c>
      <c r="F93">
        <f t="shared" si="12"/>
        <v>-244.16538644622563</v>
      </c>
      <c r="AC93">
        <f t="shared" si="9"/>
        <v>0</v>
      </c>
      <c r="AD93">
        <f t="shared" si="10"/>
        <v>0</v>
      </c>
    </row>
    <row r="94" spans="1:30" x14ac:dyDescent="0.25">
      <c r="A94">
        <v>-39.398948624021955</v>
      </c>
      <c r="B94">
        <v>-35.056496769874123</v>
      </c>
      <c r="C94">
        <v>-283.98012800000004</v>
      </c>
      <c r="E94">
        <f t="shared" si="11"/>
        <v>-33.660137821650729</v>
      </c>
      <c r="F94">
        <f t="shared" si="12"/>
        <v>-243.63754875230694</v>
      </c>
      <c r="AC94">
        <f t="shared" si="9"/>
        <v>0</v>
      </c>
      <c r="AD94">
        <f t="shared" si="10"/>
        <v>0</v>
      </c>
    </row>
    <row r="95" spans="1:30" x14ac:dyDescent="0.25">
      <c r="A95">
        <v>-38.803780588939766</v>
      </c>
      <c r="B95">
        <v>-35.844793245838019</v>
      </c>
      <c r="C95">
        <v>-283.98012800000004</v>
      </c>
      <c r="E95">
        <f t="shared" si="11"/>
        <v>-34.468725153578312</v>
      </c>
      <c r="F95">
        <f t="shared" si="12"/>
        <v>-243.2728989894519</v>
      </c>
      <c r="AC95">
        <f t="shared" si="9"/>
        <v>0</v>
      </c>
      <c r="AD95">
        <f t="shared" si="10"/>
        <v>0</v>
      </c>
    </row>
    <row r="96" spans="1:30" x14ac:dyDescent="0.25">
      <c r="A96">
        <v>-38.355408851922903</v>
      </c>
      <c r="B96">
        <v>-36.364080485022825</v>
      </c>
      <c r="C96">
        <v>-283.98012800000004</v>
      </c>
      <c r="E96">
        <f t="shared" si="11"/>
        <v>-35.003344004965193</v>
      </c>
      <c r="F96">
        <f t="shared" si="12"/>
        <v>-242.99651591274255</v>
      </c>
      <c r="AC96">
        <f t="shared" si="9"/>
        <v>0</v>
      </c>
      <c r="AD96">
        <f t="shared" si="10"/>
        <v>0</v>
      </c>
    </row>
    <row r="97" spans="1:30" x14ac:dyDescent="0.25">
      <c r="A97">
        <v>-37.990723106170847</v>
      </c>
      <c r="B97">
        <v>-36.753260741496703</v>
      </c>
      <c r="C97">
        <v>-283.98012800000004</v>
      </c>
      <c r="E97">
        <f t="shared" si="11"/>
        <v>-35.405014532323456</v>
      </c>
      <c r="F97">
        <f t="shared" si="12"/>
        <v>-242.77097370022798</v>
      </c>
      <c r="AC97">
        <f t="shared" si="9"/>
        <v>0</v>
      </c>
      <c r="AD97">
        <f t="shared" si="10"/>
        <v>0</v>
      </c>
    </row>
    <row r="98" spans="1:30" x14ac:dyDescent="0.25">
      <c r="A98">
        <v>-37.67284538469206</v>
      </c>
      <c r="B98">
        <v>-37.078187493656095</v>
      </c>
      <c r="C98">
        <v>-283.98012800000004</v>
      </c>
      <c r="E98">
        <f t="shared" si="11"/>
        <v>-35.740837120377201</v>
      </c>
      <c r="F98">
        <f t="shared" si="12"/>
        <v>-242.57405938063289</v>
      </c>
      <c r="AC98">
        <f t="shared" si="9"/>
        <v>0</v>
      </c>
      <c r="AD98">
        <f t="shared" si="10"/>
        <v>0</v>
      </c>
    </row>
    <row r="99" spans="1:30" x14ac:dyDescent="0.25">
      <c r="A99">
        <v>-37.376217997644737</v>
      </c>
      <c r="B99">
        <v>-37.376217997644744</v>
      </c>
      <c r="C99">
        <v>-283.98012800000004</v>
      </c>
      <c r="E99">
        <f t="shared" si="11"/>
        <v>-36.04903821875147</v>
      </c>
      <c r="F99">
        <f t="shared" si="12"/>
        <v>-242.39019282917445</v>
      </c>
      <c r="AC99">
        <f t="shared" si="9"/>
        <v>0</v>
      </c>
      <c r="AD99">
        <f t="shared" si="10"/>
        <v>0</v>
      </c>
    </row>
    <row r="100" spans="1:30" x14ac:dyDescent="0.25">
      <c r="A100">
        <v>-37.078187493656102</v>
      </c>
      <c r="B100">
        <v>-37.67284538469206</v>
      </c>
      <c r="C100">
        <v>-283.98012800000004</v>
      </c>
      <c r="E100">
        <f t="shared" si="11"/>
        <v>-36.355886023000387</v>
      </c>
      <c r="F100">
        <f t="shared" si="12"/>
        <v>-242.20539344487617</v>
      </c>
      <c r="AC100">
        <f t="shared" si="9"/>
        <v>0</v>
      </c>
      <c r="AD100">
        <f t="shared" si="10"/>
        <v>0</v>
      </c>
    </row>
    <row r="101" spans="1:30" x14ac:dyDescent="0.25">
      <c r="A101">
        <v>-36.753260741496696</v>
      </c>
      <c r="B101">
        <v>-37.99072310617084</v>
      </c>
      <c r="C101">
        <v>-283.98012800000004</v>
      </c>
      <c r="E101">
        <f t="shared" si="11"/>
        <v>-36.684909882075551</v>
      </c>
      <c r="F101">
        <f t="shared" si="12"/>
        <v>-242.00379272522812</v>
      </c>
      <c r="AC101">
        <f t="shared" si="9"/>
        <v>0</v>
      </c>
      <c r="AD101">
        <f t="shared" si="10"/>
        <v>0</v>
      </c>
    </row>
    <row r="102" spans="1:30" x14ac:dyDescent="0.25">
      <c r="A102">
        <v>-36.364080485022853</v>
      </c>
      <c r="B102">
        <v>-38.355408851922952</v>
      </c>
      <c r="C102">
        <v>-283.98012800000004</v>
      </c>
      <c r="E102">
        <f t="shared" si="11"/>
        <v>-37.062955666202321</v>
      </c>
      <c r="F102">
        <f t="shared" si="12"/>
        <v>-241.76196585152471</v>
      </c>
      <c r="AC102">
        <f t="shared" si="9"/>
        <v>0</v>
      </c>
      <c r="AD102">
        <f t="shared" si="10"/>
        <v>0</v>
      </c>
    </row>
    <row r="103" spans="1:30" x14ac:dyDescent="0.25">
      <c r="A103">
        <v>-35.844793245838019</v>
      </c>
      <c r="B103">
        <v>-38.803780588939773</v>
      </c>
      <c r="C103">
        <v>-283.98012800000004</v>
      </c>
      <c r="E103">
        <f t="shared" si="11"/>
        <v>-37.529177130563134</v>
      </c>
      <c r="F103">
        <f t="shared" si="12"/>
        <v>-241.43843609207656</v>
      </c>
      <c r="AC103">
        <f t="shared" si="9"/>
        <v>0</v>
      </c>
      <c r="AD103">
        <f t="shared" si="10"/>
        <v>0</v>
      </c>
    </row>
    <row r="104" spans="1:30" x14ac:dyDescent="0.25">
      <c r="A104">
        <v>-35.056496769874144</v>
      </c>
      <c r="B104">
        <v>-39.398948624021976</v>
      </c>
      <c r="C104">
        <v>-283.98012800000004</v>
      </c>
      <c r="E104">
        <f t="shared" si="11"/>
        <v>-38.151493755622766</v>
      </c>
      <c r="F104">
        <f t="shared" si="12"/>
        <v>-240.94538894005092</v>
      </c>
      <c r="AC104">
        <f t="shared" si="9"/>
        <v>0</v>
      </c>
      <c r="AD104">
        <f t="shared" si="10"/>
        <v>0</v>
      </c>
    </row>
    <row r="105" spans="1:30" x14ac:dyDescent="0.25">
      <c r="A105">
        <v>-33.645262388534967</v>
      </c>
      <c r="B105">
        <v>-40.269900230990977</v>
      </c>
      <c r="C105">
        <v>-283.98012800000004</v>
      </c>
      <c r="E105">
        <f t="shared" si="11"/>
        <v>-39.071166172043128</v>
      </c>
      <c r="F105">
        <f t="shared" si="12"/>
        <v>-240.05835558687934</v>
      </c>
      <c r="AC105">
        <f t="shared" si="9"/>
        <v>0</v>
      </c>
      <c r="AD105">
        <f t="shared" si="10"/>
        <v>0</v>
      </c>
    </row>
    <row r="106" spans="1:30" x14ac:dyDescent="0.25">
      <c r="A106">
        <v>-30.420185464208181</v>
      </c>
      <c r="B106">
        <v>-41.746543550222881</v>
      </c>
      <c r="C106">
        <v>-283.98012800000004</v>
      </c>
      <c r="E106">
        <f t="shared" si="11"/>
        <v>-40.659463521548375</v>
      </c>
      <c r="F106">
        <f t="shared" si="12"/>
        <v>-238.01970442579673</v>
      </c>
      <c r="AC106">
        <f t="shared" si="9"/>
        <v>0</v>
      </c>
      <c r="AD106">
        <f t="shared" si="10"/>
        <v>0</v>
      </c>
    </row>
    <row r="107" spans="1:30" x14ac:dyDescent="0.25">
      <c r="A107">
        <v>-18.4672516565584</v>
      </c>
      <c r="B107">
        <v>-45.107888384309142</v>
      </c>
      <c r="C107">
        <v>-283.98012800000004</v>
      </c>
      <c r="E107">
        <f t="shared" si="11"/>
        <v>-44.435912089187489</v>
      </c>
      <c r="F107">
        <f t="shared" si="12"/>
        <v>-230.41659199918496</v>
      </c>
      <c r="AC107">
        <f t="shared" si="9"/>
        <v>0</v>
      </c>
      <c r="AD107">
        <f t="shared" si="10"/>
        <v>0</v>
      </c>
    </row>
    <row r="108" spans="1:30" x14ac:dyDescent="0.25">
      <c r="A108">
        <v>1.1342003032313773E-14</v>
      </c>
      <c r="B108">
        <v>-45.961617009141442</v>
      </c>
      <c r="C108">
        <v>-283.98012800000004</v>
      </c>
      <c r="E108">
        <f t="shared" si="11"/>
        <v>-45.93361843390084</v>
      </c>
      <c r="F108">
        <f t="shared" si="12"/>
        <v>-218.57245431333601</v>
      </c>
      <c r="AC108">
        <f t="shared" ref="AC108:AC119" si="13">($I$2*Y108)+($K$2*Z108)+($M$2*AA108)</f>
        <v>0</v>
      </c>
      <c r="AD108">
        <f t="shared" ref="AD108:AD119" si="14">($J$2*Y108)+($L$2*Z108)+($N$2*AA108)</f>
        <v>0</v>
      </c>
    </row>
    <row r="109" spans="1:30" x14ac:dyDescent="0.25">
      <c r="A109">
        <v>18.467251656558368</v>
      </c>
      <c r="B109">
        <v>-45.107888384309192</v>
      </c>
      <c r="C109">
        <v>-283.98012800000004</v>
      </c>
      <c r="E109">
        <f t="shared" si="11"/>
        <v>-45.724907665772179</v>
      </c>
      <c r="F109">
        <f t="shared" si="12"/>
        <v>-206.69001330036346</v>
      </c>
      <c r="AC109">
        <f t="shared" si="13"/>
        <v>0</v>
      </c>
      <c r="AD109">
        <f t="shared" si="14"/>
        <v>0</v>
      </c>
    </row>
    <row r="110" spans="1:30" x14ac:dyDescent="0.25">
      <c r="A110">
        <v>30.42018546420822</v>
      </c>
      <c r="B110">
        <v>-41.746543550222945</v>
      </c>
      <c r="C110">
        <v>-283.98012800000004</v>
      </c>
      <c r="E110">
        <f t="shared" si="11"/>
        <v>-42.78276184614365</v>
      </c>
      <c r="F110">
        <f t="shared" si="12"/>
        <v>-198.93609101800763</v>
      </c>
      <c r="AC110">
        <f t="shared" si="13"/>
        <v>0</v>
      </c>
      <c r="AD110">
        <f t="shared" si="14"/>
        <v>0</v>
      </c>
    </row>
    <row r="111" spans="1:30" x14ac:dyDescent="0.25">
      <c r="A111">
        <v>33.645262388535038</v>
      </c>
      <c r="B111">
        <v>-40.269900230991048</v>
      </c>
      <c r="C111">
        <v>-283.98012800000004</v>
      </c>
      <c r="E111">
        <f t="shared" si="11"/>
        <v>-41.419571619610117</v>
      </c>
      <c r="F111">
        <f t="shared" si="12"/>
        <v>-196.83118888389168</v>
      </c>
      <c r="AC111">
        <f t="shared" si="13"/>
        <v>0</v>
      </c>
      <c r="AD111">
        <f t="shared" si="14"/>
        <v>0</v>
      </c>
    </row>
    <row r="112" spans="1:30" x14ac:dyDescent="0.25">
      <c r="A112">
        <v>35.05649676987413</v>
      </c>
      <c r="B112">
        <v>-39.398948624021955</v>
      </c>
      <c r="C112">
        <v>-283.98012800000004</v>
      </c>
      <c r="E112">
        <f t="shared" si="11"/>
        <v>-40.598401942465664</v>
      </c>
      <c r="F112">
        <f t="shared" si="12"/>
        <v>-195.90507947851779</v>
      </c>
      <c r="AC112">
        <f t="shared" si="13"/>
        <v>0</v>
      </c>
      <c r="AD112">
        <f t="shared" si="14"/>
        <v>0</v>
      </c>
    </row>
    <row r="113" spans="1:30" x14ac:dyDescent="0.25">
      <c r="A113">
        <v>35.844793245838062</v>
      </c>
      <c r="B113">
        <v>-38.803780588939823</v>
      </c>
      <c r="C113">
        <v>-283.98012800000004</v>
      </c>
      <c r="E113">
        <f t="shared" si="11"/>
        <v>-40.031107617933102</v>
      </c>
      <c r="F113">
        <f t="shared" si="12"/>
        <v>-195.38532956020521</v>
      </c>
      <c r="AC113">
        <f t="shared" si="13"/>
        <v>0</v>
      </c>
      <c r="AD113">
        <f t="shared" si="14"/>
        <v>0</v>
      </c>
    </row>
    <row r="114" spans="1:30" x14ac:dyDescent="0.25">
      <c r="A114">
        <v>36.364080485022868</v>
      </c>
      <c r="B114">
        <v>-38.355408851922967</v>
      </c>
      <c r="C114">
        <v>-283.98012800000004</v>
      </c>
      <c r="E114">
        <f t="shared" si="11"/>
        <v>-39.601131880155414</v>
      </c>
      <c r="F114">
        <f t="shared" si="12"/>
        <v>-195.04168318662886</v>
      </c>
      <c r="AC114">
        <f t="shared" si="13"/>
        <v>0</v>
      </c>
      <c r="AD114">
        <f t="shared" si="14"/>
        <v>0</v>
      </c>
    </row>
    <row r="115" spans="1:30" x14ac:dyDescent="0.25">
      <c r="A115">
        <v>36.75326074149676</v>
      </c>
      <c r="B115">
        <v>-37.990723106170911</v>
      </c>
      <c r="C115">
        <v>-283.98012800000004</v>
      </c>
      <c r="E115">
        <f t="shared" si="11"/>
        <v>-39.250250486183681</v>
      </c>
      <c r="F115">
        <f t="shared" si="12"/>
        <v>-194.78349434846672</v>
      </c>
      <c r="AC115">
        <f t="shared" si="13"/>
        <v>0</v>
      </c>
      <c r="AD115">
        <f t="shared" si="14"/>
        <v>0</v>
      </c>
    </row>
    <row r="116" spans="1:30" x14ac:dyDescent="0.25">
      <c r="A116">
        <v>37.078187493656152</v>
      </c>
      <c r="B116">
        <v>-37.672845384692117</v>
      </c>
      <c r="C116">
        <v>-283.98012800000004</v>
      </c>
      <c r="E116">
        <f t="shared" si="11"/>
        <v>-38.943906187339586</v>
      </c>
      <c r="F116">
        <f t="shared" si="12"/>
        <v>-194.5676317498129</v>
      </c>
      <c r="AC116">
        <f t="shared" si="13"/>
        <v>0</v>
      </c>
      <c r="AD116">
        <f t="shared" si="14"/>
        <v>0</v>
      </c>
    </row>
    <row r="117" spans="1:30" x14ac:dyDescent="0.25">
      <c r="A117">
        <v>37.376217997644801</v>
      </c>
      <c r="B117">
        <v>-37.37621799764478</v>
      </c>
      <c r="C117">
        <v>-283.98012800000004</v>
      </c>
      <c r="E117">
        <f t="shared" si="11"/>
        <v>-38.657860612273033</v>
      </c>
      <c r="F117">
        <f t="shared" si="12"/>
        <v>-194.36952390248615</v>
      </c>
      <c r="AC117">
        <f t="shared" si="13"/>
        <v>0</v>
      </c>
      <c r="AD117">
        <f t="shared" si="14"/>
        <v>0</v>
      </c>
    </row>
    <row r="118" spans="1:30" x14ac:dyDescent="0.25">
      <c r="A118">
        <v>37.672845384692124</v>
      </c>
      <c r="B118">
        <v>-37.078187493656159</v>
      </c>
      <c r="C118">
        <v>-283.98012800000004</v>
      </c>
      <c r="E118">
        <f t="shared" si="11"/>
        <v>-38.370363806931053</v>
      </c>
      <c r="F118">
        <f t="shared" si="12"/>
        <v>-194.1722859358554</v>
      </c>
      <c r="AC118">
        <f t="shared" si="13"/>
        <v>0</v>
      </c>
      <c r="AD118">
        <f t="shared" si="14"/>
        <v>0</v>
      </c>
    </row>
    <row r="119" spans="1:30" x14ac:dyDescent="0.25">
      <c r="A119">
        <v>37.990723106170883</v>
      </c>
      <c r="B119">
        <v>-36.753260741496746</v>
      </c>
      <c r="C119">
        <v>-283.98012800000004</v>
      </c>
      <c r="E119">
        <f t="shared" si="11"/>
        <v>-38.056728763862381</v>
      </c>
      <c r="F119">
        <f t="shared" si="12"/>
        <v>-193.96079347595065</v>
      </c>
      <c r="AC119">
        <f t="shared" si="13"/>
        <v>0</v>
      </c>
      <c r="AD119">
        <f t="shared" si="14"/>
        <v>0</v>
      </c>
    </row>
    <row r="120" spans="1:30" x14ac:dyDescent="0.25">
      <c r="A120">
        <v>38.355408851922967</v>
      </c>
      <c r="B120">
        <v>-36.364080485022868</v>
      </c>
      <c r="C120">
        <v>-283.98012800000004</v>
      </c>
      <c r="E120">
        <f t="shared" si="11"/>
        <v>-37.680512934466769</v>
      </c>
      <c r="F120">
        <f t="shared" si="12"/>
        <v>-193.71779033001977</v>
      </c>
    </row>
    <row r="121" spans="1:30" x14ac:dyDescent="0.25">
      <c r="A121">
        <v>38.803780588939809</v>
      </c>
      <c r="B121">
        <v>-35.844793245838048</v>
      </c>
      <c r="C121">
        <v>-283.98012800000004</v>
      </c>
      <c r="E121">
        <f t="shared" si="11"/>
        <v>-37.177189978994896</v>
      </c>
      <c r="F121">
        <f t="shared" si="12"/>
        <v>-193.4181089493587</v>
      </c>
    </row>
    <row r="122" spans="1:30" x14ac:dyDescent="0.25">
      <c r="A122">
        <v>39.398948624021955</v>
      </c>
      <c r="B122">
        <v>-35.056496769874123</v>
      </c>
      <c r="C122">
        <v>-283.98012800000004</v>
      </c>
      <c r="E122">
        <f t="shared" si="11"/>
        <v>-36.410144776822854</v>
      </c>
      <c r="F122">
        <f t="shared" si="12"/>
        <v>-193.01809153346846</v>
      </c>
    </row>
    <row r="123" spans="1:30" x14ac:dyDescent="0.25">
      <c r="A123">
        <v>40.269900230991077</v>
      </c>
      <c r="B123">
        <v>-33.645262388535052</v>
      </c>
      <c r="C123">
        <v>-283.98012800000004</v>
      </c>
      <c r="E123">
        <f t="shared" si="11"/>
        <v>-35.030165854074077</v>
      </c>
      <c r="F123">
        <f t="shared" si="12"/>
        <v>-192.4269374992229</v>
      </c>
    </row>
    <row r="124" spans="1:30" x14ac:dyDescent="0.25">
      <c r="A124">
        <v>41.746543550222995</v>
      </c>
      <c r="B124">
        <v>-30.42018546420827</v>
      </c>
      <c r="C124">
        <v>-283.98012800000004</v>
      </c>
      <c r="E124">
        <f t="shared" si="11"/>
        <v>-31.858587668121238</v>
      </c>
      <c r="F124">
        <f t="shared" si="12"/>
        <v>-191.40599964246294</v>
      </c>
    </row>
    <row r="125" spans="1:30" x14ac:dyDescent="0.25">
      <c r="A125">
        <v>45.107888384309177</v>
      </c>
      <c r="B125">
        <v>-18.467251656558361</v>
      </c>
      <c r="C125">
        <v>-283.98012800000004</v>
      </c>
      <c r="E125">
        <f t="shared" si="11"/>
        <v>-20.030244507742648</v>
      </c>
      <c r="F125">
        <f t="shared" si="12"/>
        <v>-188.97854529456609</v>
      </c>
    </row>
    <row r="126" spans="1:30" x14ac:dyDescent="0.25">
      <c r="A126">
        <v>45.961617009141449</v>
      </c>
      <c r="B126">
        <v>0</v>
      </c>
      <c r="C126">
        <v>-283.98012800000004</v>
      </c>
      <c r="E126">
        <f t="shared" si="11"/>
        <v>-1.6040373012521845</v>
      </c>
      <c r="F126">
        <f t="shared" si="12"/>
        <v>-188.01583821323544</v>
      </c>
    </row>
    <row r="127" spans="1:30" x14ac:dyDescent="0.25">
      <c r="A127">
        <v>45.107888384309192</v>
      </c>
      <c r="B127">
        <v>18.46725165655835</v>
      </c>
      <c r="C127">
        <v>-283.98012800000004</v>
      </c>
      <c r="E127">
        <f t="shared" si="11"/>
        <v>16.881759303892593</v>
      </c>
      <c r="F127">
        <f t="shared" si="12"/>
        <v>-188.14999490899672</v>
      </c>
    </row>
    <row r="128" spans="1:30" x14ac:dyDescent="0.25">
      <c r="A128">
        <v>41.746543550222952</v>
      </c>
      <c r="B128">
        <v>30.420185464208213</v>
      </c>
      <c r="C128">
        <v>-283.98012800000004</v>
      </c>
      <c r="E128">
        <f t="shared" si="11"/>
        <v>28.944720950177462</v>
      </c>
      <c r="F128">
        <f t="shared" si="12"/>
        <v>-190.04116978774499</v>
      </c>
    </row>
    <row r="129" spans="1:6" x14ac:dyDescent="0.25">
      <c r="A129">
        <v>40.269900230991013</v>
      </c>
      <c r="B129">
        <v>33.645262388534988</v>
      </c>
      <c r="C129">
        <v>-283.98012800000004</v>
      </c>
      <c r="E129">
        <f t="shared" si="11"/>
        <v>32.219367353430911</v>
      </c>
      <c r="F129">
        <f t="shared" si="12"/>
        <v>-190.91741157500655</v>
      </c>
    </row>
    <row r="130" spans="1:6" x14ac:dyDescent="0.25">
      <c r="A130">
        <v>39.398948624021941</v>
      </c>
      <c r="B130">
        <v>35.056496769874109</v>
      </c>
      <c r="C130">
        <v>-283.98012800000004</v>
      </c>
      <c r="E130">
        <f t="shared" si="11"/>
        <v>33.660137821650643</v>
      </c>
      <c r="F130">
        <f t="shared" si="12"/>
        <v>-191.44524926892529</v>
      </c>
    </row>
    <row r="131" spans="1:6" x14ac:dyDescent="0.25">
      <c r="A131">
        <v>38.803780588939773</v>
      </c>
      <c r="B131">
        <v>35.844793245838019</v>
      </c>
      <c r="C131">
        <v>-283.98012800000004</v>
      </c>
      <c r="E131">
        <f t="shared" si="11"/>
        <v>34.468725153578241</v>
      </c>
      <c r="F131">
        <f t="shared" si="12"/>
        <v>-191.80989903178033</v>
      </c>
    </row>
    <row r="132" spans="1:6" x14ac:dyDescent="0.25">
      <c r="A132">
        <v>38.355408851922938</v>
      </c>
      <c r="B132">
        <v>36.364080485022825</v>
      </c>
      <c r="C132">
        <v>-283.98012800000004</v>
      </c>
      <c r="E132">
        <f t="shared" si="11"/>
        <v>35.003344004965122</v>
      </c>
      <c r="F132">
        <f t="shared" si="12"/>
        <v>-192.08628210848966</v>
      </c>
    </row>
    <row r="133" spans="1:6" x14ac:dyDescent="0.25">
      <c r="A133">
        <v>37.990723106170897</v>
      </c>
      <c r="B133">
        <v>36.753260741496746</v>
      </c>
      <c r="C133">
        <v>-283.98012800000004</v>
      </c>
      <c r="E133">
        <f t="shared" si="11"/>
        <v>35.40501453232342</v>
      </c>
      <c r="F133">
        <f t="shared" si="12"/>
        <v>-192.31182432100422</v>
      </c>
    </row>
    <row r="134" spans="1:6" x14ac:dyDescent="0.25">
      <c r="A134">
        <v>37.672845384692074</v>
      </c>
      <c r="B134">
        <v>37.078187493656117</v>
      </c>
      <c r="C134">
        <v>-283.98012800000004</v>
      </c>
      <c r="E134">
        <f t="shared" si="11"/>
        <v>35.740837120377151</v>
      </c>
      <c r="F134">
        <f t="shared" si="12"/>
        <v>-192.50873864059932</v>
      </c>
    </row>
    <row r="135" spans="1:6" x14ac:dyDescent="0.25">
      <c r="A135">
        <v>37.376217997644744</v>
      </c>
      <c r="B135">
        <v>37.376217997644737</v>
      </c>
      <c r="C135">
        <v>-283.98012800000004</v>
      </c>
      <c r="E135">
        <f t="shared" si="11"/>
        <v>36.049038218751384</v>
      </c>
      <c r="F135">
        <f t="shared" si="12"/>
        <v>-192.69260519205778</v>
      </c>
    </row>
    <row r="136" spans="1:6" x14ac:dyDescent="0.25">
      <c r="A136">
        <v>37.078187493656088</v>
      </c>
      <c r="B136">
        <v>37.672845384692053</v>
      </c>
      <c r="C136">
        <v>-283.98012800000004</v>
      </c>
      <c r="E136">
        <f t="shared" si="11"/>
        <v>36.355886023000309</v>
      </c>
      <c r="F136">
        <f t="shared" si="12"/>
        <v>-192.87740457635607</v>
      </c>
    </row>
    <row r="137" spans="1:6" x14ac:dyDescent="0.25">
      <c r="A137">
        <v>36.753260741496703</v>
      </c>
      <c r="B137">
        <v>37.99072310617084</v>
      </c>
      <c r="C137">
        <v>-283.98012800000004</v>
      </c>
      <c r="E137">
        <f t="shared" si="11"/>
        <v>36.68490988207548</v>
      </c>
      <c r="F137">
        <f t="shared" si="12"/>
        <v>-193.07900529600411</v>
      </c>
    </row>
    <row r="138" spans="1:6" x14ac:dyDescent="0.25">
      <c r="A138">
        <v>36.364080485022846</v>
      </c>
      <c r="B138">
        <v>38.355408851922967</v>
      </c>
      <c r="C138">
        <v>-283.98012800000004</v>
      </c>
      <c r="E138">
        <f t="shared" si="11"/>
        <v>37.062955666202264</v>
      </c>
      <c r="F138">
        <f t="shared" si="12"/>
        <v>-193.32083216970753</v>
      </c>
    </row>
    <row r="139" spans="1:6" x14ac:dyDescent="0.25">
      <c r="A139">
        <v>35.844793245838062</v>
      </c>
      <c r="B139">
        <v>38.803780588939809</v>
      </c>
      <c r="C139">
        <v>-283.98012800000004</v>
      </c>
      <c r="E139">
        <f t="shared" si="11"/>
        <v>37.529177130563099</v>
      </c>
      <c r="F139">
        <f t="shared" si="12"/>
        <v>-193.64436192915565</v>
      </c>
    </row>
    <row r="140" spans="1:6" x14ac:dyDescent="0.25">
      <c r="A140">
        <v>35.056496769874137</v>
      </c>
      <c r="B140">
        <v>39.398948624021976</v>
      </c>
      <c r="C140">
        <v>-283.98012800000004</v>
      </c>
      <c r="E140">
        <f t="shared" si="11"/>
        <v>38.151493755622695</v>
      </c>
      <c r="F140">
        <f t="shared" si="12"/>
        <v>-194.13740908118132</v>
      </c>
    </row>
    <row r="141" spans="1:6" x14ac:dyDescent="0.25">
      <c r="A141">
        <v>33.645262388534988</v>
      </c>
      <c r="B141">
        <v>40.269900230990999</v>
      </c>
      <c r="C141">
        <v>-283.98012800000004</v>
      </c>
      <c r="E141">
        <f t="shared" si="11"/>
        <v>39.071166172043078</v>
      </c>
      <c r="F141">
        <f t="shared" si="12"/>
        <v>-195.02444243435289</v>
      </c>
    </row>
    <row r="142" spans="1:6" x14ac:dyDescent="0.25">
      <c r="A142">
        <v>30.420185464208227</v>
      </c>
      <c r="B142">
        <v>41.746543550222981</v>
      </c>
      <c r="C142">
        <v>-283.98012800000004</v>
      </c>
      <c r="E142">
        <f t="shared" si="11"/>
        <v>40.659463521548403</v>
      </c>
      <c r="F142">
        <f t="shared" si="12"/>
        <v>-197.06309359543545</v>
      </c>
    </row>
    <row r="143" spans="1:6" x14ac:dyDescent="0.25">
      <c r="A143">
        <v>18.46725165655835</v>
      </c>
      <c r="B143">
        <v>45.107888384309177</v>
      </c>
      <c r="C143">
        <v>-283.98012800000004</v>
      </c>
      <c r="E143">
        <f t="shared" si="11"/>
        <v>44.435912089187461</v>
      </c>
      <c r="F143">
        <f t="shared" si="12"/>
        <v>-204.66620602204733</v>
      </c>
    </row>
    <row r="144" spans="1:6" x14ac:dyDescent="0.25">
      <c r="A144">
        <v>1.1342003032313773E-14</v>
      </c>
      <c r="B144">
        <v>45.961617009141442</v>
      </c>
      <c r="C144">
        <v>-283.98012800000004</v>
      </c>
      <c r="E144">
        <f t="shared" si="11"/>
        <v>45.933618433900769</v>
      </c>
      <c r="F144">
        <f t="shared" si="12"/>
        <v>-216.5103437078962</v>
      </c>
    </row>
    <row r="145" spans="1:6" x14ac:dyDescent="0.25">
      <c r="A145">
        <v>-18.467251656558307</v>
      </c>
      <c r="B145">
        <v>45.107888384309163</v>
      </c>
      <c r="C145">
        <v>-283.98012800000004</v>
      </c>
      <c r="E145">
        <f t="shared" si="11"/>
        <v>45.724907665772072</v>
      </c>
      <c r="F145">
        <f t="shared" si="12"/>
        <v>-228.39278472086875</v>
      </c>
    </row>
    <row r="146" spans="1:6" x14ac:dyDescent="0.25">
      <c r="A146">
        <v>-30.420185464208195</v>
      </c>
      <c r="B146">
        <v>41.746543550222931</v>
      </c>
      <c r="C146">
        <v>-283.98012800000004</v>
      </c>
      <c r="E146">
        <f t="shared" si="11"/>
        <v>42.782761846143565</v>
      </c>
      <c r="F146">
        <f t="shared" si="12"/>
        <v>-236.14670700322461</v>
      </c>
    </row>
    <row r="147" spans="1:6" x14ac:dyDescent="0.25">
      <c r="A147">
        <v>-33.645262388534988</v>
      </c>
      <c r="B147">
        <v>40.269900230991027</v>
      </c>
      <c r="C147">
        <v>-283.98012800000004</v>
      </c>
      <c r="E147">
        <f t="shared" si="11"/>
        <v>41.419571619610025</v>
      </c>
      <c r="F147">
        <f t="shared" si="12"/>
        <v>-238.25160913734052</v>
      </c>
    </row>
    <row r="148" spans="1:6" x14ac:dyDescent="0.25">
      <c r="A148">
        <v>-35.056496769874087</v>
      </c>
      <c r="B148">
        <v>39.398948624021941</v>
      </c>
      <c r="C148">
        <v>-283.98012800000004</v>
      </c>
      <c r="E148">
        <f t="shared" ref="E148:E211" si="15">($I$2*A148)+($K$2*B148)+($M$2*C148)</f>
        <v>40.598401942465578</v>
      </c>
      <c r="F148">
        <f t="shared" ref="F148:F211" si="16">($J$2*A148)+($L$2*B148)+($N$2*C148)</f>
        <v>-239.17771854271442</v>
      </c>
    </row>
    <row r="149" spans="1:6" x14ac:dyDescent="0.25">
      <c r="A149">
        <v>-35.844793245838027</v>
      </c>
      <c r="B149">
        <v>38.803780588939794</v>
      </c>
      <c r="C149">
        <v>-283.98012800000004</v>
      </c>
      <c r="E149">
        <f t="shared" si="15"/>
        <v>40.031107617933003</v>
      </c>
      <c r="F149">
        <f t="shared" si="16"/>
        <v>-239.697468461027</v>
      </c>
    </row>
    <row r="150" spans="1:6" x14ac:dyDescent="0.25">
      <c r="A150">
        <v>-36.364080485022853</v>
      </c>
      <c r="B150">
        <v>38.355408851922952</v>
      </c>
      <c r="C150">
        <v>-283.98012800000004</v>
      </c>
      <c r="E150">
        <f t="shared" si="15"/>
        <v>39.601131880155329</v>
      </c>
      <c r="F150">
        <f t="shared" si="16"/>
        <v>-240.04111483460335</v>
      </c>
    </row>
    <row r="151" spans="1:6" x14ac:dyDescent="0.25">
      <c r="A151">
        <v>-36.753260741496703</v>
      </c>
      <c r="B151">
        <v>37.99072310617084</v>
      </c>
      <c r="C151">
        <v>-283.98012800000004</v>
      </c>
      <c r="E151">
        <f t="shared" si="15"/>
        <v>39.250250486183539</v>
      </c>
      <c r="F151">
        <f t="shared" si="16"/>
        <v>-240.29930367276549</v>
      </c>
    </row>
    <row r="152" spans="1:6" x14ac:dyDescent="0.25">
      <c r="A152">
        <v>-37.078187493656102</v>
      </c>
      <c r="B152">
        <v>37.67284538469206</v>
      </c>
      <c r="C152">
        <v>-283.98012800000004</v>
      </c>
      <c r="E152">
        <f t="shared" si="15"/>
        <v>38.943906187339458</v>
      </c>
      <c r="F152">
        <f t="shared" si="16"/>
        <v>-240.5151662714193</v>
      </c>
    </row>
    <row r="153" spans="1:6" x14ac:dyDescent="0.25">
      <c r="A153">
        <v>-37.376217997644744</v>
      </c>
      <c r="B153">
        <v>37.376217997644744</v>
      </c>
      <c r="C153">
        <v>-283.98012800000004</v>
      </c>
      <c r="E153">
        <f t="shared" si="15"/>
        <v>38.657860612272927</v>
      </c>
      <c r="F153">
        <f t="shared" si="16"/>
        <v>-240.71327411874606</v>
      </c>
    </row>
    <row r="154" spans="1:6" x14ac:dyDescent="0.25">
      <c r="A154">
        <v>-37.672845384692046</v>
      </c>
      <c r="B154">
        <v>37.078187493656095</v>
      </c>
      <c r="C154">
        <v>-283.98012800000004</v>
      </c>
      <c r="E154">
        <f t="shared" si="15"/>
        <v>38.370363806930918</v>
      </c>
      <c r="F154">
        <f t="shared" si="16"/>
        <v>-240.91051208537678</v>
      </c>
    </row>
    <row r="155" spans="1:6" x14ac:dyDescent="0.25">
      <c r="A155">
        <v>-37.99072310617084</v>
      </c>
      <c r="B155">
        <v>36.753260741496696</v>
      </c>
      <c r="C155">
        <v>-283.98012800000004</v>
      </c>
      <c r="E155">
        <f t="shared" si="15"/>
        <v>38.056728763862253</v>
      </c>
      <c r="F155">
        <f t="shared" si="16"/>
        <v>-241.12200454528156</v>
      </c>
    </row>
    <row r="156" spans="1:6" x14ac:dyDescent="0.25">
      <c r="A156">
        <v>-38.355408851922952</v>
      </c>
      <c r="B156">
        <v>36.364080485022861</v>
      </c>
      <c r="C156">
        <v>-283.98012800000004</v>
      </c>
      <c r="E156">
        <f t="shared" si="15"/>
        <v>37.680512934466691</v>
      </c>
      <c r="F156">
        <f t="shared" si="16"/>
        <v>-241.36500769121247</v>
      </c>
    </row>
    <row r="157" spans="1:6" x14ac:dyDescent="0.25">
      <c r="A157">
        <v>-38.803780588939766</v>
      </c>
      <c r="B157">
        <v>35.844793245838019</v>
      </c>
      <c r="C157">
        <v>-283.98012800000004</v>
      </c>
      <c r="E157">
        <f t="shared" si="15"/>
        <v>37.177189978994797</v>
      </c>
      <c r="F157">
        <f t="shared" si="16"/>
        <v>-241.66468907187351</v>
      </c>
    </row>
    <row r="158" spans="1:6" x14ac:dyDescent="0.25">
      <c r="A158">
        <v>-39.398948624021905</v>
      </c>
      <c r="B158">
        <v>35.056496769874094</v>
      </c>
      <c r="C158">
        <v>-283.98012800000004</v>
      </c>
      <c r="E158">
        <f t="shared" si="15"/>
        <v>36.410144776822754</v>
      </c>
      <c r="F158">
        <f t="shared" si="16"/>
        <v>-242.06470648776374</v>
      </c>
    </row>
    <row r="159" spans="1:6" x14ac:dyDescent="0.25">
      <c r="A159">
        <v>-40.269900230990999</v>
      </c>
      <c r="B159">
        <v>33.645262388534981</v>
      </c>
      <c r="C159">
        <v>-283.98012800000004</v>
      </c>
      <c r="E159">
        <f t="shared" si="15"/>
        <v>35.030165854073935</v>
      </c>
      <c r="F159">
        <f t="shared" si="16"/>
        <v>-242.65586052200928</v>
      </c>
    </row>
    <row r="160" spans="1:6" x14ac:dyDescent="0.25">
      <c r="A160">
        <v>-41.746543550222881</v>
      </c>
      <c r="B160">
        <v>30.420185464208181</v>
      </c>
      <c r="C160">
        <v>-283.98012800000004</v>
      </c>
      <c r="E160">
        <f t="shared" si="15"/>
        <v>31.858587668121075</v>
      </c>
      <c r="F160">
        <f t="shared" si="16"/>
        <v>-243.67679837876921</v>
      </c>
    </row>
    <row r="161" spans="1:6" x14ac:dyDescent="0.25">
      <c r="A161">
        <v>-87.596375386407573</v>
      </c>
      <c r="B161">
        <v>-4.0574651297949476E-14</v>
      </c>
      <c r="C161">
        <v>-227.68025600000001</v>
      </c>
      <c r="E161">
        <f t="shared" si="15"/>
        <v>3.0570694139489096</v>
      </c>
      <c r="F161">
        <f t="shared" si="16"/>
        <v>-230.68475965706685</v>
      </c>
    </row>
    <row r="162" spans="1:6" x14ac:dyDescent="0.25">
      <c r="A162">
        <v>-82.766847938976795</v>
      </c>
      <c r="B162">
        <v>-30.518191115775021</v>
      </c>
      <c r="C162">
        <v>-227.68025600000001</v>
      </c>
      <c r="E162">
        <f t="shared" si="15"/>
        <v>-27.611078921598519</v>
      </c>
      <c r="F162">
        <f t="shared" si="16"/>
        <v>-228.26690383031701</v>
      </c>
    </row>
    <row r="163" spans="1:6" x14ac:dyDescent="0.25">
      <c r="A163">
        <v>-78.470956412573074</v>
      </c>
      <c r="B163">
        <v>-49.507064401132595</v>
      </c>
      <c r="C163">
        <v>-227.68025600000001</v>
      </c>
      <c r="E163">
        <f t="shared" si="15"/>
        <v>-46.738309150572874</v>
      </c>
      <c r="F163">
        <f t="shared" si="16"/>
        <v>-225.93321683390633</v>
      </c>
    </row>
    <row r="164" spans="1:6" x14ac:dyDescent="0.25">
      <c r="A164">
        <v>-76.544968565548558</v>
      </c>
      <c r="B164">
        <v>-56.405599093268435</v>
      </c>
      <c r="C164">
        <v>-227.68025600000001</v>
      </c>
      <c r="E164">
        <f t="shared" si="15"/>
        <v>-53.699857448282714</v>
      </c>
      <c r="F164">
        <f t="shared" si="16"/>
        <v>-224.850724447115</v>
      </c>
    </row>
    <row r="165" spans="1:6" x14ac:dyDescent="0.25">
      <c r="A165">
        <v>-75.38655394801421</v>
      </c>
      <c r="B165">
        <v>-60.564547402862985</v>
      </c>
      <c r="C165">
        <v>-227.68025600000001</v>
      </c>
      <c r="E165">
        <f t="shared" si="15"/>
        <v>-57.896700326062856</v>
      </c>
      <c r="F165">
        <f t="shared" si="16"/>
        <v>-224.19986102113307</v>
      </c>
    </row>
    <row r="166" spans="1:6" x14ac:dyDescent="0.25">
      <c r="A166">
        <v>-74.533381200043124</v>
      </c>
      <c r="B166">
        <v>-63.776901323286388</v>
      </c>
      <c r="C166">
        <v>-227.68025600000001</v>
      </c>
      <c r="E166">
        <f t="shared" si="15"/>
        <v>-61.136872666777315</v>
      </c>
      <c r="F166">
        <f t="shared" si="16"/>
        <v>-223.72384884574177</v>
      </c>
    </row>
    <row r="167" spans="1:6" x14ac:dyDescent="0.25">
      <c r="A167">
        <v>-73.80403326972835</v>
      </c>
      <c r="B167">
        <v>-66.590346198597018</v>
      </c>
      <c r="C167">
        <v>-227.68025600000001</v>
      </c>
      <c r="E167">
        <f t="shared" si="15"/>
        <v>-63.974057543175633</v>
      </c>
      <c r="F167">
        <f t="shared" si="16"/>
        <v>-223.31843253069684</v>
      </c>
    </row>
    <row r="168" spans="1:6" x14ac:dyDescent="0.25">
      <c r="A168">
        <v>-73.102294381968434</v>
      </c>
      <c r="B168">
        <v>-69.243637513477367</v>
      </c>
      <c r="C168">
        <v>-227.68025600000001</v>
      </c>
      <c r="E168">
        <f t="shared" si="15"/>
        <v>-66.650222878675891</v>
      </c>
      <c r="F168">
        <f t="shared" si="16"/>
        <v>-222.92715943621459</v>
      </c>
    </row>
    <row r="169" spans="1:6" x14ac:dyDescent="0.25">
      <c r="A169">
        <v>-72.29400849687859</v>
      </c>
      <c r="B169">
        <v>-70.524536629331564</v>
      </c>
      <c r="C169">
        <v>-227.68025600000001</v>
      </c>
      <c r="E169">
        <f t="shared" si="15"/>
        <v>-67.958550475978811</v>
      </c>
      <c r="F169">
        <f t="shared" si="16"/>
        <v>-222.43665414760062</v>
      </c>
    </row>
    <row r="170" spans="1:6" x14ac:dyDescent="0.25">
      <c r="A170">
        <v>-71.444974499098535</v>
      </c>
      <c r="B170">
        <v>-71.444974499098549</v>
      </c>
      <c r="C170">
        <v>-227.68025600000001</v>
      </c>
      <c r="E170">
        <f t="shared" si="15"/>
        <v>-68.908058499070776</v>
      </c>
      <c r="F170">
        <f t="shared" si="16"/>
        <v>-221.91188621854249</v>
      </c>
    </row>
    <row r="171" spans="1:6" x14ac:dyDescent="0.25">
      <c r="A171">
        <v>-70.524536629331564</v>
      </c>
      <c r="B171">
        <v>-72.294008496878604</v>
      </c>
      <c r="C171">
        <v>-227.68025600000001</v>
      </c>
      <c r="E171">
        <f t="shared" si="15"/>
        <v>-69.788698106680286</v>
      </c>
      <c r="F171">
        <f t="shared" si="16"/>
        <v>-221.33964692432477</v>
      </c>
    </row>
    <row r="172" spans="1:6" x14ac:dyDescent="0.25">
      <c r="A172">
        <v>-69.243637513477353</v>
      </c>
      <c r="B172">
        <v>-73.102294381968434</v>
      </c>
      <c r="C172">
        <v>-227.68025600000001</v>
      </c>
      <c r="E172">
        <f t="shared" si="15"/>
        <v>-70.64119434031808</v>
      </c>
      <c r="F172">
        <f t="shared" si="16"/>
        <v>-220.53493465179588</v>
      </c>
    </row>
    <row r="173" spans="1:6" x14ac:dyDescent="0.25">
      <c r="A173">
        <v>-66.590346198597018</v>
      </c>
      <c r="B173">
        <v>-73.80403326972835</v>
      </c>
      <c r="C173">
        <v>-227.68025600000001</v>
      </c>
      <c r="E173">
        <f t="shared" si="15"/>
        <v>-71.435104279202363</v>
      </c>
      <c r="F173">
        <f t="shared" si="16"/>
        <v>-218.84621289916748</v>
      </c>
    </row>
    <row r="174" spans="1:6" x14ac:dyDescent="0.25">
      <c r="A174">
        <v>-63.776901323286388</v>
      </c>
      <c r="B174">
        <v>-74.533381200043152</v>
      </c>
      <c r="C174">
        <v>-227.68025600000001</v>
      </c>
      <c r="E174">
        <f t="shared" si="15"/>
        <v>-72.262195720612908</v>
      </c>
      <c r="F174">
        <f t="shared" si="16"/>
        <v>-217.05522848605139</v>
      </c>
    </row>
    <row r="175" spans="1:6" x14ac:dyDescent="0.25">
      <c r="A175">
        <v>-60.564547402863035</v>
      </c>
      <c r="B175">
        <v>-75.386553948014253</v>
      </c>
      <c r="C175">
        <v>-227.68025600000001</v>
      </c>
      <c r="E175">
        <f t="shared" si="15"/>
        <v>-73.226958273850983</v>
      </c>
      <c r="F175">
        <f t="shared" si="16"/>
        <v>-215.01076423938352</v>
      </c>
    </row>
    <row r="176" spans="1:6" x14ac:dyDescent="0.25">
      <c r="A176">
        <v>-56.405599093268457</v>
      </c>
      <c r="B176">
        <v>-76.544968565548601</v>
      </c>
      <c r="C176">
        <v>-227.68025600000001</v>
      </c>
      <c r="E176">
        <f t="shared" si="15"/>
        <v>-74.529812419316215</v>
      </c>
      <c r="F176">
        <f t="shared" si="16"/>
        <v>-212.3650589847195</v>
      </c>
    </row>
    <row r="177" spans="1:6" x14ac:dyDescent="0.25">
      <c r="A177">
        <v>-49.507064401132588</v>
      </c>
      <c r="B177">
        <v>-78.470956412573074</v>
      </c>
      <c r="C177">
        <v>-227.68025600000001</v>
      </c>
      <c r="E177">
        <f t="shared" si="15"/>
        <v>-76.695382395323008</v>
      </c>
      <c r="F177">
        <f t="shared" si="16"/>
        <v>-207.97667322703973</v>
      </c>
    </row>
    <row r="178" spans="1:6" x14ac:dyDescent="0.25">
      <c r="A178">
        <v>-30.51819111577506</v>
      </c>
      <c r="B178">
        <v>-82.766847938976781</v>
      </c>
      <c r="C178">
        <v>-227.68025600000001</v>
      </c>
      <c r="E178">
        <f t="shared" si="15"/>
        <v>-81.651359101286488</v>
      </c>
      <c r="F178">
        <f t="shared" si="16"/>
        <v>-195.87466578870823</v>
      </c>
    </row>
    <row r="179" spans="1:6" x14ac:dyDescent="0.25">
      <c r="A179">
        <v>9.6291846125732351E-15</v>
      </c>
      <c r="B179">
        <v>-87.59637538640753</v>
      </c>
      <c r="C179">
        <v>-227.68025600000001</v>
      </c>
      <c r="E179">
        <f t="shared" si="15"/>
        <v>-87.543014041297013</v>
      </c>
      <c r="F179">
        <f t="shared" si="16"/>
        <v>-176.37824125794444</v>
      </c>
    </row>
    <row r="180" spans="1:6" x14ac:dyDescent="0.25">
      <c r="A180">
        <v>30.518191115775021</v>
      </c>
      <c r="B180">
        <v>-82.766847938976824</v>
      </c>
      <c r="C180">
        <v>-227.68025600000001</v>
      </c>
      <c r="E180">
        <f t="shared" si="15"/>
        <v>-83.781498121709106</v>
      </c>
      <c r="F180">
        <f t="shared" si="16"/>
        <v>-156.66513549582567</v>
      </c>
    </row>
    <row r="181" spans="1:6" x14ac:dyDescent="0.25">
      <c r="A181">
        <v>49.50706440113261</v>
      </c>
      <c r="B181">
        <v>-78.470956412573116</v>
      </c>
      <c r="C181">
        <v>-227.68025600000001</v>
      </c>
      <c r="E181">
        <f t="shared" si="15"/>
        <v>-80.150925656958734</v>
      </c>
      <c r="F181">
        <f t="shared" si="16"/>
        <v>-144.37038889701913</v>
      </c>
    </row>
    <row r="182" spans="1:6" x14ac:dyDescent="0.25">
      <c r="A182">
        <v>56.405599093268499</v>
      </c>
      <c r="B182">
        <v>-76.544968565548686</v>
      </c>
      <c r="C182">
        <v>-227.68025600000001</v>
      </c>
      <c r="E182">
        <f t="shared" si="15"/>
        <v>-78.466866458432548</v>
      </c>
      <c r="F182">
        <f t="shared" si="16"/>
        <v>-139.89559190701681</v>
      </c>
    </row>
    <row r="183" spans="1:6" x14ac:dyDescent="0.25">
      <c r="A183">
        <v>60.564547402862999</v>
      </c>
      <c r="B183">
        <v>-75.38655394801421</v>
      </c>
      <c r="C183">
        <v>-227.68025600000001</v>
      </c>
      <c r="E183">
        <f t="shared" si="15"/>
        <v>-77.454302718600317</v>
      </c>
      <c r="F183">
        <f t="shared" si="16"/>
        <v>-137.19791330537856</v>
      </c>
    </row>
    <row r="184" spans="1:6" x14ac:dyDescent="0.25">
      <c r="A184">
        <v>63.776901323286374</v>
      </c>
      <c r="B184">
        <v>-74.53338120004311</v>
      </c>
      <c r="C184">
        <v>-227.68025600000001</v>
      </c>
      <c r="E184">
        <f t="shared" si="15"/>
        <v>-76.713759235468402</v>
      </c>
      <c r="F184">
        <f t="shared" si="16"/>
        <v>-135.11517067151829</v>
      </c>
    </row>
    <row r="185" spans="1:6" x14ac:dyDescent="0.25">
      <c r="A185">
        <v>66.590346198597018</v>
      </c>
      <c r="B185">
        <v>-73.804033269728393</v>
      </c>
      <c r="C185">
        <v>-227.68025600000001</v>
      </c>
      <c r="E185">
        <f t="shared" si="15"/>
        <v>-76.083043414355089</v>
      </c>
      <c r="F185">
        <f t="shared" si="16"/>
        <v>-133.29146338657938</v>
      </c>
    </row>
    <row r="186" spans="1:6" x14ac:dyDescent="0.25">
      <c r="A186">
        <v>69.243637513477381</v>
      </c>
      <c r="B186">
        <v>-73.102294381968449</v>
      </c>
      <c r="C186">
        <v>-227.68025600000001</v>
      </c>
      <c r="E186">
        <f t="shared" si="15"/>
        <v>-75.474330538459668</v>
      </c>
      <c r="F186">
        <f t="shared" si="16"/>
        <v>-131.5712574674472</v>
      </c>
    </row>
    <row r="187" spans="1:6" x14ac:dyDescent="0.25">
      <c r="A187">
        <v>70.524536629331635</v>
      </c>
      <c r="B187">
        <v>-72.294008496878689</v>
      </c>
      <c r="C187">
        <v>-227.68025600000001</v>
      </c>
      <c r="E187">
        <f t="shared" si="15"/>
        <v>-74.711239773761932</v>
      </c>
      <c r="F187">
        <f t="shared" si="16"/>
        <v>-130.73028069848988</v>
      </c>
    </row>
    <row r="188" spans="1:6" x14ac:dyDescent="0.25">
      <c r="A188">
        <v>71.444974499098549</v>
      </c>
      <c r="B188">
        <v>-71.444974499098535</v>
      </c>
      <c r="C188">
        <v>-227.68025600000001</v>
      </c>
      <c r="E188">
        <f t="shared" si="15"/>
        <v>-73.894845802953881</v>
      </c>
      <c r="F188">
        <f t="shared" si="16"/>
        <v>-130.11994870594845</v>
      </c>
    </row>
    <row r="189" spans="1:6" x14ac:dyDescent="0.25">
      <c r="A189">
        <v>72.294008496878675</v>
      </c>
      <c r="B189">
        <v>-70.524536629331635</v>
      </c>
      <c r="C189">
        <v>-227.68025600000001</v>
      </c>
      <c r="E189">
        <f t="shared" si="15"/>
        <v>-73.004599498273677</v>
      </c>
      <c r="F189">
        <f t="shared" si="16"/>
        <v>-129.55388447757781</v>
      </c>
    </row>
    <row r="190" spans="1:6" x14ac:dyDescent="0.25">
      <c r="A190">
        <v>73.102294381968449</v>
      </c>
      <c r="B190">
        <v>-69.243637513477367</v>
      </c>
      <c r="C190">
        <v>-227.68025600000001</v>
      </c>
      <c r="E190">
        <f t="shared" si="15"/>
        <v>-71.75268944213343</v>
      </c>
      <c r="F190">
        <f t="shared" si="16"/>
        <v>-129.00591046129102</v>
      </c>
    </row>
    <row r="191" spans="1:6" x14ac:dyDescent="0.25">
      <c r="A191">
        <v>73.80403326972835</v>
      </c>
      <c r="B191">
        <v>-66.590346198597018</v>
      </c>
      <c r="C191">
        <v>-227.68025600000001</v>
      </c>
      <c r="E191">
        <f t="shared" si="15"/>
        <v>-69.125504774631963</v>
      </c>
      <c r="F191">
        <f t="shared" si="16"/>
        <v>-128.49559498936921</v>
      </c>
    </row>
    <row r="192" spans="1:6" x14ac:dyDescent="0.25">
      <c r="A192">
        <v>74.53338120004311</v>
      </c>
      <c r="B192">
        <v>-63.776901323286374</v>
      </c>
      <c r="C192">
        <v>-227.68025600000001</v>
      </c>
      <c r="E192">
        <f t="shared" si="15"/>
        <v>-66.339227649611615</v>
      </c>
      <c r="F192">
        <f t="shared" si="16"/>
        <v>-127.96395085875277</v>
      </c>
    </row>
    <row r="193" spans="1:6" x14ac:dyDescent="0.25">
      <c r="A193">
        <v>75.386553948014267</v>
      </c>
      <c r="B193">
        <v>-60.564547402863035</v>
      </c>
      <c r="C193">
        <v>-227.68025600000001</v>
      </c>
      <c r="E193">
        <f t="shared" si="15"/>
        <v>-63.158605907906193</v>
      </c>
      <c r="F193">
        <f t="shared" si="16"/>
        <v>-127.34381344324174</v>
      </c>
    </row>
    <row r="194" spans="1:6" x14ac:dyDescent="0.25">
      <c r="A194">
        <v>76.544968565548643</v>
      </c>
      <c r="B194">
        <v>-56.405599093268478</v>
      </c>
      <c r="C194">
        <v>-227.68025600000001</v>
      </c>
      <c r="E194">
        <f t="shared" si="15"/>
        <v>-59.042619204375583</v>
      </c>
      <c r="F194">
        <f t="shared" si="16"/>
        <v>-126.50635494130793</v>
      </c>
    </row>
    <row r="195" spans="1:6" x14ac:dyDescent="0.25">
      <c r="A195">
        <v>78.470956412573074</v>
      </c>
      <c r="B195">
        <v>-49.507064401132624</v>
      </c>
      <c r="C195">
        <v>-227.68025600000001</v>
      </c>
      <c r="E195">
        <f t="shared" si="15"/>
        <v>-52.215502919698295</v>
      </c>
      <c r="F195">
        <f t="shared" si="16"/>
        <v>-125.11435339282161</v>
      </c>
    </row>
    <row r="196" spans="1:6" x14ac:dyDescent="0.25">
      <c r="A196">
        <v>82.766847938976809</v>
      </c>
      <c r="B196">
        <v>-30.518191115775014</v>
      </c>
      <c r="C196">
        <v>-227.68025600000001</v>
      </c>
      <c r="E196">
        <f t="shared" si="15"/>
        <v>-33.38812159504397</v>
      </c>
      <c r="F196">
        <f t="shared" si="16"/>
        <v>-121.92871297233316</v>
      </c>
    </row>
    <row r="197" spans="1:6" x14ac:dyDescent="0.25">
      <c r="A197">
        <v>87.596375386407558</v>
      </c>
      <c r="B197">
        <v>0</v>
      </c>
      <c r="C197">
        <v>-227.68025600000001</v>
      </c>
      <c r="E197">
        <f t="shared" si="15"/>
        <v>-3.0570694139490056</v>
      </c>
      <c r="F197">
        <f t="shared" si="16"/>
        <v>-118.14163017634591</v>
      </c>
    </row>
    <row r="198" spans="1:6" x14ac:dyDescent="0.25">
      <c r="A198">
        <v>82.766847938976824</v>
      </c>
      <c r="B198">
        <v>30.518191115775014</v>
      </c>
      <c r="C198">
        <v>-227.68025600000001</v>
      </c>
      <c r="E198">
        <f t="shared" si="15"/>
        <v>27.611078921598455</v>
      </c>
      <c r="F198">
        <f t="shared" si="16"/>
        <v>-120.55948600309571</v>
      </c>
    </row>
    <row r="199" spans="1:6" x14ac:dyDescent="0.25">
      <c r="A199">
        <v>78.47095641257313</v>
      </c>
      <c r="B199">
        <v>49.507064401132602</v>
      </c>
      <c r="C199">
        <v>-227.68025600000001</v>
      </c>
      <c r="E199">
        <f t="shared" si="15"/>
        <v>46.738309150572817</v>
      </c>
      <c r="F199">
        <f t="shared" si="16"/>
        <v>-122.89317299950636</v>
      </c>
    </row>
    <row r="200" spans="1:6" x14ac:dyDescent="0.25">
      <c r="A200">
        <v>76.544968565548643</v>
      </c>
      <c r="B200">
        <v>56.405599093268478</v>
      </c>
      <c r="C200">
        <v>-227.68025600000001</v>
      </c>
      <c r="E200">
        <f t="shared" si="15"/>
        <v>53.6998574482827</v>
      </c>
      <c r="F200">
        <f t="shared" si="16"/>
        <v>-123.97566538629768</v>
      </c>
    </row>
    <row r="201" spans="1:6" x14ac:dyDescent="0.25">
      <c r="A201">
        <v>75.386553948014196</v>
      </c>
      <c r="B201">
        <v>60.564547402862985</v>
      </c>
      <c r="C201">
        <v>-227.68025600000001</v>
      </c>
      <c r="E201">
        <f t="shared" si="15"/>
        <v>57.896700326062799</v>
      </c>
      <c r="F201">
        <f t="shared" si="16"/>
        <v>-124.62652881227967</v>
      </c>
    </row>
    <row r="202" spans="1:6" x14ac:dyDescent="0.25">
      <c r="A202">
        <v>74.53338120004311</v>
      </c>
      <c r="B202">
        <v>63.776901323286374</v>
      </c>
      <c r="C202">
        <v>-227.68025600000001</v>
      </c>
      <c r="E202">
        <f t="shared" si="15"/>
        <v>61.136872666777244</v>
      </c>
      <c r="F202">
        <f t="shared" si="16"/>
        <v>-125.10254098767098</v>
      </c>
    </row>
    <row r="203" spans="1:6" x14ac:dyDescent="0.25">
      <c r="A203">
        <v>73.804033269728393</v>
      </c>
      <c r="B203">
        <v>66.590346198597018</v>
      </c>
      <c r="C203">
        <v>-227.68025600000001</v>
      </c>
      <c r="E203">
        <f t="shared" si="15"/>
        <v>63.974057543175576</v>
      </c>
      <c r="F203">
        <f t="shared" si="16"/>
        <v>-125.50795730271589</v>
      </c>
    </row>
    <row r="204" spans="1:6" x14ac:dyDescent="0.25">
      <c r="A204">
        <v>73.102294381968463</v>
      </c>
      <c r="B204">
        <v>69.243637513477367</v>
      </c>
      <c r="C204">
        <v>-227.68025600000001</v>
      </c>
      <c r="E204">
        <f t="shared" si="15"/>
        <v>66.650222878675834</v>
      </c>
      <c r="F204">
        <f t="shared" si="16"/>
        <v>-125.89923039719812</v>
      </c>
    </row>
    <row r="205" spans="1:6" x14ac:dyDescent="0.25">
      <c r="A205">
        <v>72.294008496878604</v>
      </c>
      <c r="B205">
        <v>70.524536629331578</v>
      </c>
      <c r="C205">
        <v>-227.68025600000001</v>
      </c>
      <c r="E205">
        <f t="shared" si="15"/>
        <v>67.958550475978768</v>
      </c>
      <c r="F205">
        <f t="shared" si="16"/>
        <v>-126.38973568581211</v>
      </c>
    </row>
    <row r="206" spans="1:6" x14ac:dyDescent="0.25">
      <c r="A206">
        <v>71.444974499098549</v>
      </c>
      <c r="B206">
        <v>71.444974499098535</v>
      </c>
      <c r="C206">
        <v>-227.68025600000001</v>
      </c>
      <c r="E206">
        <f t="shared" si="15"/>
        <v>68.908058499070705</v>
      </c>
      <c r="F206">
        <f t="shared" si="16"/>
        <v>-126.91450361487026</v>
      </c>
    </row>
    <row r="207" spans="1:6" x14ac:dyDescent="0.25">
      <c r="A207">
        <v>70.52453662933155</v>
      </c>
      <c r="B207">
        <v>72.29400849687859</v>
      </c>
      <c r="C207">
        <v>-227.68025600000001</v>
      </c>
      <c r="E207">
        <f t="shared" si="15"/>
        <v>69.788698106680215</v>
      </c>
      <c r="F207">
        <f t="shared" si="16"/>
        <v>-127.48674290908798</v>
      </c>
    </row>
    <row r="208" spans="1:6" x14ac:dyDescent="0.25">
      <c r="A208">
        <v>69.243637513477367</v>
      </c>
      <c r="B208">
        <v>73.10229438196842</v>
      </c>
      <c r="C208">
        <v>-227.68025600000001</v>
      </c>
      <c r="E208">
        <f t="shared" si="15"/>
        <v>70.641194340318009</v>
      </c>
      <c r="F208">
        <f t="shared" si="16"/>
        <v>-128.29145518161687</v>
      </c>
    </row>
    <row r="209" spans="1:6" x14ac:dyDescent="0.25">
      <c r="A209">
        <v>66.590346198597018</v>
      </c>
      <c r="B209">
        <v>73.80403326972835</v>
      </c>
      <c r="C209">
        <v>-227.68025600000001</v>
      </c>
      <c r="E209">
        <f t="shared" si="15"/>
        <v>71.435104279202307</v>
      </c>
      <c r="F209">
        <f t="shared" si="16"/>
        <v>-129.98017693424526</v>
      </c>
    </row>
    <row r="210" spans="1:6" x14ac:dyDescent="0.25">
      <c r="A210">
        <v>63.776901323286452</v>
      </c>
      <c r="B210">
        <v>74.533381200043181</v>
      </c>
      <c r="C210">
        <v>-227.68025600000001</v>
      </c>
      <c r="E210">
        <f t="shared" si="15"/>
        <v>72.26219572061288</v>
      </c>
      <c r="F210">
        <f t="shared" si="16"/>
        <v>-131.77116134736133</v>
      </c>
    </row>
    <row r="211" spans="1:6" x14ac:dyDescent="0.25">
      <c r="A211">
        <v>60.564547402863049</v>
      </c>
      <c r="B211">
        <v>75.386553948014253</v>
      </c>
      <c r="C211">
        <v>-227.68025600000001</v>
      </c>
      <c r="E211">
        <f t="shared" si="15"/>
        <v>73.226958273850926</v>
      </c>
      <c r="F211">
        <f t="shared" si="16"/>
        <v>-133.81562559402923</v>
      </c>
    </row>
    <row r="212" spans="1:6" x14ac:dyDescent="0.25">
      <c r="A212">
        <v>56.405599093268435</v>
      </c>
      <c r="B212">
        <v>76.544968565548615</v>
      </c>
      <c r="C212">
        <v>-227.68025600000001</v>
      </c>
      <c r="E212">
        <f t="shared" ref="E212:E275" si="17">($I$2*A212)+($K$2*B212)+($M$2*C212)</f>
        <v>74.529812419316173</v>
      </c>
      <c r="F212">
        <f t="shared" ref="F212:F275" si="18">($J$2*A212)+($L$2*B212)+($N$2*C212)</f>
        <v>-136.46133084869328</v>
      </c>
    </row>
    <row r="213" spans="1:6" x14ac:dyDescent="0.25">
      <c r="A213">
        <v>49.50706440113261</v>
      </c>
      <c r="B213">
        <v>78.470956412573173</v>
      </c>
      <c r="C213">
        <v>-227.68025600000001</v>
      </c>
      <c r="E213">
        <f t="shared" si="17"/>
        <v>76.695382395323051</v>
      </c>
      <c r="F213">
        <f t="shared" si="18"/>
        <v>-140.84971660637302</v>
      </c>
    </row>
    <row r="214" spans="1:6" x14ac:dyDescent="0.25">
      <c r="A214">
        <v>30.518191115775014</v>
      </c>
      <c r="B214">
        <v>82.766847938976824</v>
      </c>
      <c r="C214">
        <v>-227.68025600000001</v>
      </c>
      <c r="E214">
        <f t="shared" si="17"/>
        <v>81.651359101286474</v>
      </c>
      <c r="F214">
        <f t="shared" si="18"/>
        <v>-152.95172404470455</v>
      </c>
    </row>
    <row r="215" spans="1:6" x14ac:dyDescent="0.25">
      <c r="A215">
        <v>1.3892441027133834E-14</v>
      </c>
      <c r="B215">
        <v>87.596375386407516</v>
      </c>
      <c r="C215">
        <v>-227.68025600000001</v>
      </c>
      <c r="E215">
        <f t="shared" si="17"/>
        <v>87.543014041296942</v>
      </c>
      <c r="F215">
        <f t="shared" si="18"/>
        <v>-172.44814857546828</v>
      </c>
    </row>
    <row r="216" spans="1:6" x14ac:dyDescent="0.25">
      <c r="A216">
        <v>-30.518191115774965</v>
      </c>
      <c r="B216">
        <v>82.766847938976767</v>
      </c>
      <c r="C216">
        <v>-227.68025600000001</v>
      </c>
      <c r="E216">
        <f t="shared" si="17"/>
        <v>83.781498121708992</v>
      </c>
      <c r="F216">
        <f t="shared" si="18"/>
        <v>-192.16125433758702</v>
      </c>
    </row>
    <row r="217" spans="1:6" x14ac:dyDescent="0.25">
      <c r="A217">
        <v>-49.507064401132595</v>
      </c>
      <c r="B217">
        <v>78.470956412573102</v>
      </c>
      <c r="C217">
        <v>-227.68025600000001</v>
      </c>
      <c r="E217">
        <f t="shared" si="17"/>
        <v>80.150925656958663</v>
      </c>
      <c r="F217">
        <f t="shared" si="18"/>
        <v>-204.45600093639359</v>
      </c>
    </row>
    <row r="218" spans="1:6" x14ac:dyDescent="0.25">
      <c r="A218">
        <v>-56.405599093268449</v>
      </c>
      <c r="B218">
        <v>76.544968565548629</v>
      </c>
      <c r="C218">
        <v>-227.68025600000001</v>
      </c>
      <c r="E218">
        <f t="shared" si="17"/>
        <v>78.466866458432435</v>
      </c>
      <c r="F218">
        <f t="shared" si="18"/>
        <v>-208.93079792639594</v>
      </c>
    </row>
    <row r="219" spans="1:6" x14ac:dyDescent="0.25">
      <c r="A219">
        <v>-60.564547402862985</v>
      </c>
      <c r="B219">
        <v>75.38655394801421</v>
      </c>
      <c r="C219">
        <v>-227.68025600000001</v>
      </c>
      <c r="E219">
        <f t="shared" si="17"/>
        <v>77.45430271860026</v>
      </c>
      <c r="F219">
        <f t="shared" si="18"/>
        <v>-211.62847652803418</v>
      </c>
    </row>
    <row r="220" spans="1:6" x14ac:dyDescent="0.25">
      <c r="A220">
        <v>-63.776901323286353</v>
      </c>
      <c r="B220">
        <v>74.533381200043124</v>
      </c>
      <c r="C220">
        <v>-227.68025600000001</v>
      </c>
      <c r="E220">
        <f t="shared" si="17"/>
        <v>76.713759235468359</v>
      </c>
      <c r="F220">
        <f t="shared" si="18"/>
        <v>-213.71121916189446</v>
      </c>
    </row>
    <row r="221" spans="1:6" x14ac:dyDescent="0.25">
      <c r="A221">
        <v>-66.590346198597018</v>
      </c>
      <c r="B221">
        <v>73.80403326972835</v>
      </c>
      <c r="C221">
        <v>-227.68025600000001</v>
      </c>
      <c r="E221">
        <f t="shared" si="17"/>
        <v>76.083043414354989</v>
      </c>
      <c r="F221">
        <f t="shared" si="18"/>
        <v>-215.53492644683337</v>
      </c>
    </row>
    <row r="222" spans="1:6" x14ac:dyDescent="0.25">
      <c r="A222">
        <v>-69.243637513477367</v>
      </c>
      <c r="B222">
        <v>73.10229438196842</v>
      </c>
      <c r="C222">
        <v>-227.68025600000001</v>
      </c>
      <c r="E222">
        <f t="shared" si="17"/>
        <v>75.474330538459583</v>
      </c>
      <c r="F222">
        <f t="shared" si="18"/>
        <v>-217.25513236596555</v>
      </c>
    </row>
    <row r="223" spans="1:6" x14ac:dyDescent="0.25">
      <c r="A223">
        <v>-70.524536629331564</v>
      </c>
      <c r="B223">
        <v>72.294008496878604</v>
      </c>
      <c r="C223">
        <v>-227.68025600000001</v>
      </c>
      <c r="E223">
        <f t="shared" si="17"/>
        <v>74.71123977376179</v>
      </c>
      <c r="F223">
        <f t="shared" si="18"/>
        <v>-218.09610913492281</v>
      </c>
    </row>
    <row r="224" spans="1:6" x14ac:dyDescent="0.25">
      <c r="A224">
        <v>-71.444974499098535</v>
      </c>
      <c r="B224">
        <v>71.444974499098549</v>
      </c>
      <c r="C224">
        <v>-227.68025600000001</v>
      </c>
      <c r="E224">
        <f t="shared" si="17"/>
        <v>73.894845802953839</v>
      </c>
      <c r="F224">
        <f t="shared" si="18"/>
        <v>-218.70644112746427</v>
      </c>
    </row>
    <row r="225" spans="1:6" x14ac:dyDescent="0.25">
      <c r="A225">
        <v>-72.29400849687859</v>
      </c>
      <c r="B225">
        <v>70.52453662933155</v>
      </c>
      <c r="C225">
        <v>-227.68025600000001</v>
      </c>
      <c r="E225">
        <f t="shared" si="17"/>
        <v>73.004599498273535</v>
      </c>
      <c r="F225">
        <f t="shared" si="18"/>
        <v>-219.27250535583491</v>
      </c>
    </row>
    <row r="226" spans="1:6" x14ac:dyDescent="0.25">
      <c r="A226">
        <v>-73.102294381968434</v>
      </c>
      <c r="B226">
        <v>69.243637513477367</v>
      </c>
      <c r="C226">
        <v>-227.68025600000001</v>
      </c>
      <c r="E226">
        <f t="shared" si="17"/>
        <v>71.752689442133374</v>
      </c>
      <c r="F226">
        <f t="shared" si="18"/>
        <v>-219.82047937212172</v>
      </c>
    </row>
    <row r="227" spans="1:6" x14ac:dyDescent="0.25">
      <c r="A227">
        <v>-73.80403326972835</v>
      </c>
      <c r="B227">
        <v>66.590346198597018</v>
      </c>
      <c r="C227">
        <v>-227.68025600000001</v>
      </c>
      <c r="E227">
        <f t="shared" si="17"/>
        <v>69.125504774631906</v>
      </c>
      <c r="F227">
        <f t="shared" si="18"/>
        <v>-220.33079484404354</v>
      </c>
    </row>
    <row r="228" spans="1:6" x14ac:dyDescent="0.25">
      <c r="A228">
        <v>-74.533381200043081</v>
      </c>
      <c r="B228">
        <v>63.776901323286374</v>
      </c>
      <c r="C228">
        <v>-227.68025600000001</v>
      </c>
      <c r="E228">
        <f t="shared" si="17"/>
        <v>66.339227649611558</v>
      </c>
      <c r="F228">
        <f t="shared" si="18"/>
        <v>-220.86243897465997</v>
      </c>
    </row>
    <row r="229" spans="1:6" x14ac:dyDescent="0.25">
      <c r="A229">
        <v>-75.386553948014267</v>
      </c>
      <c r="B229">
        <v>60.564547402863049</v>
      </c>
      <c r="C229">
        <v>-227.68025600000001</v>
      </c>
      <c r="E229">
        <f t="shared" si="17"/>
        <v>63.15860590790615</v>
      </c>
      <c r="F229">
        <f t="shared" si="18"/>
        <v>-221.482576390171</v>
      </c>
    </row>
    <row r="230" spans="1:6" x14ac:dyDescent="0.25">
      <c r="A230">
        <v>-76.544968565548601</v>
      </c>
      <c r="B230">
        <v>56.405599093268449</v>
      </c>
      <c r="C230">
        <v>-227.68025600000001</v>
      </c>
      <c r="E230">
        <f t="shared" si="17"/>
        <v>59.042619204375498</v>
      </c>
      <c r="F230">
        <f t="shared" si="18"/>
        <v>-222.32003489210479</v>
      </c>
    </row>
    <row r="231" spans="1:6" x14ac:dyDescent="0.25">
      <c r="A231">
        <v>-78.470956412573074</v>
      </c>
      <c r="B231">
        <v>49.507064401132588</v>
      </c>
      <c r="C231">
        <v>-227.68025600000001</v>
      </c>
      <c r="E231">
        <f t="shared" si="17"/>
        <v>52.21550291969821</v>
      </c>
      <c r="F231">
        <f t="shared" si="18"/>
        <v>-223.71203644059113</v>
      </c>
    </row>
    <row r="232" spans="1:6" x14ac:dyDescent="0.25">
      <c r="A232">
        <v>-121.9628704014962</v>
      </c>
      <c r="B232">
        <v>-3.6258544295664346E-14</v>
      </c>
      <c r="C232">
        <v>-171.38038399999999</v>
      </c>
      <c r="E232">
        <f t="shared" si="17"/>
        <v>4.2564427934045259</v>
      </c>
      <c r="F232">
        <f t="shared" si="18"/>
        <v>-209.63345589847523</v>
      </c>
    </row>
    <row r="233" spans="1:6" x14ac:dyDescent="0.25">
      <c r="A233">
        <v>-118.75814026086616</v>
      </c>
      <c r="B233">
        <v>-33.232733942905639</v>
      </c>
      <c r="C233">
        <v>-171.38038399999999</v>
      </c>
      <c r="E233">
        <f t="shared" si="17"/>
        <v>-29.067890134876805</v>
      </c>
      <c r="F233">
        <f t="shared" si="18"/>
        <v>-208.32025867047835</v>
      </c>
    </row>
    <row r="234" spans="1:6" x14ac:dyDescent="0.25">
      <c r="A234">
        <v>-114.66281868547965</v>
      </c>
      <c r="B234">
        <v>-58.12733358434653</v>
      </c>
      <c r="C234">
        <v>-171.38038399999999</v>
      </c>
      <c r="E234">
        <f t="shared" si="17"/>
        <v>-54.090249320661584</v>
      </c>
      <c r="F234">
        <f t="shared" si="18"/>
        <v>-206.24789996363484</v>
      </c>
    </row>
    <row r="235" spans="1:6" x14ac:dyDescent="0.25">
      <c r="A235">
        <v>-112.33206615547303</v>
      </c>
      <c r="B235">
        <v>-71.74201597452813</v>
      </c>
      <c r="C235">
        <v>-171.38038399999999</v>
      </c>
      <c r="E235">
        <f t="shared" si="17"/>
        <v>-67.777980104422809</v>
      </c>
      <c r="F235">
        <f t="shared" si="18"/>
        <v>-205.05605144698626</v>
      </c>
    </row>
    <row r="236" spans="1:6" x14ac:dyDescent="0.25">
      <c r="A236">
        <v>-110.56689577162606</v>
      </c>
      <c r="B236">
        <v>-78.06991153353016</v>
      </c>
      <c r="C236">
        <v>-171.38038399999999</v>
      </c>
      <c r="E236">
        <f t="shared" si="17"/>
        <v>-74.163624438414715</v>
      </c>
      <c r="F236">
        <f t="shared" si="18"/>
        <v>-204.06406643467099</v>
      </c>
    </row>
    <row r="237" spans="1:6" x14ac:dyDescent="0.25">
      <c r="A237">
        <v>-109.23502731825805</v>
      </c>
      <c r="B237">
        <v>-81.802583458856645</v>
      </c>
      <c r="C237">
        <v>-171.38038399999999</v>
      </c>
      <c r="E237">
        <f t="shared" si="17"/>
        <v>-77.9405040595542</v>
      </c>
      <c r="F237">
        <f t="shared" si="18"/>
        <v>-203.2922143084707</v>
      </c>
    </row>
    <row r="238" spans="1:6" x14ac:dyDescent="0.25">
      <c r="A238">
        <v>-107.8697417020193</v>
      </c>
      <c r="B238">
        <v>-85.575664218401457</v>
      </c>
      <c r="C238">
        <v>-171.38038399999999</v>
      </c>
      <c r="E238">
        <f t="shared" si="17"/>
        <v>-81.758934141107417</v>
      </c>
      <c r="F238">
        <f t="shared" si="18"/>
        <v>-202.499801619072</v>
      </c>
    </row>
    <row r="239" spans="1:6" x14ac:dyDescent="0.25">
      <c r="A239">
        <v>-105.73154200298286</v>
      </c>
      <c r="B239">
        <v>-89.248416204444126</v>
      </c>
      <c r="C239">
        <v>-171.38038399999999</v>
      </c>
      <c r="E239">
        <f t="shared" si="17"/>
        <v>-85.50407087922045</v>
      </c>
      <c r="F239">
        <f t="shared" si="18"/>
        <v>-201.20862131120219</v>
      </c>
    </row>
    <row r="240" spans="1:6" x14ac:dyDescent="0.25">
      <c r="A240">
        <v>-101.48636847417542</v>
      </c>
      <c r="B240">
        <v>-93.435184469970778</v>
      </c>
      <c r="C240">
        <v>-171.38038399999999</v>
      </c>
      <c r="E240">
        <f t="shared" si="17"/>
        <v>-89.836443098212584</v>
      </c>
      <c r="F240">
        <f t="shared" si="18"/>
        <v>-198.57546026565558</v>
      </c>
    </row>
    <row r="241" spans="1:6" x14ac:dyDescent="0.25">
      <c r="A241">
        <v>-97.44903191585</v>
      </c>
      <c r="B241">
        <v>-97.449031915850028</v>
      </c>
      <c r="C241">
        <v>-171.38038399999999</v>
      </c>
      <c r="E241">
        <f t="shared" si="17"/>
        <v>-93.988746430582495</v>
      </c>
      <c r="F241">
        <f t="shared" si="18"/>
        <v>-196.07193374055407</v>
      </c>
    </row>
    <row r="242" spans="1:6" x14ac:dyDescent="0.25">
      <c r="A242">
        <v>-93.435184469970778</v>
      </c>
      <c r="B242">
        <v>-101.48636847417545</v>
      </c>
      <c r="C242">
        <v>-171.38038399999999</v>
      </c>
      <c r="E242">
        <f t="shared" si="17"/>
        <v>-98.163704808263574</v>
      </c>
      <c r="F242">
        <f t="shared" si="18"/>
        <v>-193.5840234587063</v>
      </c>
    </row>
    <row r="243" spans="1:6" x14ac:dyDescent="0.25">
      <c r="A243">
        <v>-89.248416204444126</v>
      </c>
      <c r="B243">
        <v>-105.73154200298288</v>
      </c>
      <c r="C243">
        <v>-171.38038399999999</v>
      </c>
      <c r="E243">
        <f t="shared" si="17"/>
        <v>-102.55240839733489</v>
      </c>
      <c r="F243">
        <f t="shared" si="18"/>
        <v>-190.98969192622798</v>
      </c>
    </row>
    <row r="244" spans="1:6" x14ac:dyDescent="0.25">
      <c r="A244">
        <v>-85.575664218401471</v>
      </c>
      <c r="B244">
        <v>-107.86974170201925</v>
      </c>
      <c r="C244">
        <v>-171.38038399999999</v>
      </c>
      <c r="E244">
        <f t="shared" si="17"/>
        <v>-104.81748275871284</v>
      </c>
      <c r="F244">
        <f t="shared" si="18"/>
        <v>-188.67829674841019</v>
      </c>
    </row>
    <row r="245" spans="1:6" x14ac:dyDescent="0.25">
      <c r="A245">
        <v>-81.802583458856603</v>
      </c>
      <c r="B245">
        <v>-109.23502731825806</v>
      </c>
      <c r="C245">
        <v>-171.38038399999999</v>
      </c>
      <c r="E245">
        <f t="shared" si="17"/>
        <v>-106.31361529936903</v>
      </c>
      <c r="F245">
        <f t="shared" si="18"/>
        <v>-186.28511200986753</v>
      </c>
    </row>
    <row r="246" spans="1:6" x14ac:dyDescent="0.25">
      <c r="A246">
        <v>-78.069911533530203</v>
      </c>
      <c r="B246">
        <v>-110.56689577162608</v>
      </c>
      <c r="C246">
        <v>-171.38038399999999</v>
      </c>
      <c r="E246">
        <f t="shared" si="17"/>
        <v>-107.77494078601059</v>
      </c>
      <c r="F246">
        <f t="shared" si="18"/>
        <v>-183.91713610042808</v>
      </c>
    </row>
    <row r="247" spans="1:6" x14ac:dyDescent="0.25">
      <c r="A247">
        <v>-71.742015974528144</v>
      </c>
      <c r="B247">
        <v>-112.3320661554731</v>
      </c>
      <c r="C247">
        <v>-171.38038399999999</v>
      </c>
      <c r="E247">
        <f t="shared" si="17"/>
        <v>-109.75987624594823</v>
      </c>
      <c r="F247">
        <f t="shared" si="18"/>
        <v>-179.89171905025069</v>
      </c>
    </row>
    <row r="248" spans="1:6" x14ac:dyDescent="0.25">
      <c r="A248">
        <v>-58.127333584346545</v>
      </c>
      <c r="B248">
        <v>-114.66281868547962</v>
      </c>
      <c r="C248">
        <v>-171.38038399999999</v>
      </c>
      <c r="E248">
        <f t="shared" si="17"/>
        <v>-112.56435450767005</v>
      </c>
      <c r="F248">
        <f t="shared" si="18"/>
        <v>-171.19798667322249</v>
      </c>
    </row>
    <row r="249" spans="1:6" x14ac:dyDescent="0.25">
      <c r="A249">
        <v>-33.232733942905675</v>
      </c>
      <c r="B249">
        <v>-118.75814026086606</v>
      </c>
      <c r="C249">
        <v>-171.38038399999999</v>
      </c>
      <c r="E249">
        <f t="shared" si="17"/>
        <v>-117.52599032190118</v>
      </c>
      <c r="F249">
        <f t="shared" si="18"/>
        <v>-155.29766462694167</v>
      </c>
    </row>
    <row r="250" spans="1:6" x14ac:dyDescent="0.25">
      <c r="A250">
        <v>1.1734387525991275E-14</v>
      </c>
      <c r="B250">
        <v>-121.9628704014963</v>
      </c>
      <c r="C250">
        <v>-171.38038399999999</v>
      </c>
      <c r="E250">
        <f t="shared" si="17"/>
        <v>-121.8885739161742</v>
      </c>
      <c r="F250">
        <f t="shared" si="18"/>
        <v>-134.02097951173661</v>
      </c>
    </row>
    <row r="251" spans="1:6" x14ac:dyDescent="0.25">
      <c r="A251">
        <v>33.232733942905632</v>
      </c>
      <c r="B251">
        <v>-118.75814026086616</v>
      </c>
      <c r="C251">
        <v>-171.38038399999999</v>
      </c>
      <c r="E251">
        <f t="shared" si="17"/>
        <v>-119.84560169921234</v>
      </c>
      <c r="F251">
        <f t="shared" si="18"/>
        <v>-112.60051120436822</v>
      </c>
    </row>
    <row r="252" spans="1:6" x14ac:dyDescent="0.25">
      <c r="A252">
        <v>58.127333584346545</v>
      </c>
      <c r="B252">
        <v>-114.66281868547956</v>
      </c>
      <c r="C252">
        <v>-171.38038399999999</v>
      </c>
      <c r="E252">
        <f t="shared" si="17"/>
        <v>-116.62158388117415</v>
      </c>
      <c r="F252">
        <f t="shared" si="18"/>
        <v>-96.516448754619574</v>
      </c>
    </row>
    <row r="253" spans="1:6" x14ac:dyDescent="0.25">
      <c r="A253">
        <v>71.742015974528144</v>
      </c>
      <c r="B253">
        <v>-112.3320661554731</v>
      </c>
      <c r="C253">
        <v>-171.38038399999999</v>
      </c>
      <c r="E253">
        <f t="shared" si="17"/>
        <v>-114.76739674581587</v>
      </c>
      <c r="F253">
        <f t="shared" si="18"/>
        <v>-87.718145002092839</v>
      </c>
    </row>
    <row r="254" spans="1:6" x14ac:dyDescent="0.25">
      <c r="A254">
        <v>78.069911533530174</v>
      </c>
      <c r="B254">
        <v>-110.56689577162608</v>
      </c>
      <c r="C254">
        <v>-171.38038399999999</v>
      </c>
      <c r="E254">
        <f t="shared" si="17"/>
        <v>-113.22414202626855</v>
      </c>
      <c r="F254">
        <f t="shared" si="18"/>
        <v>-83.61353194433778</v>
      </c>
    </row>
    <row r="255" spans="1:6" x14ac:dyDescent="0.25">
      <c r="A255">
        <v>81.802583458856589</v>
      </c>
      <c r="B255">
        <v>-109.23502731825799</v>
      </c>
      <c r="C255">
        <v>-171.38038399999999</v>
      </c>
      <c r="E255">
        <f t="shared" si="17"/>
        <v>-112.02335328272582</v>
      </c>
      <c r="F255">
        <f t="shared" si="18"/>
        <v>-81.185800520591783</v>
      </c>
    </row>
    <row r="256" spans="1:6" x14ac:dyDescent="0.25">
      <c r="A256">
        <v>85.575664218401457</v>
      </c>
      <c r="B256">
        <v>-107.86974170201927</v>
      </c>
      <c r="C256">
        <v>-171.38038399999999</v>
      </c>
      <c r="E256">
        <f t="shared" si="17"/>
        <v>-110.79057798112174</v>
      </c>
      <c r="F256">
        <f t="shared" si="18"/>
        <v>-78.731360975714964</v>
      </c>
    </row>
    <row r="257" spans="1:6" x14ac:dyDescent="0.25">
      <c r="A257">
        <v>89.248416204444126</v>
      </c>
      <c r="B257">
        <v>-105.73154200298292</v>
      </c>
      <c r="C257">
        <v>-171.38038399999999</v>
      </c>
      <c r="E257">
        <f t="shared" si="17"/>
        <v>-108.78185801139581</v>
      </c>
      <c r="F257">
        <f t="shared" si="18"/>
        <v>-76.324033483874047</v>
      </c>
    </row>
    <row r="258" spans="1:6" x14ac:dyDescent="0.25">
      <c r="A258">
        <v>93.435184469970778</v>
      </c>
      <c r="B258">
        <v>-101.48636847417542</v>
      </c>
      <c r="C258">
        <v>-171.38038399999999</v>
      </c>
      <c r="E258">
        <f t="shared" si="17"/>
        <v>-104.68538663287821</v>
      </c>
      <c r="F258">
        <f t="shared" si="18"/>
        <v>-73.539238300955731</v>
      </c>
    </row>
    <row r="259" spans="1:6" x14ac:dyDescent="0.25">
      <c r="A259">
        <v>97.449031915850057</v>
      </c>
      <c r="B259">
        <v>-97.449031915850057</v>
      </c>
      <c r="C259">
        <v>-171.38038399999999</v>
      </c>
      <c r="E259">
        <f t="shared" si="17"/>
        <v>-100.79059076660079</v>
      </c>
      <c r="F259">
        <f t="shared" si="18"/>
        <v>-70.870189167248185</v>
      </c>
    </row>
    <row r="260" spans="1:6" x14ac:dyDescent="0.25">
      <c r="A260">
        <v>101.48636847417545</v>
      </c>
      <c r="B260">
        <v>-93.435184469970778</v>
      </c>
      <c r="C260">
        <v>-171.38038399999999</v>
      </c>
      <c r="E260">
        <f t="shared" si="17"/>
        <v>-96.920089462039186</v>
      </c>
      <c r="F260">
        <f t="shared" si="18"/>
        <v>-68.186577651117801</v>
      </c>
    </row>
    <row r="261" spans="1:6" x14ac:dyDescent="0.25">
      <c r="A261">
        <v>105.73154200298288</v>
      </c>
      <c r="B261">
        <v>-89.248416204444126</v>
      </c>
      <c r="C261">
        <v>-171.38038399999999</v>
      </c>
      <c r="E261">
        <f t="shared" si="17"/>
        <v>-92.884026082187347</v>
      </c>
      <c r="F261">
        <f t="shared" si="18"/>
        <v>-65.365573361475924</v>
      </c>
    </row>
    <row r="262" spans="1:6" x14ac:dyDescent="0.25">
      <c r="A262">
        <v>107.86974170201927</v>
      </c>
      <c r="B262">
        <v>-85.575664218401457</v>
      </c>
      <c r="C262">
        <v>-171.38038399999999</v>
      </c>
      <c r="E262">
        <f t="shared" si="17"/>
        <v>-89.288133530765961</v>
      </c>
      <c r="F262">
        <f t="shared" si="18"/>
        <v>-63.90961162696351</v>
      </c>
    </row>
    <row r="263" spans="1:6" x14ac:dyDescent="0.25">
      <c r="A263">
        <v>109.23502731825813</v>
      </c>
      <c r="B263">
        <v>-81.802583458856674</v>
      </c>
      <c r="C263">
        <v>-171.38038399999999</v>
      </c>
      <c r="E263">
        <f t="shared" si="17"/>
        <v>-85.56499901093656</v>
      </c>
      <c r="F263">
        <f t="shared" si="18"/>
        <v>-62.947916167380839</v>
      </c>
    </row>
    <row r="264" spans="1:6" x14ac:dyDescent="0.25">
      <c r="A264">
        <v>110.56689577162606</v>
      </c>
      <c r="B264">
        <v>-78.06991153353016</v>
      </c>
      <c r="C264">
        <v>-171.38038399999999</v>
      </c>
      <c r="E264">
        <f t="shared" si="17"/>
        <v>-81.881082467190012</v>
      </c>
      <c r="F264">
        <f t="shared" si="18"/>
        <v>-62.008594250848546</v>
      </c>
    </row>
    <row r="265" spans="1:6" x14ac:dyDescent="0.25">
      <c r="A265">
        <v>112.33206615547304</v>
      </c>
      <c r="B265">
        <v>-71.74201597452813</v>
      </c>
      <c r="C265">
        <v>-171.38038399999999</v>
      </c>
      <c r="E265">
        <f t="shared" si="17"/>
        <v>-75.618645249178925</v>
      </c>
      <c r="F265">
        <f t="shared" si="18"/>
        <v>-60.732702331173201</v>
      </c>
    </row>
    <row r="266" spans="1:6" x14ac:dyDescent="0.25">
      <c r="A266">
        <v>114.66281868547962</v>
      </c>
      <c r="B266">
        <v>-58.127333584346594</v>
      </c>
      <c r="C266">
        <v>-171.38038399999999</v>
      </c>
      <c r="E266">
        <f t="shared" si="17"/>
        <v>-62.093598645888399</v>
      </c>
      <c r="F266">
        <f t="shared" si="18"/>
        <v>-58.930018452903141</v>
      </c>
    </row>
    <row r="267" spans="1:6" x14ac:dyDescent="0.25">
      <c r="A267">
        <v>118.75814026086616</v>
      </c>
      <c r="B267">
        <v>-33.232733942905625</v>
      </c>
      <c r="C267">
        <v>-171.38038399999999</v>
      </c>
      <c r="E267">
        <f t="shared" si="17"/>
        <v>-37.357088783735307</v>
      </c>
      <c r="F267">
        <f t="shared" si="18"/>
        <v>-55.740740427738331</v>
      </c>
    </row>
    <row r="268" spans="1:6" x14ac:dyDescent="0.25">
      <c r="A268">
        <v>121.9628704014963</v>
      </c>
      <c r="B268">
        <v>0</v>
      </c>
      <c r="C268">
        <v>-171.38038399999999</v>
      </c>
      <c r="E268">
        <f t="shared" si="17"/>
        <v>-4.2564427934046085</v>
      </c>
      <c r="F268">
        <f t="shared" si="18"/>
        <v>-52.936525747117926</v>
      </c>
    </row>
    <row r="269" spans="1:6" x14ac:dyDescent="0.25">
      <c r="A269">
        <v>118.75814026086616</v>
      </c>
      <c r="B269">
        <v>33.232733942905625</v>
      </c>
      <c r="C269">
        <v>-171.38038399999999</v>
      </c>
      <c r="E269">
        <f t="shared" si="17"/>
        <v>29.067890134876748</v>
      </c>
      <c r="F269">
        <f t="shared" si="18"/>
        <v>-54.24972297511485</v>
      </c>
    </row>
    <row r="270" spans="1:6" x14ac:dyDescent="0.25">
      <c r="A270">
        <v>114.66281868547962</v>
      </c>
      <c r="B270">
        <v>58.127333584346502</v>
      </c>
      <c r="C270">
        <v>-171.38038399999999</v>
      </c>
      <c r="E270">
        <f t="shared" si="17"/>
        <v>54.090249320661513</v>
      </c>
      <c r="F270">
        <f t="shared" si="18"/>
        <v>-56.322081681958394</v>
      </c>
    </row>
    <row r="271" spans="1:6" x14ac:dyDescent="0.25">
      <c r="A271">
        <v>112.33206615547304</v>
      </c>
      <c r="B271">
        <v>71.74201597452813</v>
      </c>
      <c r="C271">
        <v>-171.38038399999999</v>
      </c>
      <c r="E271">
        <f t="shared" si="17"/>
        <v>67.777980104422781</v>
      </c>
      <c r="F271">
        <f t="shared" si="18"/>
        <v>-57.513930198606957</v>
      </c>
    </row>
    <row r="272" spans="1:6" x14ac:dyDescent="0.25">
      <c r="A272">
        <v>110.56689577162606</v>
      </c>
      <c r="B272">
        <v>78.06991153353016</v>
      </c>
      <c r="C272">
        <v>-171.38038399999999</v>
      </c>
      <c r="E272">
        <f t="shared" si="17"/>
        <v>74.163624438414686</v>
      </c>
      <c r="F272">
        <f t="shared" si="18"/>
        <v>-58.505915210922211</v>
      </c>
    </row>
    <row r="273" spans="1:6" x14ac:dyDescent="0.25">
      <c r="A273">
        <v>109.23502731825805</v>
      </c>
      <c r="B273">
        <v>81.802583458856617</v>
      </c>
      <c r="C273">
        <v>-171.38038399999999</v>
      </c>
      <c r="E273">
        <f t="shared" si="17"/>
        <v>77.940504059554144</v>
      </c>
      <c r="F273">
        <f t="shared" si="18"/>
        <v>-59.277767337122498</v>
      </c>
    </row>
    <row r="274" spans="1:6" x14ac:dyDescent="0.25">
      <c r="A274">
        <v>107.8697417020193</v>
      </c>
      <c r="B274">
        <v>85.575664218401457</v>
      </c>
      <c r="C274">
        <v>-171.38038399999999</v>
      </c>
      <c r="E274">
        <f t="shared" si="17"/>
        <v>81.758934141107389</v>
      </c>
      <c r="F274">
        <f t="shared" si="18"/>
        <v>-60.070180026521214</v>
      </c>
    </row>
    <row r="275" spans="1:6" x14ac:dyDescent="0.25">
      <c r="A275">
        <v>105.73154200298288</v>
      </c>
      <c r="B275">
        <v>89.248416204444098</v>
      </c>
      <c r="C275">
        <v>-171.38038399999999</v>
      </c>
      <c r="E275">
        <f t="shared" si="17"/>
        <v>85.504070879220393</v>
      </c>
      <c r="F275">
        <f t="shared" si="18"/>
        <v>-61.361360334391009</v>
      </c>
    </row>
    <row r="276" spans="1:6" x14ac:dyDescent="0.25">
      <c r="A276">
        <v>101.48636847417549</v>
      </c>
      <c r="B276">
        <v>93.435184469970835</v>
      </c>
      <c r="C276">
        <v>-171.38038399999999</v>
      </c>
      <c r="E276">
        <f t="shared" ref="E276:E339" si="19">($I$2*A276)+($K$2*B276)+($M$2*C276)</f>
        <v>89.836443098212612</v>
      </c>
      <c r="F276">
        <f t="shared" ref="F276:F339" si="20">($J$2*A276)+($L$2*B276)+($N$2*C276)</f>
        <v>-63.994521379937595</v>
      </c>
    </row>
    <row r="277" spans="1:6" x14ac:dyDescent="0.25">
      <c r="A277">
        <v>97.449031915850028</v>
      </c>
      <c r="B277">
        <v>97.44903191585</v>
      </c>
      <c r="C277">
        <v>-171.38038399999999</v>
      </c>
      <c r="E277">
        <f t="shared" si="19"/>
        <v>93.988746430582438</v>
      </c>
      <c r="F277">
        <f t="shared" si="20"/>
        <v>-66.49804790503913</v>
      </c>
    </row>
    <row r="278" spans="1:6" x14ac:dyDescent="0.25">
      <c r="A278">
        <v>93.43518446997075</v>
      </c>
      <c r="B278">
        <v>101.48636847417545</v>
      </c>
      <c r="C278">
        <v>-171.38038399999999</v>
      </c>
      <c r="E278">
        <f t="shared" si="19"/>
        <v>98.163704808263546</v>
      </c>
      <c r="F278">
        <f t="shared" si="20"/>
        <v>-68.985958186886918</v>
      </c>
    </row>
    <row r="279" spans="1:6" x14ac:dyDescent="0.25">
      <c r="A279">
        <v>89.248416204444126</v>
      </c>
      <c r="B279">
        <v>105.73154200298288</v>
      </c>
      <c r="C279">
        <v>-171.38038399999999</v>
      </c>
      <c r="E279">
        <f t="shared" si="19"/>
        <v>102.55240839733486</v>
      </c>
      <c r="F279">
        <f t="shared" si="20"/>
        <v>-71.580289719365226</v>
      </c>
    </row>
    <row r="280" spans="1:6" x14ac:dyDescent="0.25">
      <c r="A280">
        <v>85.575664218401513</v>
      </c>
      <c r="B280">
        <v>107.86974170201935</v>
      </c>
      <c r="C280">
        <v>-171.38038399999999</v>
      </c>
      <c r="E280">
        <f t="shared" si="19"/>
        <v>104.81748275871291</v>
      </c>
      <c r="F280">
        <f t="shared" si="20"/>
        <v>-73.891684897182984</v>
      </c>
    </row>
    <row r="281" spans="1:6" x14ac:dyDescent="0.25">
      <c r="A281">
        <v>81.80258345885666</v>
      </c>
      <c r="B281">
        <v>109.23502731825806</v>
      </c>
      <c r="C281">
        <v>-171.38038399999999</v>
      </c>
      <c r="E281">
        <f t="shared" si="19"/>
        <v>106.31361529936899</v>
      </c>
      <c r="F281">
        <f t="shared" si="20"/>
        <v>-76.284869635725613</v>
      </c>
    </row>
    <row r="282" spans="1:6" x14ac:dyDescent="0.25">
      <c r="A282">
        <v>78.06991153353016</v>
      </c>
      <c r="B282">
        <v>110.56689577162601</v>
      </c>
      <c r="C282">
        <v>-171.38038399999999</v>
      </c>
      <c r="E282">
        <f t="shared" si="19"/>
        <v>107.77494078601049</v>
      </c>
      <c r="F282">
        <f t="shared" si="20"/>
        <v>-78.65284554516515</v>
      </c>
    </row>
    <row r="283" spans="1:6" x14ac:dyDescent="0.25">
      <c r="A283">
        <v>71.742015974528087</v>
      </c>
      <c r="B283">
        <v>112.33206615547313</v>
      </c>
      <c r="C283">
        <v>-171.38038399999999</v>
      </c>
      <c r="E283">
        <f t="shared" si="19"/>
        <v>109.75987624594823</v>
      </c>
      <c r="F283">
        <f t="shared" si="20"/>
        <v>-82.678262595342545</v>
      </c>
    </row>
    <row r="284" spans="1:6" x14ac:dyDescent="0.25">
      <c r="A284">
        <v>58.12733358434653</v>
      </c>
      <c r="B284">
        <v>114.66281868547966</v>
      </c>
      <c r="C284">
        <v>-171.38038399999999</v>
      </c>
      <c r="E284">
        <f t="shared" si="19"/>
        <v>112.56435450767006</v>
      </c>
      <c r="F284">
        <f t="shared" si="20"/>
        <v>-91.371994972370715</v>
      </c>
    </row>
    <row r="285" spans="1:6" x14ac:dyDescent="0.25">
      <c r="A285">
        <v>33.232733942905625</v>
      </c>
      <c r="B285">
        <v>118.75814026086616</v>
      </c>
      <c r="C285">
        <v>-171.38038399999999</v>
      </c>
      <c r="E285">
        <f t="shared" si="19"/>
        <v>117.52599032190126</v>
      </c>
      <c r="F285">
        <f t="shared" si="20"/>
        <v>-107.27231701865158</v>
      </c>
    </row>
    <row r="286" spans="1:6" x14ac:dyDescent="0.25">
      <c r="A286">
        <v>1.5997643940551874E-14</v>
      </c>
      <c r="B286">
        <v>121.96287040149628</v>
      </c>
      <c r="C286">
        <v>-171.38038399999999</v>
      </c>
      <c r="E286">
        <f t="shared" si="19"/>
        <v>121.88857391617414</v>
      </c>
      <c r="F286">
        <f t="shared" si="20"/>
        <v>-128.54900213385656</v>
      </c>
    </row>
    <row r="287" spans="1:6" x14ac:dyDescent="0.25">
      <c r="A287">
        <v>-33.232733942905618</v>
      </c>
      <c r="B287">
        <v>118.75814026086613</v>
      </c>
      <c r="C287">
        <v>-171.38038399999999</v>
      </c>
      <c r="E287">
        <f t="shared" si="19"/>
        <v>119.84560169921228</v>
      </c>
      <c r="F287">
        <f t="shared" si="20"/>
        <v>-149.96947044122498</v>
      </c>
    </row>
    <row r="288" spans="1:6" x14ac:dyDescent="0.25">
      <c r="A288">
        <v>-58.127333584346502</v>
      </c>
      <c r="B288">
        <v>114.66281868547962</v>
      </c>
      <c r="C288">
        <v>-171.38038399999999</v>
      </c>
      <c r="E288">
        <f t="shared" si="19"/>
        <v>116.62158388117417</v>
      </c>
      <c r="F288">
        <f t="shared" si="20"/>
        <v>-166.0535328909736</v>
      </c>
    </row>
    <row r="289" spans="1:6" x14ac:dyDescent="0.25">
      <c r="A289">
        <v>-71.742015974528115</v>
      </c>
      <c r="B289">
        <v>112.33206615547316</v>
      </c>
      <c r="C289">
        <v>-171.38038399999999</v>
      </c>
      <c r="E289">
        <f t="shared" si="19"/>
        <v>114.7673967458159</v>
      </c>
      <c r="F289">
        <f t="shared" si="20"/>
        <v>-174.85183664350035</v>
      </c>
    </row>
    <row r="290" spans="1:6" x14ac:dyDescent="0.25">
      <c r="A290">
        <v>-78.069911533530103</v>
      </c>
      <c r="B290">
        <v>110.56689577162601</v>
      </c>
      <c r="C290">
        <v>-171.38038399999999</v>
      </c>
      <c r="E290">
        <f t="shared" si="19"/>
        <v>113.22414202626845</v>
      </c>
      <c r="F290">
        <f t="shared" si="20"/>
        <v>-178.95644970125539</v>
      </c>
    </row>
    <row r="291" spans="1:6" x14ac:dyDescent="0.25">
      <c r="A291">
        <v>-81.802583458856617</v>
      </c>
      <c r="B291">
        <v>109.23502731825809</v>
      </c>
      <c r="C291">
        <v>-171.38038399999999</v>
      </c>
      <c r="E291">
        <f t="shared" si="19"/>
        <v>112.02335328272589</v>
      </c>
      <c r="F291">
        <f t="shared" si="20"/>
        <v>-181.38418112500145</v>
      </c>
    </row>
    <row r="292" spans="1:6" x14ac:dyDescent="0.25">
      <c r="A292">
        <v>-85.575664218401471</v>
      </c>
      <c r="B292">
        <v>107.86974170201928</v>
      </c>
      <c r="C292">
        <v>-171.38038399999999</v>
      </c>
      <c r="E292">
        <f t="shared" si="19"/>
        <v>110.79057798112173</v>
      </c>
      <c r="F292">
        <f t="shared" si="20"/>
        <v>-183.83862066987825</v>
      </c>
    </row>
    <row r="293" spans="1:6" x14ac:dyDescent="0.25">
      <c r="A293">
        <v>-89.24841620444414</v>
      </c>
      <c r="B293">
        <v>105.73154200298288</v>
      </c>
      <c r="C293">
        <v>-171.38038399999999</v>
      </c>
      <c r="E293">
        <f t="shared" si="19"/>
        <v>108.78185801139574</v>
      </c>
      <c r="F293">
        <f t="shared" si="20"/>
        <v>-186.24594816171916</v>
      </c>
    </row>
    <row r="294" spans="1:6" x14ac:dyDescent="0.25">
      <c r="A294">
        <v>-93.435184469970807</v>
      </c>
      <c r="B294">
        <v>101.48636847417549</v>
      </c>
      <c r="C294">
        <v>-171.38038399999999</v>
      </c>
      <c r="E294">
        <f t="shared" si="19"/>
        <v>104.68538663287825</v>
      </c>
      <c r="F294">
        <f t="shared" si="20"/>
        <v>-189.0307433446375</v>
      </c>
    </row>
    <row r="295" spans="1:6" x14ac:dyDescent="0.25">
      <c r="A295">
        <v>-97.44903191585</v>
      </c>
      <c r="B295">
        <v>97.449031915850028</v>
      </c>
      <c r="C295">
        <v>-171.38038399999999</v>
      </c>
      <c r="E295">
        <f t="shared" si="19"/>
        <v>100.79059076660073</v>
      </c>
      <c r="F295">
        <f t="shared" si="20"/>
        <v>-191.69979247834496</v>
      </c>
    </row>
    <row r="296" spans="1:6" x14ac:dyDescent="0.25">
      <c r="A296">
        <v>-101.48636847417551</v>
      </c>
      <c r="B296">
        <v>93.435184469970807</v>
      </c>
      <c r="C296">
        <v>-171.38038399999999</v>
      </c>
      <c r="E296">
        <f t="shared" si="19"/>
        <v>96.920089462039186</v>
      </c>
      <c r="F296">
        <f t="shared" si="20"/>
        <v>-194.38340399447543</v>
      </c>
    </row>
    <row r="297" spans="1:6" x14ac:dyDescent="0.25">
      <c r="A297">
        <v>-105.73154200298286</v>
      </c>
      <c r="B297">
        <v>89.248416204444126</v>
      </c>
      <c r="C297">
        <v>-171.38038399999999</v>
      </c>
      <c r="E297">
        <f t="shared" si="19"/>
        <v>92.884026082187319</v>
      </c>
      <c r="F297">
        <f t="shared" si="20"/>
        <v>-197.20440828411728</v>
      </c>
    </row>
    <row r="298" spans="1:6" x14ac:dyDescent="0.25">
      <c r="A298">
        <v>-107.86974170201935</v>
      </c>
      <c r="B298">
        <v>85.575664218401513</v>
      </c>
      <c r="C298">
        <v>-171.38038399999999</v>
      </c>
      <c r="E298">
        <f t="shared" si="19"/>
        <v>89.28813353076599</v>
      </c>
      <c r="F298">
        <f t="shared" si="20"/>
        <v>-198.66037001862975</v>
      </c>
    </row>
    <row r="299" spans="1:6" x14ac:dyDescent="0.25">
      <c r="A299">
        <v>-109.23502731825806</v>
      </c>
      <c r="B299">
        <v>81.802583458856645</v>
      </c>
      <c r="C299">
        <v>-171.38038399999999</v>
      </c>
      <c r="E299">
        <f t="shared" si="19"/>
        <v>85.564999010936504</v>
      </c>
      <c r="F299">
        <f t="shared" si="20"/>
        <v>-199.62206547821231</v>
      </c>
    </row>
    <row r="300" spans="1:6" x14ac:dyDescent="0.25">
      <c r="A300">
        <v>-110.56689577162606</v>
      </c>
      <c r="B300">
        <v>78.069911533530217</v>
      </c>
      <c r="C300">
        <v>-171.38038399999999</v>
      </c>
      <c r="E300">
        <f t="shared" si="19"/>
        <v>81.881082467190041</v>
      </c>
      <c r="F300">
        <f t="shared" si="20"/>
        <v>-200.56138739474466</v>
      </c>
    </row>
    <row r="301" spans="1:6" x14ac:dyDescent="0.25">
      <c r="A301">
        <v>-112.33206615547313</v>
      </c>
      <c r="B301">
        <v>71.742015974528101</v>
      </c>
      <c r="C301">
        <v>-171.38038399999999</v>
      </c>
      <c r="E301">
        <f t="shared" si="19"/>
        <v>75.618645249178883</v>
      </c>
      <c r="F301">
        <f t="shared" si="20"/>
        <v>-201.83727931442007</v>
      </c>
    </row>
    <row r="302" spans="1:6" x14ac:dyDescent="0.25">
      <c r="A302">
        <v>-114.66281868547965</v>
      </c>
      <c r="B302">
        <v>58.12733358434653</v>
      </c>
      <c r="C302">
        <v>-171.38038399999999</v>
      </c>
      <c r="E302">
        <f t="shared" si="19"/>
        <v>62.093598645888292</v>
      </c>
      <c r="F302">
        <f t="shared" si="20"/>
        <v>-203.63996319269006</v>
      </c>
    </row>
    <row r="303" spans="1:6" x14ac:dyDescent="0.25">
      <c r="A303">
        <v>-156.3728739158438</v>
      </c>
      <c r="B303">
        <v>-4.0474280559564652E-14</v>
      </c>
      <c r="C303">
        <v>-115.080512</v>
      </c>
      <c r="E303">
        <f t="shared" si="19"/>
        <v>5.457334597586553</v>
      </c>
      <c r="F303">
        <f t="shared" si="20"/>
        <v>-188.61010182755058</v>
      </c>
    </row>
    <row r="304" spans="1:6" x14ac:dyDescent="0.25">
      <c r="A304">
        <v>-154.14960951854428</v>
      </c>
      <c r="B304">
        <v>-31.433285860465585</v>
      </c>
      <c r="C304">
        <v>-115.080512</v>
      </c>
      <c r="E304">
        <f t="shared" si="19"/>
        <v>-26.034393762934098</v>
      </c>
      <c r="F304">
        <f t="shared" si="20"/>
        <v>-187.88702735312194</v>
      </c>
    </row>
    <row r="305" spans="1:6" x14ac:dyDescent="0.25">
      <c r="A305">
        <v>-150.44888595818708</v>
      </c>
      <c r="B305">
        <v>-57.525532288481436</v>
      </c>
      <c r="C305">
        <v>-115.080512</v>
      </c>
      <c r="E305">
        <f t="shared" si="19"/>
        <v>-52.239898889106463</v>
      </c>
      <c r="F305">
        <f t="shared" si="20"/>
        <v>-186.09502361618286</v>
      </c>
    </row>
    <row r="306" spans="1:6" x14ac:dyDescent="0.25">
      <c r="A306">
        <v>-147.45317969504049</v>
      </c>
      <c r="B306">
        <v>-73.009324625566464</v>
      </c>
      <c r="C306">
        <v>-115.080512</v>
      </c>
      <c r="E306">
        <f t="shared" si="19"/>
        <v>-67.818807559110155</v>
      </c>
      <c r="F306">
        <f t="shared" si="20"/>
        <v>-184.51794113029365</v>
      </c>
    </row>
    <row r="307" spans="1:6" x14ac:dyDescent="0.25">
      <c r="A307">
        <v>-145.10181674014189</v>
      </c>
      <c r="B307">
        <v>-84.698412903399017</v>
      </c>
      <c r="C307">
        <v>-115.080512</v>
      </c>
      <c r="E307">
        <f t="shared" si="19"/>
        <v>-79.582836543883317</v>
      </c>
      <c r="F307">
        <f t="shared" si="20"/>
        <v>-183.26965577476895</v>
      </c>
    </row>
    <row r="308" spans="1:6" x14ac:dyDescent="0.25">
      <c r="A308">
        <v>-142.09182236170409</v>
      </c>
      <c r="B308">
        <v>-94.957264620343125</v>
      </c>
      <c r="C308">
        <v>-115.080512</v>
      </c>
      <c r="E308">
        <f t="shared" si="19"/>
        <v>-89.940486134431197</v>
      </c>
      <c r="F308">
        <f t="shared" si="20"/>
        <v>-181.56618375501398</v>
      </c>
    </row>
    <row r="309" spans="1:6" x14ac:dyDescent="0.25">
      <c r="A309">
        <v>-135.76908807265929</v>
      </c>
      <c r="B309">
        <v>-106.76816665279635</v>
      </c>
      <c r="C309">
        <v>-115.080512</v>
      </c>
      <c r="E309">
        <f t="shared" si="19"/>
        <v>-101.96485352895745</v>
      </c>
      <c r="F309">
        <f t="shared" si="20"/>
        <v>-177.76943782129928</v>
      </c>
    </row>
    <row r="310" spans="1:6" x14ac:dyDescent="0.25">
      <c r="A310">
        <v>-130.75889984234746</v>
      </c>
      <c r="B310">
        <v>-112.39773733284824</v>
      </c>
      <c r="C310">
        <v>-115.080512</v>
      </c>
      <c r="E310">
        <f t="shared" si="19"/>
        <v>-107.76584787427963</v>
      </c>
      <c r="F310">
        <f t="shared" si="20"/>
        <v>-174.67720069503758</v>
      </c>
    </row>
    <row r="311" spans="1:6" x14ac:dyDescent="0.25">
      <c r="A311">
        <v>-126.16415615227848</v>
      </c>
      <c r="B311">
        <v>-117.21514907465966</v>
      </c>
      <c r="C311">
        <v>-115.080512</v>
      </c>
      <c r="E311">
        <f t="shared" si="19"/>
        <v>-112.74067922128046</v>
      </c>
      <c r="F311">
        <f t="shared" si="20"/>
        <v>-171.83362436434106</v>
      </c>
    </row>
    <row r="312" spans="1:6" x14ac:dyDescent="0.25">
      <c r="A312">
        <v>-121.7222890222011</v>
      </c>
      <c r="B312">
        <v>-121.72228902220112</v>
      </c>
      <c r="C312">
        <v>-115.080512</v>
      </c>
      <c r="E312">
        <f t="shared" si="19"/>
        <v>-117.40009246820381</v>
      </c>
      <c r="F312">
        <f t="shared" si="20"/>
        <v>-169.08129501450961</v>
      </c>
    </row>
    <row r="313" spans="1:6" x14ac:dyDescent="0.25">
      <c r="A313">
        <v>-117.21514907465966</v>
      </c>
      <c r="B313">
        <v>-126.16415615227851</v>
      </c>
      <c r="C313">
        <v>-115.080512</v>
      </c>
      <c r="E313">
        <f t="shared" si="19"/>
        <v>-121.99655064857772</v>
      </c>
      <c r="F313">
        <f t="shared" si="20"/>
        <v>-166.28557040239605</v>
      </c>
    </row>
    <row r="314" spans="1:6" x14ac:dyDescent="0.25">
      <c r="A314">
        <v>-112.39773733284824</v>
      </c>
      <c r="B314">
        <v>-130.75889984234749</v>
      </c>
      <c r="C314">
        <v>-115.080512</v>
      </c>
      <c r="E314">
        <f t="shared" si="19"/>
        <v>-126.75662059013446</v>
      </c>
      <c r="F314">
        <f t="shared" si="20"/>
        <v>-163.29395789243503</v>
      </c>
    </row>
    <row r="315" spans="1:6" x14ac:dyDescent="0.25">
      <c r="A315">
        <v>-106.7681666527964</v>
      </c>
      <c r="B315">
        <v>-135.76908807265923</v>
      </c>
      <c r="C315">
        <v>-115.080512</v>
      </c>
      <c r="E315">
        <f t="shared" si="19"/>
        <v>-131.96022593253201</v>
      </c>
      <c r="F315">
        <f t="shared" si="20"/>
        <v>-159.78993734845585</v>
      </c>
    </row>
    <row r="316" spans="1:6" x14ac:dyDescent="0.25">
      <c r="A316">
        <v>-94.957264620343111</v>
      </c>
      <c r="B316">
        <v>-142.09182236170412</v>
      </c>
      <c r="C316">
        <v>-115.080512</v>
      </c>
      <c r="E316">
        <f t="shared" si="19"/>
        <v>-138.69130311921774</v>
      </c>
      <c r="F316">
        <f t="shared" si="20"/>
        <v>-152.34449831512865</v>
      </c>
    </row>
    <row r="317" spans="1:6" x14ac:dyDescent="0.25">
      <c r="A317">
        <v>-84.698412903399031</v>
      </c>
      <c r="B317">
        <v>-145.101816740142</v>
      </c>
      <c r="C317">
        <v>-115.080512</v>
      </c>
      <c r="E317">
        <f t="shared" si="19"/>
        <v>-142.05749265207453</v>
      </c>
      <c r="F317">
        <f t="shared" si="20"/>
        <v>-145.82177568430228</v>
      </c>
    </row>
    <row r="318" spans="1:6" x14ac:dyDescent="0.25">
      <c r="A318">
        <v>-73.009324625566464</v>
      </c>
      <c r="B318">
        <v>-147.4531796950406</v>
      </c>
      <c r="C318">
        <v>-115.080512</v>
      </c>
      <c r="E318">
        <f t="shared" si="19"/>
        <v>-144.81536651800019</v>
      </c>
      <c r="F318">
        <f t="shared" si="20"/>
        <v>-138.36549969423723</v>
      </c>
    </row>
    <row r="319" spans="1:6" x14ac:dyDescent="0.25">
      <c r="A319">
        <v>-57.525532288481436</v>
      </c>
      <c r="B319">
        <v>-150.44888595818708</v>
      </c>
      <c r="C319">
        <v>-115.080512</v>
      </c>
      <c r="E319">
        <f t="shared" si="19"/>
        <v>-148.34962443744271</v>
      </c>
      <c r="F319">
        <f t="shared" si="20"/>
        <v>-128.48597537061957</v>
      </c>
    </row>
    <row r="320" spans="1:6" x14ac:dyDescent="0.25">
      <c r="A320">
        <v>-31.433285860465595</v>
      </c>
      <c r="B320">
        <v>-154.14960951854428</v>
      </c>
      <c r="C320">
        <v>-115.080512</v>
      </c>
      <c r="E320">
        <f t="shared" si="19"/>
        <v>-152.95869988517256</v>
      </c>
      <c r="F320">
        <f t="shared" si="20"/>
        <v>-111.80743776722437</v>
      </c>
    </row>
    <row r="321" spans="1:6" x14ac:dyDescent="0.25">
      <c r="A321">
        <v>9.5789992433808281E-15</v>
      </c>
      <c r="B321">
        <v>-156.37287391584388</v>
      </c>
      <c r="C321">
        <v>-115.080512</v>
      </c>
      <c r="E321">
        <f t="shared" si="19"/>
        <v>-156.27761578610802</v>
      </c>
      <c r="F321">
        <f t="shared" si="20"/>
        <v>-91.664693790129206</v>
      </c>
    </row>
    <row r="322" spans="1:6" x14ac:dyDescent="0.25">
      <c r="A322">
        <v>31.433285860465556</v>
      </c>
      <c r="B322">
        <v>-154.14960951854425</v>
      </c>
      <c r="C322">
        <v>-115.080512</v>
      </c>
      <c r="E322">
        <f t="shared" si="19"/>
        <v>-155.1527115976447</v>
      </c>
      <c r="F322">
        <f t="shared" si="20"/>
        <v>-71.422200992372325</v>
      </c>
    </row>
    <row r="323" spans="1:6" x14ac:dyDescent="0.25">
      <c r="A323">
        <v>57.525532288481486</v>
      </c>
      <c r="B323">
        <v>-150.44888595818722</v>
      </c>
      <c r="C323">
        <v>-115.080512</v>
      </c>
      <c r="E323">
        <f t="shared" si="19"/>
        <v>-152.36484868626582</v>
      </c>
      <c r="F323">
        <f t="shared" si="20"/>
        <v>-54.577626991691588</v>
      </c>
    </row>
    <row r="324" spans="1:6" x14ac:dyDescent="0.25">
      <c r="A324">
        <v>73.009324625566464</v>
      </c>
      <c r="B324">
        <v>-147.45317969504055</v>
      </c>
      <c r="C324">
        <v>-115.080512</v>
      </c>
      <c r="E324">
        <f t="shared" si="19"/>
        <v>-149.91134388604371</v>
      </c>
      <c r="F324">
        <f t="shared" si="20"/>
        <v>-44.563697526175048</v>
      </c>
    </row>
    <row r="325" spans="1:6" x14ac:dyDescent="0.25">
      <c r="A325">
        <v>84.698412903399003</v>
      </c>
      <c r="B325">
        <v>-145.10181674014189</v>
      </c>
      <c r="C325">
        <v>-115.080512</v>
      </c>
      <c r="E325">
        <f t="shared" si="19"/>
        <v>-147.96935661573292</v>
      </c>
      <c r="F325">
        <f t="shared" si="20"/>
        <v>-37.001925454769548</v>
      </c>
    </row>
    <row r="326" spans="1:6" x14ac:dyDescent="0.25">
      <c r="A326">
        <v>94.957264620343096</v>
      </c>
      <c r="B326">
        <v>-142.09182236170409</v>
      </c>
      <c r="C326">
        <v>-115.080512</v>
      </c>
      <c r="E326">
        <f t="shared" si="19"/>
        <v>-145.31922460621007</v>
      </c>
      <c r="F326">
        <f t="shared" si="20"/>
        <v>-30.344156632490524</v>
      </c>
    </row>
    <row r="327" spans="1:6" x14ac:dyDescent="0.25">
      <c r="A327">
        <v>106.76816665279635</v>
      </c>
      <c r="B327">
        <v>-135.76908807265926</v>
      </c>
      <c r="C327">
        <v>-115.080512</v>
      </c>
      <c r="E327">
        <f t="shared" si="19"/>
        <v>-139.41253649259474</v>
      </c>
      <c r="F327">
        <f t="shared" si="20"/>
        <v>-22.615042256970213</v>
      </c>
    </row>
    <row r="328" spans="1:6" x14ac:dyDescent="0.25">
      <c r="A328">
        <v>112.39773733284825</v>
      </c>
      <c r="B328">
        <v>-130.75889984234755</v>
      </c>
      <c r="C328">
        <v>-115.080512</v>
      </c>
      <c r="E328">
        <f t="shared" si="19"/>
        <v>-134.60186951696716</v>
      </c>
      <c r="F328">
        <f t="shared" si="20"/>
        <v>-18.886234967935422</v>
      </c>
    </row>
    <row r="329" spans="1:6" x14ac:dyDescent="0.25">
      <c r="A329">
        <v>117.21514907465964</v>
      </c>
      <c r="B329">
        <v>-126.16415615227851</v>
      </c>
      <c r="C329">
        <v>-115.080512</v>
      </c>
      <c r="E329">
        <f t="shared" si="19"/>
        <v>-130.17805006580622</v>
      </c>
      <c r="F329">
        <f t="shared" si="20"/>
        <v>-15.688475017803114</v>
      </c>
    </row>
    <row r="330" spans="1:6" x14ac:dyDescent="0.25">
      <c r="A330">
        <v>121.72228902220112</v>
      </c>
      <c r="B330">
        <v>-121.7222890222011</v>
      </c>
      <c r="C330">
        <v>-115.080512</v>
      </c>
      <c r="E330">
        <f t="shared" si="19"/>
        <v>-125.89618571690616</v>
      </c>
      <c r="F330">
        <f t="shared" si="20"/>
        <v>-12.693461914271452</v>
      </c>
    </row>
    <row r="331" spans="1:6" x14ac:dyDescent="0.25">
      <c r="A331">
        <v>126.16415615227855</v>
      </c>
      <c r="B331">
        <v>-117.21514907465968</v>
      </c>
      <c r="C331">
        <v>-115.080512</v>
      </c>
      <c r="E331">
        <f t="shared" si="19"/>
        <v>-121.54681032450102</v>
      </c>
      <c r="F331">
        <f t="shared" si="20"/>
        <v>-9.7389155474847371</v>
      </c>
    </row>
    <row r="332" spans="1:6" x14ac:dyDescent="0.25">
      <c r="A332">
        <v>130.75889984234749</v>
      </c>
      <c r="B332">
        <v>-112.39773733284825</v>
      </c>
      <c r="C332">
        <v>-115.080512</v>
      </c>
      <c r="E332">
        <f t="shared" si="19"/>
        <v>-116.892687462021</v>
      </c>
      <c r="F332">
        <f t="shared" si="20"/>
        <v>-6.6792015678107504</v>
      </c>
    </row>
    <row r="333" spans="1:6" x14ac:dyDescent="0.25">
      <c r="A333">
        <v>135.76908807265932</v>
      </c>
      <c r="B333">
        <v>-106.76816665279635</v>
      </c>
      <c r="C333">
        <v>-115.080512</v>
      </c>
      <c r="E333">
        <f t="shared" si="19"/>
        <v>-111.44139921194416</v>
      </c>
      <c r="F333">
        <f t="shared" si="20"/>
        <v>-3.3343885280188772</v>
      </c>
    </row>
    <row r="334" spans="1:6" x14ac:dyDescent="0.25">
      <c r="A334">
        <v>142.09182236170409</v>
      </c>
      <c r="B334">
        <v>-94.957264620343096</v>
      </c>
      <c r="C334">
        <v>-115.080512</v>
      </c>
      <c r="E334">
        <f t="shared" si="19"/>
        <v>-99.858352306360487</v>
      </c>
      <c r="F334">
        <f t="shared" si="20"/>
        <v>0.99226448742636819</v>
      </c>
    </row>
    <row r="335" spans="1:6" x14ac:dyDescent="0.25">
      <c r="A335">
        <v>145.10181674014189</v>
      </c>
      <c r="B335">
        <v>-84.698412903398989</v>
      </c>
      <c r="C335">
        <v>-115.080512</v>
      </c>
      <c r="E335">
        <f t="shared" si="19"/>
        <v>-89.710797293582274</v>
      </c>
      <c r="F335">
        <f t="shared" si="20"/>
        <v>3.1560094110031969</v>
      </c>
    </row>
    <row r="336" spans="1:6" x14ac:dyDescent="0.25">
      <c r="A336">
        <v>147.45317969504049</v>
      </c>
      <c r="B336">
        <v>-73.009324625566435</v>
      </c>
      <c r="C336">
        <v>-115.080512</v>
      </c>
      <c r="E336">
        <f t="shared" si="19"/>
        <v>-78.110891076190853</v>
      </c>
      <c r="F336">
        <f t="shared" si="20"/>
        <v>4.9287365610985177</v>
      </c>
    </row>
    <row r="337" spans="1:6" x14ac:dyDescent="0.25">
      <c r="A337">
        <v>150.44888595818713</v>
      </c>
      <c r="B337">
        <v>-57.525532288481521</v>
      </c>
      <c r="C337">
        <v>-115.080512</v>
      </c>
      <c r="E337">
        <f t="shared" si="19"/>
        <v>-62.741079687891968</v>
      </c>
      <c r="F337">
        <f t="shared" si="20"/>
        <v>7.2005137611528198</v>
      </c>
    </row>
    <row r="338" spans="1:6" x14ac:dyDescent="0.25">
      <c r="A338">
        <v>154.14960951854428</v>
      </c>
      <c r="B338">
        <v>-31.433285860465556</v>
      </c>
      <c r="C338">
        <v>-115.080512</v>
      </c>
      <c r="E338">
        <f t="shared" si="19"/>
        <v>-36.793881341102598</v>
      </c>
      <c r="F338">
        <f t="shared" si="20"/>
        <v>10.16317035106394</v>
      </c>
    </row>
    <row r="339" spans="1:6" x14ac:dyDescent="0.25">
      <c r="A339">
        <v>156.37287391584388</v>
      </c>
      <c r="B339">
        <v>0</v>
      </c>
      <c r="C339">
        <v>-115.080512</v>
      </c>
      <c r="E339">
        <f t="shared" si="19"/>
        <v>-5.457334597586625</v>
      </c>
      <c r="F339">
        <f t="shared" si="20"/>
        <v>12.29652836977688</v>
      </c>
    </row>
    <row r="340" spans="1:6" x14ac:dyDescent="0.25">
      <c r="A340">
        <v>154.14960951854428</v>
      </c>
      <c r="B340">
        <v>31.433285860465553</v>
      </c>
      <c r="C340">
        <v>-115.080512</v>
      </c>
      <c r="E340">
        <f t="shared" ref="E340:E403" si="21">($I$2*A340)+($K$2*B340)+($M$2*C340)</f>
        <v>26.034393762934037</v>
      </c>
      <c r="F340">
        <f t="shared" ref="F340:F403" si="22">($J$2*A340)+($L$2*B340)+($N$2*C340)</f>
        <v>11.573453895348194</v>
      </c>
    </row>
    <row r="341" spans="1:6" x14ac:dyDescent="0.25">
      <c r="A341">
        <v>150.44888595818722</v>
      </c>
      <c r="B341">
        <v>57.525532288481436</v>
      </c>
      <c r="C341">
        <v>-115.080512</v>
      </c>
      <c r="E341">
        <f t="shared" si="21"/>
        <v>52.239898889106435</v>
      </c>
      <c r="F341">
        <f t="shared" si="22"/>
        <v>9.7814501584091857</v>
      </c>
    </row>
    <row r="342" spans="1:6" x14ac:dyDescent="0.25">
      <c r="A342">
        <v>147.45317969504049</v>
      </c>
      <c r="B342">
        <v>73.00932462556645</v>
      </c>
      <c r="C342">
        <v>-115.080512</v>
      </c>
      <c r="E342">
        <f t="shared" si="21"/>
        <v>67.818807559110112</v>
      </c>
      <c r="F342">
        <f t="shared" si="22"/>
        <v>8.2043676725199219</v>
      </c>
    </row>
    <row r="343" spans="1:6" x14ac:dyDescent="0.25">
      <c r="A343">
        <v>145.10181674014189</v>
      </c>
      <c r="B343">
        <v>84.698412903399003</v>
      </c>
      <c r="C343">
        <v>-115.080512</v>
      </c>
      <c r="E343">
        <f t="shared" si="21"/>
        <v>79.582836543883275</v>
      </c>
      <c r="F343">
        <f t="shared" si="22"/>
        <v>6.9560823169952073</v>
      </c>
    </row>
    <row r="344" spans="1:6" x14ac:dyDescent="0.25">
      <c r="A344">
        <v>142.09182236170409</v>
      </c>
      <c r="B344">
        <v>94.957264620343096</v>
      </c>
      <c r="C344">
        <v>-115.080512</v>
      </c>
      <c r="E344">
        <f t="shared" si="21"/>
        <v>89.94048613443114</v>
      </c>
      <c r="F344">
        <f t="shared" si="22"/>
        <v>5.2526102972402242</v>
      </c>
    </row>
    <row r="345" spans="1:6" x14ac:dyDescent="0.25">
      <c r="A345">
        <v>135.76908807265932</v>
      </c>
      <c r="B345">
        <v>106.76816665279635</v>
      </c>
      <c r="C345">
        <v>-115.080512</v>
      </c>
      <c r="E345">
        <f t="shared" si="21"/>
        <v>101.96485352895742</v>
      </c>
      <c r="F345">
        <f t="shared" si="22"/>
        <v>1.4558643635255635</v>
      </c>
    </row>
    <row r="346" spans="1:6" x14ac:dyDescent="0.25">
      <c r="A346">
        <v>130.75889984234749</v>
      </c>
      <c r="B346">
        <v>112.39773733284818</v>
      </c>
      <c r="C346">
        <v>-115.080512</v>
      </c>
      <c r="E346">
        <f t="shared" si="21"/>
        <v>107.76584787427954</v>
      </c>
      <c r="F346">
        <f t="shared" si="22"/>
        <v>-1.6363727627361442</v>
      </c>
    </row>
    <row r="347" spans="1:6" x14ac:dyDescent="0.25">
      <c r="A347">
        <v>126.16415615227851</v>
      </c>
      <c r="B347">
        <v>117.21514907465964</v>
      </c>
      <c r="C347">
        <v>-115.080512</v>
      </c>
      <c r="E347">
        <f t="shared" si="21"/>
        <v>112.74067922128039</v>
      </c>
      <c r="F347">
        <f t="shared" si="22"/>
        <v>-4.4799490934326514</v>
      </c>
    </row>
    <row r="348" spans="1:6" x14ac:dyDescent="0.25">
      <c r="A348">
        <v>121.72228902220112</v>
      </c>
      <c r="B348">
        <v>121.7222890222011</v>
      </c>
      <c r="C348">
        <v>-115.080512</v>
      </c>
      <c r="E348">
        <f t="shared" si="21"/>
        <v>117.40009246820375</v>
      </c>
      <c r="F348">
        <f t="shared" si="22"/>
        <v>-7.2322784432641214</v>
      </c>
    </row>
    <row r="349" spans="1:6" x14ac:dyDescent="0.25">
      <c r="A349">
        <v>117.21514907465964</v>
      </c>
      <c r="B349">
        <v>126.16415615227851</v>
      </c>
      <c r="C349">
        <v>-115.080512</v>
      </c>
      <c r="E349">
        <f t="shared" si="21"/>
        <v>121.9965506485777</v>
      </c>
      <c r="F349">
        <f t="shared" si="22"/>
        <v>-10.028003055377724</v>
      </c>
    </row>
    <row r="350" spans="1:6" x14ac:dyDescent="0.25">
      <c r="A350">
        <v>112.39773733284825</v>
      </c>
      <c r="B350">
        <v>130.75889984234749</v>
      </c>
      <c r="C350">
        <v>-115.080512</v>
      </c>
      <c r="E350">
        <f t="shared" si="21"/>
        <v>126.75662059013443</v>
      </c>
      <c r="F350">
        <f t="shared" si="22"/>
        <v>-13.019615565338711</v>
      </c>
    </row>
    <row r="351" spans="1:6" x14ac:dyDescent="0.25">
      <c r="A351">
        <v>106.7681666527964</v>
      </c>
      <c r="B351">
        <v>135.76908807265923</v>
      </c>
      <c r="C351">
        <v>-115.080512</v>
      </c>
      <c r="E351">
        <f t="shared" si="21"/>
        <v>131.96022593253201</v>
      </c>
      <c r="F351">
        <f t="shared" si="22"/>
        <v>-16.523636109317891</v>
      </c>
    </row>
    <row r="352" spans="1:6" x14ac:dyDescent="0.25">
      <c r="A352">
        <v>94.95726462034321</v>
      </c>
      <c r="B352">
        <v>142.09182236170417</v>
      </c>
      <c r="C352">
        <v>-115.080512</v>
      </c>
      <c r="E352">
        <f t="shared" si="21"/>
        <v>138.69130311921779</v>
      </c>
      <c r="F352">
        <f t="shared" si="22"/>
        <v>-23.969075142645039</v>
      </c>
    </row>
    <row r="353" spans="1:6" x14ac:dyDescent="0.25">
      <c r="A353">
        <v>84.698412903399074</v>
      </c>
      <c r="B353">
        <v>145.10181674014197</v>
      </c>
      <c r="C353">
        <v>-115.080512</v>
      </c>
      <c r="E353">
        <f t="shared" si="21"/>
        <v>142.0574926520745</v>
      </c>
      <c r="F353">
        <f t="shared" si="22"/>
        <v>-30.491797773471419</v>
      </c>
    </row>
    <row r="354" spans="1:6" x14ac:dyDescent="0.25">
      <c r="A354">
        <v>73.009324625566407</v>
      </c>
      <c r="B354">
        <v>147.45317969504055</v>
      </c>
      <c r="C354">
        <v>-115.080512</v>
      </c>
      <c r="E354">
        <f t="shared" si="21"/>
        <v>144.81536651800013</v>
      </c>
      <c r="F354">
        <f t="shared" si="22"/>
        <v>-37.948073763536549</v>
      </c>
    </row>
    <row r="355" spans="1:6" x14ac:dyDescent="0.25">
      <c r="A355">
        <v>57.52553228848145</v>
      </c>
      <c r="B355">
        <v>150.44888595818722</v>
      </c>
      <c r="C355">
        <v>-115.080512</v>
      </c>
      <c r="E355">
        <f t="shared" si="21"/>
        <v>148.34962443744286</v>
      </c>
      <c r="F355">
        <f t="shared" si="22"/>
        <v>-47.827598087154172</v>
      </c>
    </row>
    <row r="356" spans="1:6" x14ac:dyDescent="0.25">
      <c r="A356">
        <v>31.433285860465563</v>
      </c>
      <c r="B356">
        <v>154.14960951854428</v>
      </c>
      <c r="C356">
        <v>-115.080512</v>
      </c>
      <c r="E356">
        <f t="shared" si="21"/>
        <v>152.95869988517256</v>
      </c>
      <c r="F356">
        <f t="shared" si="22"/>
        <v>-64.506135690549385</v>
      </c>
    </row>
    <row r="357" spans="1:6" x14ac:dyDescent="0.25">
      <c r="A357">
        <v>9.5789992433808281E-15</v>
      </c>
      <c r="B357">
        <v>156.37287391584388</v>
      </c>
      <c r="C357">
        <v>-115.080512</v>
      </c>
      <c r="E357">
        <f t="shared" si="21"/>
        <v>156.27761578610802</v>
      </c>
      <c r="F357">
        <f t="shared" si="22"/>
        <v>-84.648879667644536</v>
      </c>
    </row>
    <row r="358" spans="1:6" x14ac:dyDescent="0.25">
      <c r="A358">
        <v>-31.433285860465531</v>
      </c>
      <c r="B358">
        <v>154.14960951854425</v>
      </c>
      <c r="C358">
        <v>-115.080512</v>
      </c>
      <c r="E358">
        <f t="shared" si="21"/>
        <v>155.1527115976447</v>
      </c>
      <c r="F358">
        <f t="shared" si="22"/>
        <v>-104.8913724654014</v>
      </c>
    </row>
    <row r="359" spans="1:6" x14ac:dyDescent="0.25">
      <c r="A359">
        <v>-57.525532288481436</v>
      </c>
      <c r="B359">
        <v>150.44888595818722</v>
      </c>
      <c r="C359">
        <v>-115.080512</v>
      </c>
      <c r="E359">
        <f t="shared" si="21"/>
        <v>152.36484868626582</v>
      </c>
      <c r="F359">
        <f t="shared" si="22"/>
        <v>-121.73594646608211</v>
      </c>
    </row>
    <row r="360" spans="1:6" x14ac:dyDescent="0.25">
      <c r="A360">
        <v>-73.009324625566407</v>
      </c>
      <c r="B360">
        <v>147.4531796950406</v>
      </c>
      <c r="C360">
        <v>-115.080512</v>
      </c>
      <c r="E360">
        <f t="shared" si="21"/>
        <v>149.91134388604377</v>
      </c>
      <c r="F360">
        <f t="shared" si="22"/>
        <v>-131.74987593159867</v>
      </c>
    </row>
    <row r="361" spans="1:6" x14ac:dyDescent="0.25">
      <c r="A361">
        <v>-84.698412903398918</v>
      </c>
      <c r="B361">
        <v>145.10181674014186</v>
      </c>
      <c r="C361">
        <v>-115.080512</v>
      </c>
      <c r="E361">
        <f t="shared" si="21"/>
        <v>147.96935661573289</v>
      </c>
      <c r="F361">
        <f t="shared" si="22"/>
        <v>-139.31164800300414</v>
      </c>
    </row>
    <row r="362" spans="1:6" x14ac:dyDescent="0.25">
      <c r="A362">
        <v>-94.957264620343025</v>
      </c>
      <c r="B362">
        <v>142.09182236170409</v>
      </c>
      <c r="C362">
        <v>-115.080512</v>
      </c>
      <c r="E362">
        <f t="shared" si="21"/>
        <v>145.31922460621007</v>
      </c>
      <c r="F362">
        <f t="shared" si="22"/>
        <v>-145.96941682528319</v>
      </c>
    </row>
    <row r="363" spans="1:6" x14ac:dyDescent="0.25">
      <c r="A363">
        <v>-106.76816665279645</v>
      </c>
      <c r="B363">
        <v>135.76908807265929</v>
      </c>
      <c r="C363">
        <v>-115.080512</v>
      </c>
      <c r="E363">
        <f t="shared" si="21"/>
        <v>139.41253649259477</v>
      </c>
      <c r="F363">
        <f t="shared" si="22"/>
        <v>-153.69853120080359</v>
      </c>
    </row>
    <row r="364" spans="1:6" x14ac:dyDescent="0.25">
      <c r="A364">
        <v>-112.39773733284824</v>
      </c>
      <c r="B364">
        <v>130.75889984234749</v>
      </c>
      <c r="C364">
        <v>-115.080512</v>
      </c>
      <c r="E364">
        <f t="shared" si="21"/>
        <v>134.6018695169671</v>
      </c>
      <c r="F364">
        <f t="shared" si="22"/>
        <v>-157.42733848983832</v>
      </c>
    </row>
    <row r="365" spans="1:6" x14ac:dyDescent="0.25">
      <c r="A365">
        <v>-117.21514907465964</v>
      </c>
      <c r="B365">
        <v>126.16415615227851</v>
      </c>
      <c r="C365">
        <v>-115.080512</v>
      </c>
      <c r="E365">
        <f t="shared" si="21"/>
        <v>130.17805006580622</v>
      </c>
      <c r="F365">
        <f t="shared" si="22"/>
        <v>-160.62509843997063</v>
      </c>
    </row>
    <row r="366" spans="1:6" x14ac:dyDescent="0.25">
      <c r="A366">
        <v>-121.7222890222011</v>
      </c>
      <c r="B366">
        <v>121.72228902220112</v>
      </c>
      <c r="C366">
        <v>-115.080512</v>
      </c>
      <c r="E366">
        <f t="shared" si="21"/>
        <v>125.89618571690616</v>
      </c>
      <c r="F366">
        <f t="shared" si="22"/>
        <v>-163.62011154350228</v>
      </c>
    </row>
    <row r="367" spans="1:6" x14ac:dyDescent="0.25">
      <c r="A367">
        <v>-126.16415615227851</v>
      </c>
      <c r="B367">
        <v>117.21514907465964</v>
      </c>
      <c r="C367">
        <v>-115.080512</v>
      </c>
      <c r="E367">
        <f t="shared" si="21"/>
        <v>121.54681032450095</v>
      </c>
      <c r="F367">
        <f t="shared" si="22"/>
        <v>-166.57465791028898</v>
      </c>
    </row>
    <row r="368" spans="1:6" x14ac:dyDescent="0.25">
      <c r="A368">
        <v>-130.75889984234746</v>
      </c>
      <c r="B368">
        <v>112.39773733284824</v>
      </c>
      <c r="C368">
        <v>-115.080512</v>
      </c>
      <c r="E368">
        <f t="shared" si="21"/>
        <v>116.89268746202096</v>
      </c>
      <c r="F368">
        <f t="shared" si="22"/>
        <v>-169.63437188996298</v>
      </c>
    </row>
    <row r="369" spans="1:6" x14ac:dyDescent="0.25">
      <c r="A369">
        <v>-135.76908807265923</v>
      </c>
      <c r="B369">
        <v>106.76816665279641</v>
      </c>
      <c r="C369">
        <v>-115.080512</v>
      </c>
      <c r="E369">
        <f t="shared" si="21"/>
        <v>111.44139921194419</v>
      </c>
      <c r="F369">
        <f t="shared" si="22"/>
        <v>-172.97918492975481</v>
      </c>
    </row>
    <row r="370" spans="1:6" x14ac:dyDescent="0.25">
      <c r="A370">
        <v>-142.09182236170409</v>
      </c>
      <c r="B370">
        <v>94.95726462034321</v>
      </c>
      <c r="C370">
        <v>-115.080512</v>
      </c>
      <c r="E370">
        <f t="shared" si="21"/>
        <v>99.858352306360572</v>
      </c>
      <c r="F370">
        <f t="shared" si="22"/>
        <v>-177.3058379452001</v>
      </c>
    </row>
    <row r="371" spans="1:6" x14ac:dyDescent="0.25">
      <c r="A371">
        <v>-145.10181674014197</v>
      </c>
      <c r="B371">
        <v>84.698412903399074</v>
      </c>
      <c r="C371">
        <v>-115.080512</v>
      </c>
      <c r="E371">
        <f t="shared" si="21"/>
        <v>89.710797293582345</v>
      </c>
      <c r="F371">
        <f t="shared" si="22"/>
        <v>-179.469582868777</v>
      </c>
    </row>
    <row r="372" spans="1:6" x14ac:dyDescent="0.25">
      <c r="A372">
        <v>-147.45317969504055</v>
      </c>
      <c r="B372">
        <v>73.009324625566407</v>
      </c>
      <c r="C372">
        <v>-115.080512</v>
      </c>
      <c r="E372">
        <f t="shared" si="21"/>
        <v>78.110891076190796</v>
      </c>
      <c r="F372">
        <f t="shared" si="22"/>
        <v>-181.24231001887227</v>
      </c>
    </row>
    <row r="373" spans="1:6" x14ac:dyDescent="0.25">
      <c r="A373">
        <v>-150.44888595818708</v>
      </c>
      <c r="B373">
        <v>57.525532288481436</v>
      </c>
      <c r="C373">
        <v>-115.080512</v>
      </c>
      <c r="E373">
        <f t="shared" si="21"/>
        <v>62.741079687891862</v>
      </c>
      <c r="F373">
        <f t="shared" si="22"/>
        <v>-183.51408721892653</v>
      </c>
    </row>
    <row r="374" spans="1:6" x14ac:dyDescent="0.25">
      <c r="A374">
        <v>-190.63547535334379</v>
      </c>
      <c r="B374">
        <v>-3.6145445051673749E-14</v>
      </c>
      <c r="C374">
        <v>-58.780639999999991</v>
      </c>
      <c r="E374">
        <f t="shared" si="21"/>
        <v>6.6530821434737044</v>
      </c>
      <c r="F374">
        <f t="shared" si="22"/>
        <v>-167.4920572460471</v>
      </c>
    </row>
    <row r="375" spans="1:6" x14ac:dyDescent="0.25">
      <c r="A375">
        <v>-189.16743068542559</v>
      </c>
      <c r="B375">
        <v>-29.845733013006338</v>
      </c>
      <c r="C375">
        <v>-58.780639999999991</v>
      </c>
      <c r="E375">
        <f t="shared" si="21"/>
        <v>-23.225703675432932</v>
      </c>
      <c r="F375">
        <f t="shared" si="22"/>
        <v>-167.21851941976118</v>
      </c>
    </row>
    <row r="376" spans="1:6" x14ac:dyDescent="0.25">
      <c r="A376">
        <v>-186.28051412476827</v>
      </c>
      <c r="B376">
        <v>-53.56151610504665</v>
      </c>
      <c r="C376">
        <v>-58.780639999999991</v>
      </c>
      <c r="E376">
        <f t="shared" si="21"/>
        <v>-47.027791688181637</v>
      </c>
      <c r="F376">
        <f t="shared" si="22"/>
        <v>-165.89599096082205</v>
      </c>
    </row>
    <row r="377" spans="1:6" x14ac:dyDescent="0.25">
      <c r="A377">
        <v>-182.22700640035973</v>
      </c>
      <c r="B377">
        <v>-75.011732280929976</v>
      </c>
      <c r="C377">
        <v>-58.780639999999991</v>
      </c>
      <c r="E377">
        <f t="shared" si="21"/>
        <v>-68.606406351397638</v>
      </c>
      <c r="F377">
        <f t="shared" si="22"/>
        <v>-163.77322557579137</v>
      </c>
    </row>
    <row r="378" spans="1:6" x14ac:dyDescent="0.25">
      <c r="A378">
        <v>-177.17963777655783</v>
      </c>
      <c r="B378">
        <v>-90.862411715546429</v>
      </c>
      <c r="C378">
        <v>-58.780639999999991</v>
      </c>
      <c r="E378">
        <f t="shared" si="21"/>
        <v>-84.623580605016215</v>
      </c>
      <c r="F378">
        <f t="shared" si="22"/>
        <v>-160.88639367734683</v>
      </c>
    </row>
    <row r="379" spans="1:6" x14ac:dyDescent="0.25">
      <c r="A379">
        <v>-169.33614108084601</v>
      </c>
      <c r="B379">
        <v>-105.91187549578348</v>
      </c>
      <c r="C379">
        <v>-58.780639999999991</v>
      </c>
      <c r="E379">
        <f t="shared" si="21"/>
        <v>-99.937610745609319</v>
      </c>
      <c r="F379">
        <f t="shared" si="22"/>
        <v>-156.18536653383674</v>
      </c>
    </row>
    <row r="380" spans="1:6" x14ac:dyDescent="0.25">
      <c r="A380">
        <v>-162.67110196321295</v>
      </c>
      <c r="B380">
        <v>-118.41653877221407</v>
      </c>
      <c r="C380">
        <v>-58.780639999999991</v>
      </c>
      <c r="E380">
        <f t="shared" si="21"/>
        <v>-112.66726302974448</v>
      </c>
      <c r="F380">
        <f t="shared" si="22"/>
        <v>-152.18428845453138</v>
      </c>
    </row>
    <row r="381" spans="1:6" x14ac:dyDescent="0.25">
      <c r="A381">
        <v>-156.60245298246534</v>
      </c>
      <c r="B381">
        <v>-129.62948021318928</v>
      </c>
      <c r="C381">
        <v>-58.780639999999991</v>
      </c>
      <c r="E381">
        <f t="shared" si="21"/>
        <v>-124.08516664484965</v>
      </c>
      <c r="F381">
        <f t="shared" si="22"/>
        <v>-148.53735188844229</v>
      </c>
    </row>
    <row r="382" spans="1:6" x14ac:dyDescent="0.25">
      <c r="A382">
        <v>-150.7436515994703</v>
      </c>
      <c r="B382">
        <v>-140.25074086199734</v>
      </c>
      <c r="C382">
        <v>-58.780639999999991</v>
      </c>
      <c r="E382">
        <f t="shared" si="21"/>
        <v>-134.90442632819372</v>
      </c>
      <c r="F382">
        <f t="shared" si="22"/>
        <v>-145.01194743438126</v>
      </c>
    </row>
    <row r="383" spans="1:6" x14ac:dyDescent="0.25">
      <c r="A383">
        <v>-145.5929287906726</v>
      </c>
      <c r="B383">
        <v>-145.59292879067263</v>
      </c>
      <c r="C383">
        <v>-58.780639999999991</v>
      </c>
      <c r="E383">
        <f t="shared" si="21"/>
        <v>-140.42311757400509</v>
      </c>
      <c r="F383">
        <f t="shared" si="22"/>
        <v>-141.82298460436436</v>
      </c>
    </row>
    <row r="384" spans="1:6" x14ac:dyDescent="0.25">
      <c r="A384">
        <v>-140.25074086199729</v>
      </c>
      <c r="B384">
        <v>-150.74365159947027</v>
      </c>
      <c r="C384">
        <v>-58.780639999999991</v>
      </c>
      <c r="E384">
        <f t="shared" si="21"/>
        <v>-145.75714237163641</v>
      </c>
      <c r="F384">
        <f t="shared" si="22"/>
        <v>-138.50673020922483</v>
      </c>
    </row>
    <row r="385" spans="1:6" x14ac:dyDescent="0.25">
      <c r="A385">
        <v>-129.62948021318923</v>
      </c>
      <c r="B385">
        <v>-156.60245298246534</v>
      </c>
      <c r="C385">
        <v>-58.780639999999991</v>
      </c>
      <c r="E385">
        <f t="shared" si="21"/>
        <v>-151.98305138211796</v>
      </c>
      <c r="F385">
        <f t="shared" si="22"/>
        <v>-131.81510470056361</v>
      </c>
    </row>
    <row r="386" spans="1:6" x14ac:dyDescent="0.25">
      <c r="A386">
        <v>-118.41653877221411</v>
      </c>
      <c r="B386">
        <v>-162.67110196321292</v>
      </c>
      <c r="C386">
        <v>-58.780639999999991</v>
      </c>
      <c r="E386">
        <f t="shared" si="21"/>
        <v>-158.43932951872051</v>
      </c>
      <c r="F386">
        <f t="shared" si="22"/>
        <v>-124.74809329719125</v>
      </c>
    </row>
    <row r="387" spans="1:6" x14ac:dyDescent="0.25">
      <c r="A387">
        <v>-105.91187549578345</v>
      </c>
      <c r="B387">
        <v>-169.33614108084609</v>
      </c>
      <c r="C387">
        <v>-58.780639999999991</v>
      </c>
      <c r="E387">
        <f t="shared" si="21"/>
        <v>-165.53671492938824</v>
      </c>
      <c r="F387">
        <f t="shared" si="22"/>
        <v>-116.86466369936207</v>
      </c>
    </row>
    <row r="388" spans="1:6" x14ac:dyDescent="0.25">
      <c r="A388">
        <v>-90.862411715546401</v>
      </c>
      <c r="B388">
        <v>-177.17963777655783</v>
      </c>
      <c r="C388">
        <v>-58.780639999999991</v>
      </c>
      <c r="E388">
        <f t="shared" si="21"/>
        <v>-173.90065229040994</v>
      </c>
      <c r="F388">
        <f t="shared" si="22"/>
        <v>-107.37290062965502</v>
      </c>
    </row>
    <row r="389" spans="1:6" x14ac:dyDescent="0.25">
      <c r="A389">
        <v>-75.011732280929934</v>
      </c>
      <c r="B389">
        <v>-182.22700640035978</v>
      </c>
      <c r="C389">
        <v>-58.780639999999991</v>
      </c>
      <c r="E389">
        <f t="shared" si="21"/>
        <v>-179.4981269282824</v>
      </c>
      <c r="F389">
        <f t="shared" si="22"/>
        <v>-97.303714355156472</v>
      </c>
    </row>
    <row r="390" spans="1:6" x14ac:dyDescent="0.25">
      <c r="A390">
        <v>-53.561516105046657</v>
      </c>
      <c r="B390">
        <v>-186.28051412476827</v>
      </c>
      <c r="C390">
        <v>-58.780639999999991</v>
      </c>
      <c r="E390">
        <f t="shared" si="21"/>
        <v>-184.2977671140055</v>
      </c>
      <c r="F390">
        <f t="shared" si="22"/>
        <v>-83.615112601675975</v>
      </c>
    </row>
    <row r="391" spans="1:6" x14ac:dyDescent="0.25">
      <c r="A391">
        <v>-29.84573301300636</v>
      </c>
      <c r="B391">
        <v>-189.16743068542561</v>
      </c>
      <c r="C391">
        <v>-58.780639999999991</v>
      </c>
      <c r="E391">
        <f t="shared" si="21"/>
        <v>-188.01059393691384</v>
      </c>
      <c r="F391">
        <f t="shared" si="22"/>
        <v>-68.444949533338431</v>
      </c>
    </row>
    <row r="392" spans="1:6" x14ac:dyDescent="0.25">
      <c r="A392">
        <v>1.5408187266736499E-14</v>
      </c>
      <c r="B392">
        <v>-190.63547535334379</v>
      </c>
      <c r="C392">
        <v>-58.780639999999991</v>
      </c>
      <c r="E392">
        <f t="shared" si="21"/>
        <v>-190.5193453725567</v>
      </c>
      <c r="F392">
        <f t="shared" si="22"/>
        <v>-49.305101403028779</v>
      </c>
    </row>
    <row r="393" spans="1:6" x14ac:dyDescent="0.25">
      <c r="A393">
        <v>29.845733013006321</v>
      </c>
      <c r="B393">
        <v>-189.16743068542556</v>
      </c>
      <c r="C393">
        <v>-58.780639999999991</v>
      </c>
      <c r="E393">
        <f t="shared" si="21"/>
        <v>-190.09379605865604</v>
      </c>
      <c r="F393">
        <f t="shared" si="22"/>
        <v>-30.099388086157713</v>
      </c>
    </row>
    <row r="394" spans="1:6" x14ac:dyDescent="0.25">
      <c r="A394">
        <v>53.561516105046692</v>
      </c>
      <c r="B394">
        <v>-186.28051412476825</v>
      </c>
      <c r="C394">
        <v>-58.780639999999991</v>
      </c>
      <c r="E394">
        <f t="shared" si="21"/>
        <v>-188.03630702338353</v>
      </c>
      <c r="F394">
        <f t="shared" si="22"/>
        <v>-14.799700826894295</v>
      </c>
    </row>
    <row r="395" spans="1:6" x14ac:dyDescent="0.25">
      <c r="A395">
        <v>75.011732280929934</v>
      </c>
      <c r="B395">
        <v>-182.22700640035976</v>
      </c>
      <c r="C395">
        <v>-58.780639999999991</v>
      </c>
      <c r="E395">
        <f t="shared" si="21"/>
        <v>-184.73387033505679</v>
      </c>
      <c r="F395">
        <f t="shared" si="22"/>
        <v>-0.92923468717884816</v>
      </c>
    </row>
    <row r="396" spans="1:6" x14ac:dyDescent="0.25">
      <c r="A396">
        <v>90.862411715546401</v>
      </c>
      <c r="B396">
        <v>-177.17963777655783</v>
      </c>
      <c r="C396">
        <v>-58.780639999999991</v>
      </c>
      <c r="E396">
        <f t="shared" si="21"/>
        <v>-180.24275716650595</v>
      </c>
      <c r="F396">
        <f t="shared" si="22"/>
        <v>9.3664064652374392</v>
      </c>
    </row>
    <row r="397" spans="1:6" x14ac:dyDescent="0.25">
      <c r="A397">
        <v>105.91187549578345</v>
      </c>
      <c r="B397">
        <v>-169.33614108084601</v>
      </c>
      <c r="C397">
        <v>-58.780639999999991</v>
      </c>
      <c r="E397">
        <f t="shared" si="21"/>
        <v>-172.92925722862975</v>
      </c>
      <c r="F397">
        <f t="shared" si="22"/>
        <v>19.210075293976892</v>
      </c>
    </row>
    <row r="398" spans="1:6" x14ac:dyDescent="0.25">
      <c r="A398">
        <v>118.41653877221404</v>
      </c>
      <c r="B398">
        <v>-162.67110196321292</v>
      </c>
      <c r="C398">
        <v>-58.780639999999991</v>
      </c>
      <c r="E398">
        <f t="shared" si="21"/>
        <v>-166.70468472752549</v>
      </c>
      <c r="F398">
        <f t="shared" si="22"/>
        <v>27.392538057836937</v>
      </c>
    </row>
    <row r="399" spans="1:6" x14ac:dyDescent="0.25">
      <c r="A399">
        <v>129.62948021318928</v>
      </c>
      <c r="B399">
        <v>-156.60245298246545</v>
      </c>
      <c r="C399">
        <v>-58.780639999999991</v>
      </c>
      <c r="E399">
        <f t="shared" si="21"/>
        <v>-161.03105861661234</v>
      </c>
      <c r="F399">
        <f t="shared" si="22"/>
        <v>34.731825030221678</v>
      </c>
    </row>
    <row r="400" spans="1:6" x14ac:dyDescent="0.25">
      <c r="A400">
        <v>140.25074086199731</v>
      </c>
      <c r="B400">
        <v>-150.74365159947021</v>
      </c>
      <c r="C400">
        <v>-58.780639999999991</v>
      </c>
      <c r="E400">
        <f t="shared" si="21"/>
        <v>-155.54650290810957</v>
      </c>
      <c r="F400">
        <f t="shared" si="22"/>
        <v>41.686311100656376</v>
      </c>
    </row>
    <row r="401" spans="1:6" x14ac:dyDescent="0.25">
      <c r="A401">
        <v>145.59292879067263</v>
      </c>
      <c r="B401">
        <v>-145.5929287906726</v>
      </c>
      <c r="C401">
        <v>-58.780639999999991</v>
      </c>
      <c r="E401">
        <f t="shared" si="21"/>
        <v>-150.58535745048016</v>
      </c>
      <c r="F401">
        <f t="shared" si="22"/>
        <v>45.233657455149505</v>
      </c>
    </row>
    <row r="402" spans="1:6" x14ac:dyDescent="0.25">
      <c r="A402">
        <v>150.74365159947027</v>
      </c>
      <c r="B402">
        <v>-140.25074086199729</v>
      </c>
      <c r="C402">
        <v>-58.780639999999991</v>
      </c>
      <c r="E402">
        <f t="shared" si="21"/>
        <v>-145.42618147203103</v>
      </c>
      <c r="F402">
        <f t="shared" si="22"/>
        <v>48.662302504827672</v>
      </c>
    </row>
    <row r="403" spans="1:6" x14ac:dyDescent="0.25">
      <c r="A403">
        <v>156.60245298246542</v>
      </c>
      <c r="B403">
        <v>-129.62948021318928</v>
      </c>
      <c r="C403">
        <v>-58.780639999999991</v>
      </c>
      <c r="E403">
        <f t="shared" si="21"/>
        <v>-135.01586022777988</v>
      </c>
      <c r="F403">
        <f t="shared" si="22"/>
        <v>52.664239675801049</v>
      </c>
    </row>
    <row r="404" spans="1:6" x14ac:dyDescent="0.25">
      <c r="A404">
        <v>162.67110196321295</v>
      </c>
      <c r="B404">
        <v>-118.41653877221404</v>
      </c>
      <c r="C404">
        <v>-58.780639999999991</v>
      </c>
      <c r="E404">
        <f t="shared" ref="E404:E467" si="23">($I$2*A404)+($K$2*B404)+($M$2*C404)</f>
        <v>-124.02154220285919</v>
      </c>
      <c r="F404">
        <f t="shared" ref="F404:F467" si="24">($J$2*A404)+($L$2*B404)+($N$2*C404)</f>
        <v>56.814255266699242</v>
      </c>
    </row>
    <row r="405" spans="1:6" x14ac:dyDescent="0.25">
      <c r="A405">
        <v>169.33614108084606</v>
      </c>
      <c r="B405">
        <v>-105.91187549578348</v>
      </c>
      <c r="C405">
        <v>-58.780639999999991</v>
      </c>
      <c r="E405">
        <f t="shared" si="23"/>
        <v>-111.7571029401398</v>
      </c>
      <c r="F405">
        <f t="shared" si="24"/>
        <v>61.376366669846426</v>
      </c>
    </row>
    <row r="406" spans="1:6" x14ac:dyDescent="0.25">
      <c r="A406">
        <v>177.17963777655783</v>
      </c>
      <c r="B406">
        <v>-90.862411715546401</v>
      </c>
      <c r="C406">
        <v>-58.780639999999991</v>
      </c>
      <c r="E406">
        <f t="shared" si="23"/>
        <v>-96.990540973682826</v>
      </c>
      <c r="F406">
        <f t="shared" si="24"/>
        <v>66.752601973705509</v>
      </c>
    </row>
    <row r="407" spans="1:6" x14ac:dyDescent="0.25">
      <c r="A407">
        <v>182.22700640035964</v>
      </c>
      <c r="B407">
        <v>-75.011732280929934</v>
      </c>
      <c r="C407">
        <v>-58.780639999999991</v>
      </c>
      <c r="E407">
        <f t="shared" si="23"/>
        <v>-81.325667969349581</v>
      </c>
      <c r="F407">
        <f t="shared" si="24"/>
        <v>70.350589316464493</v>
      </c>
    </row>
    <row r="408" spans="1:6" x14ac:dyDescent="0.25">
      <c r="A408">
        <v>186.28051412476836</v>
      </c>
      <c r="B408">
        <v>-53.561516105046756</v>
      </c>
      <c r="C408">
        <v>-58.780639999999991</v>
      </c>
      <c r="E408">
        <f t="shared" si="23"/>
        <v>-60.029984065056858</v>
      </c>
      <c r="F408">
        <f t="shared" si="24"/>
        <v>73.435738558801035</v>
      </c>
    </row>
    <row r="409" spans="1:6" x14ac:dyDescent="0.25">
      <c r="A409">
        <v>189.16743068542556</v>
      </c>
      <c r="B409">
        <v>-29.845733013006313</v>
      </c>
      <c r="C409">
        <v>-58.780639999999991</v>
      </c>
      <c r="E409">
        <f t="shared" si="23"/>
        <v>-36.42939992228613</v>
      </c>
      <c r="F409">
        <f t="shared" si="24"/>
        <v>75.822297637478272</v>
      </c>
    </row>
    <row r="410" spans="1:6" x14ac:dyDescent="0.25">
      <c r="A410">
        <v>190.63547535334379</v>
      </c>
      <c r="B410">
        <v>0</v>
      </c>
      <c r="C410">
        <v>-58.780639999999991</v>
      </c>
      <c r="E410">
        <f t="shared" si="23"/>
        <v>-6.653082143473755</v>
      </c>
      <c r="F410">
        <f t="shared" si="24"/>
        <v>77.434891976092842</v>
      </c>
    </row>
    <row r="411" spans="1:6" x14ac:dyDescent="0.25">
      <c r="A411">
        <v>189.16743068542559</v>
      </c>
      <c r="B411">
        <v>29.845733013006306</v>
      </c>
      <c r="C411">
        <v>-58.780639999999991</v>
      </c>
      <c r="E411">
        <f t="shared" si="23"/>
        <v>23.225703675432882</v>
      </c>
      <c r="F411">
        <f t="shared" si="24"/>
        <v>77.161354149806925</v>
      </c>
    </row>
    <row r="412" spans="1:6" x14ac:dyDescent="0.25">
      <c r="A412">
        <v>186.28051412476836</v>
      </c>
      <c r="B412">
        <v>53.561516105046628</v>
      </c>
      <c r="C412">
        <v>-58.780639999999991</v>
      </c>
      <c r="E412">
        <f t="shared" si="23"/>
        <v>47.027791688181601</v>
      </c>
      <c r="F412">
        <f t="shared" si="24"/>
        <v>75.838825690867878</v>
      </c>
    </row>
    <row r="413" spans="1:6" x14ac:dyDescent="0.25">
      <c r="A413">
        <v>182.22700640035967</v>
      </c>
      <c r="B413">
        <v>75.011732280929948</v>
      </c>
      <c r="C413">
        <v>-58.780639999999991</v>
      </c>
      <c r="E413">
        <f t="shared" si="23"/>
        <v>68.606406351397581</v>
      </c>
      <c r="F413">
        <f t="shared" si="24"/>
        <v>73.71606030583709</v>
      </c>
    </row>
    <row r="414" spans="1:6" x14ac:dyDescent="0.25">
      <c r="A414">
        <v>177.17963777655777</v>
      </c>
      <c r="B414">
        <v>90.862411715546401</v>
      </c>
      <c r="C414">
        <v>-58.780639999999991</v>
      </c>
      <c r="E414">
        <f t="shared" si="23"/>
        <v>84.623580605016159</v>
      </c>
      <c r="F414">
        <f t="shared" si="24"/>
        <v>70.829228407392577</v>
      </c>
    </row>
    <row r="415" spans="1:6" x14ac:dyDescent="0.25">
      <c r="A415">
        <v>169.33614108084609</v>
      </c>
      <c r="B415">
        <v>105.91187549578348</v>
      </c>
      <c r="C415">
        <v>-58.780639999999991</v>
      </c>
      <c r="E415">
        <f t="shared" si="23"/>
        <v>99.937610745609291</v>
      </c>
      <c r="F415">
        <f t="shared" si="24"/>
        <v>66.128201263882573</v>
      </c>
    </row>
    <row r="416" spans="1:6" x14ac:dyDescent="0.25">
      <c r="A416">
        <v>162.67110196321295</v>
      </c>
      <c r="B416">
        <v>118.41653877221404</v>
      </c>
      <c r="C416">
        <v>-58.780639999999991</v>
      </c>
      <c r="E416">
        <f t="shared" si="23"/>
        <v>112.66726302974442</v>
      </c>
      <c r="F416">
        <f t="shared" si="24"/>
        <v>62.127123184577137</v>
      </c>
    </row>
    <row r="417" spans="1:6" x14ac:dyDescent="0.25">
      <c r="A417">
        <v>156.60245298246542</v>
      </c>
      <c r="B417">
        <v>129.62948021318923</v>
      </c>
      <c r="C417">
        <v>-58.780639999999991</v>
      </c>
      <c r="E417">
        <f t="shared" si="23"/>
        <v>124.08516664484955</v>
      </c>
      <c r="F417">
        <f t="shared" si="24"/>
        <v>58.480186618488098</v>
      </c>
    </row>
    <row r="418" spans="1:6" x14ac:dyDescent="0.25">
      <c r="A418">
        <v>150.74365159947027</v>
      </c>
      <c r="B418">
        <v>140.25074086199729</v>
      </c>
      <c r="C418">
        <v>-58.780639999999991</v>
      </c>
      <c r="E418">
        <f t="shared" si="23"/>
        <v>134.90442632819367</v>
      </c>
      <c r="F418">
        <f t="shared" si="24"/>
        <v>54.954782164427009</v>
      </c>
    </row>
    <row r="419" spans="1:6" x14ac:dyDescent="0.25">
      <c r="A419">
        <v>145.5929287906726</v>
      </c>
      <c r="B419">
        <v>145.59292879067257</v>
      </c>
      <c r="C419">
        <v>-58.780639999999991</v>
      </c>
      <c r="E419">
        <f t="shared" si="23"/>
        <v>140.42311757400503</v>
      </c>
      <c r="F419">
        <f t="shared" si="24"/>
        <v>51.765819334410118</v>
      </c>
    </row>
    <row r="420" spans="1:6" x14ac:dyDescent="0.25">
      <c r="A420">
        <v>140.25074086199729</v>
      </c>
      <c r="B420">
        <v>150.74365159947027</v>
      </c>
      <c r="C420">
        <v>-58.780639999999991</v>
      </c>
      <c r="E420">
        <f t="shared" si="23"/>
        <v>145.75714237163641</v>
      </c>
      <c r="F420">
        <f t="shared" si="24"/>
        <v>48.449564939270594</v>
      </c>
    </row>
    <row r="421" spans="1:6" x14ac:dyDescent="0.25">
      <c r="A421">
        <v>129.62948021318928</v>
      </c>
      <c r="B421">
        <v>156.60245298246542</v>
      </c>
      <c r="C421">
        <v>-58.780639999999991</v>
      </c>
      <c r="E421">
        <f t="shared" si="23"/>
        <v>151.98305138211805</v>
      </c>
      <c r="F421">
        <f t="shared" si="24"/>
        <v>41.75793943060939</v>
      </c>
    </row>
    <row r="422" spans="1:6" x14ac:dyDescent="0.25">
      <c r="A422">
        <v>118.41653877221411</v>
      </c>
      <c r="B422">
        <v>162.67110196321292</v>
      </c>
      <c r="C422">
        <v>-58.780639999999991</v>
      </c>
      <c r="E422">
        <f t="shared" si="23"/>
        <v>158.43932951872051</v>
      </c>
      <c r="F422">
        <f t="shared" si="24"/>
        <v>34.690928027237014</v>
      </c>
    </row>
    <row r="423" spans="1:6" x14ac:dyDescent="0.25">
      <c r="A423">
        <v>105.91187549578355</v>
      </c>
      <c r="B423">
        <v>169.33614108084609</v>
      </c>
      <c r="C423">
        <v>-58.780639999999991</v>
      </c>
      <c r="E423">
        <f t="shared" si="23"/>
        <v>165.53671492938824</v>
      </c>
      <c r="F423">
        <f t="shared" si="24"/>
        <v>26.807498429407893</v>
      </c>
    </row>
    <row r="424" spans="1:6" x14ac:dyDescent="0.25">
      <c r="A424">
        <v>90.8624117155465</v>
      </c>
      <c r="B424">
        <v>177.17963777655777</v>
      </c>
      <c r="C424">
        <v>-58.780639999999991</v>
      </c>
      <c r="E424">
        <f t="shared" si="23"/>
        <v>173.90065229040988</v>
      </c>
      <c r="F424">
        <f t="shared" si="24"/>
        <v>17.315735359700852</v>
      </c>
    </row>
    <row r="425" spans="1:6" x14ac:dyDescent="0.25">
      <c r="A425">
        <v>75.011732280929877</v>
      </c>
      <c r="B425">
        <v>182.22700640035976</v>
      </c>
      <c r="C425">
        <v>-58.780639999999991</v>
      </c>
      <c r="E425">
        <f t="shared" si="23"/>
        <v>179.49812692828237</v>
      </c>
      <c r="F425">
        <f t="shared" si="24"/>
        <v>7.2465490852021972</v>
      </c>
    </row>
    <row r="426" spans="1:6" x14ac:dyDescent="0.25">
      <c r="A426">
        <v>53.561516105046643</v>
      </c>
      <c r="B426">
        <v>186.28051412476836</v>
      </c>
      <c r="C426">
        <v>-58.780639999999991</v>
      </c>
      <c r="E426">
        <f t="shared" si="23"/>
        <v>184.29776711400558</v>
      </c>
      <c r="F426">
        <f t="shared" si="24"/>
        <v>-6.4420526682782651</v>
      </c>
    </row>
    <row r="427" spans="1:6" x14ac:dyDescent="0.25">
      <c r="A427">
        <v>29.845733013006306</v>
      </c>
      <c r="B427">
        <v>189.16743068542559</v>
      </c>
      <c r="C427">
        <v>-58.780639999999991</v>
      </c>
      <c r="E427">
        <f t="shared" si="23"/>
        <v>188.01059393691381</v>
      </c>
      <c r="F427">
        <f t="shared" si="24"/>
        <v>-21.612215736615845</v>
      </c>
    </row>
    <row r="428" spans="1:6" x14ac:dyDescent="0.25">
      <c r="A428">
        <v>3.1513250748747691E-15</v>
      </c>
      <c r="B428">
        <v>190.63547535334379</v>
      </c>
      <c r="C428">
        <v>-58.780639999999991</v>
      </c>
      <c r="E428">
        <f t="shared" si="23"/>
        <v>190.5193453725567</v>
      </c>
      <c r="F428">
        <f t="shared" si="24"/>
        <v>-40.752063866925447</v>
      </c>
    </row>
    <row r="429" spans="1:6" x14ac:dyDescent="0.25">
      <c r="A429">
        <v>-29.845733013006289</v>
      </c>
      <c r="B429">
        <v>189.16743068542559</v>
      </c>
      <c r="C429">
        <v>-58.780639999999991</v>
      </c>
      <c r="E429">
        <f t="shared" si="23"/>
        <v>190.09379605865607</v>
      </c>
      <c r="F429">
        <f t="shared" si="24"/>
        <v>-59.957777183796509</v>
      </c>
    </row>
    <row r="430" spans="1:6" x14ac:dyDescent="0.25">
      <c r="A430">
        <v>-53.561516105046628</v>
      </c>
      <c r="B430">
        <v>186.28051412476836</v>
      </c>
      <c r="C430">
        <v>-58.780639999999991</v>
      </c>
      <c r="E430">
        <f t="shared" si="23"/>
        <v>188.03630702338364</v>
      </c>
      <c r="F430">
        <f t="shared" si="24"/>
        <v>-75.257464443059902</v>
      </c>
    </row>
    <row r="431" spans="1:6" x14ac:dyDescent="0.25">
      <c r="A431">
        <v>-75.011732280929877</v>
      </c>
      <c r="B431">
        <v>182.22700640035984</v>
      </c>
      <c r="C431">
        <v>-58.780639999999991</v>
      </c>
      <c r="E431">
        <f t="shared" si="23"/>
        <v>184.73387033505688</v>
      </c>
      <c r="F431">
        <f t="shared" si="24"/>
        <v>-89.127930582775349</v>
      </c>
    </row>
    <row r="432" spans="1:6" x14ac:dyDescent="0.25">
      <c r="A432">
        <v>-90.862411715546287</v>
      </c>
      <c r="B432">
        <v>177.17963777655783</v>
      </c>
      <c r="C432">
        <v>-58.780639999999991</v>
      </c>
      <c r="E432">
        <f t="shared" si="23"/>
        <v>180.24275716650595</v>
      </c>
      <c r="F432">
        <f t="shared" si="24"/>
        <v>-99.423571735191615</v>
      </c>
    </row>
    <row r="433" spans="1:6" x14ac:dyDescent="0.25">
      <c r="A433">
        <v>-105.91187549578342</v>
      </c>
      <c r="B433">
        <v>169.33614108084615</v>
      </c>
      <c r="C433">
        <v>-58.780639999999991</v>
      </c>
      <c r="E433">
        <f t="shared" si="23"/>
        <v>172.92925722862989</v>
      </c>
      <c r="F433">
        <f t="shared" si="24"/>
        <v>-109.26724056393113</v>
      </c>
    </row>
    <row r="434" spans="1:6" x14ac:dyDescent="0.25">
      <c r="A434">
        <v>-118.41653877221408</v>
      </c>
      <c r="B434">
        <v>162.67110196321292</v>
      </c>
      <c r="C434">
        <v>-58.780639999999991</v>
      </c>
      <c r="E434">
        <f t="shared" si="23"/>
        <v>166.70468472752549</v>
      </c>
      <c r="F434">
        <f t="shared" si="24"/>
        <v>-117.44970332779121</v>
      </c>
    </row>
    <row r="435" spans="1:6" x14ac:dyDescent="0.25">
      <c r="A435">
        <v>-129.62948021318928</v>
      </c>
      <c r="B435">
        <v>156.60245298246534</v>
      </c>
      <c r="C435">
        <v>-58.780639999999991</v>
      </c>
      <c r="E435">
        <f t="shared" si="23"/>
        <v>161.03105861661223</v>
      </c>
      <c r="F435">
        <f t="shared" si="24"/>
        <v>-124.78899030017593</v>
      </c>
    </row>
    <row r="436" spans="1:6" x14ac:dyDescent="0.25">
      <c r="A436">
        <v>-140.25074086199729</v>
      </c>
      <c r="B436">
        <v>150.74365159947027</v>
      </c>
      <c r="C436">
        <v>-58.780639999999991</v>
      </c>
      <c r="E436">
        <f t="shared" si="23"/>
        <v>155.54650290810963</v>
      </c>
      <c r="F436">
        <f t="shared" si="24"/>
        <v>-131.74347637061058</v>
      </c>
    </row>
    <row r="437" spans="1:6" x14ac:dyDescent="0.25">
      <c r="A437">
        <v>-145.59292879067257</v>
      </c>
      <c r="B437">
        <v>145.5929287906726</v>
      </c>
      <c r="C437">
        <v>-58.780639999999991</v>
      </c>
      <c r="E437">
        <f t="shared" si="23"/>
        <v>150.58535745048016</v>
      </c>
      <c r="F437">
        <f t="shared" si="24"/>
        <v>-135.29082272510371</v>
      </c>
    </row>
    <row r="438" spans="1:6" x14ac:dyDescent="0.25">
      <c r="A438">
        <v>-150.7436515994703</v>
      </c>
      <c r="B438">
        <v>140.25074086199734</v>
      </c>
      <c r="C438">
        <v>-58.780639999999991</v>
      </c>
      <c r="E438">
        <f t="shared" si="23"/>
        <v>145.42618147203109</v>
      </c>
      <c r="F438">
        <f t="shared" si="24"/>
        <v>-138.71946777478192</v>
      </c>
    </row>
    <row r="439" spans="1:6" x14ac:dyDescent="0.25">
      <c r="A439">
        <v>-156.60245298246534</v>
      </c>
      <c r="B439">
        <v>129.62948021318928</v>
      </c>
      <c r="C439">
        <v>-58.780639999999991</v>
      </c>
      <c r="E439">
        <f t="shared" si="23"/>
        <v>135.01586022777988</v>
      </c>
      <c r="F439">
        <f t="shared" si="24"/>
        <v>-142.72140494575524</v>
      </c>
    </row>
    <row r="440" spans="1:6" x14ac:dyDescent="0.25">
      <c r="A440">
        <v>-162.67110196321292</v>
      </c>
      <c r="B440">
        <v>118.41653877221411</v>
      </c>
      <c r="C440">
        <v>-58.780639999999991</v>
      </c>
      <c r="E440">
        <f t="shared" si="23"/>
        <v>124.02154220285924</v>
      </c>
      <c r="F440">
        <f t="shared" si="24"/>
        <v>-146.87142053665346</v>
      </c>
    </row>
    <row r="441" spans="1:6" x14ac:dyDescent="0.25">
      <c r="A441">
        <v>-169.33614108084606</v>
      </c>
      <c r="B441">
        <v>105.91187549578355</v>
      </c>
      <c r="C441">
        <v>-58.780639999999991</v>
      </c>
      <c r="E441">
        <f t="shared" si="23"/>
        <v>111.75710294013984</v>
      </c>
      <c r="F441">
        <f t="shared" si="24"/>
        <v>-151.43353193980067</v>
      </c>
    </row>
    <row r="442" spans="1:6" x14ac:dyDescent="0.25">
      <c r="A442">
        <v>-177.17963777655777</v>
      </c>
      <c r="B442">
        <v>90.862411715546529</v>
      </c>
      <c r="C442">
        <v>-58.780639999999991</v>
      </c>
      <c r="E442">
        <f t="shared" si="23"/>
        <v>96.990540973682926</v>
      </c>
      <c r="F442">
        <f t="shared" si="24"/>
        <v>-156.80976724365971</v>
      </c>
    </row>
    <row r="443" spans="1:6" x14ac:dyDescent="0.25">
      <c r="A443">
        <v>-182.22700640035973</v>
      </c>
      <c r="B443">
        <v>75.011732280929891</v>
      </c>
      <c r="C443">
        <v>-58.780639999999991</v>
      </c>
      <c r="E443">
        <f t="shared" si="23"/>
        <v>81.32566796934951</v>
      </c>
      <c r="F443">
        <f t="shared" si="24"/>
        <v>-160.4077545864188</v>
      </c>
    </row>
    <row r="444" spans="1:6" x14ac:dyDescent="0.25">
      <c r="A444">
        <v>-186.28051412476827</v>
      </c>
      <c r="B444">
        <v>53.56151610504665</v>
      </c>
      <c r="C444">
        <v>-58.780639999999991</v>
      </c>
      <c r="E444">
        <f t="shared" si="23"/>
        <v>60.029984065056738</v>
      </c>
      <c r="F444">
        <f t="shared" si="24"/>
        <v>-163.4929038287552</v>
      </c>
    </row>
    <row r="445" spans="1:6" x14ac:dyDescent="0.25">
      <c r="A445">
        <v>-224.4605387772431</v>
      </c>
      <c r="B445">
        <v>-3.6026261056210786E-14</v>
      </c>
      <c r="C445">
        <v>-2.4807679999999834</v>
      </c>
      <c r="E445">
        <f t="shared" si="23"/>
        <v>7.8335598328979748</v>
      </c>
      <c r="F445">
        <f t="shared" si="24"/>
        <v>-146.09293997688854</v>
      </c>
    </row>
    <row r="446" spans="1:6" x14ac:dyDescent="0.25">
      <c r="A446">
        <v>-223.54664879551933</v>
      </c>
      <c r="B446">
        <v>-26.66923392040685</v>
      </c>
      <c r="C446">
        <v>-2.4807679999999834</v>
      </c>
      <c r="E446">
        <f t="shared" si="23"/>
        <v>-18.85132221118673</v>
      </c>
      <c r="F446">
        <f t="shared" si="24"/>
        <v>-146.10413063703237</v>
      </c>
    </row>
    <row r="447" spans="1:6" x14ac:dyDescent="0.25">
      <c r="A447">
        <v>-220.91967750706169</v>
      </c>
      <c r="B447">
        <v>-51.628433588080341</v>
      </c>
      <c r="C447">
        <v>-2.4807679999999834</v>
      </c>
      <c r="E447">
        <f t="shared" si="23"/>
        <v>-43.886997384616777</v>
      </c>
      <c r="F447">
        <f t="shared" si="24"/>
        <v>-144.97648351114859</v>
      </c>
    </row>
    <row r="448" spans="1:6" x14ac:dyDescent="0.25">
      <c r="A448">
        <v>-215.71913240440389</v>
      </c>
      <c r="B448">
        <v>-75.911180284222297</v>
      </c>
      <c r="C448">
        <v>-2.4807679999999834</v>
      </c>
      <c r="E448">
        <f t="shared" si="23"/>
        <v>-68.336448094230718</v>
      </c>
      <c r="F448">
        <f t="shared" si="24"/>
        <v>-142.18040791100552</v>
      </c>
    </row>
    <row r="449" spans="1:6" x14ac:dyDescent="0.25">
      <c r="A449">
        <v>-205.05651510607561</v>
      </c>
      <c r="B449">
        <v>-99.356727267434039</v>
      </c>
      <c r="C449">
        <v>-2.4807679999999834</v>
      </c>
      <c r="E449">
        <f t="shared" si="23"/>
        <v>-92.139832660940797</v>
      </c>
      <c r="F449">
        <f t="shared" si="24"/>
        <v>-135.85673788649405</v>
      </c>
    </row>
    <row r="450" spans="1:6" x14ac:dyDescent="0.25">
      <c r="A450">
        <v>-196.66630792770843</v>
      </c>
      <c r="B450">
        <v>-116.19414886211997</v>
      </c>
      <c r="C450">
        <v>-2.4807679999999834</v>
      </c>
      <c r="E450">
        <f t="shared" si="23"/>
        <v>-109.25981136107788</v>
      </c>
      <c r="F450">
        <f t="shared" si="24"/>
        <v>-130.84461528683985</v>
      </c>
    </row>
    <row r="451" spans="1:6" x14ac:dyDescent="0.25">
      <c r="A451">
        <v>-189.41909230340656</v>
      </c>
      <c r="B451">
        <v>-129.88126342939813</v>
      </c>
      <c r="C451">
        <v>-2.4807679999999834</v>
      </c>
      <c r="E451">
        <f t="shared" si="23"/>
        <v>-123.19151228575774</v>
      </c>
      <c r="F451">
        <f t="shared" si="24"/>
        <v>-126.49607521189486</v>
      </c>
    </row>
    <row r="452" spans="1:6" x14ac:dyDescent="0.25">
      <c r="A452">
        <v>-182.70374136511654</v>
      </c>
      <c r="B452">
        <v>-141.94560046659151</v>
      </c>
      <c r="C452">
        <v>-2.4807679999999834</v>
      </c>
      <c r="E452">
        <f t="shared" si="23"/>
        <v>-135.48286242272255</v>
      </c>
      <c r="F452">
        <f t="shared" si="24"/>
        <v>-122.45279919549036</v>
      </c>
    </row>
    <row r="453" spans="1:6" x14ac:dyDescent="0.25">
      <c r="A453">
        <v>-176.10478453595215</v>
      </c>
      <c r="B453">
        <v>-153.22553464642283</v>
      </c>
      <c r="C453">
        <v>-2.4807679999999834</v>
      </c>
      <c r="E453">
        <f t="shared" si="23"/>
        <v>-146.98622544352452</v>
      </c>
      <c r="F453">
        <f t="shared" si="24"/>
        <v>-118.46669781285409</v>
      </c>
    </row>
    <row r="454" spans="1:6" x14ac:dyDescent="0.25">
      <c r="A454">
        <v>-165.51732545136414</v>
      </c>
      <c r="B454">
        <v>-165.51732545136414</v>
      </c>
      <c r="C454">
        <v>-2.4807679999999834</v>
      </c>
      <c r="E454">
        <f t="shared" si="23"/>
        <v>-159.64002541503095</v>
      </c>
      <c r="F454">
        <f t="shared" si="24"/>
        <v>-111.94109731575297</v>
      </c>
    </row>
    <row r="455" spans="1:6" x14ac:dyDescent="0.25">
      <c r="A455">
        <v>-153.22553464642283</v>
      </c>
      <c r="B455">
        <v>-176.10478453595218</v>
      </c>
      <c r="C455">
        <v>-2.4807679999999834</v>
      </c>
      <c r="E455">
        <f t="shared" si="23"/>
        <v>-170.6500122182731</v>
      </c>
      <c r="F455">
        <f t="shared" si="24"/>
        <v>-104.28240765697807</v>
      </c>
    </row>
    <row r="456" spans="1:6" x14ac:dyDescent="0.25">
      <c r="A456">
        <v>-141.94560046659149</v>
      </c>
      <c r="B456">
        <v>-182.70374136511649</v>
      </c>
      <c r="C456">
        <v>-2.4807679999999834</v>
      </c>
      <c r="E456">
        <f t="shared" si="23"/>
        <v>-177.6386131669484</v>
      </c>
      <c r="F456">
        <f t="shared" si="24"/>
        <v>-97.184256760306042</v>
      </c>
    </row>
    <row r="457" spans="1:6" x14ac:dyDescent="0.25">
      <c r="A457">
        <v>-129.88126342939822</v>
      </c>
      <c r="B457">
        <v>-189.41909230340656</v>
      </c>
      <c r="C457">
        <v>-2.4807679999999834</v>
      </c>
      <c r="E457">
        <f t="shared" si="23"/>
        <v>-184.77091258553696</v>
      </c>
      <c r="F457">
        <f t="shared" si="24"/>
        <v>-89.58481963850673</v>
      </c>
    </row>
    <row r="458" spans="1:6" x14ac:dyDescent="0.25">
      <c r="A458">
        <v>-116.19414886211997</v>
      </c>
      <c r="B458">
        <v>-196.66630792770849</v>
      </c>
      <c r="C458">
        <v>-2.4807679999999834</v>
      </c>
      <c r="E458">
        <f t="shared" si="23"/>
        <v>-192.49138681160125</v>
      </c>
      <c r="F458">
        <f t="shared" si="24"/>
        <v>-80.954847957601629</v>
      </c>
    </row>
    <row r="459" spans="1:6" x14ac:dyDescent="0.25">
      <c r="A459">
        <v>-99.356727267434039</v>
      </c>
      <c r="B459">
        <v>-205.05651510607569</v>
      </c>
      <c r="C459">
        <v>-2.4807679999999834</v>
      </c>
      <c r="E459">
        <f t="shared" si="23"/>
        <v>-201.4641004418736</v>
      </c>
      <c r="F459">
        <f t="shared" si="24"/>
        <v>-70.326772203310838</v>
      </c>
    </row>
    <row r="460" spans="1:6" x14ac:dyDescent="0.25">
      <c r="A460">
        <v>-75.911180284222212</v>
      </c>
      <c r="B460">
        <v>-215.71913240440404</v>
      </c>
      <c r="C460">
        <v>-2.4807679999999834</v>
      </c>
      <c r="E460">
        <f t="shared" si="23"/>
        <v>-212.93846015146698</v>
      </c>
      <c r="F460">
        <f t="shared" si="24"/>
        <v>-55.504639756603076</v>
      </c>
    </row>
    <row r="461" spans="1:6" x14ac:dyDescent="0.25">
      <c r="A461">
        <v>-51.628433588080341</v>
      </c>
      <c r="B461">
        <v>-220.91967750706169</v>
      </c>
      <c r="C461">
        <v>-2.4807679999999834</v>
      </c>
      <c r="E461">
        <f t="shared" si="23"/>
        <v>-218.98329286081182</v>
      </c>
      <c r="F461">
        <f t="shared" si="24"/>
        <v>-40.022163059630685</v>
      </c>
    </row>
    <row r="462" spans="1:6" x14ac:dyDescent="0.25">
      <c r="A462">
        <v>-26.669233920406864</v>
      </c>
      <c r="B462">
        <v>-223.5466487955193</v>
      </c>
      <c r="C462">
        <v>-2.4807679999999834</v>
      </c>
      <c r="E462">
        <f t="shared" si="23"/>
        <v>-222.47972737583791</v>
      </c>
      <c r="F462">
        <f t="shared" si="24"/>
        <v>-24.047402763038708</v>
      </c>
    </row>
    <row r="463" spans="1:6" x14ac:dyDescent="0.25">
      <c r="A463">
        <v>1.5615048794915052E-14</v>
      </c>
      <c r="B463">
        <v>-224.4605387772431</v>
      </c>
      <c r="C463">
        <v>-2.4807679999999834</v>
      </c>
      <c r="E463">
        <f t="shared" si="23"/>
        <v>-224.32380348174081</v>
      </c>
      <c r="F463">
        <f t="shared" si="24"/>
        <v>-6.9356937413923365</v>
      </c>
    </row>
    <row r="464" spans="1:6" x14ac:dyDescent="0.25">
      <c r="A464">
        <v>26.669233920406832</v>
      </c>
      <c r="B464">
        <v>-223.54664879551933</v>
      </c>
      <c r="C464">
        <v>-2.4807679999999834</v>
      </c>
      <c r="E464">
        <f t="shared" si="23"/>
        <v>-224.3412130583649</v>
      </c>
      <c r="F464">
        <f t="shared" si="24"/>
        <v>10.217017802492125</v>
      </c>
    </row>
    <row r="465" spans="1:6" x14ac:dyDescent="0.25">
      <c r="A465">
        <v>51.628433588080362</v>
      </c>
      <c r="B465">
        <v>-220.91967750706169</v>
      </c>
      <c r="C465">
        <v>-2.4807679999999834</v>
      </c>
      <c r="E465">
        <f t="shared" si="23"/>
        <v>-222.5869055563368</v>
      </c>
      <c r="F465">
        <f t="shared" si="24"/>
        <v>26.309639604109886</v>
      </c>
    </row>
    <row r="466" spans="1:6" x14ac:dyDescent="0.25">
      <c r="A466">
        <v>75.911180284222254</v>
      </c>
      <c r="B466">
        <v>-215.71913240440401</v>
      </c>
      <c r="C466">
        <v>-2.4807679999999834</v>
      </c>
      <c r="E466">
        <f t="shared" si="23"/>
        <v>-218.23698412349134</v>
      </c>
      <c r="F466">
        <f t="shared" si="24"/>
        <v>42.025443583891445</v>
      </c>
    </row>
    <row r="467" spans="1:6" x14ac:dyDescent="0.25">
      <c r="A467">
        <v>99.356727267434039</v>
      </c>
      <c r="B467">
        <v>-205.05651510607558</v>
      </c>
      <c r="C467">
        <v>-2.4807679999999834</v>
      </c>
      <c r="E467">
        <f t="shared" si="23"/>
        <v>-208.39909999315569</v>
      </c>
      <c r="F467">
        <f t="shared" si="24"/>
        <v>57.325964251976515</v>
      </c>
    </row>
    <row r="468" spans="1:6" x14ac:dyDescent="0.25">
      <c r="A468">
        <v>116.19414886211996</v>
      </c>
      <c r="B468">
        <v>-196.66630792770843</v>
      </c>
      <c r="C468">
        <v>-2.4807679999999834</v>
      </c>
      <c r="E468">
        <f t="shared" ref="E468:E531" si="25">($I$2*A468)+($K$2*B468)+($M$2*C468)</f>
        <v>-200.60162144172816</v>
      </c>
      <c r="F468">
        <f t="shared" ref="F468:F531" si="26">($J$2*A468)+($L$2*B468)+($N$2*C468)</f>
        <v>68.330474438522089</v>
      </c>
    </row>
    <row r="469" spans="1:6" x14ac:dyDescent="0.25">
      <c r="A469">
        <v>129.88126342939813</v>
      </c>
      <c r="B469">
        <v>-189.41909230340656</v>
      </c>
      <c r="C469">
        <v>-2.4807679999999834</v>
      </c>
      <c r="E469">
        <f t="shared" si="25"/>
        <v>-193.83649403507889</v>
      </c>
      <c r="F469">
        <f t="shared" si="26"/>
        <v>77.285599174764826</v>
      </c>
    </row>
    <row r="470" spans="1:6" x14ac:dyDescent="0.25">
      <c r="A470">
        <v>141.94560046659149</v>
      </c>
      <c r="B470">
        <v>-182.70374136511657</v>
      </c>
      <c r="C470">
        <v>-2.4807679999999834</v>
      </c>
      <c r="E470">
        <f t="shared" si="25"/>
        <v>-187.54627319778515</v>
      </c>
      <c r="F470">
        <f t="shared" si="26"/>
        <v>85.186326749124717</v>
      </c>
    </row>
    <row r="471" spans="1:6" x14ac:dyDescent="0.25">
      <c r="A471">
        <v>153.22553464642286</v>
      </c>
      <c r="B471">
        <v>-176.10478453595215</v>
      </c>
      <c r="C471">
        <v>-2.4807679999999834</v>
      </c>
      <c r="E471">
        <f t="shared" si="25"/>
        <v>-181.34500030053667</v>
      </c>
      <c r="F471">
        <f t="shared" si="26"/>
        <v>92.580545968622573</v>
      </c>
    </row>
    <row r="472" spans="1:6" x14ac:dyDescent="0.25">
      <c r="A472">
        <v>165.51732545136414</v>
      </c>
      <c r="B472">
        <v>-165.51732545136414</v>
      </c>
      <c r="C472">
        <v>-2.4807679999999834</v>
      </c>
      <c r="E472">
        <f t="shared" si="25"/>
        <v>-171.19296812262434</v>
      </c>
      <c r="F472">
        <f t="shared" si="26"/>
        <v>100.71425180575879</v>
      </c>
    </row>
    <row r="473" spans="1:6" x14ac:dyDescent="0.25">
      <c r="A473">
        <v>176.10478453595218</v>
      </c>
      <c r="B473">
        <v>-153.22553464642283</v>
      </c>
      <c r="C473">
        <v>-2.4807679999999834</v>
      </c>
      <c r="E473">
        <f t="shared" si="25"/>
        <v>-159.27816213793875</v>
      </c>
      <c r="F473">
        <f t="shared" si="26"/>
        <v>107.79133490569515</v>
      </c>
    </row>
    <row r="474" spans="1:6" x14ac:dyDescent="0.25">
      <c r="A474">
        <v>182.70374136511657</v>
      </c>
      <c r="B474">
        <v>-141.94560046659151</v>
      </c>
      <c r="C474">
        <v>-2.4807679999999834</v>
      </c>
      <c r="E474">
        <f t="shared" si="25"/>
        <v>-148.23539966133555</v>
      </c>
      <c r="F474">
        <f t="shared" si="26"/>
        <v>112.28352100454728</v>
      </c>
    </row>
    <row r="475" spans="1:6" x14ac:dyDescent="0.25">
      <c r="A475">
        <v>189.41909230340659</v>
      </c>
      <c r="B475">
        <v>-129.88126342939816</v>
      </c>
      <c r="C475">
        <v>-2.4807679999999834</v>
      </c>
      <c r="E475">
        <f t="shared" si="25"/>
        <v>-136.41277426022475</v>
      </c>
      <c r="F475">
        <f t="shared" si="26"/>
        <v>116.86807469939048</v>
      </c>
    </row>
    <row r="476" spans="1:6" x14ac:dyDescent="0.25">
      <c r="A476">
        <v>196.66630792770843</v>
      </c>
      <c r="B476">
        <v>-116.19414886211997</v>
      </c>
      <c r="C476">
        <v>-2.4807679999999834</v>
      </c>
      <c r="E476">
        <f t="shared" si="25"/>
        <v>-122.98692169111013</v>
      </c>
      <c r="F476">
        <f t="shared" si="26"/>
        <v>121.83069987280884</v>
      </c>
    </row>
    <row r="477" spans="1:6" x14ac:dyDescent="0.25">
      <c r="A477">
        <v>205.05651510607552</v>
      </c>
      <c r="B477">
        <v>-99.356727267434039</v>
      </c>
      <c r="C477">
        <v>-2.4807679999999834</v>
      </c>
      <c r="E477">
        <f t="shared" si="25"/>
        <v>-106.4525710064825</v>
      </c>
      <c r="F477">
        <f t="shared" si="26"/>
        <v>127.59824901961332</v>
      </c>
    </row>
    <row r="478" spans="1:6" x14ac:dyDescent="0.25">
      <c r="A478">
        <v>215.71913240440389</v>
      </c>
      <c r="B478">
        <v>-75.911180284222269</v>
      </c>
      <c r="C478">
        <v>-2.4807679999999834</v>
      </c>
      <c r="E478">
        <f t="shared" si="25"/>
        <v>-83.393426394258455</v>
      </c>
      <c r="F478">
        <f t="shared" si="26"/>
        <v>134.97382527002642</v>
      </c>
    </row>
    <row r="479" spans="1:6" x14ac:dyDescent="0.25">
      <c r="A479">
        <v>220.91967750706164</v>
      </c>
      <c r="B479">
        <v>-51.628433588080433</v>
      </c>
      <c r="C479">
        <v>-2.4807679999999834</v>
      </c>
      <c r="E479">
        <f t="shared" si="25"/>
        <v>-59.306968497967468</v>
      </c>
      <c r="F479">
        <f t="shared" si="26"/>
        <v>138.85936883822126</v>
      </c>
    </row>
    <row r="480" spans="1:6" x14ac:dyDescent="0.25">
      <c r="A480">
        <v>223.54664879551933</v>
      </c>
      <c r="B480">
        <v>-26.669233920406825</v>
      </c>
      <c r="C480">
        <v>-2.4807679999999834</v>
      </c>
      <c r="E480">
        <f t="shared" si="25"/>
        <v>-34.454653276175492</v>
      </c>
      <c r="F480">
        <f t="shared" si="26"/>
        <v>141.10683362256043</v>
      </c>
    </row>
    <row r="481" spans="1:6" x14ac:dyDescent="0.25">
      <c r="A481">
        <v>224.4605387772431</v>
      </c>
      <c r="B481">
        <v>0</v>
      </c>
      <c r="C481">
        <v>-2.4807679999999834</v>
      </c>
      <c r="E481">
        <f t="shared" si="25"/>
        <v>-7.8335598328980112</v>
      </c>
      <c r="F481">
        <f t="shared" si="26"/>
        <v>142.29218289475381</v>
      </c>
    </row>
    <row r="482" spans="1:6" x14ac:dyDescent="0.25">
      <c r="A482">
        <v>223.54664879551933</v>
      </c>
      <c r="B482">
        <v>26.669233920406821</v>
      </c>
      <c r="C482">
        <v>-2.4807679999999834</v>
      </c>
      <c r="E482">
        <f t="shared" si="25"/>
        <v>18.851322211186702</v>
      </c>
      <c r="F482">
        <f t="shared" si="26"/>
        <v>142.30337355489763</v>
      </c>
    </row>
    <row r="483" spans="1:6" x14ac:dyDescent="0.25">
      <c r="A483">
        <v>220.91967750706172</v>
      </c>
      <c r="B483">
        <v>51.628433588080298</v>
      </c>
      <c r="C483">
        <v>-2.4807679999999834</v>
      </c>
      <c r="E483">
        <f t="shared" si="25"/>
        <v>43.886997384616734</v>
      </c>
      <c r="F483">
        <f t="shared" si="26"/>
        <v>141.17572642901388</v>
      </c>
    </row>
    <row r="484" spans="1:6" x14ac:dyDescent="0.25">
      <c r="A484">
        <v>215.71913240440389</v>
      </c>
      <c r="B484">
        <v>75.911180284222254</v>
      </c>
      <c r="C484">
        <v>-2.4807679999999834</v>
      </c>
      <c r="E484">
        <f t="shared" si="25"/>
        <v>68.336448094230676</v>
      </c>
      <c r="F484">
        <f t="shared" si="26"/>
        <v>138.37965082887078</v>
      </c>
    </row>
    <row r="485" spans="1:6" x14ac:dyDescent="0.25">
      <c r="A485">
        <v>205.05651510607558</v>
      </c>
      <c r="B485">
        <v>99.356727267434039</v>
      </c>
      <c r="C485">
        <v>-2.4807679999999834</v>
      </c>
      <c r="E485">
        <f t="shared" si="25"/>
        <v>92.139832660940797</v>
      </c>
      <c r="F485">
        <f t="shared" si="26"/>
        <v>132.05598080435928</v>
      </c>
    </row>
    <row r="486" spans="1:6" x14ac:dyDescent="0.25">
      <c r="A486">
        <v>196.66630792770849</v>
      </c>
      <c r="B486">
        <v>116.19414886211997</v>
      </c>
      <c r="C486">
        <v>-2.4807679999999834</v>
      </c>
      <c r="E486">
        <f t="shared" si="25"/>
        <v>109.25981136107788</v>
      </c>
      <c r="F486">
        <f t="shared" si="26"/>
        <v>127.04385820470515</v>
      </c>
    </row>
    <row r="487" spans="1:6" x14ac:dyDescent="0.25">
      <c r="A487">
        <v>189.41909230340656</v>
      </c>
      <c r="B487">
        <v>129.88126342939816</v>
      </c>
      <c r="C487">
        <v>-2.4807679999999834</v>
      </c>
      <c r="E487">
        <f t="shared" si="25"/>
        <v>123.19151228575777</v>
      </c>
      <c r="F487">
        <f t="shared" si="26"/>
        <v>122.69531812976012</v>
      </c>
    </row>
    <row r="488" spans="1:6" x14ac:dyDescent="0.25">
      <c r="A488">
        <v>182.70374136511654</v>
      </c>
      <c r="B488">
        <v>141.94560046659143</v>
      </c>
      <c r="C488">
        <v>-2.4807679999999834</v>
      </c>
      <c r="E488">
        <f t="shared" si="25"/>
        <v>135.48286242272246</v>
      </c>
      <c r="F488">
        <f t="shared" si="26"/>
        <v>118.65204211335562</v>
      </c>
    </row>
    <row r="489" spans="1:6" x14ac:dyDescent="0.25">
      <c r="A489">
        <v>176.10478453595218</v>
      </c>
      <c r="B489">
        <v>153.22553464642283</v>
      </c>
      <c r="C489">
        <v>-2.4807679999999834</v>
      </c>
      <c r="E489">
        <f t="shared" si="25"/>
        <v>146.98622544352452</v>
      </c>
      <c r="F489">
        <f t="shared" si="26"/>
        <v>114.66594073071937</v>
      </c>
    </row>
    <row r="490" spans="1:6" x14ac:dyDescent="0.25">
      <c r="A490">
        <v>165.51732545136414</v>
      </c>
      <c r="B490">
        <v>165.51732545136414</v>
      </c>
      <c r="C490">
        <v>-2.4807679999999834</v>
      </c>
      <c r="E490">
        <f t="shared" si="25"/>
        <v>159.64002541503095</v>
      </c>
      <c r="F490">
        <f t="shared" si="26"/>
        <v>108.14034023361823</v>
      </c>
    </row>
    <row r="491" spans="1:6" x14ac:dyDescent="0.25">
      <c r="A491">
        <v>153.22553464642283</v>
      </c>
      <c r="B491">
        <v>176.10478453595215</v>
      </c>
      <c r="C491">
        <v>-2.4807679999999834</v>
      </c>
      <c r="E491">
        <f t="shared" si="25"/>
        <v>170.65001221827308</v>
      </c>
      <c r="F491">
        <f t="shared" si="26"/>
        <v>100.48165057484333</v>
      </c>
    </row>
    <row r="492" spans="1:6" x14ac:dyDescent="0.25">
      <c r="A492">
        <v>141.94560046659149</v>
      </c>
      <c r="B492">
        <v>182.70374136511649</v>
      </c>
      <c r="C492">
        <v>-2.4807679999999834</v>
      </c>
      <c r="E492">
        <f t="shared" si="25"/>
        <v>177.6386131669484</v>
      </c>
      <c r="F492">
        <f t="shared" si="26"/>
        <v>93.383499678171304</v>
      </c>
    </row>
    <row r="493" spans="1:6" x14ac:dyDescent="0.25">
      <c r="A493">
        <v>129.88126342939825</v>
      </c>
      <c r="B493">
        <v>189.41909230340656</v>
      </c>
      <c r="C493">
        <v>-2.4807679999999834</v>
      </c>
      <c r="E493">
        <f t="shared" si="25"/>
        <v>184.77091258553696</v>
      </c>
      <c r="F493">
        <f t="shared" si="26"/>
        <v>85.784062556372021</v>
      </c>
    </row>
    <row r="494" spans="1:6" x14ac:dyDescent="0.25">
      <c r="A494">
        <v>116.19414886212009</v>
      </c>
      <c r="B494">
        <v>196.66630792770849</v>
      </c>
      <c r="C494">
        <v>-2.4807679999999834</v>
      </c>
      <c r="E494">
        <f t="shared" si="25"/>
        <v>192.49138681160125</v>
      </c>
      <c r="F494">
        <f t="shared" si="26"/>
        <v>77.154090875466977</v>
      </c>
    </row>
    <row r="495" spans="1:6" x14ac:dyDescent="0.25">
      <c r="A495">
        <v>99.356727267434152</v>
      </c>
      <c r="B495">
        <v>205.05651510607552</v>
      </c>
      <c r="C495">
        <v>-2.4807679999999834</v>
      </c>
      <c r="E495">
        <f t="shared" si="25"/>
        <v>201.4641004418734</v>
      </c>
      <c r="F495">
        <f t="shared" si="26"/>
        <v>66.526015121176172</v>
      </c>
    </row>
    <row r="496" spans="1:6" x14ac:dyDescent="0.25">
      <c r="A496">
        <v>75.911180284222155</v>
      </c>
      <c r="B496">
        <v>215.71913240440401</v>
      </c>
      <c r="C496">
        <v>-2.4807679999999834</v>
      </c>
      <c r="E496">
        <f t="shared" si="25"/>
        <v>212.93846015146698</v>
      </c>
      <c r="F496">
        <f t="shared" si="26"/>
        <v>51.703882674468296</v>
      </c>
    </row>
    <row r="497" spans="1:6" x14ac:dyDescent="0.25">
      <c r="A497">
        <v>51.628433588080327</v>
      </c>
      <c r="B497">
        <v>220.91967750706172</v>
      </c>
      <c r="C497">
        <v>-2.4807679999999834</v>
      </c>
      <c r="E497">
        <f t="shared" si="25"/>
        <v>218.98329286081184</v>
      </c>
      <c r="F497">
        <f t="shared" si="26"/>
        <v>36.221405977495948</v>
      </c>
    </row>
    <row r="498" spans="1:6" x14ac:dyDescent="0.25">
      <c r="A498">
        <v>26.669233920406825</v>
      </c>
      <c r="B498">
        <v>223.54664879551933</v>
      </c>
      <c r="C498">
        <v>-2.4807679999999834</v>
      </c>
      <c r="E498">
        <f t="shared" si="25"/>
        <v>222.47972737583794</v>
      </c>
      <c r="F498">
        <f t="shared" si="26"/>
        <v>20.246645680903946</v>
      </c>
    </row>
    <row r="499" spans="1:6" x14ac:dyDescent="0.25">
      <c r="A499">
        <v>1.3749874113544789E-14</v>
      </c>
      <c r="B499">
        <v>224.4605387772431</v>
      </c>
      <c r="C499">
        <v>-2.4807679999999834</v>
      </c>
      <c r="E499">
        <f t="shared" si="25"/>
        <v>224.32380348174081</v>
      </c>
      <c r="F499">
        <f t="shared" si="26"/>
        <v>3.1349366592576193</v>
      </c>
    </row>
    <row r="500" spans="1:6" x14ac:dyDescent="0.25">
      <c r="A500">
        <v>-26.669233920406789</v>
      </c>
      <c r="B500">
        <v>223.5466487955193</v>
      </c>
      <c r="C500">
        <v>-2.4807679999999834</v>
      </c>
      <c r="E500">
        <f t="shared" si="25"/>
        <v>224.34121305836487</v>
      </c>
      <c r="F500">
        <f t="shared" si="26"/>
        <v>-14.017774884626839</v>
      </c>
    </row>
    <row r="501" spans="1:6" x14ac:dyDescent="0.25">
      <c r="A501">
        <v>-51.628433588080298</v>
      </c>
      <c r="B501">
        <v>220.91967750706175</v>
      </c>
      <c r="C501">
        <v>-2.4807679999999834</v>
      </c>
      <c r="E501">
        <f t="shared" si="25"/>
        <v>222.58690555633686</v>
      </c>
      <c r="F501">
        <f t="shared" si="26"/>
        <v>-30.110396686244581</v>
      </c>
    </row>
    <row r="502" spans="1:6" x14ac:dyDescent="0.25">
      <c r="A502">
        <v>-75.911180284222127</v>
      </c>
      <c r="B502">
        <v>215.71913240440409</v>
      </c>
      <c r="C502">
        <v>-2.4807679999999834</v>
      </c>
      <c r="E502">
        <f t="shared" si="25"/>
        <v>218.2369841234914</v>
      </c>
      <c r="F502">
        <f t="shared" si="26"/>
        <v>-45.826200666026104</v>
      </c>
    </row>
    <row r="503" spans="1:6" x14ac:dyDescent="0.25">
      <c r="A503">
        <v>-99.356727267433897</v>
      </c>
      <c r="B503">
        <v>205.05651510607564</v>
      </c>
      <c r="C503">
        <v>-2.4807679999999834</v>
      </c>
      <c r="E503">
        <f t="shared" si="25"/>
        <v>208.39909999315574</v>
      </c>
      <c r="F503">
        <f t="shared" si="26"/>
        <v>-61.12672133411116</v>
      </c>
    </row>
    <row r="504" spans="1:6" x14ac:dyDescent="0.25">
      <c r="A504">
        <v>-116.1941488621199</v>
      </c>
      <c r="B504">
        <v>196.66630792770849</v>
      </c>
      <c r="C504">
        <v>-2.4807679999999834</v>
      </c>
      <c r="E504">
        <f t="shared" si="25"/>
        <v>200.60162144172821</v>
      </c>
      <c r="F504">
        <f t="shared" si="26"/>
        <v>-72.131231520656783</v>
      </c>
    </row>
    <row r="505" spans="1:6" x14ac:dyDescent="0.25">
      <c r="A505">
        <v>-129.88126342939822</v>
      </c>
      <c r="B505">
        <v>189.41909230340659</v>
      </c>
      <c r="C505">
        <v>-2.4807679999999834</v>
      </c>
      <c r="E505">
        <f t="shared" si="25"/>
        <v>193.83649403507891</v>
      </c>
      <c r="F505">
        <f t="shared" si="26"/>
        <v>-81.086356256899606</v>
      </c>
    </row>
    <row r="506" spans="1:6" x14ac:dyDescent="0.25">
      <c r="A506">
        <v>-141.94560046659151</v>
      </c>
      <c r="B506">
        <v>182.70374136511649</v>
      </c>
      <c r="C506">
        <v>-2.4807679999999834</v>
      </c>
      <c r="E506">
        <f t="shared" si="25"/>
        <v>187.54627319778507</v>
      </c>
      <c r="F506">
        <f t="shared" si="26"/>
        <v>-88.987083831259483</v>
      </c>
    </row>
    <row r="507" spans="1:6" x14ac:dyDescent="0.25">
      <c r="A507">
        <v>-153.22553464642283</v>
      </c>
      <c r="B507">
        <v>176.10478453595218</v>
      </c>
      <c r="C507">
        <v>-2.4807679999999834</v>
      </c>
      <c r="E507">
        <f t="shared" si="25"/>
        <v>181.3450003005367</v>
      </c>
      <c r="F507">
        <f t="shared" si="26"/>
        <v>-96.381303050757296</v>
      </c>
    </row>
    <row r="508" spans="1:6" x14ac:dyDescent="0.25">
      <c r="A508">
        <v>-165.51732545136414</v>
      </c>
      <c r="B508">
        <v>165.51732545136414</v>
      </c>
      <c r="C508">
        <v>-2.4807679999999834</v>
      </c>
      <c r="E508">
        <f t="shared" si="25"/>
        <v>171.19296812262434</v>
      </c>
      <c r="F508">
        <f t="shared" si="26"/>
        <v>-104.51500888789353</v>
      </c>
    </row>
    <row r="509" spans="1:6" x14ac:dyDescent="0.25">
      <c r="A509">
        <v>-176.10478453595215</v>
      </c>
      <c r="B509">
        <v>153.22553464642283</v>
      </c>
      <c r="C509">
        <v>-2.4807679999999834</v>
      </c>
      <c r="E509">
        <f t="shared" si="25"/>
        <v>159.27816213793875</v>
      </c>
      <c r="F509">
        <f t="shared" si="26"/>
        <v>-111.59209198782987</v>
      </c>
    </row>
    <row r="510" spans="1:6" x14ac:dyDescent="0.25">
      <c r="A510">
        <v>-182.70374136511654</v>
      </c>
      <c r="B510">
        <v>141.94560046659151</v>
      </c>
      <c r="C510">
        <v>-2.4807679999999834</v>
      </c>
      <c r="E510">
        <f t="shared" si="25"/>
        <v>148.23539966133555</v>
      </c>
      <c r="F510">
        <f t="shared" si="26"/>
        <v>-116.084278086682</v>
      </c>
    </row>
    <row r="511" spans="1:6" x14ac:dyDescent="0.25">
      <c r="A511">
        <v>-189.41909230340656</v>
      </c>
      <c r="B511">
        <v>129.88126342939825</v>
      </c>
      <c r="C511">
        <v>-2.4807679999999834</v>
      </c>
      <c r="E511">
        <f t="shared" si="25"/>
        <v>136.41277426022484</v>
      </c>
      <c r="F511">
        <f t="shared" si="26"/>
        <v>-120.6688317815252</v>
      </c>
    </row>
    <row r="512" spans="1:6" x14ac:dyDescent="0.25">
      <c r="A512">
        <v>-196.66630792770837</v>
      </c>
      <c r="B512">
        <v>116.19414886212006</v>
      </c>
      <c r="C512">
        <v>-2.4807679999999834</v>
      </c>
      <c r="E512">
        <f t="shared" si="25"/>
        <v>122.98692169111021</v>
      </c>
      <c r="F512">
        <f t="shared" si="26"/>
        <v>-125.63145695494353</v>
      </c>
    </row>
    <row r="513" spans="1:6" x14ac:dyDescent="0.25">
      <c r="A513">
        <v>-205.05651510607552</v>
      </c>
      <c r="B513">
        <v>99.356727267434152</v>
      </c>
      <c r="C513">
        <v>-2.4807679999999834</v>
      </c>
      <c r="E513">
        <f t="shared" si="25"/>
        <v>106.45257100648261</v>
      </c>
      <c r="F513">
        <f t="shared" si="26"/>
        <v>-131.39900610174806</v>
      </c>
    </row>
    <row r="514" spans="1:6" x14ac:dyDescent="0.25">
      <c r="A514">
        <v>-215.71913240440401</v>
      </c>
      <c r="B514">
        <v>75.911180284222155</v>
      </c>
      <c r="C514">
        <v>-2.4807679999999834</v>
      </c>
      <c r="E514">
        <f t="shared" si="25"/>
        <v>83.393426394258356</v>
      </c>
      <c r="F514">
        <f t="shared" si="26"/>
        <v>-138.77458235216125</v>
      </c>
    </row>
    <row r="515" spans="1:6" x14ac:dyDescent="0.25">
      <c r="A515">
        <v>-220.91967750706169</v>
      </c>
      <c r="B515">
        <v>51.628433588080355</v>
      </c>
      <c r="C515">
        <v>-2.4807679999999834</v>
      </c>
      <c r="E515">
        <f t="shared" si="25"/>
        <v>59.306968497967389</v>
      </c>
      <c r="F515">
        <f t="shared" si="26"/>
        <v>-142.66012592035602</v>
      </c>
    </row>
    <row r="516" spans="1:6" x14ac:dyDescent="0.25">
      <c r="A516">
        <v>-257.47009069479714</v>
      </c>
      <c r="B516">
        <v>-3.5807164794551893E-14</v>
      </c>
      <c r="C516">
        <v>53.819104000000024</v>
      </c>
      <c r="E516">
        <f t="shared" si="25"/>
        <v>8.9855765811956978</v>
      </c>
      <c r="F516">
        <f t="shared" si="26"/>
        <v>-124.16994134479248</v>
      </c>
    </row>
    <row r="517" spans="1:6" x14ac:dyDescent="0.25">
      <c r="A517">
        <v>-256.6646256583839</v>
      </c>
      <c r="B517">
        <v>-25.501018631988575</v>
      </c>
      <c r="C517">
        <v>53.819104000000024</v>
      </c>
      <c r="E517">
        <f t="shared" si="25"/>
        <v>-16.528017843638981</v>
      </c>
      <c r="F517">
        <f t="shared" si="26"/>
        <v>-124.22457722894748</v>
      </c>
    </row>
    <row r="518" spans="1:6" x14ac:dyDescent="0.25">
      <c r="A518">
        <v>-254.17325532698831</v>
      </c>
      <c r="B518">
        <v>-49.963749218620279</v>
      </c>
      <c r="C518">
        <v>53.819104000000024</v>
      </c>
      <c r="E518">
        <f t="shared" si="25"/>
        <v>-41.06279396642342</v>
      </c>
      <c r="F518">
        <f t="shared" si="26"/>
        <v>-123.17290234796053</v>
      </c>
    </row>
    <row r="519" spans="1:6" x14ac:dyDescent="0.25">
      <c r="A519">
        <v>-244.26593004737757</v>
      </c>
      <c r="B519">
        <v>-79.207190603752224</v>
      </c>
      <c r="C519">
        <v>53.819104000000024</v>
      </c>
      <c r="E519">
        <f t="shared" si="25"/>
        <v>-70.634181703121271</v>
      </c>
      <c r="F519">
        <f t="shared" si="26"/>
        <v>-117.46449288272194</v>
      </c>
    </row>
    <row r="520" spans="1:6" x14ac:dyDescent="0.25">
      <c r="A520">
        <v>-232.99381028978559</v>
      </c>
      <c r="B520">
        <v>-106.01151991228512</v>
      </c>
      <c r="C520">
        <v>53.819104000000024</v>
      </c>
      <c r="E520">
        <f t="shared" si="25"/>
        <v>-97.815573844778442</v>
      </c>
      <c r="F520">
        <f t="shared" si="26"/>
        <v>-110.8246283347008</v>
      </c>
    </row>
    <row r="521" spans="1:6" x14ac:dyDescent="0.25">
      <c r="A521">
        <v>-223.80559390391369</v>
      </c>
      <c r="B521">
        <v>-125.28220906422663</v>
      </c>
      <c r="C521">
        <v>53.819104000000024</v>
      </c>
      <c r="E521">
        <f t="shared" si="25"/>
        <v>-117.39518794102578</v>
      </c>
      <c r="F521">
        <f t="shared" si="26"/>
        <v>-105.35445318326154</v>
      </c>
    </row>
    <row r="522" spans="1:6" x14ac:dyDescent="0.25">
      <c r="A522">
        <v>-214.05686164929298</v>
      </c>
      <c r="B522">
        <v>-139.5122410762371</v>
      </c>
      <c r="C522">
        <v>53.819104000000024</v>
      </c>
      <c r="E522">
        <f t="shared" si="25"/>
        <v>-131.95677725119083</v>
      </c>
      <c r="F522">
        <f t="shared" si="26"/>
        <v>-99.4111279764264</v>
      </c>
    </row>
    <row r="523" spans="1:6" x14ac:dyDescent="0.25">
      <c r="A523">
        <v>-203.25495405082023</v>
      </c>
      <c r="B523">
        <v>-150.21924417087089</v>
      </c>
      <c r="C523">
        <v>53.819104000000024</v>
      </c>
      <c r="E523">
        <f t="shared" si="25"/>
        <v>-143.03423906744652</v>
      </c>
      <c r="F523">
        <f t="shared" si="26"/>
        <v>-92.71221511728578</v>
      </c>
    </row>
    <row r="524" spans="1:6" x14ac:dyDescent="0.25">
      <c r="A524">
        <v>-189.48697498212746</v>
      </c>
      <c r="B524">
        <v>-163.06167236854122</v>
      </c>
      <c r="C524">
        <v>53.819104000000024</v>
      </c>
      <c r="E524">
        <f t="shared" si="25"/>
        <v>-156.34933954495759</v>
      </c>
      <c r="F524">
        <f t="shared" si="26"/>
        <v>-84.15581360341983</v>
      </c>
    </row>
    <row r="525" spans="1:6" x14ac:dyDescent="0.25">
      <c r="A525">
        <v>-176.07691016630028</v>
      </c>
      <c r="B525">
        <v>-176.07691016630031</v>
      </c>
      <c r="C525">
        <v>53.819104000000024</v>
      </c>
      <c r="E525">
        <f t="shared" si="25"/>
        <v>-169.82465332433051</v>
      </c>
      <c r="F525">
        <f t="shared" si="26"/>
        <v>-75.833211420104561</v>
      </c>
    </row>
    <row r="526" spans="1:6" x14ac:dyDescent="0.25">
      <c r="A526">
        <v>-163.06167236854122</v>
      </c>
      <c r="B526">
        <v>-189.48697498212752</v>
      </c>
      <c r="C526">
        <v>53.819104000000024</v>
      </c>
      <c r="E526">
        <f t="shared" si="25"/>
        <v>-183.68077433960491</v>
      </c>
      <c r="F526">
        <f t="shared" si="26"/>
        <v>-67.773101690321909</v>
      </c>
    </row>
    <row r="527" spans="1:6" x14ac:dyDescent="0.25">
      <c r="A527">
        <v>-150.21924417087084</v>
      </c>
      <c r="B527">
        <v>-203.25495405082023</v>
      </c>
      <c r="C527">
        <v>53.819104000000024</v>
      </c>
      <c r="E527">
        <f t="shared" si="25"/>
        <v>-197.88856060798403</v>
      </c>
      <c r="F527">
        <f t="shared" si="26"/>
        <v>-59.832033241028491</v>
      </c>
    </row>
    <row r="528" spans="1:6" x14ac:dyDescent="0.25">
      <c r="A528">
        <v>-139.51224107623716</v>
      </c>
      <c r="B528">
        <v>-214.05686164929284</v>
      </c>
      <c r="C528">
        <v>53.819104000000024</v>
      </c>
      <c r="E528">
        <f t="shared" si="25"/>
        <v>-209.05755699540026</v>
      </c>
      <c r="F528">
        <f t="shared" si="26"/>
        <v>-53.196215648736363</v>
      </c>
    </row>
    <row r="529" spans="1:6" x14ac:dyDescent="0.25">
      <c r="A529">
        <v>-125.28220906422656</v>
      </c>
      <c r="B529">
        <v>-223.80559390391375</v>
      </c>
      <c r="C529">
        <v>53.819104000000024</v>
      </c>
      <c r="E529">
        <f t="shared" si="25"/>
        <v>-219.29697154101325</v>
      </c>
      <c r="F529">
        <f t="shared" si="26"/>
        <v>-44.273592383506106</v>
      </c>
    </row>
    <row r="530" spans="1:6" x14ac:dyDescent="0.25">
      <c r="A530">
        <v>-106.01151991228511</v>
      </c>
      <c r="B530">
        <v>-232.99381028978559</v>
      </c>
      <c r="C530">
        <v>53.819104000000024</v>
      </c>
      <c r="E530">
        <f t="shared" si="25"/>
        <v>-229.15212806623322</v>
      </c>
      <c r="F530">
        <f t="shared" si="26"/>
        <v>-32.100296895999669</v>
      </c>
    </row>
    <row r="531" spans="1:6" x14ac:dyDescent="0.25">
      <c r="A531">
        <v>-79.207190603752139</v>
      </c>
      <c r="B531">
        <v>-244.26593004737768</v>
      </c>
      <c r="C531">
        <v>53.819104000000024</v>
      </c>
      <c r="E531">
        <f t="shared" si="25"/>
        <v>-241.35283875534736</v>
      </c>
      <c r="F531">
        <f t="shared" si="26"/>
        <v>-15.134168928220632</v>
      </c>
    </row>
    <row r="532" spans="1:6" x14ac:dyDescent="0.25">
      <c r="A532">
        <v>-49.963749218620286</v>
      </c>
      <c r="B532">
        <v>-254.17325532698831</v>
      </c>
      <c r="C532">
        <v>53.819104000000024</v>
      </c>
      <c r="E532">
        <f t="shared" ref="E532:E595" si="27">($I$2*A532)+($K$2*B532)+($M$2*C532)</f>
        <v>-252.27471014627483</v>
      </c>
      <c r="F532">
        <f t="shared" ref="F532:F595" si="28">($J$2*A532)+($L$2*B532)+($N$2*C532)</f>
        <v>3.4294513662162771</v>
      </c>
    </row>
    <row r="533" spans="1:6" x14ac:dyDescent="0.25">
      <c r="A533">
        <v>-25.501018631988586</v>
      </c>
      <c r="B533">
        <v>-256.6646256583839</v>
      </c>
      <c r="C533">
        <v>53.819104000000024</v>
      </c>
      <c r="E533">
        <f t="shared" si="27"/>
        <v>-255.61829978762142</v>
      </c>
      <c r="F533">
        <f t="shared" si="28"/>
        <v>19.08832382214333</v>
      </c>
    </row>
    <row r="534" spans="1:6" x14ac:dyDescent="0.25">
      <c r="A534">
        <v>1.577195418999565E-14</v>
      </c>
      <c r="B534">
        <v>-257.47009069479714</v>
      </c>
      <c r="C534">
        <v>53.819104000000024</v>
      </c>
      <c r="E534">
        <f t="shared" si="27"/>
        <v>-257.31324687215488</v>
      </c>
      <c r="F534">
        <f t="shared" si="28"/>
        <v>35.45200826056027</v>
      </c>
    </row>
    <row r="535" spans="1:6" x14ac:dyDescent="0.25">
      <c r="A535">
        <v>25.501018631988561</v>
      </c>
      <c r="B535">
        <v>-256.6646256583839</v>
      </c>
      <c r="C535">
        <v>53.819104000000024</v>
      </c>
      <c r="E535">
        <f t="shared" si="27"/>
        <v>-257.39824521893644</v>
      </c>
      <c r="F535">
        <f t="shared" si="28"/>
        <v>51.851830635411574</v>
      </c>
    </row>
    <row r="536" spans="1:6" x14ac:dyDescent="0.25">
      <c r="A536">
        <v>49.963749218620315</v>
      </c>
      <c r="B536">
        <v>-254.17325532698837</v>
      </c>
      <c r="C536">
        <v>53.819104000000024</v>
      </c>
      <c r="E536">
        <f t="shared" si="27"/>
        <v>-255.76212954847452</v>
      </c>
      <c r="F536">
        <f t="shared" si="28"/>
        <v>67.622480733570598</v>
      </c>
    </row>
    <row r="537" spans="1:6" x14ac:dyDescent="0.25">
      <c r="A537">
        <v>79.207190603752153</v>
      </c>
      <c r="B537">
        <v>-244.26593004737757</v>
      </c>
      <c r="C537">
        <v>53.819104000000024</v>
      </c>
      <c r="E537">
        <f t="shared" si="27"/>
        <v>-246.88142092992729</v>
      </c>
      <c r="F537">
        <f t="shared" si="28"/>
        <v>86.630602371956371</v>
      </c>
    </row>
    <row r="538" spans="1:6" x14ac:dyDescent="0.25">
      <c r="A538">
        <v>106.01151991228511</v>
      </c>
      <c r="B538">
        <v>-232.99381028978559</v>
      </c>
      <c r="C538">
        <v>53.819104000000024</v>
      </c>
      <c r="E538">
        <f t="shared" si="27"/>
        <v>-236.55162544544504</v>
      </c>
      <c r="F538">
        <f t="shared" si="28"/>
        <v>104.10246445464472</v>
      </c>
    </row>
    <row r="539" spans="1:6" x14ac:dyDescent="0.25">
      <c r="A539">
        <v>125.28220906422659</v>
      </c>
      <c r="B539">
        <v>-223.80559390391375</v>
      </c>
      <c r="C539">
        <v>53.819104000000024</v>
      </c>
      <c r="E539">
        <f t="shared" si="27"/>
        <v>-228.04154362525128</v>
      </c>
      <c r="F539">
        <f t="shared" si="28"/>
        <v>116.68799779815637</v>
      </c>
    </row>
    <row r="540" spans="1:6" x14ac:dyDescent="0.25">
      <c r="A540">
        <v>139.51224107623713</v>
      </c>
      <c r="B540">
        <v>-214.05686164929298</v>
      </c>
      <c r="C540">
        <v>53.819104000000024</v>
      </c>
      <c r="E540">
        <f t="shared" si="27"/>
        <v>-218.79537099019777</v>
      </c>
      <c r="F540">
        <f t="shared" si="28"/>
        <v>126.0480069840745</v>
      </c>
    </row>
    <row r="541" spans="1:6" x14ac:dyDescent="0.25">
      <c r="A541">
        <v>150.21924417087087</v>
      </c>
      <c r="B541">
        <v>-203.25495405082034</v>
      </c>
      <c r="C541">
        <v>53.819104000000024</v>
      </c>
      <c r="E541">
        <f t="shared" si="27"/>
        <v>-208.37371264117118</v>
      </c>
      <c r="F541">
        <f t="shared" si="28"/>
        <v>133.16846218633935</v>
      </c>
    </row>
    <row r="542" spans="1:6" x14ac:dyDescent="0.25">
      <c r="A542">
        <v>163.06167236854122</v>
      </c>
      <c r="B542">
        <v>-189.48697498212746</v>
      </c>
      <c r="C542">
        <v>53.819104000000024</v>
      </c>
      <c r="E542">
        <f t="shared" si="27"/>
        <v>-195.06231493386531</v>
      </c>
      <c r="F542">
        <f t="shared" si="28"/>
        <v>141.72724379501483</v>
      </c>
    </row>
    <row r="543" spans="1:6" x14ac:dyDescent="0.25">
      <c r="A543">
        <v>176.07691016630031</v>
      </c>
      <c r="B543">
        <v>-176.07691016630028</v>
      </c>
      <c r="C543">
        <v>53.819104000000024</v>
      </c>
      <c r="E543">
        <f t="shared" si="27"/>
        <v>-182.11464441580125</v>
      </c>
      <c r="F543">
        <f t="shared" si="28"/>
        <v>150.38900852903402</v>
      </c>
    </row>
    <row r="544" spans="1:6" x14ac:dyDescent="0.25">
      <c r="A544">
        <v>189.48697498212752</v>
      </c>
      <c r="B544">
        <v>-163.06167236854122</v>
      </c>
      <c r="C544">
        <v>53.819104000000024</v>
      </c>
      <c r="E544">
        <f t="shared" si="27"/>
        <v>-169.5753396620689</v>
      </c>
      <c r="F544">
        <f t="shared" si="28"/>
        <v>159.29555143596968</v>
      </c>
    </row>
    <row r="545" spans="1:6" x14ac:dyDescent="0.25">
      <c r="A545">
        <v>203.25495405082029</v>
      </c>
      <c r="B545">
        <v>-150.21924417087089</v>
      </c>
      <c r="C545">
        <v>53.819104000000024</v>
      </c>
      <c r="E545">
        <f t="shared" si="27"/>
        <v>-157.22123026477377</v>
      </c>
      <c r="F545">
        <f t="shared" si="28"/>
        <v>168.42814041035837</v>
      </c>
    </row>
    <row r="546" spans="1:6" x14ac:dyDescent="0.25">
      <c r="A546">
        <v>214.05686164929298</v>
      </c>
      <c r="B546">
        <v>-139.5122410762371</v>
      </c>
      <c r="C546">
        <v>53.819104000000024</v>
      </c>
      <c r="E546">
        <f t="shared" si="27"/>
        <v>-146.8977307257453</v>
      </c>
      <c r="F546">
        <f t="shared" si="28"/>
        <v>175.60743290082328</v>
      </c>
    </row>
    <row r="547" spans="1:6" x14ac:dyDescent="0.25">
      <c r="A547">
        <v>223.80559390391369</v>
      </c>
      <c r="B547">
        <v>-125.28220906422659</v>
      </c>
      <c r="C547">
        <v>53.819104000000024</v>
      </c>
      <c r="E547">
        <f t="shared" si="27"/>
        <v>-133.0165931139276</v>
      </c>
      <c r="F547">
        <f t="shared" si="28"/>
        <v>182.18920170118727</v>
      </c>
    </row>
    <row r="548" spans="1:6" x14ac:dyDescent="0.25">
      <c r="A548">
        <v>232.99381028978559</v>
      </c>
      <c r="B548">
        <v>-106.01151991228512</v>
      </c>
      <c r="C548">
        <v>53.819104000000024</v>
      </c>
      <c r="E548">
        <f t="shared" si="27"/>
        <v>-114.07830727260151</v>
      </c>
      <c r="F548">
        <f t="shared" si="28"/>
        <v>188.52397420712018</v>
      </c>
    </row>
    <row r="549" spans="1:6" x14ac:dyDescent="0.25">
      <c r="A549">
        <v>244.26593004737762</v>
      </c>
      <c r="B549">
        <v>-79.207190603752224</v>
      </c>
      <c r="C549">
        <v>53.819104000000024</v>
      </c>
      <c r="E549">
        <f t="shared" si="27"/>
        <v>-87.683697743564892</v>
      </c>
      <c r="F549">
        <f t="shared" si="28"/>
        <v>196.36643986745284</v>
      </c>
    </row>
    <row r="550" spans="1:6" x14ac:dyDescent="0.25">
      <c r="A550">
        <v>254.17325532698837</v>
      </c>
      <c r="B550">
        <v>-49.963749218620379</v>
      </c>
      <c r="C550">
        <v>53.819104000000024</v>
      </c>
      <c r="E550">
        <f t="shared" si="27"/>
        <v>-58.80383133871991</v>
      </c>
      <c r="F550">
        <f t="shared" si="28"/>
        <v>203.38688347213096</v>
      </c>
    </row>
    <row r="551" spans="1:6" x14ac:dyDescent="0.25">
      <c r="A551">
        <v>256.6646256583839</v>
      </c>
      <c r="B551">
        <v>-25.501018631988561</v>
      </c>
      <c r="C551">
        <v>53.819104000000024</v>
      </c>
      <c r="E551">
        <f t="shared" si="27"/>
        <v>-34.44295035726585</v>
      </c>
      <c r="F551">
        <f t="shared" si="28"/>
        <v>205.53610146546478</v>
      </c>
    </row>
    <row r="552" spans="1:6" x14ac:dyDescent="0.25">
      <c r="A552">
        <v>257.47009069479714</v>
      </c>
      <c r="B552">
        <v>0</v>
      </c>
      <c r="C552">
        <v>53.819104000000024</v>
      </c>
      <c r="E552">
        <f t="shared" si="27"/>
        <v>-8.9855765811957191</v>
      </c>
      <c r="F552">
        <f t="shared" si="28"/>
        <v>206.62559245047723</v>
      </c>
    </row>
    <row r="553" spans="1:6" x14ac:dyDescent="0.25">
      <c r="A553">
        <v>256.6646256583839</v>
      </c>
      <c r="B553">
        <v>25.501018631988543</v>
      </c>
      <c r="C553">
        <v>53.819104000000024</v>
      </c>
      <c r="E553">
        <f t="shared" si="27"/>
        <v>16.528017843638963</v>
      </c>
      <c r="F553">
        <f t="shared" si="28"/>
        <v>206.68022833463223</v>
      </c>
    </row>
    <row r="554" spans="1:6" x14ac:dyDescent="0.25">
      <c r="A554">
        <v>254.17325532698842</v>
      </c>
      <c r="B554">
        <v>49.963749218620265</v>
      </c>
      <c r="C554">
        <v>53.819104000000024</v>
      </c>
      <c r="E554">
        <f t="shared" si="27"/>
        <v>41.06279396642342</v>
      </c>
      <c r="F554">
        <f t="shared" si="28"/>
        <v>205.62855345364537</v>
      </c>
    </row>
    <row r="555" spans="1:6" x14ac:dyDescent="0.25">
      <c r="A555">
        <v>244.26593004737757</v>
      </c>
      <c r="B555">
        <v>79.207190603752196</v>
      </c>
      <c r="C555">
        <v>53.819104000000024</v>
      </c>
      <c r="E555">
        <f t="shared" si="27"/>
        <v>70.634181703121243</v>
      </c>
      <c r="F555">
        <f t="shared" si="28"/>
        <v>199.92014398840669</v>
      </c>
    </row>
    <row r="556" spans="1:6" x14ac:dyDescent="0.25">
      <c r="A556">
        <v>232.99381028978559</v>
      </c>
      <c r="B556">
        <v>106.01151991228511</v>
      </c>
      <c r="C556">
        <v>53.819104000000024</v>
      </c>
      <c r="E556">
        <f t="shared" si="27"/>
        <v>97.815573844778427</v>
      </c>
      <c r="F556">
        <f t="shared" si="28"/>
        <v>193.28027944038556</v>
      </c>
    </row>
    <row r="557" spans="1:6" x14ac:dyDescent="0.25">
      <c r="A557">
        <v>223.80559390391369</v>
      </c>
      <c r="B557">
        <v>125.28220906422659</v>
      </c>
      <c r="C557">
        <v>53.819104000000024</v>
      </c>
      <c r="E557">
        <f t="shared" si="27"/>
        <v>117.39518794102574</v>
      </c>
      <c r="F557">
        <f t="shared" si="28"/>
        <v>187.81010428894629</v>
      </c>
    </row>
    <row r="558" spans="1:6" x14ac:dyDescent="0.25">
      <c r="A558">
        <v>214.05686164929298</v>
      </c>
      <c r="B558">
        <v>139.5122410762371</v>
      </c>
      <c r="C558">
        <v>53.819104000000024</v>
      </c>
      <c r="E558">
        <f t="shared" si="27"/>
        <v>131.95677725119083</v>
      </c>
      <c r="F558">
        <f t="shared" si="28"/>
        <v>181.86677908211115</v>
      </c>
    </row>
    <row r="559" spans="1:6" x14ac:dyDescent="0.25">
      <c r="A559">
        <v>203.25495405082032</v>
      </c>
      <c r="B559">
        <v>150.21924417087084</v>
      </c>
      <c r="C559">
        <v>53.819104000000024</v>
      </c>
      <c r="E559">
        <f t="shared" si="27"/>
        <v>143.03423906744646</v>
      </c>
      <c r="F559">
        <f t="shared" si="28"/>
        <v>175.16786622297059</v>
      </c>
    </row>
    <row r="560" spans="1:6" x14ac:dyDescent="0.25">
      <c r="A560">
        <v>189.48697498212746</v>
      </c>
      <c r="B560">
        <v>163.06167236854117</v>
      </c>
      <c r="C560">
        <v>53.819104000000024</v>
      </c>
      <c r="E560">
        <f t="shared" si="27"/>
        <v>156.34933954495753</v>
      </c>
      <c r="F560">
        <f t="shared" si="28"/>
        <v>166.61146470910458</v>
      </c>
    </row>
    <row r="561" spans="1:6" x14ac:dyDescent="0.25">
      <c r="A561">
        <v>176.07691016630031</v>
      </c>
      <c r="B561">
        <v>176.07691016630028</v>
      </c>
      <c r="C561">
        <v>53.819104000000024</v>
      </c>
      <c r="E561">
        <f t="shared" si="27"/>
        <v>169.82465332433048</v>
      </c>
      <c r="F561">
        <f t="shared" si="28"/>
        <v>158.28886252578934</v>
      </c>
    </row>
    <row r="562" spans="1:6" x14ac:dyDescent="0.25">
      <c r="A562">
        <v>163.0616723685412</v>
      </c>
      <c r="B562">
        <v>189.48697498212746</v>
      </c>
      <c r="C562">
        <v>53.819104000000024</v>
      </c>
      <c r="E562">
        <f t="shared" si="27"/>
        <v>183.68077433960485</v>
      </c>
      <c r="F562">
        <f t="shared" si="28"/>
        <v>150.22875279600663</v>
      </c>
    </row>
    <row r="563" spans="1:6" x14ac:dyDescent="0.25">
      <c r="A563">
        <v>150.21924417087089</v>
      </c>
      <c r="B563">
        <v>203.25495405082023</v>
      </c>
      <c r="C563">
        <v>53.819104000000024</v>
      </c>
      <c r="E563">
        <f t="shared" si="27"/>
        <v>197.88856060798403</v>
      </c>
      <c r="F563">
        <f t="shared" si="28"/>
        <v>142.28768434671329</v>
      </c>
    </row>
    <row r="564" spans="1:6" x14ac:dyDescent="0.25">
      <c r="A564">
        <v>139.51224107623725</v>
      </c>
      <c r="B564">
        <v>214.05686164929296</v>
      </c>
      <c r="C564">
        <v>53.819104000000024</v>
      </c>
      <c r="E564">
        <f t="shared" si="27"/>
        <v>209.05755699540038</v>
      </c>
      <c r="F564">
        <f t="shared" si="28"/>
        <v>135.65186675442118</v>
      </c>
    </row>
    <row r="565" spans="1:6" x14ac:dyDescent="0.25">
      <c r="A565">
        <v>125.28220906422666</v>
      </c>
      <c r="B565">
        <v>223.80559390391366</v>
      </c>
      <c r="C565">
        <v>53.819104000000024</v>
      </c>
      <c r="E565">
        <f t="shared" si="27"/>
        <v>219.29697154101314</v>
      </c>
      <c r="F565">
        <f t="shared" si="28"/>
        <v>126.72924348919091</v>
      </c>
    </row>
    <row r="566" spans="1:6" x14ac:dyDescent="0.25">
      <c r="A566">
        <v>106.01151991228522</v>
      </c>
      <c r="B566">
        <v>232.9938102897855</v>
      </c>
      <c r="C566">
        <v>53.819104000000024</v>
      </c>
      <c r="E566">
        <f t="shared" si="27"/>
        <v>229.1521280662331</v>
      </c>
      <c r="F566">
        <f t="shared" si="28"/>
        <v>114.5559480016845</v>
      </c>
    </row>
    <row r="567" spans="1:6" x14ac:dyDescent="0.25">
      <c r="A567">
        <v>79.207190603752096</v>
      </c>
      <c r="B567">
        <v>244.26593004737762</v>
      </c>
      <c r="C567">
        <v>53.819104000000024</v>
      </c>
      <c r="E567">
        <f t="shared" si="27"/>
        <v>241.35283875534731</v>
      </c>
      <c r="F567">
        <f t="shared" si="28"/>
        <v>97.589820033905369</v>
      </c>
    </row>
    <row r="568" spans="1:6" x14ac:dyDescent="0.25">
      <c r="A568">
        <v>49.963749218620258</v>
      </c>
      <c r="B568">
        <v>254.17325532698837</v>
      </c>
      <c r="C568">
        <v>53.819104000000024</v>
      </c>
      <c r="E568">
        <f t="shared" si="27"/>
        <v>252.27471014627488</v>
      </c>
      <c r="F568">
        <f t="shared" si="28"/>
        <v>79.026199739468467</v>
      </c>
    </row>
    <row r="569" spans="1:6" x14ac:dyDescent="0.25">
      <c r="A569">
        <v>25.501018631988572</v>
      </c>
      <c r="B569">
        <v>256.6646256583839</v>
      </c>
      <c r="C569">
        <v>53.819104000000024</v>
      </c>
      <c r="E569">
        <f t="shared" si="27"/>
        <v>255.61829978762142</v>
      </c>
      <c r="F569">
        <f t="shared" si="28"/>
        <v>63.367327283541428</v>
      </c>
    </row>
    <row r="570" spans="1:6" x14ac:dyDescent="0.25">
      <c r="A570">
        <v>1.577195418999565E-14</v>
      </c>
      <c r="B570">
        <v>257.47009069479714</v>
      </c>
      <c r="C570">
        <v>53.819104000000024</v>
      </c>
      <c r="E570">
        <f t="shared" si="27"/>
        <v>257.31324687215488</v>
      </c>
      <c r="F570">
        <f t="shared" si="28"/>
        <v>47.003642845124517</v>
      </c>
    </row>
    <row r="571" spans="1:6" x14ac:dyDescent="0.25">
      <c r="A571">
        <v>-25.501018631988543</v>
      </c>
      <c r="B571">
        <v>256.6646256583839</v>
      </c>
      <c r="C571">
        <v>53.819104000000024</v>
      </c>
      <c r="E571">
        <f t="shared" si="27"/>
        <v>257.39824521893644</v>
      </c>
      <c r="F571">
        <f t="shared" si="28"/>
        <v>30.603820470273202</v>
      </c>
    </row>
    <row r="572" spans="1:6" x14ac:dyDescent="0.25">
      <c r="A572">
        <v>-49.963749218620258</v>
      </c>
      <c r="B572">
        <v>254.17325532698837</v>
      </c>
      <c r="C572">
        <v>53.819104000000024</v>
      </c>
      <c r="E572">
        <f t="shared" si="27"/>
        <v>255.76212954847452</v>
      </c>
      <c r="F572">
        <f t="shared" si="28"/>
        <v>14.833170372114211</v>
      </c>
    </row>
    <row r="573" spans="1:6" x14ac:dyDescent="0.25">
      <c r="A573">
        <v>-79.207190603752039</v>
      </c>
      <c r="B573">
        <v>244.26593004737768</v>
      </c>
      <c r="C573">
        <v>53.819104000000024</v>
      </c>
      <c r="E573">
        <f t="shared" si="27"/>
        <v>246.8814209299274</v>
      </c>
      <c r="F573">
        <f t="shared" si="28"/>
        <v>-4.1749512662715418</v>
      </c>
    </row>
    <row r="574" spans="1:6" x14ac:dyDescent="0.25">
      <c r="A574">
        <v>-106.01151991228498</v>
      </c>
      <c r="B574">
        <v>232.99381028978559</v>
      </c>
      <c r="C574">
        <v>53.819104000000024</v>
      </c>
      <c r="E574">
        <f t="shared" si="27"/>
        <v>236.55162544544504</v>
      </c>
      <c r="F574">
        <f t="shared" si="28"/>
        <v>-21.64681334895986</v>
      </c>
    </row>
    <row r="575" spans="1:6" x14ac:dyDescent="0.25">
      <c r="A575">
        <v>-125.28220906422651</v>
      </c>
      <c r="B575">
        <v>223.8055939039138</v>
      </c>
      <c r="C575">
        <v>53.819104000000024</v>
      </c>
      <c r="E575">
        <f t="shared" si="27"/>
        <v>228.04154362525134</v>
      </c>
      <c r="F575">
        <f t="shared" si="28"/>
        <v>-34.232346692471559</v>
      </c>
    </row>
    <row r="576" spans="1:6" x14ac:dyDescent="0.25">
      <c r="A576">
        <v>-139.51224107623713</v>
      </c>
      <c r="B576">
        <v>214.05686164929287</v>
      </c>
      <c r="C576">
        <v>53.819104000000024</v>
      </c>
      <c r="E576">
        <f t="shared" si="27"/>
        <v>218.79537099019765</v>
      </c>
      <c r="F576">
        <f t="shared" si="28"/>
        <v>-43.592355878389732</v>
      </c>
    </row>
    <row r="577" spans="1:6" x14ac:dyDescent="0.25">
      <c r="A577">
        <v>-150.21924417087087</v>
      </c>
      <c r="B577">
        <v>203.25495405082023</v>
      </c>
      <c r="C577">
        <v>53.819104000000024</v>
      </c>
      <c r="E577">
        <f t="shared" si="27"/>
        <v>208.37371264117107</v>
      </c>
      <c r="F577">
        <f t="shared" si="28"/>
        <v>-50.712811080654596</v>
      </c>
    </row>
    <row r="578" spans="1:6" x14ac:dyDescent="0.25">
      <c r="A578">
        <v>-163.06167236854117</v>
      </c>
      <c r="B578">
        <v>189.48697498212746</v>
      </c>
      <c r="C578">
        <v>53.819104000000024</v>
      </c>
      <c r="E578">
        <f t="shared" si="27"/>
        <v>195.06231493386531</v>
      </c>
      <c r="F578">
        <f t="shared" si="28"/>
        <v>-59.271592689330014</v>
      </c>
    </row>
    <row r="579" spans="1:6" x14ac:dyDescent="0.25">
      <c r="A579">
        <v>-176.07691016630028</v>
      </c>
      <c r="B579">
        <v>176.07691016630031</v>
      </c>
      <c r="C579">
        <v>53.819104000000024</v>
      </c>
      <c r="E579">
        <f t="shared" si="27"/>
        <v>182.11464441580128</v>
      </c>
      <c r="F579">
        <f t="shared" si="28"/>
        <v>-67.933357423349236</v>
      </c>
    </row>
    <row r="580" spans="1:6" x14ac:dyDescent="0.25">
      <c r="A580">
        <v>-189.48697498212746</v>
      </c>
      <c r="B580">
        <v>163.0616723685412</v>
      </c>
      <c r="C580">
        <v>53.819104000000024</v>
      </c>
      <c r="E580">
        <f t="shared" si="27"/>
        <v>169.57533966206887</v>
      </c>
      <c r="F580">
        <f t="shared" si="28"/>
        <v>-76.839900330284877</v>
      </c>
    </row>
    <row r="581" spans="1:6" x14ac:dyDescent="0.25">
      <c r="A581">
        <v>-203.2549540508202</v>
      </c>
      <c r="B581">
        <v>150.21924417087089</v>
      </c>
      <c r="C581">
        <v>53.819104000000024</v>
      </c>
      <c r="E581">
        <f t="shared" si="27"/>
        <v>157.22123026477374</v>
      </c>
      <c r="F581">
        <f t="shared" si="28"/>
        <v>-85.972489304673559</v>
      </c>
    </row>
    <row r="582" spans="1:6" x14ac:dyDescent="0.25">
      <c r="A582">
        <v>-214.05686164929293</v>
      </c>
      <c r="B582">
        <v>139.51224107623719</v>
      </c>
      <c r="C582">
        <v>53.819104000000024</v>
      </c>
      <c r="E582">
        <f t="shared" si="27"/>
        <v>146.89773072574539</v>
      </c>
      <c r="F582">
        <f t="shared" si="28"/>
        <v>-93.151781795138504</v>
      </c>
    </row>
    <row r="583" spans="1:6" x14ac:dyDescent="0.25">
      <c r="A583">
        <v>-223.80559390391363</v>
      </c>
      <c r="B583">
        <v>125.28220906422666</v>
      </c>
      <c r="C583">
        <v>53.819104000000024</v>
      </c>
      <c r="E583">
        <f t="shared" si="27"/>
        <v>133.01659311392768</v>
      </c>
      <c r="F583">
        <f t="shared" si="28"/>
        <v>-99.733550595502493</v>
      </c>
    </row>
    <row r="584" spans="1:6" x14ac:dyDescent="0.25">
      <c r="A584">
        <v>-232.9938102897855</v>
      </c>
      <c r="B584">
        <v>106.01151991228524</v>
      </c>
      <c r="C584">
        <v>53.819104000000024</v>
      </c>
      <c r="E584">
        <f t="shared" si="27"/>
        <v>114.07830727260162</v>
      </c>
      <c r="F584">
        <f t="shared" si="28"/>
        <v>-106.06832310143537</v>
      </c>
    </row>
    <row r="585" spans="1:6" x14ac:dyDescent="0.25">
      <c r="A585">
        <v>-244.26593004737762</v>
      </c>
      <c r="B585">
        <v>79.207190603752096</v>
      </c>
      <c r="C585">
        <v>53.819104000000024</v>
      </c>
      <c r="E585">
        <f t="shared" si="27"/>
        <v>87.683697743564764</v>
      </c>
      <c r="F585">
        <f t="shared" si="28"/>
        <v>-113.91078876176809</v>
      </c>
    </row>
    <row r="586" spans="1:6" x14ac:dyDescent="0.25">
      <c r="A586">
        <v>-254.17325532698831</v>
      </c>
      <c r="B586">
        <v>49.963749218620279</v>
      </c>
      <c r="C586">
        <v>53.819104000000024</v>
      </c>
      <c r="E586">
        <f t="shared" si="27"/>
        <v>58.803831338719824</v>
      </c>
      <c r="F586">
        <f t="shared" si="28"/>
        <v>-120.93123236644618</v>
      </c>
    </row>
    <row r="587" spans="1:6" x14ac:dyDescent="0.25">
      <c r="A587">
        <v>-289.01242238993495</v>
      </c>
      <c r="B587">
        <v>-3.9671568688603227E-14</v>
      </c>
      <c r="C587">
        <v>110.11897600000003</v>
      </c>
      <c r="E587">
        <f t="shared" si="27"/>
        <v>10.08638808217936</v>
      </c>
      <c r="F587">
        <f t="shared" si="28"/>
        <v>-101.30440625077254</v>
      </c>
    </row>
    <row r="588" spans="1:6" x14ac:dyDescent="0.25">
      <c r="A588">
        <v>-288.17511350898161</v>
      </c>
      <c r="B588">
        <v>-24.462613456154411</v>
      </c>
      <c r="C588">
        <v>110.11897600000003</v>
      </c>
      <c r="E588">
        <f t="shared" si="27"/>
        <v>-14.390545069345025</v>
      </c>
      <c r="F588">
        <f t="shared" si="28"/>
        <v>-101.31529126927573</v>
      </c>
    </row>
    <row r="589" spans="1:6" x14ac:dyDescent="0.25">
      <c r="A589">
        <v>-281.98945569679699</v>
      </c>
      <c r="B589">
        <v>-52.434066750925119</v>
      </c>
      <c r="C589">
        <v>110.11897600000003</v>
      </c>
      <c r="E589">
        <f t="shared" si="27"/>
        <v>-42.560835254951073</v>
      </c>
      <c r="F589">
        <f t="shared" si="28"/>
        <v>-97.969131787321331</v>
      </c>
    </row>
    <row r="590" spans="1:6" x14ac:dyDescent="0.25">
      <c r="A590">
        <v>-271.70352474191742</v>
      </c>
      <c r="B590">
        <v>-82.169041136953851</v>
      </c>
      <c r="C590">
        <v>110.11897600000003</v>
      </c>
      <c r="E590">
        <f t="shared" si="27"/>
        <v>-72.636669711437932</v>
      </c>
      <c r="F590">
        <f t="shared" si="28"/>
        <v>-92.028534077395349</v>
      </c>
    </row>
    <row r="591" spans="1:6" x14ac:dyDescent="0.25">
      <c r="A591">
        <v>-257.21957264961611</v>
      </c>
      <c r="B591">
        <v>-108.88509410169829</v>
      </c>
      <c r="C591">
        <v>110.11897600000003</v>
      </c>
      <c r="E591">
        <f t="shared" si="27"/>
        <v>-99.841930616844294</v>
      </c>
      <c r="F591">
        <f t="shared" si="28"/>
        <v>-83.32342085365984</v>
      </c>
    </row>
    <row r="592" spans="1:6" x14ac:dyDescent="0.25">
      <c r="A592">
        <v>-239.88027495794995</v>
      </c>
      <c r="B592">
        <v>-126.80124800376379</v>
      </c>
      <c r="C592">
        <v>110.11897600000003</v>
      </c>
      <c r="E592">
        <f t="shared" si="27"/>
        <v>-118.35230324464492</v>
      </c>
      <c r="F592">
        <f t="shared" si="28"/>
        <v>-72.586637102210219</v>
      </c>
    </row>
    <row r="593" spans="1:6" x14ac:dyDescent="0.25">
      <c r="A593">
        <v>-227.13604189210474</v>
      </c>
      <c r="B593">
        <v>-140.62730777090002</v>
      </c>
      <c r="C593">
        <v>110.11897600000003</v>
      </c>
      <c r="E593">
        <f t="shared" si="27"/>
        <v>-132.61470786959603</v>
      </c>
      <c r="F593">
        <f t="shared" si="28"/>
        <v>-64.7099517390523</v>
      </c>
    </row>
    <row r="594" spans="1:6" x14ac:dyDescent="0.25">
      <c r="A594">
        <v>-210.60389352412858</v>
      </c>
      <c r="B594">
        <v>-155.83740802710545</v>
      </c>
      <c r="C594">
        <v>110.11897600000003</v>
      </c>
      <c r="E594">
        <f t="shared" si="27"/>
        <v>-148.39250620114197</v>
      </c>
      <c r="F594">
        <f t="shared" si="28"/>
        <v>-54.430972713315001</v>
      </c>
    </row>
    <row r="595" spans="1:6" x14ac:dyDescent="0.25">
      <c r="A595">
        <v>-196.10667016434397</v>
      </c>
      <c r="B595">
        <v>-169.50985832651011</v>
      </c>
      <c r="C595">
        <v>110.11897600000003</v>
      </c>
      <c r="E595">
        <f t="shared" si="27"/>
        <v>-162.56257341208172</v>
      </c>
      <c r="F595">
        <f t="shared" si="28"/>
        <v>-45.424727410025909</v>
      </c>
    </row>
    <row r="596" spans="1:6" x14ac:dyDescent="0.25">
      <c r="A596">
        <v>-182.66932187107798</v>
      </c>
      <c r="B596">
        <v>-182.66932187107801</v>
      </c>
      <c r="C596">
        <v>110.11897600000003</v>
      </c>
      <c r="E596">
        <f t="shared" ref="E596:E659" si="29">($I$2*A596)+($K$2*B596)+($M$2*C596)</f>
        <v>-176.18297725946627</v>
      </c>
      <c r="F596">
        <f t="shared" ref="F596:F659" si="30">($J$2*A596)+($L$2*B596)+($N$2*C596)</f>
        <v>-37.087833839818927</v>
      </c>
    </row>
    <row r="597" spans="1:6" x14ac:dyDescent="0.25">
      <c r="A597">
        <v>-169.50985832651008</v>
      </c>
      <c r="B597">
        <v>-196.10667016434402</v>
      </c>
      <c r="C597">
        <v>110.11897600000003</v>
      </c>
      <c r="E597">
        <f t="shared" si="29"/>
        <v>-190.07139853779736</v>
      </c>
      <c r="F597">
        <f t="shared" si="30"/>
        <v>-28.935686110567673</v>
      </c>
    </row>
    <row r="598" spans="1:6" x14ac:dyDescent="0.25">
      <c r="A598">
        <v>-155.8374080271054</v>
      </c>
      <c r="B598">
        <v>-210.60389352412861</v>
      </c>
      <c r="C598">
        <v>110.11897600000003</v>
      </c>
      <c r="E598">
        <f t="shared" si="29"/>
        <v>-205.03695221495221</v>
      </c>
      <c r="F598">
        <f t="shared" si="30"/>
        <v>-20.477773860284998</v>
      </c>
    </row>
    <row r="599" spans="1:6" x14ac:dyDescent="0.25">
      <c r="A599">
        <v>-140.62730777090013</v>
      </c>
      <c r="B599">
        <v>-227.13604189210466</v>
      </c>
      <c r="C599">
        <v>110.11897600000003</v>
      </c>
      <c r="E599">
        <f t="shared" si="29"/>
        <v>-222.08985448856231</v>
      </c>
      <c r="F599">
        <f t="shared" si="30"/>
        <v>-11.077730765135428</v>
      </c>
    </row>
    <row r="600" spans="1:6" x14ac:dyDescent="0.25">
      <c r="A600">
        <v>-126.8012480037638</v>
      </c>
      <c r="B600">
        <v>-239.88027495795006</v>
      </c>
      <c r="C600">
        <v>110.11897600000003</v>
      </c>
      <c r="E600">
        <f t="shared" si="29"/>
        <v>-235.30884663921344</v>
      </c>
      <c r="F600">
        <f t="shared" si="30"/>
        <v>-2.4818156326764296</v>
      </c>
    </row>
    <row r="601" spans="1:6" x14ac:dyDescent="0.25">
      <c r="A601">
        <v>-108.88509410169826</v>
      </c>
      <c r="B601">
        <v>-257.21957264961623</v>
      </c>
      <c r="C601">
        <v>110.11897600000003</v>
      </c>
      <c r="E601">
        <f t="shared" si="29"/>
        <v>-253.26284645324458</v>
      </c>
      <c r="F601">
        <f t="shared" si="30"/>
        <v>8.6384788591074084</v>
      </c>
    </row>
    <row r="602" spans="1:6" x14ac:dyDescent="0.25">
      <c r="A602">
        <v>-82.169041136953737</v>
      </c>
      <c r="B602">
        <v>-271.70352474191765</v>
      </c>
      <c r="C602">
        <v>110.11897600000003</v>
      </c>
      <c r="E602">
        <f t="shared" si="29"/>
        <v>-268.67035211562165</v>
      </c>
      <c r="F602">
        <f t="shared" si="30"/>
        <v>25.475847533790457</v>
      </c>
    </row>
    <row r="603" spans="1:6" x14ac:dyDescent="0.25">
      <c r="A603">
        <v>-52.434066750925147</v>
      </c>
      <c r="B603">
        <v>-281.98945569679705</v>
      </c>
      <c r="C603">
        <v>110.11897600000003</v>
      </c>
      <c r="E603">
        <f t="shared" si="29"/>
        <v>-279.98775279981407</v>
      </c>
      <c r="F603">
        <f t="shared" si="30"/>
        <v>44.346733434438761</v>
      </c>
    </row>
    <row r="604" spans="1:6" x14ac:dyDescent="0.25">
      <c r="A604">
        <v>-24.462613456154436</v>
      </c>
      <c r="B604">
        <v>-288.17511350898161</v>
      </c>
      <c r="C604">
        <v>110.11897600000003</v>
      </c>
      <c r="E604">
        <f t="shared" si="29"/>
        <v>-287.14583211841534</v>
      </c>
      <c r="F604">
        <f t="shared" si="30"/>
        <v>62.176721648186565</v>
      </c>
    </row>
    <row r="605" spans="1:6" x14ac:dyDescent="0.25">
      <c r="A605">
        <v>1.9835784344301613E-14</v>
      </c>
      <c r="B605">
        <v>-289.01242238993495</v>
      </c>
      <c r="C605">
        <v>110.11897600000003</v>
      </c>
      <c r="E605">
        <f t="shared" si="29"/>
        <v>-288.83636383106932</v>
      </c>
      <c r="F605">
        <f t="shared" si="30"/>
        <v>77.872624361037282</v>
      </c>
    </row>
    <row r="606" spans="1:6" x14ac:dyDescent="0.25">
      <c r="A606">
        <v>24.462613456154397</v>
      </c>
      <c r="B606">
        <v>-288.1751135089815</v>
      </c>
      <c r="C606">
        <v>110.11897600000003</v>
      </c>
      <c r="E606">
        <f t="shared" si="29"/>
        <v>-288.85329791371043</v>
      </c>
      <c r="F606">
        <f t="shared" si="30"/>
        <v>93.606093713962863</v>
      </c>
    </row>
    <row r="607" spans="1:6" x14ac:dyDescent="0.25">
      <c r="A607">
        <v>52.434066750925183</v>
      </c>
      <c r="B607">
        <v>-281.98945569679717</v>
      </c>
      <c r="C607">
        <v>110.11897600000003</v>
      </c>
      <c r="E607">
        <f t="shared" si="29"/>
        <v>-283.64759787915943</v>
      </c>
      <c r="F607">
        <f t="shared" si="30"/>
        <v>111.71360720654479</v>
      </c>
    </row>
    <row r="608" spans="1:6" x14ac:dyDescent="0.25">
      <c r="A608">
        <v>82.16904113695378</v>
      </c>
      <c r="B608">
        <v>-271.70352474191759</v>
      </c>
      <c r="C608">
        <v>110.11897600000003</v>
      </c>
      <c r="E608">
        <f t="shared" si="29"/>
        <v>-274.40566847603515</v>
      </c>
      <c r="F608">
        <f t="shared" si="30"/>
        <v>131.04598094615795</v>
      </c>
    </row>
    <row r="609" spans="1:6" x14ac:dyDescent="0.25">
      <c r="A609">
        <v>108.88509410169829</v>
      </c>
      <c r="B609">
        <v>-257.21957264961605</v>
      </c>
      <c r="C609">
        <v>110.11897600000003</v>
      </c>
      <c r="E609">
        <f t="shared" si="29"/>
        <v>-260.86291641835186</v>
      </c>
      <c r="F609">
        <f t="shared" si="30"/>
        <v>148.53318557444283</v>
      </c>
    </row>
    <row r="610" spans="1:6" x14ac:dyDescent="0.25">
      <c r="A610">
        <v>126.80124800376376</v>
      </c>
      <c r="B610">
        <v>-239.88027495794995</v>
      </c>
      <c r="C610">
        <v>110.11897600000003</v>
      </c>
      <c r="E610">
        <f t="shared" si="29"/>
        <v>-244.15944611237407</v>
      </c>
      <c r="F610">
        <f t="shared" si="30"/>
        <v>160.43142375027392</v>
      </c>
    </row>
    <row r="611" spans="1:6" x14ac:dyDescent="0.25">
      <c r="A611">
        <v>140.62730777090002</v>
      </c>
      <c r="B611">
        <v>-227.13604189210474</v>
      </c>
      <c r="C611">
        <v>110.11897600000003</v>
      </c>
      <c r="E611">
        <f t="shared" si="29"/>
        <v>-231.90549901622666</v>
      </c>
      <c r="F611">
        <f t="shared" si="30"/>
        <v>169.59912072752849</v>
      </c>
    </row>
    <row r="612" spans="1:6" x14ac:dyDescent="0.25">
      <c r="A612">
        <v>155.83740802710543</v>
      </c>
      <c r="B612">
        <v>-210.60389352412872</v>
      </c>
      <c r="C612">
        <v>110.11897600000003</v>
      </c>
      <c r="E612">
        <f t="shared" si="29"/>
        <v>-215.91424643008887</v>
      </c>
      <c r="F612">
        <f t="shared" si="30"/>
        <v>179.74089400317916</v>
      </c>
    </row>
    <row r="613" spans="1:6" x14ac:dyDescent="0.25">
      <c r="A613">
        <v>169.50985832651011</v>
      </c>
      <c r="B613">
        <v>-196.10667016434397</v>
      </c>
      <c r="C613">
        <v>110.11897600000003</v>
      </c>
      <c r="E613">
        <f t="shared" si="29"/>
        <v>-201.90301602121221</v>
      </c>
      <c r="F613">
        <f t="shared" si="30"/>
        <v>188.84923763479674</v>
      </c>
    </row>
    <row r="614" spans="1:6" x14ac:dyDescent="0.25">
      <c r="A614">
        <v>182.66932187107801</v>
      </c>
      <c r="B614">
        <v>-182.66932187107798</v>
      </c>
      <c r="C614">
        <v>110.11897600000003</v>
      </c>
      <c r="E614">
        <f t="shared" si="29"/>
        <v>-188.93311205204182</v>
      </c>
      <c r="F614">
        <f t="shared" si="30"/>
        <v>197.60426446682237</v>
      </c>
    </row>
    <row r="615" spans="1:6" x14ac:dyDescent="0.25">
      <c r="A615">
        <v>196.106670164344</v>
      </c>
      <c r="B615">
        <v>-169.50985832651011</v>
      </c>
      <c r="C615">
        <v>110.11897600000003</v>
      </c>
      <c r="E615">
        <f t="shared" si="29"/>
        <v>-176.2506215895597</v>
      </c>
      <c r="F615">
        <f t="shared" si="30"/>
        <v>206.53156958264049</v>
      </c>
    </row>
    <row r="616" spans="1:6" x14ac:dyDescent="0.25">
      <c r="A616">
        <v>210.60389352412867</v>
      </c>
      <c r="B616">
        <v>-155.83740802710548</v>
      </c>
      <c r="C616">
        <v>110.11897600000003</v>
      </c>
      <c r="E616">
        <f t="shared" si="29"/>
        <v>-163.09244597630044</v>
      </c>
      <c r="F616">
        <f t="shared" si="30"/>
        <v>216.15124205841454</v>
      </c>
    </row>
    <row r="617" spans="1:6" x14ac:dyDescent="0.25">
      <c r="A617">
        <v>227.1360418921048</v>
      </c>
      <c r="B617">
        <v>-140.62730777090002</v>
      </c>
      <c r="C617">
        <v>110.11897600000003</v>
      </c>
      <c r="E617">
        <f t="shared" si="29"/>
        <v>-148.46857495966134</v>
      </c>
      <c r="F617">
        <f t="shared" si="30"/>
        <v>227.11263634908659</v>
      </c>
    </row>
    <row r="618" spans="1:6" x14ac:dyDescent="0.25">
      <c r="A618">
        <v>239.88027495794995</v>
      </c>
      <c r="B618">
        <v>-126.80124800376375</v>
      </c>
      <c r="C618">
        <v>110.11897600000003</v>
      </c>
      <c r="E618">
        <f t="shared" si="29"/>
        <v>-135.09570497442493</v>
      </c>
      <c r="F618">
        <f t="shared" si="30"/>
        <v>235.60964071606855</v>
      </c>
    </row>
    <row r="619" spans="1:6" x14ac:dyDescent="0.25">
      <c r="A619">
        <v>257.21957264961605</v>
      </c>
      <c r="B619">
        <v>-108.88509410169827</v>
      </c>
      <c r="C619">
        <v>110.11897600000003</v>
      </c>
      <c r="E619">
        <f t="shared" si="29"/>
        <v>-117.79559787185229</v>
      </c>
      <c r="F619">
        <f t="shared" si="30"/>
        <v>247.15024934084215</v>
      </c>
    </row>
    <row r="620" spans="1:6" x14ac:dyDescent="0.25">
      <c r="A620">
        <v>271.70352474191748</v>
      </c>
      <c r="B620">
        <v>-82.169041136953823</v>
      </c>
      <c r="C620">
        <v>110.11897600000003</v>
      </c>
      <c r="E620">
        <f t="shared" si="29"/>
        <v>-91.601302243014842</v>
      </c>
      <c r="F620">
        <f t="shared" si="30"/>
        <v>257.05400307679332</v>
      </c>
    </row>
    <row r="621" spans="1:6" x14ac:dyDescent="0.25">
      <c r="A621">
        <v>281.98945569679705</v>
      </c>
      <c r="B621">
        <v>-52.43406675092524</v>
      </c>
      <c r="C621">
        <v>110.11897600000003</v>
      </c>
      <c r="E621">
        <f t="shared" si="29"/>
        <v>-62.24341541341208</v>
      </c>
      <c r="F621">
        <f t="shared" si="30"/>
        <v>264.32868801045026</v>
      </c>
    </row>
    <row r="622" spans="1:6" x14ac:dyDescent="0.25">
      <c r="A622">
        <v>288.1751135089815</v>
      </c>
      <c r="B622">
        <v>-24.462613456154376</v>
      </c>
      <c r="C622">
        <v>110.11897600000003</v>
      </c>
      <c r="E622">
        <f t="shared" si="29"/>
        <v>-34.504877916644141</v>
      </c>
      <c r="F622">
        <f t="shared" si="30"/>
        <v>268.92981270560057</v>
      </c>
    </row>
    <row r="623" spans="1:6" x14ac:dyDescent="0.25">
      <c r="A623">
        <v>289.01242238993495</v>
      </c>
      <c r="B623">
        <v>0</v>
      </c>
      <c r="C623">
        <v>110.11897600000003</v>
      </c>
      <c r="E623">
        <f t="shared" si="29"/>
        <v>-10.08638808217937</v>
      </c>
      <c r="F623">
        <f t="shared" si="30"/>
        <v>270.0164655442768</v>
      </c>
    </row>
    <row r="624" spans="1:6" x14ac:dyDescent="0.25">
      <c r="A624">
        <v>288.1751135089815</v>
      </c>
      <c r="B624">
        <v>24.462613456154376</v>
      </c>
      <c r="C624">
        <v>110.11897600000003</v>
      </c>
      <c r="E624">
        <f t="shared" si="29"/>
        <v>14.390545069345022</v>
      </c>
      <c r="F624">
        <f t="shared" si="30"/>
        <v>270.02735056277993</v>
      </c>
    </row>
    <row r="625" spans="1:6" x14ac:dyDescent="0.25">
      <c r="A625">
        <v>281.98945569679717</v>
      </c>
      <c r="B625">
        <v>52.434066750925062</v>
      </c>
      <c r="C625">
        <v>110.11897600000003</v>
      </c>
      <c r="E625">
        <f t="shared" si="29"/>
        <v>42.560835254951037</v>
      </c>
      <c r="F625">
        <f t="shared" si="30"/>
        <v>266.68119108082573</v>
      </c>
    </row>
    <row r="626" spans="1:6" x14ac:dyDescent="0.25">
      <c r="A626">
        <v>271.70352474191748</v>
      </c>
      <c r="B626">
        <v>82.169041136953794</v>
      </c>
      <c r="C626">
        <v>110.11897600000003</v>
      </c>
      <c r="E626">
        <f t="shared" si="29"/>
        <v>72.636669711437904</v>
      </c>
      <c r="F626">
        <f t="shared" si="30"/>
        <v>260.74059337089966</v>
      </c>
    </row>
    <row r="627" spans="1:6" x14ac:dyDescent="0.25">
      <c r="A627">
        <v>257.21957264961605</v>
      </c>
      <c r="B627">
        <v>108.88509410169829</v>
      </c>
      <c r="C627">
        <v>110.11897600000003</v>
      </c>
      <c r="E627">
        <f t="shared" si="29"/>
        <v>99.841930616844323</v>
      </c>
      <c r="F627">
        <f t="shared" si="30"/>
        <v>252.03548014716404</v>
      </c>
    </row>
    <row r="628" spans="1:6" x14ac:dyDescent="0.25">
      <c r="A628">
        <v>239.88027495795001</v>
      </c>
      <c r="B628">
        <v>126.80124800376379</v>
      </c>
      <c r="C628">
        <v>110.11897600000003</v>
      </c>
      <c r="E628">
        <f t="shared" si="29"/>
        <v>118.35230324464494</v>
      </c>
      <c r="F628">
        <f t="shared" si="30"/>
        <v>241.2986963957145</v>
      </c>
    </row>
    <row r="629" spans="1:6" x14ac:dyDescent="0.25">
      <c r="A629">
        <v>227.13604189210474</v>
      </c>
      <c r="B629">
        <v>140.62730777090002</v>
      </c>
      <c r="C629">
        <v>110.11897600000003</v>
      </c>
      <c r="E629">
        <f t="shared" si="29"/>
        <v>132.61470786959603</v>
      </c>
      <c r="F629">
        <f t="shared" si="30"/>
        <v>233.42201103255655</v>
      </c>
    </row>
    <row r="630" spans="1:6" x14ac:dyDescent="0.25">
      <c r="A630">
        <v>210.60389352412867</v>
      </c>
      <c r="B630">
        <v>155.8374080271054</v>
      </c>
      <c r="C630">
        <v>110.11897600000003</v>
      </c>
      <c r="E630">
        <f t="shared" si="29"/>
        <v>148.39250620114191</v>
      </c>
      <c r="F630">
        <f t="shared" si="30"/>
        <v>223.14303200681934</v>
      </c>
    </row>
    <row r="631" spans="1:6" x14ac:dyDescent="0.25">
      <c r="A631">
        <v>196.10667016434402</v>
      </c>
      <c r="B631">
        <v>169.50985832651008</v>
      </c>
      <c r="C631">
        <v>110.11897600000003</v>
      </c>
      <c r="E631">
        <f t="shared" si="29"/>
        <v>162.56257341208169</v>
      </c>
      <c r="F631">
        <f t="shared" si="30"/>
        <v>214.13678670353022</v>
      </c>
    </row>
    <row r="632" spans="1:6" x14ac:dyDescent="0.25">
      <c r="A632">
        <v>182.66932187107801</v>
      </c>
      <c r="B632">
        <v>182.66932187107798</v>
      </c>
      <c r="C632">
        <v>110.11897600000003</v>
      </c>
      <c r="E632">
        <f t="shared" si="29"/>
        <v>176.18297725946624</v>
      </c>
      <c r="F632">
        <f t="shared" si="30"/>
        <v>205.79989313332322</v>
      </c>
    </row>
    <row r="633" spans="1:6" x14ac:dyDescent="0.25">
      <c r="A633">
        <v>169.50985832651014</v>
      </c>
      <c r="B633">
        <v>196.106670164344</v>
      </c>
      <c r="C633">
        <v>110.11897600000003</v>
      </c>
      <c r="E633">
        <f t="shared" si="29"/>
        <v>190.07139853779731</v>
      </c>
      <c r="F633">
        <f t="shared" si="30"/>
        <v>197.647745404072</v>
      </c>
    </row>
    <row r="634" spans="1:6" x14ac:dyDescent="0.25">
      <c r="A634">
        <v>155.83740802710548</v>
      </c>
      <c r="B634">
        <v>210.60389352412867</v>
      </c>
      <c r="C634">
        <v>110.11897600000003</v>
      </c>
      <c r="E634">
        <f t="shared" si="29"/>
        <v>205.03695221495227</v>
      </c>
      <c r="F634">
        <f t="shared" si="30"/>
        <v>189.18983315378932</v>
      </c>
    </row>
    <row r="635" spans="1:6" x14ac:dyDescent="0.25">
      <c r="A635">
        <v>140.62730777090016</v>
      </c>
      <c r="B635">
        <v>227.13604189210466</v>
      </c>
      <c r="C635">
        <v>110.11897600000003</v>
      </c>
      <c r="E635">
        <f t="shared" si="29"/>
        <v>222.08985448856231</v>
      </c>
      <c r="F635">
        <f t="shared" si="30"/>
        <v>179.78979005863971</v>
      </c>
    </row>
    <row r="636" spans="1:6" x14ac:dyDescent="0.25">
      <c r="A636">
        <v>126.80124800376387</v>
      </c>
      <c r="B636">
        <v>239.88027495794992</v>
      </c>
      <c r="C636">
        <v>110.11897600000003</v>
      </c>
      <c r="E636">
        <f t="shared" si="29"/>
        <v>235.3088466392133</v>
      </c>
      <c r="F636">
        <f t="shared" si="30"/>
        <v>171.19387492618074</v>
      </c>
    </row>
    <row r="637" spans="1:6" x14ac:dyDescent="0.25">
      <c r="A637">
        <v>108.88509410169839</v>
      </c>
      <c r="B637">
        <v>257.21957264961594</v>
      </c>
      <c r="C637">
        <v>110.11897600000003</v>
      </c>
      <c r="E637">
        <f t="shared" si="29"/>
        <v>253.26284645324429</v>
      </c>
      <c r="F637">
        <f t="shared" si="30"/>
        <v>160.07358043439694</v>
      </c>
    </row>
    <row r="638" spans="1:6" x14ac:dyDescent="0.25">
      <c r="A638">
        <v>82.169041136953695</v>
      </c>
      <c r="B638">
        <v>271.70352474191759</v>
      </c>
      <c r="C638">
        <v>110.11897600000003</v>
      </c>
      <c r="E638">
        <f t="shared" si="29"/>
        <v>268.6703521156216</v>
      </c>
      <c r="F638">
        <f t="shared" si="30"/>
        <v>143.2362117597138</v>
      </c>
    </row>
    <row r="639" spans="1:6" x14ac:dyDescent="0.25">
      <c r="A639">
        <v>52.434066750925119</v>
      </c>
      <c r="B639">
        <v>281.98945569679717</v>
      </c>
      <c r="C639">
        <v>110.11897600000003</v>
      </c>
      <c r="E639">
        <f t="shared" si="29"/>
        <v>279.98775279981419</v>
      </c>
      <c r="F639">
        <f t="shared" si="30"/>
        <v>124.36532585906549</v>
      </c>
    </row>
    <row r="640" spans="1:6" x14ac:dyDescent="0.25">
      <c r="A640">
        <v>24.462613456154397</v>
      </c>
      <c r="B640">
        <v>288.1751135089815</v>
      </c>
      <c r="C640">
        <v>110.11897600000003</v>
      </c>
      <c r="E640">
        <f t="shared" si="29"/>
        <v>287.14583211841523</v>
      </c>
      <c r="F640">
        <f t="shared" si="30"/>
        <v>106.53533764531768</v>
      </c>
    </row>
    <row r="641" spans="1:6" x14ac:dyDescent="0.25">
      <c r="A641">
        <v>1.7704156137021314E-14</v>
      </c>
      <c r="B641">
        <v>289.01242238993495</v>
      </c>
      <c r="C641">
        <v>110.11897600000003</v>
      </c>
      <c r="E641">
        <f t="shared" si="29"/>
        <v>288.83636383106932</v>
      </c>
      <c r="F641">
        <f t="shared" si="30"/>
        <v>90.839434932467</v>
      </c>
    </row>
    <row r="642" spans="1:6" x14ac:dyDescent="0.25">
      <c r="A642">
        <v>-24.462613456154372</v>
      </c>
      <c r="B642">
        <v>288.17511350898161</v>
      </c>
      <c r="C642">
        <v>110.11897600000003</v>
      </c>
      <c r="E642">
        <f t="shared" si="29"/>
        <v>288.85329791371055</v>
      </c>
      <c r="F642">
        <f t="shared" si="30"/>
        <v>75.105965579541419</v>
      </c>
    </row>
    <row r="643" spans="1:6" x14ac:dyDescent="0.25">
      <c r="A643">
        <v>-52.434066750925034</v>
      </c>
      <c r="B643">
        <v>281.98945569679717</v>
      </c>
      <c r="C643">
        <v>110.11897600000003</v>
      </c>
      <c r="E643">
        <f t="shared" si="29"/>
        <v>283.64759787915943</v>
      </c>
      <c r="F643">
        <f t="shared" si="30"/>
        <v>56.99845208695956</v>
      </c>
    </row>
    <row r="644" spans="1:6" x14ac:dyDescent="0.25">
      <c r="A644">
        <v>-82.169041136953695</v>
      </c>
      <c r="B644">
        <v>271.7035247419177</v>
      </c>
      <c r="C644">
        <v>110.11897600000003</v>
      </c>
      <c r="E644">
        <f t="shared" si="29"/>
        <v>274.40566847603526</v>
      </c>
      <c r="F644">
        <f t="shared" si="30"/>
        <v>37.666078347346364</v>
      </c>
    </row>
    <row r="645" spans="1:6" x14ac:dyDescent="0.25">
      <c r="A645">
        <v>-108.88509410169812</v>
      </c>
      <c r="B645">
        <v>257.21957264961617</v>
      </c>
      <c r="C645">
        <v>110.11897600000003</v>
      </c>
      <c r="E645">
        <f t="shared" si="29"/>
        <v>260.86291641835197</v>
      </c>
      <c r="F645">
        <f t="shared" si="30"/>
        <v>20.178873719061556</v>
      </c>
    </row>
    <row r="646" spans="1:6" x14ac:dyDescent="0.25">
      <c r="A646">
        <v>-126.80124800376372</v>
      </c>
      <c r="B646">
        <v>239.88027495795012</v>
      </c>
      <c r="C646">
        <v>110.11897600000003</v>
      </c>
      <c r="E646">
        <f t="shared" si="29"/>
        <v>244.15944611237424</v>
      </c>
      <c r="F646">
        <f t="shared" si="30"/>
        <v>8.2806355432303889</v>
      </c>
    </row>
    <row r="647" spans="1:6" x14ac:dyDescent="0.25">
      <c r="A647">
        <v>-140.6273077709001</v>
      </c>
      <c r="B647">
        <v>227.13604189210466</v>
      </c>
      <c r="C647">
        <v>110.11897600000003</v>
      </c>
      <c r="E647">
        <f t="shared" si="29"/>
        <v>231.9054990162266</v>
      </c>
      <c r="F647">
        <f t="shared" si="30"/>
        <v>-0.88706143402427529</v>
      </c>
    </row>
    <row r="648" spans="1:6" x14ac:dyDescent="0.25">
      <c r="A648">
        <v>-155.83740802710548</v>
      </c>
      <c r="B648">
        <v>210.60389352412867</v>
      </c>
      <c r="C648">
        <v>110.11897600000003</v>
      </c>
      <c r="E648">
        <f t="shared" si="29"/>
        <v>215.91424643008881</v>
      </c>
      <c r="F648">
        <f t="shared" si="30"/>
        <v>-11.028834709674925</v>
      </c>
    </row>
    <row r="649" spans="1:6" x14ac:dyDescent="0.25">
      <c r="A649">
        <v>-169.50985832651008</v>
      </c>
      <c r="B649">
        <v>196.10667016434402</v>
      </c>
      <c r="C649">
        <v>110.11897600000003</v>
      </c>
      <c r="E649">
        <f t="shared" si="29"/>
        <v>201.90301602121227</v>
      </c>
      <c r="F649">
        <f t="shared" si="30"/>
        <v>-20.13717834129244</v>
      </c>
    </row>
    <row r="650" spans="1:6" x14ac:dyDescent="0.25">
      <c r="A650">
        <v>-182.66932187107798</v>
      </c>
      <c r="B650">
        <v>182.66932187107801</v>
      </c>
      <c r="C650">
        <v>110.11897600000003</v>
      </c>
      <c r="E650">
        <f t="shared" si="29"/>
        <v>188.93311205204185</v>
      </c>
      <c r="F650">
        <f t="shared" si="30"/>
        <v>-28.892205173318104</v>
      </c>
    </row>
    <row r="651" spans="1:6" x14ac:dyDescent="0.25">
      <c r="A651">
        <v>-196.106670164344</v>
      </c>
      <c r="B651">
        <v>169.50985832651014</v>
      </c>
      <c r="C651">
        <v>110.11897600000003</v>
      </c>
      <c r="E651">
        <f t="shared" si="29"/>
        <v>176.25062158955973</v>
      </c>
      <c r="F651">
        <f t="shared" si="30"/>
        <v>-37.819510289136204</v>
      </c>
    </row>
    <row r="652" spans="1:6" x14ac:dyDescent="0.25">
      <c r="A652">
        <v>-210.60389352412858</v>
      </c>
      <c r="B652">
        <v>155.83740802710545</v>
      </c>
      <c r="C652">
        <v>110.11897600000003</v>
      </c>
      <c r="E652">
        <f t="shared" si="29"/>
        <v>163.09244597630041</v>
      </c>
      <c r="F652">
        <f t="shared" si="30"/>
        <v>-47.4391827649102</v>
      </c>
    </row>
    <row r="653" spans="1:6" x14ac:dyDescent="0.25">
      <c r="A653">
        <v>-227.13604189210466</v>
      </c>
      <c r="B653">
        <v>140.62730777090016</v>
      </c>
      <c r="C653">
        <v>110.11897600000003</v>
      </c>
      <c r="E653">
        <f t="shared" si="29"/>
        <v>148.46857495966148</v>
      </c>
      <c r="F653">
        <f t="shared" si="30"/>
        <v>-58.400577055582218</v>
      </c>
    </row>
    <row r="654" spans="1:6" x14ac:dyDescent="0.25">
      <c r="A654">
        <v>-239.88027495794981</v>
      </c>
      <c r="B654">
        <v>126.80124800376386</v>
      </c>
      <c r="C654">
        <v>110.11897600000003</v>
      </c>
      <c r="E654">
        <f t="shared" si="29"/>
        <v>135.09570497442505</v>
      </c>
      <c r="F654">
        <f t="shared" si="30"/>
        <v>-66.897581422564187</v>
      </c>
    </row>
    <row r="655" spans="1:6" x14ac:dyDescent="0.25">
      <c r="A655">
        <v>-257.21957264961594</v>
      </c>
      <c r="B655">
        <v>108.8850941016984</v>
      </c>
      <c r="C655">
        <v>110.11897600000003</v>
      </c>
      <c r="E655">
        <f t="shared" si="29"/>
        <v>117.79559787185245</v>
      </c>
      <c r="F655">
        <f t="shared" si="30"/>
        <v>-78.438190047337841</v>
      </c>
    </row>
    <row r="656" spans="1:6" x14ac:dyDescent="0.25">
      <c r="A656">
        <v>-271.70352474191759</v>
      </c>
      <c r="B656">
        <v>82.169041136953723</v>
      </c>
      <c r="C656">
        <v>110.11897600000003</v>
      </c>
      <c r="E656">
        <f t="shared" si="29"/>
        <v>91.601302243014771</v>
      </c>
      <c r="F656">
        <f t="shared" si="30"/>
        <v>-88.341943783289125</v>
      </c>
    </row>
    <row r="657" spans="1:6" x14ac:dyDescent="0.25">
      <c r="A657">
        <v>-281.98945569679705</v>
      </c>
      <c r="B657">
        <v>52.43406675092514</v>
      </c>
      <c r="C657">
        <v>110.11897600000003</v>
      </c>
      <c r="E657">
        <f t="shared" si="29"/>
        <v>62.243415413412009</v>
      </c>
      <c r="F657">
        <f t="shared" si="30"/>
        <v>-95.616628716945982</v>
      </c>
    </row>
    <row r="658" spans="1:6" x14ac:dyDescent="0.25">
      <c r="A658">
        <v>-318.80231536262585</v>
      </c>
      <c r="B658">
        <v>-3.9058016408781168E-14</v>
      </c>
      <c r="C658">
        <v>166.41884800000003</v>
      </c>
      <c r="E658">
        <f t="shared" si="29"/>
        <v>11.126040353747651</v>
      </c>
      <c r="F658">
        <f t="shared" si="30"/>
        <v>-77.313111459634058</v>
      </c>
    </row>
    <row r="659" spans="1:6" x14ac:dyDescent="0.25">
      <c r="A659">
        <v>-315.83384633913118</v>
      </c>
      <c r="B659">
        <v>-27.342359512842208</v>
      </c>
      <c r="C659">
        <v>166.41884800000003</v>
      </c>
      <c r="E659">
        <f t="shared" si="29"/>
        <v>-16.303261007342051</v>
      </c>
      <c r="F659">
        <f t="shared" si="30"/>
        <v>-76.019548879972888</v>
      </c>
    </row>
    <row r="660" spans="1:6" x14ac:dyDescent="0.25">
      <c r="A660">
        <v>-307.47874312799809</v>
      </c>
      <c r="B660">
        <v>-56.015027117756894</v>
      </c>
      <c r="C660">
        <v>166.41884800000003</v>
      </c>
      <c r="E660">
        <f t="shared" ref="E660:E723" si="31">($I$2*A660)+($K$2*B660)+($M$2*C660)</f>
        <v>-45.250050894827375</v>
      </c>
      <c r="F660">
        <f t="shared" ref="F660:F723" si="32">($J$2*A660)+($L$2*B660)+($N$2*C660)</f>
        <v>-71.295476578331659</v>
      </c>
    </row>
    <row r="661" spans="1:6" x14ac:dyDescent="0.25">
      <c r="A661">
        <v>-290.70828215076978</v>
      </c>
      <c r="B661">
        <v>-82.075380242137712</v>
      </c>
      <c r="C661">
        <v>166.41884800000003</v>
      </c>
      <c r="E661">
        <f t="shared" si="31"/>
        <v>-71.879809403786197</v>
      </c>
      <c r="F661">
        <f t="shared" si="32"/>
        <v>-61.106809808612297</v>
      </c>
    </row>
    <row r="662" spans="1:6" x14ac:dyDescent="0.25">
      <c r="A662">
        <v>-271.22849609318115</v>
      </c>
      <c r="B662">
        <v>-103.85645756354876</v>
      </c>
      <c r="C662">
        <v>166.41884800000003</v>
      </c>
      <c r="E662">
        <f t="shared" si="31"/>
        <v>-94.327453010680301</v>
      </c>
      <c r="F662">
        <f t="shared" si="32"/>
        <v>-49.081686493604025</v>
      </c>
    </row>
    <row r="663" spans="1:6" x14ac:dyDescent="0.25">
      <c r="A663">
        <v>-252.79560493312945</v>
      </c>
      <c r="B663">
        <v>-122.98224307250486</v>
      </c>
      <c r="C663">
        <v>166.41884800000003</v>
      </c>
      <c r="E663">
        <f t="shared" si="31"/>
        <v>-114.08488623212355</v>
      </c>
      <c r="F663">
        <f t="shared" si="32"/>
        <v>-37.669518250141408</v>
      </c>
    </row>
    <row r="664" spans="1:6" x14ac:dyDescent="0.25">
      <c r="A664">
        <v>-232.68192502996808</v>
      </c>
      <c r="B664">
        <v>-142.89731655866416</v>
      </c>
      <c r="C664">
        <v>166.41884800000003</v>
      </c>
      <c r="E664">
        <f t="shared" si="31"/>
        <v>-134.68978529905789</v>
      </c>
      <c r="F664">
        <f t="shared" si="32"/>
        <v>-25.195324041442205</v>
      </c>
    </row>
    <row r="665" spans="1:6" x14ac:dyDescent="0.25">
      <c r="A665">
        <v>-216.04277363805321</v>
      </c>
      <c r="B665">
        <v>-159.56432252788133</v>
      </c>
      <c r="C665">
        <v>166.41884800000003</v>
      </c>
      <c r="E665">
        <f t="shared" si="31"/>
        <v>-151.9273361877006</v>
      </c>
      <c r="F665">
        <f t="shared" si="32"/>
        <v>-14.880289410274116</v>
      </c>
    </row>
    <row r="666" spans="1:6" x14ac:dyDescent="0.25">
      <c r="A666">
        <v>-202.59454591181751</v>
      </c>
      <c r="B666">
        <v>-174.72133088022468</v>
      </c>
      <c r="C666">
        <v>166.41884800000003</v>
      </c>
      <c r="E666">
        <f t="shared" si="31"/>
        <v>-167.5444476792706</v>
      </c>
      <c r="F666">
        <f t="shared" si="32"/>
        <v>-6.5812177862911483</v>
      </c>
    </row>
    <row r="667" spans="1:6" x14ac:dyDescent="0.25">
      <c r="A667">
        <v>-188.79233303938537</v>
      </c>
      <c r="B667">
        <v>-188.7923330393854</v>
      </c>
      <c r="C667">
        <v>166.41884800000003</v>
      </c>
      <c r="E667">
        <f t="shared" si="31"/>
        <v>-182.08856844673039</v>
      </c>
      <c r="F667">
        <f t="shared" si="32"/>
        <v>1.9696148320310414</v>
      </c>
    </row>
    <row r="668" spans="1:6" x14ac:dyDescent="0.25">
      <c r="A668">
        <v>-174.72133088022466</v>
      </c>
      <c r="B668">
        <v>-202.59454591181756</v>
      </c>
      <c r="C668">
        <v>166.41884800000003</v>
      </c>
      <c r="E668">
        <f t="shared" si="31"/>
        <v>-196.3734442774585</v>
      </c>
      <c r="F668">
        <f t="shared" si="32"/>
        <v>10.699146364378635</v>
      </c>
    </row>
    <row r="669" spans="1:6" x14ac:dyDescent="0.25">
      <c r="A669">
        <v>-159.5643225278813</v>
      </c>
      <c r="B669">
        <v>-216.04277363805321</v>
      </c>
      <c r="C669">
        <v>166.41884800000003</v>
      </c>
      <c r="E669">
        <f t="shared" si="31"/>
        <v>-210.34245166973463</v>
      </c>
      <c r="F669">
        <f t="shared" si="32"/>
        <v>20.134264911620988</v>
      </c>
    </row>
    <row r="670" spans="1:6" x14ac:dyDescent="0.25">
      <c r="A670">
        <v>-142.89731655866422</v>
      </c>
      <c r="B670">
        <v>-232.68192502996791</v>
      </c>
      <c r="C670">
        <v>166.41884800000003</v>
      </c>
      <c r="E670">
        <f t="shared" si="31"/>
        <v>-227.5531370600595</v>
      </c>
      <c r="F670">
        <f t="shared" si="32"/>
        <v>30.467818073699021</v>
      </c>
    </row>
    <row r="671" spans="1:6" x14ac:dyDescent="0.25">
      <c r="A671">
        <v>-122.98224307250476</v>
      </c>
      <c r="B671">
        <v>-252.79560493312954</v>
      </c>
      <c r="C671">
        <v>166.41884800000003</v>
      </c>
      <c r="E671">
        <f t="shared" si="31"/>
        <v>-248.34959029433784</v>
      </c>
      <c r="F671">
        <f t="shared" si="32"/>
        <v>42.809972975814702</v>
      </c>
    </row>
    <row r="672" spans="1:6" x14ac:dyDescent="0.25">
      <c r="A672">
        <v>-103.85645756354874</v>
      </c>
      <c r="B672">
        <v>-271.22849609318126</v>
      </c>
      <c r="C672">
        <v>166.41884800000003</v>
      </c>
      <c r="E672">
        <f t="shared" si="31"/>
        <v>-267.4387329234375</v>
      </c>
      <c r="F672">
        <f t="shared" si="32"/>
        <v>54.682797479764986</v>
      </c>
    </row>
    <row r="673" spans="1:6" x14ac:dyDescent="0.25">
      <c r="A673">
        <v>-82.075380242137641</v>
      </c>
      <c r="B673">
        <v>-290.70828215076995</v>
      </c>
      <c r="C673">
        <v>166.41884800000003</v>
      </c>
      <c r="E673">
        <f t="shared" si="31"/>
        <v>-287.66680105784161</v>
      </c>
      <c r="F673">
        <f t="shared" si="32"/>
        <v>68.237885975701346</v>
      </c>
    </row>
    <row r="674" spans="1:6" x14ac:dyDescent="0.25">
      <c r="A674">
        <v>-56.015027117756894</v>
      </c>
      <c r="B674">
        <v>-307.47874312799809</v>
      </c>
      <c r="C674">
        <v>166.41884800000003</v>
      </c>
      <c r="E674">
        <f t="shared" si="31"/>
        <v>-305.33653913129541</v>
      </c>
      <c r="F674">
        <f t="shared" si="32"/>
        <v>84.602742497304718</v>
      </c>
    </row>
    <row r="675" spans="1:6" x14ac:dyDescent="0.25">
      <c r="A675">
        <v>-27.342359512842222</v>
      </c>
      <c r="B675">
        <v>-315.83384633913118</v>
      </c>
      <c r="C675">
        <v>166.41884800000003</v>
      </c>
      <c r="E675">
        <f t="shared" si="31"/>
        <v>-314.68721430782927</v>
      </c>
      <c r="F675">
        <f t="shared" si="32"/>
        <v>102.83452091699607</v>
      </c>
    </row>
    <row r="676" spans="1:6" x14ac:dyDescent="0.25">
      <c r="A676">
        <v>2.1660636411670883E-14</v>
      </c>
      <c r="B676">
        <v>-318.80231536262585</v>
      </c>
      <c r="C676">
        <v>166.41884800000003</v>
      </c>
      <c r="E676">
        <f t="shared" si="31"/>
        <v>-318.60810960585724</v>
      </c>
      <c r="F676">
        <f t="shared" si="32"/>
        <v>120.33255285640047</v>
      </c>
    </row>
    <row r="677" spans="1:6" x14ac:dyDescent="0.25">
      <c r="A677">
        <v>27.342359512842197</v>
      </c>
      <c r="B677">
        <v>-315.83384633913118</v>
      </c>
      <c r="C677">
        <v>166.41884800000003</v>
      </c>
      <c r="E677">
        <f t="shared" si="31"/>
        <v>-316.59568347914336</v>
      </c>
      <c r="F677">
        <f t="shared" si="32"/>
        <v>137.96376791366706</v>
      </c>
    </row>
    <row r="678" spans="1:6" x14ac:dyDescent="0.25">
      <c r="A678">
        <v>56.015027117756922</v>
      </c>
      <c r="B678">
        <v>-307.47874312799809</v>
      </c>
      <c r="C678">
        <v>166.41884800000003</v>
      </c>
      <c r="E678">
        <f t="shared" si="31"/>
        <v>-309.24633163966877</v>
      </c>
      <c r="F678">
        <f t="shared" si="32"/>
        <v>156.57040579354225</v>
      </c>
    </row>
    <row r="679" spans="1:6" x14ac:dyDescent="0.25">
      <c r="A679">
        <v>82.075380242137655</v>
      </c>
      <c r="B679">
        <v>-290.70828215076989</v>
      </c>
      <c r="C679">
        <v>166.41884800000003</v>
      </c>
      <c r="E679">
        <f t="shared" si="31"/>
        <v>-293.39557998207556</v>
      </c>
      <c r="F679">
        <f t="shared" si="32"/>
        <v>173.68768461204564</v>
      </c>
    </row>
    <row r="680" spans="1:6" x14ac:dyDescent="0.25">
      <c r="A680">
        <v>103.85645756354873</v>
      </c>
      <c r="B680">
        <v>-271.22849609318121</v>
      </c>
      <c r="C680">
        <v>166.41884800000003</v>
      </c>
      <c r="E680">
        <f t="shared" si="31"/>
        <v>-274.68780911998249</v>
      </c>
      <c r="F680">
        <f t="shared" si="32"/>
        <v>188.11675178921644</v>
      </c>
    </row>
    <row r="681" spans="1:6" x14ac:dyDescent="0.25">
      <c r="A681">
        <v>122.98224307250486</v>
      </c>
      <c r="B681">
        <v>-252.79560493312951</v>
      </c>
      <c r="C681">
        <v>166.41884800000003</v>
      </c>
      <c r="E681">
        <f t="shared" si="31"/>
        <v>-256.93362706748798</v>
      </c>
      <c r="F681">
        <f t="shared" si="32"/>
        <v>200.81658506316938</v>
      </c>
    </row>
    <row r="682" spans="1:6" x14ac:dyDescent="0.25">
      <c r="A682">
        <v>142.89731655866416</v>
      </c>
      <c r="B682">
        <v>-232.68192502996808</v>
      </c>
      <c r="C682">
        <v>166.41884800000003</v>
      </c>
      <c r="E682">
        <f t="shared" si="31"/>
        <v>-237.52722591613036</v>
      </c>
      <c r="F682">
        <f t="shared" si="32"/>
        <v>214.06115888223653</v>
      </c>
    </row>
    <row r="683" spans="1:6" x14ac:dyDescent="0.25">
      <c r="A683">
        <v>159.5643225278813</v>
      </c>
      <c r="B683">
        <v>-216.04277363805335</v>
      </c>
      <c r="C683">
        <v>166.41884800000003</v>
      </c>
      <c r="E683">
        <f t="shared" si="31"/>
        <v>-221.47988076553202</v>
      </c>
      <c r="F683">
        <f t="shared" si="32"/>
        <v>225.14124301479723</v>
      </c>
    </row>
    <row r="684" spans="1:6" x14ac:dyDescent="0.25">
      <c r="A684">
        <v>174.72133088022468</v>
      </c>
      <c r="B684">
        <v>-202.59454591181751</v>
      </c>
      <c r="C684">
        <v>166.41884800000003</v>
      </c>
      <c r="E684">
        <f t="shared" si="31"/>
        <v>-208.56881729928043</v>
      </c>
      <c r="F684">
        <f t="shared" si="32"/>
        <v>235.17972878067172</v>
      </c>
    </row>
    <row r="685" spans="1:6" x14ac:dyDescent="0.25">
      <c r="A685">
        <v>188.7923330393854</v>
      </c>
      <c r="B685">
        <v>-188.79233303938537</v>
      </c>
      <c r="C685">
        <v>166.41884800000003</v>
      </c>
      <c r="E685">
        <f t="shared" si="31"/>
        <v>-195.26608325546138</v>
      </c>
      <c r="F685">
        <f t="shared" si="32"/>
        <v>244.52850940377954</v>
      </c>
    </row>
    <row r="686" spans="1:6" x14ac:dyDescent="0.25">
      <c r="A686">
        <v>202.59454591181756</v>
      </c>
      <c r="B686">
        <v>-174.72133088022466</v>
      </c>
      <c r="C686">
        <v>166.41884800000003</v>
      </c>
      <c r="E686">
        <f t="shared" si="31"/>
        <v>-181.68534305325895</v>
      </c>
      <c r="F686">
        <f t="shared" si="32"/>
        <v>253.71065059368229</v>
      </c>
    </row>
    <row r="687" spans="1:6" x14ac:dyDescent="0.25">
      <c r="A687">
        <v>216.04277363805326</v>
      </c>
      <c r="B687">
        <v>-159.56432252788133</v>
      </c>
      <c r="C687">
        <v>166.41884800000003</v>
      </c>
      <c r="E687">
        <f t="shared" si="31"/>
        <v>-167.00690432006147</v>
      </c>
      <c r="F687">
        <f t="shared" si="32"/>
        <v>262.68975546505715</v>
      </c>
    </row>
    <row r="688" spans="1:6" x14ac:dyDescent="0.25">
      <c r="A688">
        <v>232.68192502996808</v>
      </c>
      <c r="B688">
        <v>-142.89731655866413</v>
      </c>
      <c r="C688">
        <v>166.41884800000003</v>
      </c>
      <c r="E688">
        <f t="shared" si="31"/>
        <v>-150.93074944968782</v>
      </c>
      <c r="F688">
        <f t="shared" si="32"/>
        <v>273.75257078817117</v>
      </c>
    </row>
    <row r="689" spans="1:6" x14ac:dyDescent="0.25">
      <c r="A689">
        <v>252.79560493312951</v>
      </c>
      <c r="B689">
        <v>-122.9822430725048</v>
      </c>
      <c r="C689">
        <v>166.41884800000003</v>
      </c>
      <c r="E689">
        <f t="shared" si="31"/>
        <v>-131.72976499366453</v>
      </c>
      <c r="F689">
        <f t="shared" si="32"/>
        <v>287.12027325259066</v>
      </c>
    </row>
    <row r="690" spans="1:6" x14ac:dyDescent="0.25">
      <c r="A690">
        <v>271.22849609318115</v>
      </c>
      <c r="B690">
        <v>-103.85645756354873</v>
      </c>
      <c r="C690">
        <v>166.41884800000003</v>
      </c>
      <c r="E690">
        <f t="shared" si="31"/>
        <v>-113.25892902073687</v>
      </c>
      <c r="F690">
        <f t="shared" si="32"/>
        <v>299.39053761411503</v>
      </c>
    </row>
    <row r="691" spans="1:6" x14ac:dyDescent="0.25">
      <c r="A691">
        <v>290.70828215076972</v>
      </c>
      <c r="B691">
        <v>-82.075380242137683</v>
      </c>
      <c r="C691">
        <v>166.41884800000003</v>
      </c>
      <c r="E691">
        <f t="shared" si="31"/>
        <v>-92.17095487240725</v>
      </c>
      <c r="F691">
        <f t="shared" si="32"/>
        <v>312.39288917880498</v>
      </c>
    </row>
    <row r="692" spans="1:6" x14ac:dyDescent="0.25">
      <c r="A692">
        <v>307.47874312799809</v>
      </c>
      <c r="B692">
        <v>-56.015027117756986</v>
      </c>
      <c r="C692">
        <v>166.41884800000003</v>
      </c>
      <c r="E692">
        <f t="shared" si="31"/>
        <v>-66.711757658596966</v>
      </c>
      <c r="F692">
        <f t="shared" si="32"/>
        <v>323.75077787882776</v>
      </c>
    </row>
    <row r="693" spans="1:6" x14ac:dyDescent="0.25">
      <c r="A693">
        <v>315.83384633913118</v>
      </c>
      <c r="B693">
        <v>-27.342359512842165</v>
      </c>
      <c r="C693">
        <v>166.41884800000003</v>
      </c>
      <c r="E693">
        <f t="shared" si="31"/>
        <v>-38.348145565043495</v>
      </c>
      <c r="F693">
        <f t="shared" si="32"/>
        <v>329.7612760245072</v>
      </c>
    </row>
    <row r="694" spans="1:6" x14ac:dyDescent="0.25">
      <c r="A694">
        <v>318.80231536262585</v>
      </c>
      <c r="B694">
        <v>0</v>
      </c>
      <c r="C694">
        <v>166.41884800000003</v>
      </c>
      <c r="E694">
        <f t="shared" si="31"/>
        <v>-11.126040353747651</v>
      </c>
      <c r="F694">
        <f t="shared" si="32"/>
        <v>332.28157894095779</v>
      </c>
    </row>
    <row r="695" spans="1:6" x14ac:dyDescent="0.25">
      <c r="A695">
        <v>315.83384633913118</v>
      </c>
      <c r="B695">
        <v>27.342359512842162</v>
      </c>
      <c r="C695">
        <v>166.41884800000003</v>
      </c>
      <c r="E695">
        <f t="shared" si="31"/>
        <v>16.303261007342051</v>
      </c>
      <c r="F695">
        <f t="shared" si="32"/>
        <v>330.98801636129662</v>
      </c>
    </row>
    <row r="696" spans="1:6" x14ac:dyDescent="0.25">
      <c r="A696">
        <v>307.4787431279982</v>
      </c>
      <c r="B696">
        <v>56.015027117756823</v>
      </c>
      <c r="C696">
        <v>166.41884800000003</v>
      </c>
      <c r="E696">
        <f t="shared" si="31"/>
        <v>45.250050894827339</v>
      </c>
      <c r="F696">
        <f t="shared" si="32"/>
        <v>326.2639440596555</v>
      </c>
    </row>
    <row r="697" spans="1:6" x14ac:dyDescent="0.25">
      <c r="A697">
        <v>290.70828215076978</v>
      </c>
      <c r="B697">
        <v>82.075380242137683</v>
      </c>
      <c r="C697">
        <v>166.41884800000003</v>
      </c>
      <c r="E697">
        <f t="shared" si="31"/>
        <v>71.879809403786197</v>
      </c>
      <c r="F697">
        <f t="shared" si="32"/>
        <v>316.07527728993603</v>
      </c>
    </row>
    <row r="698" spans="1:6" x14ac:dyDescent="0.25">
      <c r="A698">
        <v>271.22849609318115</v>
      </c>
      <c r="B698">
        <v>103.85645756354872</v>
      </c>
      <c r="C698">
        <v>166.41884800000003</v>
      </c>
      <c r="E698">
        <f t="shared" si="31"/>
        <v>94.327453010680287</v>
      </c>
      <c r="F698">
        <f t="shared" si="32"/>
        <v>304.05015397492775</v>
      </c>
    </row>
    <row r="699" spans="1:6" x14ac:dyDescent="0.25">
      <c r="A699">
        <v>252.79560493312951</v>
      </c>
      <c r="B699">
        <v>122.9822430725048</v>
      </c>
      <c r="C699">
        <v>166.41884800000003</v>
      </c>
      <c r="E699">
        <f t="shared" si="31"/>
        <v>114.08488623212352</v>
      </c>
      <c r="F699">
        <f t="shared" si="32"/>
        <v>292.63798573146516</v>
      </c>
    </row>
    <row r="700" spans="1:6" x14ac:dyDescent="0.25">
      <c r="A700">
        <v>232.68192502996808</v>
      </c>
      <c r="B700">
        <v>142.89731655866413</v>
      </c>
      <c r="C700">
        <v>166.41884800000003</v>
      </c>
      <c r="E700">
        <f t="shared" si="31"/>
        <v>134.68978529905792</v>
      </c>
      <c r="F700">
        <f t="shared" si="32"/>
        <v>280.16379152276591</v>
      </c>
    </row>
    <row r="701" spans="1:6" x14ac:dyDescent="0.25">
      <c r="A701">
        <v>216.04277363805326</v>
      </c>
      <c r="B701">
        <v>159.56432252788122</v>
      </c>
      <c r="C701">
        <v>166.41884800000003</v>
      </c>
      <c r="E701">
        <f t="shared" si="31"/>
        <v>151.92733618770055</v>
      </c>
      <c r="F701">
        <f t="shared" si="32"/>
        <v>269.84875689159787</v>
      </c>
    </row>
    <row r="702" spans="1:6" x14ac:dyDescent="0.25">
      <c r="A702">
        <v>202.59454591181756</v>
      </c>
      <c r="B702">
        <v>174.72133088022466</v>
      </c>
      <c r="C702">
        <v>166.41884800000003</v>
      </c>
      <c r="E702">
        <f t="shared" si="31"/>
        <v>167.54444767927063</v>
      </c>
      <c r="F702">
        <f t="shared" si="32"/>
        <v>261.5496852676149</v>
      </c>
    </row>
    <row r="703" spans="1:6" x14ac:dyDescent="0.25">
      <c r="A703">
        <v>188.7923330393854</v>
      </c>
      <c r="B703">
        <v>188.79233303938537</v>
      </c>
      <c r="C703">
        <v>166.41884800000003</v>
      </c>
      <c r="E703">
        <f t="shared" si="31"/>
        <v>182.08856844673042</v>
      </c>
      <c r="F703">
        <f t="shared" si="32"/>
        <v>252.9988526492927</v>
      </c>
    </row>
    <row r="704" spans="1:6" x14ac:dyDescent="0.25">
      <c r="A704">
        <v>174.72133088022468</v>
      </c>
      <c r="B704">
        <v>202.59454591181751</v>
      </c>
      <c r="C704">
        <v>166.41884800000003</v>
      </c>
      <c r="E704">
        <f t="shared" si="31"/>
        <v>196.3734442774585</v>
      </c>
      <c r="F704">
        <f t="shared" si="32"/>
        <v>244.26932111694509</v>
      </c>
    </row>
    <row r="705" spans="1:6" x14ac:dyDescent="0.25">
      <c r="A705">
        <v>159.56432252788133</v>
      </c>
      <c r="B705">
        <v>216.04277363805326</v>
      </c>
      <c r="C705">
        <v>166.41884800000003</v>
      </c>
      <c r="E705">
        <f t="shared" si="31"/>
        <v>210.34245166973474</v>
      </c>
      <c r="F705">
        <f t="shared" si="32"/>
        <v>234.83420256970277</v>
      </c>
    </row>
    <row r="706" spans="1:6" x14ac:dyDescent="0.25">
      <c r="A706">
        <v>142.89731655866422</v>
      </c>
      <c r="B706">
        <v>232.68192502996791</v>
      </c>
      <c r="C706">
        <v>166.41884800000003</v>
      </c>
      <c r="E706">
        <f t="shared" si="31"/>
        <v>227.55313706005956</v>
      </c>
      <c r="F706">
        <f t="shared" si="32"/>
        <v>224.50064940762471</v>
      </c>
    </row>
    <row r="707" spans="1:6" x14ac:dyDescent="0.25">
      <c r="A707">
        <v>122.98224307250491</v>
      </c>
      <c r="B707">
        <v>252.7956049331294</v>
      </c>
      <c r="C707">
        <v>166.41884800000003</v>
      </c>
      <c r="E707">
        <f t="shared" si="31"/>
        <v>248.34959029433773</v>
      </c>
      <c r="F707">
        <f t="shared" si="32"/>
        <v>212.15849450550911</v>
      </c>
    </row>
    <row r="708" spans="1:6" x14ac:dyDescent="0.25">
      <c r="A708">
        <v>103.85645756354884</v>
      </c>
      <c r="B708">
        <v>271.22849609318104</v>
      </c>
      <c r="C708">
        <v>166.41884800000003</v>
      </c>
      <c r="E708">
        <f t="shared" si="31"/>
        <v>267.43873292343727</v>
      </c>
      <c r="F708">
        <f t="shared" si="32"/>
        <v>200.2856700015588</v>
      </c>
    </row>
    <row r="709" spans="1:6" x14ac:dyDescent="0.25">
      <c r="A709">
        <v>82.07538024213757</v>
      </c>
      <c r="B709">
        <v>290.70828215076989</v>
      </c>
      <c r="C709">
        <v>166.41884800000003</v>
      </c>
      <c r="E709">
        <f t="shared" si="31"/>
        <v>287.66680105784155</v>
      </c>
      <c r="F709">
        <f t="shared" si="32"/>
        <v>186.73058150562233</v>
      </c>
    </row>
    <row r="710" spans="1:6" x14ac:dyDescent="0.25">
      <c r="A710">
        <v>56.015027117756873</v>
      </c>
      <c r="B710">
        <v>307.47874312799826</v>
      </c>
      <c r="C710">
        <v>166.41884800000003</v>
      </c>
      <c r="E710">
        <f t="shared" si="31"/>
        <v>305.33653913129558</v>
      </c>
      <c r="F710">
        <f t="shared" si="32"/>
        <v>170.36572498401901</v>
      </c>
    </row>
    <row r="711" spans="1:6" x14ac:dyDescent="0.25">
      <c r="A711">
        <v>27.342359512842204</v>
      </c>
      <c r="B711">
        <v>315.83384633913118</v>
      </c>
      <c r="C711">
        <v>166.41884800000003</v>
      </c>
      <c r="E711">
        <f t="shared" si="31"/>
        <v>314.68721430782927</v>
      </c>
      <c r="F711">
        <f t="shared" si="32"/>
        <v>152.13394656432763</v>
      </c>
    </row>
    <row r="712" spans="1:6" x14ac:dyDescent="0.25">
      <c r="A712">
        <v>1.9529008204390584E-14</v>
      </c>
      <c r="B712">
        <v>318.80231536262585</v>
      </c>
      <c r="C712">
        <v>166.41884800000003</v>
      </c>
      <c r="E712">
        <f t="shared" si="31"/>
        <v>318.60810960585724</v>
      </c>
      <c r="F712">
        <f t="shared" si="32"/>
        <v>134.63591462492329</v>
      </c>
    </row>
    <row r="713" spans="1:6" x14ac:dyDescent="0.25">
      <c r="A713">
        <v>-27.342359512842137</v>
      </c>
      <c r="B713">
        <v>315.83384633913118</v>
      </c>
      <c r="C713">
        <v>166.41884800000003</v>
      </c>
      <c r="E713">
        <f t="shared" si="31"/>
        <v>316.59568347914336</v>
      </c>
      <c r="F713">
        <f t="shared" si="32"/>
        <v>117.0046995676567</v>
      </c>
    </row>
    <row r="714" spans="1:6" x14ac:dyDescent="0.25">
      <c r="A714">
        <v>-56.015027117756823</v>
      </c>
      <c r="B714">
        <v>307.47874312799826</v>
      </c>
      <c r="C714">
        <v>166.41884800000003</v>
      </c>
      <c r="E714">
        <f t="shared" si="31"/>
        <v>309.24633163966894</v>
      </c>
      <c r="F714">
        <f t="shared" si="32"/>
        <v>98.398061687781535</v>
      </c>
    </row>
    <row r="715" spans="1:6" x14ac:dyDescent="0.25">
      <c r="A715">
        <v>-82.075380242137612</v>
      </c>
      <c r="B715">
        <v>290.70828215077006</v>
      </c>
      <c r="C715">
        <v>166.41884800000003</v>
      </c>
      <c r="E715">
        <f t="shared" si="31"/>
        <v>293.39557998207573</v>
      </c>
      <c r="F715">
        <f t="shared" si="32"/>
        <v>81.280782869278141</v>
      </c>
    </row>
    <row r="716" spans="1:6" x14ac:dyDescent="0.25">
      <c r="A716">
        <v>-103.85645756354859</v>
      </c>
      <c r="B716">
        <v>271.22849609318126</v>
      </c>
      <c r="C716">
        <v>166.41884800000003</v>
      </c>
      <c r="E716">
        <f t="shared" si="31"/>
        <v>274.68780911998255</v>
      </c>
      <c r="F716">
        <f t="shared" si="32"/>
        <v>66.851715692107391</v>
      </c>
    </row>
    <row r="717" spans="1:6" x14ac:dyDescent="0.25">
      <c r="A717">
        <v>-122.9822430725047</v>
      </c>
      <c r="B717">
        <v>252.79560493312962</v>
      </c>
      <c r="C717">
        <v>166.41884800000003</v>
      </c>
      <c r="E717">
        <f t="shared" si="31"/>
        <v>256.93362706748809</v>
      </c>
      <c r="F717">
        <f t="shared" si="32"/>
        <v>54.151882418154443</v>
      </c>
    </row>
    <row r="718" spans="1:6" x14ac:dyDescent="0.25">
      <c r="A718">
        <v>-142.89731655866422</v>
      </c>
      <c r="B718">
        <v>232.68192502996803</v>
      </c>
      <c r="C718">
        <v>166.41884800000003</v>
      </c>
      <c r="E718">
        <f t="shared" si="31"/>
        <v>237.52722591613036</v>
      </c>
      <c r="F718">
        <f t="shared" si="32"/>
        <v>40.907308599087173</v>
      </c>
    </row>
    <row r="719" spans="1:6" x14ac:dyDescent="0.25">
      <c r="A719">
        <v>-159.56432252788133</v>
      </c>
      <c r="B719">
        <v>216.04277363805326</v>
      </c>
      <c r="C719">
        <v>166.41884800000003</v>
      </c>
      <c r="E719">
        <f t="shared" si="31"/>
        <v>221.47988076553199</v>
      </c>
      <c r="F719">
        <f t="shared" si="32"/>
        <v>29.827224466526488</v>
      </c>
    </row>
    <row r="720" spans="1:6" x14ac:dyDescent="0.25">
      <c r="A720">
        <v>-174.72133088022466</v>
      </c>
      <c r="B720">
        <v>202.59454591181756</v>
      </c>
      <c r="C720">
        <v>166.41884800000003</v>
      </c>
      <c r="E720">
        <f t="shared" si="31"/>
        <v>208.56881729928054</v>
      </c>
      <c r="F720">
        <f t="shared" si="32"/>
        <v>19.788738700652033</v>
      </c>
    </row>
    <row r="721" spans="1:6" x14ac:dyDescent="0.25">
      <c r="A721">
        <v>-188.79233303938537</v>
      </c>
      <c r="B721">
        <v>188.7923330393854</v>
      </c>
      <c r="C721">
        <v>166.41884800000003</v>
      </c>
      <c r="E721">
        <f t="shared" si="31"/>
        <v>195.26608325546147</v>
      </c>
      <c r="F721">
        <f t="shared" si="32"/>
        <v>10.439958077544205</v>
      </c>
    </row>
    <row r="722" spans="1:6" x14ac:dyDescent="0.25">
      <c r="A722">
        <v>-202.59454591181751</v>
      </c>
      <c r="B722">
        <v>174.72133088022468</v>
      </c>
      <c r="C722">
        <v>166.41884800000003</v>
      </c>
      <c r="E722">
        <f t="shared" si="31"/>
        <v>181.68534305325903</v>
      </c>
      <c r="F722">
        <f t="shared" si="32"/>
        <v>1.2578168876414964</v>
      </c>
    </row>
    <row r="723" spans="1:6" x14ac:dyDescent="0.25">
      <c r="A723">
        <v>-216.04277363805321</v>
      </c>
      <c r="B723">
        <v>159.56432252788133</v>
      </c>
      <c r="C723">
        <v>166.41884800000003</v>
      </c>
      <c r="E723">
        <f t="shared" si="31"/>
        <v>167.00690432006152</v>
      </c>
      <c r="F723">
        <f t="shared" si="32"/>
        <v>-7.7212879837333332</v>
      </c>
    </row>
    <row r="724" spans="1:6" x14ac:dyDescent="0.25">
      <c r="A724">
        <v>-232.68192502996803</v>
      </c>
      <c r="B724">
        <v>142.89731655866427</v>
      </c>
      <c r="C724">
        <v>166.41884800000003</v>
      </c>
      <c r="E724">
        <f t="shared" ref="E724:E787" si="33">($I$2*A724)+($K$2*B724)+($M$2*C724)</f>
        <v>150.93074944968802</v>
      </c>
      <c r="F724">
        <f t="shared" ref="F724:F787" si="34">($J$2*A724)+($L$2*B724)+($N$2*C724)</f>
        <v>-18.784103306847356</v>
      </c>
    </row>
    <row r="725" spans="1:6" x14ac:dyDescent="0.25">
      <c r="A725">
        <v>-252.79560493312934</v>
      </c>
      <c r="B725">
        <v>122.98224307250496</v>
      </c>
      <c r="C725">
        <v>166.41884800000003</v>
      </c>
      <c r="E725">
        <f t="shared" si="33"/>
        <v>131.72976499366473</v>
      </c>
      <c r="F725">
        <f t="shared" si="34"/>
        <v>-32.151805771266851</v>
      </c>
    </row>
    <row r="726" spans="1:6" x14ac:dyDescent="0.25">
      <c r="A726">
        <v>-271.22849609318104</v>
      </c>
      <c r="B726">
        <v>103.85645756354884</v>
      </c>
      <c r="C726">
        <v>166.41884800000003</v>
      </c>
      <c r="E726">
        <f t="shared" si="33"/>
        <v>113.25892902073701</v>
      </c>
      <c r="F726">
        <f t="shared" si="34"/>
        <v>-44.422070132791163</v>
      </c>
    </row>
    <row r="727" spans="1:6" x14ac:dyDescent="0.25">
      <c r="A727">
        <v>-290.70828215076989</v>
      </c>
      <c r="B727">
        <v>82.075380242137612</v>
      </c>
      <c r="C727">
        <v>166.41884800000003</v>
      </c>
      <c r="E727">
        <f t="shared" si="33"/>
        <v>92.170954872407222</v>
      </c>
      <c r="F727">
        <f t="shared" si="34"/>
        <v>-57.424421697481364</v>
      </c>
    </row>
    <row r="728" spans="1:6" x14ac:dyDescent="0.25">
      <c r="A728">
        <v>-307.47874312799809</v>
      </c>
      <c r="B728">
        <v>56.015027117756894</v>
      </c>
      <c r="C728">
        <v>166.41884800000003</v>
      </c>
      <c r="E728">
        <f t="shared" si="33"/>
        <v>66.711757658596895</v>
      </c>
      <c r="F728">
        <f t="shared" si="34"/>
        <v>-68.782310397504034</v>
      </c>
    </row>
    <row r="729" spans="1:6" x14ac:dyDescent="0.25">
      <c r="A729">
        <v>-346.48139135070994</v>
      </c>
      <c r="B729">
        <v>-3.8185857712230509E-14</v>
      </c>
      <c r="C729">
        <v>222.71872000000005</v>
      </c>
      <c r="E729">
        <f t="shared" si="33"/>
        <v>12.092026174922077</v>
      </c>
      <c r="F729">
        <f t="shared" si="34"/>
        <v>-51.965836194641525</v>
      </c>
    </row>
    <row r="730" spans="1:6" x14ac:dyDescent="0.25">
      <c r="A730">
        <v>-338.55007081714803</v>
      </c>
      <c r="B730">
        <v>-30.98797106062278</v>
      </c>
      <c r="C730">
        <v>222.71872000000005</v>
      </c>
      <c r="E730">
        <f t="shared" si="33"/>
        <v>-19.153866945805014</v>
      </c>
      <c r="F730">
        <f t="shared" si="34"/>
        <v>-47.565939326470215</v>
      </c>
    </row>
    <row r="731" spans="1:6" x14ac:dyDescent="0.25">
      <c r="A731">
        <v>-316.2830692051225</v>
      </c>
      <c r="B731">
        <v>-55.602351612232361</v>
      </c>
      <c r="C731">
        <v>222.71872000000005</v>
      </c>
      <c r="E731">
        <f t="shared" si="33"/>
        <v>-44.530360231174328</v>
      </c>
      <c r="F731">
        <f t="shared" si="34"/>
        <v>-33.813879163865067</v>
      </c>
    </row>
    <row r="732" spans="1:6" x14ac:dyDescent="0.25">
      <c r="A732">
        <v>-298.7986497805353</v>
      </c>
      <c r="B732">
        <v>-75.642173498243878</v>
      </c>
      <c r="C732">
        <v>222.71872000000005</v>
      </c>
      <c r="E732">
        <f t="shared" si="33"/>
        <v>-65.168171837204284</v>
      </c>
      <c r="F732">
        <f t="shared" si="34"/>
        <v>-23.031509953315947</v>
      </c>
    </row>
    <row r="733" spans="1:6" x14ac:dyDescent="0.25">
      <c r="A733">
        <v>-281.64664831557695</v>
      </c>
      <c r="B733">
        <v>-95.313860366820521</v>
      </c>
      <c r="C733">
        <v>222.71872000000005</v>
      </c>
      <c r="E733">
        <f t="shared" si="33"/>
        <v>-85.426471464219389</v>
      </c>
      <c r="F733">
        <f t="shared" si="34"/>
        <v>-12.45442636432017</v>
      </c>
    </row>
    <row r="734" spans="1:6" x14ac:dyDescent="0.25">
      <c r="A734">
        <v>-259.93248336907976</v>
      </c>
      <c r="B734">
        <v>-119.05187025709981</v>
      </c>
      <c r="C734">
        <v>222.71872000000005</v>
      </c>
      <c r="E734">
        <f t="shared" si="33"/>
        <v>-109.90783422820093</v>
      </c>
      <c r="F734">
        <f t="shared" si="34"/>
        <v>0.96215330467009608</v>
      </c>
    </row>
    <row r="735" spans="1:6" x14ac:dyDescent="0.25">
      <c r="A735">
        <v>-239.40753162611742</v>
      </c>
      <c r="B735">
        <v>-140.74057716015869</v>
      </c>
      <c r="C735">
        <v>222.71872000000005</v>
      </c>
      <c r="E735">
        <f t="shared" si="33"/>
        <v>-132.29963944269622</v>
      </c>
      <c r="F735">
        <f t="shared" si="34"/>
        <v>13.660759060262166</v>
      </c>
    </row>
    <row r="736" spans="1:6" x14ac:dyDescent="0.25">
      <c r="A736">
        <v>-221.82343019605827</v>
      </c>
      <c r="B736">
        <v>-158.73803865527003</v>
      </c>
      <c r="C736">
        <v>222.71872000000005</v>
      </c>
      <c r="E736">
        <f t="shared" si="33"/>
        <v>-150.89981366041468</v>
      </c>
      <c r="F736">
        <f t="shared" si="34"/>
        <v>24.552979793725854</v>
      </c>
    </row>
    <row r="737" spans="1:6" x14ac:dyDescent="0.25">
      <c r="A737">
        <v>-204.79985285648937</v>
      </c>
      <c r="B737">
        <v>-174.921097231929</v>
      </c>
      <c r="C737">
        <v>222.71872000000005</v>
      </c>
      <c r="E737">
        <f t="shared" si="33"/>
        <v>-167.66712823626739</v>
      </c>
      <c r="F737">
        <f t="shared" si="34"/>
        <v>35.125824506130385</v>
      </c>
    </row>
    <row r="738" spans="1:6" x14ac:dyDescent="0.25">
      <c r="A738">
        <v>-189.04988293396178</v>
      </c>
      <c r="B738">
        <v>-189.04988293396178</v>
      </c>
      <c r="C738">
        <v>222.71872000000005</v>
      </c>
      <c r="E738">
        <f t="shared" si="33"/>
        <v>-182.33697308717325</v>
      </c>
      <c r="F738">
        <f t="shared" si="34"/>
        <v>44.926592285815701</v>
      </c>
    </row>
    <row r="739" spans="1:6" x14ac:dyDescent="0.25">
      <c r="A739">
        <v>-174.92109723192894</v>
      </c>
      <c r="B739">
        <v>-204.79985285648942</v>
      </c>
      <c r="C739">
        <v>222.71872000000005</v>
      </c>
      <c r="E739">
        <f t="shared" si="33"/>
        <v>-198.5704360635925</v>
      </c>
      <c r="F739">
        <f t="shared" si="34"/>
        <v>53.649549773418698</v>
      </c>
    </row>
    <row r="740" spans="1:6" x14ac:dyDescent="0.25">
      <c r="A740">
        <v>-158.73803865527</v>
      </c>
      <c r="B740">
        <v>-221.82343019605827</v>
      </c>
      <c r="C740">
        <v>222.71872000000005</v>
      </c>
      <c r="E740">
        <f t="shared" si="33"/>
        <v>-216.14842369924023</v>
      </c>
      <c r="F740">
        <f t="shared" si="34"/>
        <v>63.663593233072177</v>
      </c>
    </row>
    <row r="741" spans="1:6" x14ac:dyDescent="0.25">
      <c r="A741">
        <v>-140.74057716015878</v>
      </c>
      <c r="B741">
        <v>-239.40753162611739</v>
      </c>
      <c r="C741">
        <v>222.71872000000005</v>
      </c>
      <c r="E741">
        <f t="shared" si="33"/>
        <v>-234.3499157179167</v>
      </c>
      <c r="F741">
        <f t="shared" si="34"/>
        <v>74.830627727252704</v>
      </c>
    </row>
    <row r="742" spans="1:6" x14ac:dyDescent="0.25">
      <c r="A742">
        <v>-119.05187025709976</v>
      </c>
      <c r="B742">
        <v>-259.93248336907982</v>
      </c>
      <c r="C742">
        <v>222.71872000000005</v>
      </c>
      <c r="E742">
        <f t="shared" si="33"/>
        <v>-255.61928916988779</v>
      </c>
      <c r="F742">
        <f t="shared" si="34"/>
        <v>88.302931667887137</v>
      </c>
    </row>
    <row r="743" spans="1:6" x14ac:dyDescent="0.25">
      <c r="A743">
        <v>-95.313860366820506</v>
      </c>
      <c r="B743">
        <v>-281.64664831557707</v>
      </c>
      <c r="C743">
        <v>222.71872000000005</v>
      </c>
      <c r="E743">
        <f t="shared" si="33"/>
        <v>-278.14867103168649</v>
      </c>
      <c r="F743">
        <f t="shared" si="34"/>
        <v>103.06502215693794</v>
      </c>
    </row>
    <row r="744" spans="1:6" x14ac:dyDescent="0.25">
      <c r="A744">
        <v>-75.642173498243793</v>
      </c>
      <c r="B744">
        <v>-298.79864978053547</v>
      </c>
      <c r="C744">
        <v>222.71872000000005</v>
      </c>
      <c r="E744">
        <f t="shared" si="33"/>
        <v>-295.9767559317865</v>
      </c>
      <c r="F744">
        <f t="shared" si="34"/>
        <v>115.31726568549981</v>
      </c>
    </row>
    <row r="745" spans="1:6" x14ac:dyDescent="0.25">
      <c r="A745">
        <v>-55.60235161223239</v>
      </c>
      <c r="B745">
        <v>-316.28306920512256</v>
      </c>
      <c r="C745">
        <v>222.71872000000005</v>
      </c>
      <c r="E745">
        <f t="shared" si="33"/>
        <v>-314.14990401830289</v>
      </c>
      <c r="F745">
        <f t="shared" si="34"/>
        <v>127.7985405716143</v>
      </c>
    </row>
    <row r="746" spans="1:6" x14ac:dyDescent="0.25">
      <c r="A746">
        <v>-30.987971060622748</v>
      </c>
      <c r="B746">
        <v>-338.55007081714803</v>
      </c>
      <c r="C746">
        <v>222.71872000000005</v>
      </c>
      <c r="E746">
        <f t="shared" si="33"/>
        <v>-337.26237066747564</v>
      </c>
      <c r="F746">
        <f t="shared" si="34"/>
        <v>143.11120633876263</v>
      </c>
    </row>
    <row r="747" spans="1:6" x14ac:dyDescent="0.25">
      <c r="A747">
        <v>1.9092928856115261E-14</v>
      </c>
      <c r="B747">
        <v>-346.48139135071</v>
      </c>
      <c r="C747">
        <v>222.71872000000005</v>
      </c>
      <c r="E747">
        <f t="shared" si="33"/>
        <v>-346.27032424871305</v>
      </c>
      <c r="F747">
        <f t="shared" si="34"/>
        <v>162.83983323332643</v>
      </c>
    </row>
    <row r="748" spans="1:6" x14ac:dyDescent="0.25">
      <c r="A748">
        <v>30.987971060622755</v>
      </c>
      <c r="B748">
        <v>-338.55007081714803</v>
      </c>
      <c r="C748">
        <v>222.71872000000005</v>
      </c>
      <c r="E748">
        <f t="shared" si="33"/>
        <v>-339.42529985517041</v>
      </c>
      <c r="F748">
        <f t="shared" si="34"/>
        <v>182.92430618491969</v>
      </c>
    </row>
    <row r="749" spans="1:6" x14ac:dyDescent="0.25">
      <c r="A749">
        <v>55.602351612232368</v>
      </c>
      <c r="B749">
        <v>-316.28306920512244</v>
      </c>
      <c r="C749">
        <v>222.71872000000005</v>
      </c>
      <c r="E749">
        <f t="shared" si="33"/>
        <v>-318.03089219178764</v>
      </c>
      <c r="F749">
        <f t="shared" si="34"/>
        <v>199.23600164604878</v>
      </c>
    </row>
    <row r="750" spans="1:6" x14ac:dyDescent="0.25">
      <c r="A750">
        <v>75.642173498243835</v>
      </c>
      <c r="B750">
        <v>-298.79864978053547</v>
      </c>
      <c r="C750">
        <v>222.71872000000005</v>
      </c>
      <c r="E750">
        <f t="shared" si="33"/>
        <v>-301.25650350093048</v>
      </c>
      <c r="F750">
        <f t="shared" si="34"/>
        <v>212.50173123744986</v>
      </c>
    </row>
    <row r="751" spans="1:6" x14ac:dyDescent="0.25">
      <c r="A751">
        <v>95.313860366820549</v>
      </c>
      <c r="B751">
        <v>-281.64664831557695</v>
      </c>
      <c r="C751">
        <v>222.71872000000005</v>
      </c>
      <c r="E751">
        <f t="shared" si="33"/>
        <v>-284.8014825428354</v>
      </c>
      <c r="F751">
        <f t="shared" si="34"/>
        <v>225.52351523101265</v>
      </c>
    </row>
    <row r="752" spans="1:6" x14ac:dyDescent="0.25">
      <c r="A752">
        <v>119.05187025709978</v>
      </c>
      <c r="B752">
        <v>-259.93248336907976</v>
      </c>
      <c r="C752">
        <v>222.71872000000005</v>
      </c>
      <c r="E752">
        <f t="shared" si="33"/>
        <v>-263.92898987681622</v>
      </c>
      <c r="F752">
        <f t="shared" si="34"/>
        <v>241.25983188394133</v>
      </c>
    </row>
    <row r="753" spans="1:6" x14ac:dyDescent="0.25">
      <c r="A753">
        <v>140.74057716015872</v>
      </c>
      <c r="B753">
        <v>-239.4075316261175</v>
      </c>
      <c r="C753">
        <v>222.71872000000005</v>
      </c>
      <c r="E753">
        <f t="shared" si="33"/>
        <v>-244.17346633493491</v>
      </c>
      <c r="F753">
        <f t="shared" si="34"/>
        <v>255.65300683433338</v>
      </c>
    </row>
    <row r="754" spans="1:6" x14ac:dyDescent="0.25">
      <c r="A754">
        <v>158.73803865527</v>
      </c>
      <c r="B754">
        <v>-221.82343019605847</v>
      </c>
      <c r="C754">
        <v>222.71872000000005</v>
      </c>
      <c r="E754">
        <f t="shared" si="33"/>
        <v>-227.22817901246259</v>
      </c>
      <c r="F754">
        <f t="shared" si="34"/>
        <v>267.60896835949382</v>
      </c>
    </row>
    <row r="755" spans="1:6" x14ac:dyDescent="0.25">
      <c r="A755">
        <v>174.921097231929</v>
      </c>
      <c r="B755">
        <v>-204.79985285648937</v>
      </c>
      <c r="C755">
        <v>222.71872000000005</v>
      </c>
      <c r="E755">
        <f t="shared" si="33"/>
        <v>-210.77975257567957</v>
      </c>
      <c r="F755">
        <f t="shared" si="34"/>
        <v>278.38679041656849</v>
      </c>
    </row>
    <row r="756" spans="1:6" x14ac:dyDescent="0.25">
      <c r="A756">
        <v>189.04988293396178</v>
      </c>
      <c r="B756">
        <v>-189.04988293396178</v>
      </c>
      <c r="C756">
        <v>222.71872000000005</v>
      </c>
      <c r="E756">
        <f t="shared" si="33"/>
        <v>-195.53246461929729</v>
      </c>
      <c r="F756">
        <f t="shared" si="34"/>
        <v>287.81638492275465</v>
      </c>
    </row>
    <row r="757" spans="1:6" x14ac:dyDescent="0.25">
      <c r="A757">
        <v>204.79985285648937</v>
      </c>
      <c r="B757">
        <v>-174.92109723192888</v>
      </c>
      <c r="C757">
        <v>222.71872000000005</v>
      </c>
      <c r="E757">
        <f t="shared" si="33"/>
        <v>-181.96195181514281</v>
      </c>
      <c r="F757">
        <f t="shared" si="34"/>
        <v>298.25105378630201</v>
      </c>
    </row>
    <row r="758" spans="1:6" x14ac:dyDescent="0.25">
      <c r="A758">
        <v>221.82343019605827</v>
      </c>
      <c r="B758">
        <v>-158.73803865527</v>
      </c>
      <c r="C758">
        <v>222.71872000000005</v>
      </c>
      <c r="E758">
        <f t="shared" si="33"/>
        <v>-166.38286580174426</v>
      </c>
      <c r="F758">
        <f t="shared" si="34"/>
        <v>309.54996644171962</v>
      </c>
    </row>
    <row r="759" spans="1:6" x14ac:dyDescent="0.25">
      <c r="A759">
        <v>239.4075316261175</v>
      </c>
      <c r="B759">
        <v>-140.74057716015869</v>
      </c>
      <c r="C759">
        <v>222.71872000000005</v>
      </c>
      <c r="E759">
        <f t="shared" si="33"/>
        <v>-149.01004416377543</v>
      </c>
      <c r="F759">
        <f t="shared" si="34"/>
        <v>321.24965998913342</v>
      </c>
    </row>
    <row r="760" spans="1:6" x14ac:dyDescent="0.25">
      <c r="A760">
        <v>259.93248336907982</v>
      </c>
      <c r="B760">
        <v>-119.05187025709978</v>
      </c>
      <c r="C760">
        <v>222.71872000000005</v>
      </c>
      <c r="E760">
        <f t="shared" si="33"/>
        <v>-128.05085992062513</v>
      </c>
      <c r="F760">
        <f t="shared" si="34"/>
        <v>334.92134970985614</v>
      </c>
    </row>
    <row r="761" spans="1:6" x14ac:dyDescent="0.25">
      <c r="A761">
        <v>281.64664831557701</v>
      </c>
      <c r="B761">
        <v>-95.313860366820535</v>
      </c>
      <c r="C761">
        <v>222.71872000000005</v>
      </c>
      <c r="E761">
        <f t="shared" si="33"/>
        <v>-105.08512401253932</v>
      </c>
      <c r="F761">
        <f t="shared" si="34"/>
        <v>349.40295722451697</v>
      </c>
    </row>
    <row r="762" spans="1:6" x14ac:dyDescent="0.25">
      <c r="A762">
        <v>298.7986497805353</v>
      </c>
      <c r="B762">
        <v>-75.642173498243849</v>
      </c>
      <c r="C762">
        <v>222.71872000000005</v>
      </c>
      <c r="E762">
        <f t="shared" si="33"/>
        <v>-86.024016822659377</v>
      </c>
      <c r="F762">
        <f t="shared" si="34"/>
        <v>360.86262930274086</v>
      </c>
    </row>
    <row r="763" spans="1:6" x14ac:dyDescent="0.25">
      <c r="A763">
        <v>316.28306920512256</v>
      </c>
      <c r="B763">
        <v>-55.602351612232432</v>
      </c>
      <c r="C763">
        <v>222.71872000000005</v>
      </c>
      <c r="E763">
        <f t="shared" si="33"/>
        <v>-66.606600092736585</v>
      </c>
      <c r="F763">
        <f t="shared" si="34"/>
        <v>372.54410372175232</v>
      </c>
    </row>
    <row r="764" spans="1:6" x14ac:dyDescent="0.25">
      <c r="A764">
        <v>338.55007081714803</v>
      </c>
      <c r="B764">
        <v>-30.987971060622701</v>
      </c>
      <c r="C764">
        <v>222.71872000000005</v>
      </c>
      <c r="E764">
        <f t="shared" si="33"/>
        <v>-42.784321106034064</v>
      </c>
      <c r="F764">
        <f t="shared" si="34"/>
        <v>387.40051091313387</v>
      </c>
    </row>
    <row r="765" spans="1:6" x14ac:dyDescent="0.25">
      <c r="A765">
        <v>346.48139135071006</v>
      </c>
      <c r="B765">
        <v>0</v>
      </c>
      <c r="C765">
        <v>222.71872000000005</v>
      </c>
      <c r="E765">
        <f t="shared" si="33"/>
        <v>-12.092026174922065</v>
      </c>
      <c r="F765">
        <f t="shared" si="34"/>
        <v>393.19071186378483</v>
      </c>
    </row>
    <row r="766" spans="1:6" x14ac:dyDescent="0.25">
      <c r="A766">
        <v>338.55007081714803</v>
      </c>
      <c r="B766">
        <v>30.987971060622701</v>
      </c>
      <c r="C766">
        <v>222.71872000000005</v>
      </c>
      <c r="E766">
        <f t="shared" si="33"/>
        <v>19.153866945804992</v>
      </c>
      <c r="F766">
        <f t="shared" si="34"/>
        <v>388.79081499561346</v>
      </c>
    </row>
    <row r="767" spans="1:6" x14ac:dyDescent="0.25">
      <c r="A767">
        <v>316.28306920512273</v>
      </c>
      <c r="B767">
        <v>55.602351612232376</v>
      </c>
      <c r="C767">
        <v>222.71872000000005</v>
      </c>
      <c r="E767">
        <f t="shared" si="33"/>
        <v>44.530360231174392</v>
      </c>
      <c r="F767">
        <f t="shared" si="34"/>
        <v>375.03875483300851</v>
      </c>
    </row>
    <row r="768" spans="1:6" x14ac:dyDescent="0.25">
      <c r="A768">
        <v>298.7986497805353</v>
      </c>
      <c r="B768">
        <v>75.642173498243835</v>
      </c>
      <c r="C768">
        <v>222.71872000000005</v>
      </c>
      <c r="E768">
        <f t="shared" si="33"/>
        <v>65.168171837204298</v>
      </c>
      <c r="F768">
        <f t="shared" si="34"/>
        <v>364.25638562245922</v>
      </c>
    </row>
    <row r="769" spans="1:6" x14ac:dyDescent="0.25">
      <c r="A769">
        <v>281.64664831557695</v>
      </c>
      <c r="B769">
        <v>95.313860366820535</v>
      </c>
      <c r="C769">
        <v>222.71872000000005</v>
      </c>
      <c r="E769">
        <f t="shared" si="33"/>
        <v>85.42647146421946</v>
      </c>
      <c r="F769">
        <f t="shared" si="34"/>
        <v>353.67930203346344</v>
      </c>
    </row>
    <row r="770" spans="1:6" x14ac:dyDescent="0.25">
      <c r="A770">
        <v>259.93248336907988</v>
      </c>
      <c r="B770">
        <v>119.05187025709981</v>
      </c>
      <c r="C770">
        <v>222.71872000000005</v>
      </c>
      <c r="E770">
        <f t="shared" si="33"/>
        <v>109.90783422820098</v>
      </c>
      <c r="F770">
        <f t="shared" si="34"/>
        <v>340.26272236447323</v>
      </c>
    </row>
    <row r="771" spans="1:6" x14ac:dyDescent="0.25">
      <c r="A771">
        <v>239.4075316261175</v>
      </c>
      <c r="B771">
        <v>140.74057716015869</v>
      </c>
      <c r="C771">
        <v>222.71872000000005</v>
      </c>
      <c r="E771">
        <f t="shared" si="33"/>
        <v>132.29963944269628</v>
      </c>
      <c r="F771">
        <f t="shared" si="34"/>
        <v>327.56411660888114</v>
      </c>
    </row>
    <row r="772" spans="1:6" x14ac:dyDescent="0.25">
      <c r="A772">
        <v>221.82343019605835</v>
      </c>
      <c r="B772">
        <v>158.73803865526995</v>
      </c>
      <c r="C772">
        <v>222.71872000000005</v>
      </c>
      <c r="E772">
        <f t="shared" si="33"/>
        <v>150.89981366041465</v>
      </c>
      <c r="F772">
        <f t="shared" si="34"/>
        <v>316.67189587541748</v>
      </c>
    </row>
    <row r="773" spans="1:6" x14ac:dyDescent="0.25">
      <c r="A773">
        <v>204.79985285648937</v>
      </c>
      <c r="B773">
        <v>174.92109723192888</v>
      </c>
      <c r="C773">
        <v>222.71872000000005</v>
      </c>
      <c r="E773">
        <f t="shared" si="33"/>
        <v>167.66712823626733</v>
      </c>
      <c r="F773">
        <f t="shared" si="34"/>
        <v>306.09905116301286</v>
      </c>
    </row>
    <row r="774" spans="1:6" x14ac:dyDescent="0.25">
      <c r="A774">
        <v>189.04988293396178</v>
      </c>
      <c r="B774">
        <v>189.04988293396175</v>
      </c>
      <c r="C774">
        <v>222.71872000000005</v>
      </c>
      <c r="E774">
        <f t="shared" si="33"/>
        <v>182.33697308717328</v>
      </c>
      <c r="F774">
        <f t="shared" si="34"/>
        <v>296.29828338332754</v>
      </c>
    </row>
    <row r="775" spans="1:6" x14ac:dyDescent="0.25">
      <c r="A775">
        <v>174.92109723192891</v>
      </c>
      <c r="B775">
        <v>204.79985285648937</v>
      </c>
      <c r="C775">
        <v>222.71872000000005</v>
      </c>
      <c r="E775">
        <f t="shared" si="33"/>
        <v>198.5704360635925</v>
      </c>
      <c r="F775">
        <f t="shared" si="34"/>
        <v>287.57532589572452</v>
      </c>
    </row>
    <row r="776" spans="1:6" x14ac:dyDescent="0.25">
      <c r="A776">
        <v>158.73803865527</v>
      </c>
      <c r="B776">
        <v>221.82343019605827</v>
      </c>
      <c r="C776">
        <v>222.71872000000005</v>
      </c>
      <c r="E776">
        <f t="shared" si="33"/>
        <v>216.14842369924028</v>
      </c>
      <c r="F776">
        <f t="shared" si="34"/>
        <v>277.56128243607111</v>
      </c>
    </row>
    <row r="777" spans="1:6" x14ac:dyDescent="0.25">
      <c r="A777">
        <v>140.74057716015886</v>
      </c>
      <c r="B777">
        <v>239.40753162611742</v>
      </c>
      <c r="C777">
        <v>222.71872000000005</v>
      </c>
      <c r="E777">
        <f t="shared" si="33"/>
        <v>234.34991571791679</v>
      </c>
      <c r="F777">
        <f t="shared" si="34"/>
        <v>266.39424794189063</v>
      </c>
    </row>
    <row r="778" spans="1:6" x14ac:dyDescent="0.25">
      <c r="A778">
        <v>119.05187025709992</v>
      </c>
      <c r="B778">
        <v>259.93248336907965</v>
      </c>
      <c r="C778">
        <v>222.71872000000005</v>
      </c>
      <c r="E778">
        <f t="shared" si="33"/>
        <v>255.61928916988768</v>
      </c>
      <c r="F778">
        <f t="shared" si="34"/>
        <v>252.92194400125624</v>
      </c>
    </row>
    <row r="779" spans="1:6" x14ac:dyDescent="0.25">
      <c r="A779">
        <v>95.313860366820606</v>
      </c>
      <c r="B779">
        <v>281.64664831557684</v>
      </c>
      <c r="C779">
        <v>222.71872000000005</v>
      </c>
      <c r="E779">
        <f t="shared" si="33"/>
        <v>278.14867103168626</v>
      </c>
      <c r="F779">
        <f t="shared" si="34"/>
        <v>238.15985351220539</v>
      </c>
    </row>
    <row r="780" spans="1:6" x14ac:dyDescent="0.25">
      <c r="A780">
        <v>75.642173498243764</v>
      </c>
      <c r="B780">
        <v>298.79864978053541</v>
      </c>
      <c r="C780">
        <v>222.71872000000005</v>
      </c>
      <c r="E780">
        <f t="shared" si="33"/>
        <v>295.97675593178644</v>
      </c>
      <c r="F780">
        <f t="shared" si="34"/>
        <v>225.90760998364345</v>
      </c>
    </row>
    <row r="781" spans="1:6" x14ac:dyDescent="0.25">
      <c r="A781">
        <v>55.60235161223234</v>
      </c>
      <c r="B781">
        <v>316.28306920512267</v>
      </c>
      <c r="C781">
        <v>222.71872000000005</v>
      </c>
      <c r="E781">
        <f t="shared" si="33"/>
        <v>314.149904018303</v>
      </c>
      <c r="F781">
        <f t="shared" si="34"/>
        <v>213.42633509752895</v>
      </c>
    </row>
    <row r="782" spans="1:6" x14ac:dyDescent="0.25">
      <c r="A782">
        <v>30.987971060622762</v>
      </c>
      <c r="B782">
        <v>338.55007081714803</v>
      </c>
      <c r="C782">
        <v>222.71872000000005</v>
      </c>
      <c r="E782">
        <f t="shared" si="33"/>
        <v>337.26237066747564</v>
      </c>
      <c r="F782">
        <f t="shared" si="34"/>
        <v>198.11366933038065</v>
      </c>
    </row>
    <row r="783" spans="1:6" x14ac:dyDescent="0.25">
      <c r="A783">
        <v>2.122455706339556E-14</v>
      </c>
      <c r="B783">
        <v>346.48139135071</v>
      </c>
      <c r="C783">
        <v>222.71872000000005</v>
      </c>
      <c r="E783">
        <f t="shared" si="33"/>
        <v>346.27032424871305</v>
      </c>
      <c r="F783">
        <f t="shared" si="34"/>
        <v>178.38504243581684</v>
      </c>
    </row>
    <row r="784" spans="1:6" x14ac:dyDescent="0.25">
      <c r="A784">
        <v>-30.987971060622709</v>
      </c>
      <c r="B784">
        <v>338.55007081714803</v>
      </c>
      <c r="C784">
        <v>222.71872000000005</v>
      </c>
      <c r="E784">
        <f t="shared" si="33"/>
        <v>339.42529985517041</v>
      </c>
      <c r="F784">
        <f t="shared" si="34"/>
        <v>158.30056948422362</v>
      </c>
    </row>
    <row r="785" spans="1:6" x14ac:dyDescent="0.25">
      <c r="A785">
        <v>-55.602351612232354</v>
      </c>
      <c r="B785">
        <v>316.28306920512273</v>
      </c>
      <c r="C785">
        <v>222.71872000000005</v>
      </c>
      <c r="E785">
        <f t="shared" si="33"/>
        <v>318.03089219178793</v>
      </c>
      <c r="F785">
        <f t="shared" si="34"/>
        <v>141.98887402309452</v>
      </c>
    </row>
    <row r="786" spans="1:6" x14ac:dyDescent="0.25">
      <c r="A786">
        <v>-75.642173498243793</v>
      </c>
      <c r="B786">
        <v>298.7986497805357</v>
      </c>
      <c r="C786">
        <v>222.71872000000005</v>
      </c>
      <c r="E786">
        <f t="shared" si="33"/>
        <v>301.25650350093071</v>
      </c>
      <c r="F786">
        <f t="shared" si="34"/>
        <v>128.72314443169347</v>
      </c>
    </row>
    <row r="787" spans="1:6" x14ac:dyDescent="0.25">
      <c r="A787">
        <v>-95.313860366820364</v>
      </c>
      <c r="B787">
        <v>281.64664831557712</v>
      </c>
      <c r="C787">
        <v>222.71872000000005</v>
      </c>
      <c r="E787">
        <f t="shared" si="33"/>
        <v>284.80148254283557</v>
      </c>
      <c r="F787">
        <f t="shared" si="34"/>
        <v>115.70136043813075</v>
      </c>
    </row>
    <row r="788" spans="1:6" x14ac:dyDescent="0.25">
      <c r="A788">
        <v>-119.05187025709968</v>
      </c>
      <c r="B788">
        <v>259.93248336907993</v>
      </c>
      <c r="C788">
        <v>222.71872000000005</v>
      </c>
      <c r="E788">
        <f t="shared" ref="E788:E851" si="35">($I$2*A788)+($K$2*B788)+($M$2*C788)</f>
        <v>263.92898987681639</v>
      </c>
      <c r="F788">
        <f t="shared" ref="F788:F851" si="36">($J$2*A788)+($L$2*B788)+($N$2*C788)</f>
        <v>99.965043785201985</v>
      </c>
    </row>
    <row r="789" spans="1:6" x14ac:dyDescent="0.25">
      <c r="A789">
        <v>-140.74057716015886</v>
      </c>
      <c r="B789">
        <v>239.40753162611745</v>
      </c>
      <c r="C789">
        <v>222.71872000000005</v>
      </c>
      <c r="E789">
        <f t="shared" si="35"/>
        <v>244.17346633493491</v>
      </c>
      <c r="F789">
        <f t="shared" si="36"/>
        <v>85.571868834809777</v>
      </c>
    </row>
    <row r="790" spans="1:6" x14ac:dyDescent="0.25">
      <c r="A790">
        <v>-158.73803865527003</v>
      </c>
      <c r="B790">
        <v>221.8234301960583</v>
      </c>
      <c r="C790">
        <v>222.71872000000005</v>
      </c>
      <c r="E790">
        <f t="shared" si="35"/>
        <v>227.22817901246248</v>
      </c>
      <c r="F790">
        <f t="shared" si="36"/>
        <v>73.615907309649458</v>
      </c>
    </row>
    <row r="791" spans="1:6" x14ac:dyDescent="0.25">
      <c r="A791">
        <v>-174.92109723192894</v>
      </c>
      <c r="B791">
        <v>204.79985285648942</v>
      </c>
      <c r="C791">
        <v>222.71872000000005</v>
      </c>
      <c r="E791">
        <f t="shared" si="35"/>
        <v>210.77975257567968</v>
      </c>
      <c r="F791">
        <f t="shared" si="36"/>
        <v>62.838085252574842</v>
      </c>
    </row>
    <row r="792" spans="1:6" x14ac:dyDescent="0.25">
      <c r="A792">
        <v>-189.04988293396178</v>
      </c>
      <c r="B792">
        <v>189.04988293396178</v>
      </c>
      <c r="C792">
        <v>222.71872000000005</v>
      </c>
      <c r="E792">
        <f t="shared" si="35"/>
        <v>195.53246461929734</v>
      </c>
      <c r="F792">
        <f t="shared" si="36"/>
        <v>53.408490746388651</v>
      </c>
    </row>
    <row r="793" spans="1:6" x14ac:dyDescent="0.25">
      <c r="A793">
        <v>-204.79985285648937</v>
      </c>
      <c r="B793">
        <v>174.92109723192891</v>
      </c>
      <c r="C793">
        <v>222.71872000000005</v>
      </c>
      <c r="E793">
        <f t="shared" si="35"/>
        <v>181.9619518151429</v>
      </c>
      <c r="F793">
        <f t="shared" si="36"/>
        <v>42.973821882841236</v>
      </c>
    </row>
    <row r="794" spans="1:6" x14ac:dyDescent="0.25">
      <c r="A794">
        <v>-221.82343019605827</v>
      </c>
      <c r="B794">
        <v>158.73803865527003</v>
      </c>
      <c r="C794">
        <v>222.71872000000005</v>
      </c>
      <c r="E794">
        <f t="shared" si="35"/>
        <v>166.38286580174434</v>
      </c>
      <c r="F794">
        <f t="shared" si="36"/>
        <v>31.674909227423655</v>
      </c>
    </row>
    <row r="795" spans="1:6" x14ac:dyDescent="0.25">
      <c r="A795">
        <v>-239.40753162611747</v>
      </c>
      <c r="B795">
        <v>140.74057716015886</v>
      </c>
      <c r="C795">
        <v>222.71872000000005</v>
      </c>
      <c r="E795">
        <f t="shared" si="35"/>
        <v>149.01004416377566</v>
      </c>
      <c r="F795">
        <f t="shared" si="36"/>
        <v>19.97521568000991</v>
      </c>
    </row>
    <row r="796" spans="1:6" x14ac:dyDescent="0.25">
      <c r="A796">
        <v>-259.93248336907965</v>
      </c>
      <c r="B796">
        <v>119.05187025709992</v>
      </c>
      <c r="C796">
        <v>222.71872000000005</v>
      </c>
      <c r="E796">
        <f t="shared" si="35"/>
        <v>128.05085992062533</v>
      </c>
      <c r="F796">
        <f t="shared" si="36"/>
        <v>6.3035259592872706</v>
      </c>
    </row>
    <row r="797" spans="1:6" x14ac:dyDescent="0.25">
      <c r="A797">
        <v>-281.64664831557684</v>
      </c>
      <c r="B797">
        <v>95.31386036682062</v>
      </c>
      <c r="C797">
        <v>222.71872000000005</v>
      </c>
      <c r="E797">
        <f t="shared" si="35"/>
        <v>105.08512401253945</v>
      </c>
      <c r="F797">
        <f t="shared" si="36"/>
        <v>-8.1780815553735522</v>
      </c>
    </row>
    <row r="798" spans="1:6" x14ac:dyDescent="0.25">
      <c r="A798">
        <v>-298.79864978053541</v>
      </c>
      <c r="B798">
        <v>75.642173498243793</v>
      </c>
      <c r="C798">
        <v>222.71872000000005</v>
      </c>
      <c r="E798">
        <f t="shared" si="35"/>
        <v>86.024016822659391</v>
      </c>
      <c r="F798">
        <f t="shared" si="36"/>
        <v>-19.63775363359764</v>
      </c>
    </row>
    <row r="799" spans="1:6" x14ac:dyDescent="0.25">
      <c r="A799">
        <v>-316.2830692051225</v>
      </c>
      <c r="B799">
        <v>55.602351612232368</v>
      </c>
      <c r="C799">
        <v>222.71872000000005</v>
      </c>
      <c r="E799">
        <f t="shared" si="35"/>
        <v>66.606600092736585</v>
      </c>
      <c r="F799">
        <f t="shared" si="36"/>
        <v>-31.319228052609049</v>
      </c>
    </row>
    <row r="800" spans="1:6" x14ac:dyDescent="0.25">
      <c r="A800">
        <v>-362.16589190795264</v>
      </c>
      <c r="B800">
        <v>-4.4370698289163047E-14</v>
      </c>
      <c r="C800">
        <v>279.01859200000007</v>
      </c>
      <c r="E800">
        <f t="shared" si="35"/>
        <v>12.639407350399946</v>
      </c>
      <c r="F800">
        <f t="shared" si="36"/>
        <v>-18.913293161292671</v>
      </c>
    </row>
    <row r="801" spans="1:6" x14ac:dyDescent="0.25">
      <c r="A801">
        <v>-337.56345925723923</v>
      </c>
      <c r="B801">
        <v>-27.476355165301854</v>
      </c>
      <c r="C801">
        <v>279.01859200000007</v>
      </c>
      <c r="E801">
        <f t="shared" si="35"/>
        <v>-15.678822478888511</v>
      </c>
      <c r="F801">
        <f t="shared" si="36"/>
        <v>-3.7251639194372501</v>
      </c>
    </row>
    <row r="802" spans="1:6" x14ac:dyDescent="0.25">
      <c r="A802">
        <v>-318.82972286878743</v>
      </c>
      <c r="B802">
        <v>-49.81674934542685</v>
      </c>
      <c r="C802">
        <v>279.01859200000007</v>
      </c>
      <c r="E802">
        <f t="shared" si="35"/>
        <v>-38.659405465810522</v>
      </c>
      <c r="F802">
        <f t="shared" si="36"/>
        <v>7.8081529068535644</v>
      </c>
    </row>
    <row r="803" spans="1:6" x14ac:dyDescent="0.25">
      <c r="A803">
        <v>-303.02583607963311</v>
      </c>
      <c r="B803">
        <v>-69.57194130016282</v>
      </c>
      <c r="C803">
        <v>279.01859200000007</v>
      </c>
      <c r="E803">
        <f t="shared" si="35"/>
        <v>-58.954110786259875</v>
      </c>
      <c r="F803">
        <f t="shared" si="36"/>
        <v>17.517339698914441</v>
      </c>
    </row>
    <row r="804" spans="1:6" x14ac:dyDescent="0.25">
      <c r="A804">
        <v>-285.92907238706385</v>
      </c>
      <c r="B804">
        <v>-90.862102679650008</v>
      </c>
      <c r="C804">
        <v>279.01859200000007</v>
      </c>
      <c r="E804">
        <f t="shared" si="35"/>
        <v>-80.827971222787866</v>
      </c>
      <c r="F804">
        <f t="shared" si="36"/>
        <v>28.022631581079708</v>
      </c>
    </row>
    <row r="805" spans="1:6" x14ac:dyDescent="0.25">
      <c r="A805">
        <v>-266.33770309839508</v>
      </c>
      <c r="B805">
        <v>-113.98215129646279</v>
      </c>
      <c r="C805">
        <v>279.01859200000007</v>
      </c>
      <c r="E805">
        <f t="shared" si="35"/>
        <v>-104.61766465855347</v>
      </c>
      <c r="F805">
        <f t="shared" si="36"/>
        <v>40.08939842700488</v>
      </c>
    </row>
    <row r="806" spans="1:6" x14ac:dyDescent="0.25">
      <c r="A806">
        <v>-244.19794198341219</v>
      </c>
      <c r="B806">
        <v>-136.91345633075954</v>
      </c>
      <c r="C806">
        <v>279.01859200000007</v>
      </c>
      <c r="E806">
        <f t="shared" si="35"/>
        <v>-128.30766708143298</v>
      </c>
      <c r="F806">
        <f t="shared" si="36"/>
        <v>53.797476170673065</v>
      </c>
    </row>
    <row r="807" spans="1:6" x14ac:dyDescent="0.25">
      <c r="A807">
        <v>-224.23755008790039</v>
      </c>
      <c r="B807">
        <v>-155.34277076231348</v>
      </c>
      <c r="C807">
        <v>279.01859200000007</v>
      </c>
      <c r="E807">
        <f t="shared" si="35"/>
        <v>-147.42236250371664</v>
      </c>
      <c r="F807">
        <f t="shared" si="36"/>
        <v>66.20652874963028</v>
      </c>
    </row>
    <row r="808" spans="1:6" x14ac:dyDescent="0.25">
      <c r="A808">
        <v>-206.41570385331622</v>
      </c>
      <c r="B808">
        <v>-172.9846572629981</v>
      </c>
      <c r="C808">
        <v>279.01859200000007</v>
      </c>
      <c r="E808">
        <f t="shared" si="35"/>
        <v>-165.67547550770922</v>
      </c>
      <c r="F808">
        <f t="shared" si="36"/>
        <v>77.259452405323941</v>
      </c>
    </row>
    <row r="809" spans="1:6" x14ac:dyDescent="0.25">
      <c r="A809">
        <v>-189.66242858747677</v>
      </c>
      <c r="B809">
        <v>-189.6624285874768</v>
      </c>
      <c r="C809">
        <v>279.01859200000007</v>
      </c>
      <c r="E809">
        <f t="shared" si="35"/>
        <v>-182.92776805941159</v>
      </c>
      <c r="F809">
        <f t="shared" si="36"/>
        <v>87.64755826243902</v>
      </c>
    </row>
    <row r="810" spans="1:6" x14ac:dyDescent="0.25">
      <c r="A810">
        <v>-172.9846572629981</v>
      </c>
      <c r="B810">
        <v>-206.4157038533163</v>
      </c>
      <c r="C810">
        <v>279.01859200000007</v>
      </c>
      <c r="E810">
        <f t="shared" si="35"/>
        <v>-200.25288350796123</v>
      </c>
      <c r="F810">
        <f t="shared" si="36"/>
        <v>97.985466909352667</v>
      </c>
    </row>
    <row r="811" spans="1:6" x14ac:dyDescent="0.25">
      <c r="A811">
        <v>-155.34277076231351</v>
      </c>
      <c r="B811">
        <v>-224.2375500879005</v>
      </c>
      <c r="C811">
        <v>279.01859200000007</v>
      </c>
      <c r="E811">
        <f t="shared" si="35"/>
        <v>-218.67956611510601</v>
      </c>
      <c r="F811">
        <f t="shared" si="36"/>
        <v>108.91874811423453</v>
      </c>
    </row>
    <row r="812" spans="1:6" x14ac:dyDescent="0.25">
      <c r="A812">
        <v>-136.9134563307596</v>
      </c>
      <c r="B812">
        <v>-244.19794198341205</v>
      </c>
      <c r="C812">
        <v>279.01859200000007</v>
      </c>
      <c r="E812">
        <f t="shared" si="35"/>
        <v>-239.27097247741992</v>
      </c>
      <c r="F812">
        <f t="shared" si="36"/>
        <v>120.30989598639324</v>
      </c>
    </row>
    <row r="813" spans="1:6" x14ac:dyDescent="0.25">
      <c r="A813">
        <v>-113.98215129646276</v>
      </c>
      <c r="B813">
        <v>-266.33770309839514</v>
      </c>
      <c r="C813">
        <v>279.01859200000007</v>
      </c>
      <c r="E813">
        <f t="shared" si="35"/>
        <v>-262.1975376525566</v>
      </c>
      <c r="F813">
        <f t="shared" si="36"/>
        <v>134.544215086279</v>
      </c>
    </row>
    <row r="814" spans="1:6" x14ac:dyDescent="0.25">
      <c r="A814">
        <v>-90.862102679649993</v>
      </c>
      <c r="B814">
        <v>-285.92907238706402</v>
      </c>
      <c r="C814">
        <v>279.01859200000007</v>
      </c>
      <c r="E814">
        <f t="shared" si="35"/>
        <v>-282.58385046886002</v>
      </c>
      <c r="F814">
        <f t="shared" si="36"/>
        <v>148.95695029856978</v>
      </c>
    </row>
    <row r="815" spans="1:6" x14ac:dyDescent="0.25">
      <c r="A815">
        <v>-69.57194130016272</v>
      </c>
      <c r="B815">
        <v>-303.02583607963328</v>
      </c>
      <c r="C815">
        <v>279.01859200000007</v>
      </c>
      <c r="E815">
        <f t="shared" si="35"/>
        <v>-300.41321519178598</v>
      </c>
      <c r="F815">
        <f t="shared" si="36"/>
        <v>162.25013459210771</v>
      </c>
    </row>
    <row r="816" spans="1:6" x14ac:dyDescent="0.25">
      <c r="A816">
        <v>-49.816749345426871</v>
      </c>
      <c r="B816">
        <v>-318.82972286878743</v>
      </c>
      <c r="C816">
        <v>279.01859200000007</v>
      </c>
      <c r="E816">
        <f t="shared" si="35"/>
        <v>-316.89692093659647</v>
      </c>
      <c r="F816">
        <f t="shared" si="36"/>
        <v>174.58626366548577</v>
      </c>
    </row>
    <row r="817" spans="1:6" x14ac:dyDescent="0.25">
      <c r="A817">
        <v>-27.476355165301843</v>
      </c>
      <c r="B817">
        <v>-337.56345925723923</v>
      </c>
      <c r="C817">
        <v>279.01859200000007</v>
      </c>
      <c r="E817">
        <f t="shared" si="35"/>
        <v>-336.39891375203092</v>
      </c>
      <c r="F817">
        <f t="shared" si="36"/>
        <v>188.51739120245446</v>
      </c>
    </row>
    <row r="818" spans="1:6" x14ac:dyDescent="0.25">
      <c r="A818">
        <v>2.8513504704109782E-14</v>
      </c>
      <c r="B818">
        <v>-362.1658919079527</v>
      </c>
      <c r="C818">
        <v>279.01859200000007</v>
      </c>
      <c r="E818">
        <f t="shared" si="35"/>
        <v>-361.94527023199726</v>
      </c>
      <c r="F818">
        <f t="shared" si="36"/>
        <v>205.61618748986336</v>
      </c>
    </row>
    <row r="819" spans="1:6" x14ac:dyDescent="0.25">
      <c r="A819">
        <v>27.476355165301836</v>
      </c>
      <c r="B819">
        <v>-337.56345925723923</v>
      </c>
      <c r="C819">
        <v>279.01859200000007</v>
      </c>
      <c r="E819">
        <f t="shared" si="35"/>
        <v>-338.3167356850073</v>
      </c>
      <c r="F819">
        <f t="shared" si="36"/>
        <v>223.81879475238574</v>
      </c>
    </row>
    <row r="820" spans="1:6" x14ac:dyDescent="0.25">
      <c r="A820">
        <v>49.816749345426878</v>
      </c>
      <c r="B820">
        <v>-318.82972286878737</v>
      </c>
      <c r="C820">
        <v>279.01859200000007</v>
      </c>
      <c r="E820">
        <f t="shared" si="35"/>
        <v>-320.37407989561655</v>
      </c>
      <c r="F820">
        <f t="shared" si="36"/>
        <v>238.59042875975254</v>
      </c>
    </row>
    <row r="821" spans="1:6" x14ac:dyDescent="0.25">
      <c r="A821">
        <v>69.571941300162763</v>
      </c>
      <c r="B821">
        <v>-303.02583607963328</v>
      </c>
      <c r="C821">
        <v>279.01859200000007</v>
      </c>
      <c r="E821">
        <f t="shared" si="35"/>
        <v>-305.26926666376926</v>
      </c>
      <c r="F821">
        <f t="shared" si="36"/>
        <v>251.63561388197681</v>
      </c>
    </row>
    <row r="822" spans="1:6" x14ac:dyDescent="0.25">
      <c r="A822">
        <v>90.862102679650008</v>
      </c>
      <c r="B822">
        <v>-285.92907238706397</v>
      </c>
      <c r="C822">
        <v>279.01859200000007</v>
      </c>
      <c r="E822">
        <f t="shared" si="35"/>
        <v>-288.92593377456149</v>
      </c>
      <c r="F822">
        <f t="shared" si="36"/>
        <v>265.6958603465896</v>
      </c>
    </row>
    <row r="823" spans="1:6" x14ac:dyDescent="0.25">
      <c r="A823">
        <v>113.98215129646276</v>
      </c>
      <c r="B823">
        <v>-266.33770309839502</v>
      </c>
      <c r="C823">
        <v>279.01859200000007</v>
      </c>
      <c r="E823">
        <f t="shared" si="35"/>
        <v>-270.15337707918621</v>
      </c>
      <c r="F823">
        <f t="shared" si="36"/>
        <v>280.98758052534095</v>
      </c>
    </row>
    <row r="824" spans="1:6" x14ac:dyDescent="0.25">
      <c r="A824">
        <v>136.91345633075954</v>
      </c>
      <c r="B824">
        <v>-244.19794198341219</v>
      </c>
      <c r="C824">
        <v>279.01859200000007</v>
      </c>
      <c r="E824">
        <f t="shared" si="35"/>
        <v>-248.82739391290681</v>
      </c>
      <c r="F824">
        <f t="shared" si="36"/>
        <v>296.21522055621199</v>
      </c>
    </row>
    <row r="825" spans="1:6" x14ac:dyDescent="0.25">
      <c r="A825">
        <v>155.34277076231348</v>
      </c>
      <c r="B825">
        <v>-224.23755008790059</v>
      </c>
      <c r="C825">
        <v>279.01859200000007</v>
      </c>
      <c r="E825">
        <f t="shared" si="35"/>
        <v>-229.52233514705958</v>
      </c>
      <c r="F825">
        <f t="shared" si="36"/>
        <v>308.50190993658794</v>
      </c>
    </row>
    <row r="826" spans="1:6" x14ac:dyDescent="0.25">
      <c r="A826">
        <v>172.98465726299813</v>
      </c>
      <c r="B826">
        <v>-206.41570385331627</v>
      </c>
      <c r="C826">
        <v>279.01859200000007</v>
      </c>
      <c r="E826">
        <f t="shared" si="35"/>
        <v>-212.32703845942774</v>
      </c>
      <c r="F826">
        <f t="shared" si="36"/>
        <v>320.23478481376264</v>
      </c>
    </row>
    <row r="827" spans="1:6" x14ac:dyDescent="0.25">
      <c r="A827">
        <v>189.6624285874768</v>
      </c>
      <c r="B827">
        <v>-189.66242858747677</v>
      </c>
      <c r="C827">
        <v>279.01859200000007</v>
      </c>
      <c r="E827">
        <f t="shared" si="35"/>
        <v>-196.16601466156555</v>
      </c>
      <c r="F827">
        <f t="shared" si="36"/>
        <v>331.32434470468428</v>
      </c>
    </row>
    <row r="828" spans="1:6" x14ac:dyDescent="0.25">
      <c r="A828">
        <v>206.4157038533163</v>
      </c>
      <c r="B828">
        <v>-172.9846572629981</v>
      </c>
      <c r="C828">
        <v>279.01859200000007</v>
      </c>
      <c r="E828">
        <f t="shared" si="35"/>
        <v>-180.08308385965574</v>
      </c>
      <c r="F828">
        <f t="shared" si="36"/>
        <v>342.46071425140082</v>
      </c>
    </row>
    <row r="829" spans="1:6" x14ac:dyDescent="0.25">
      <c r="A829">
        <v>224.23755008790044</v>
      </c>
      <c r="B829">
        <v>-155.34277076231351</v>
      </c>
      <c r="C829">
        <v>279.01859200000007</v>
      </c>
      <c r="E829">
        <f t="shared" si="35"/>
        <v>-163.0739177834559</v>
      </c>
      <c r="F829">
        <f t="shared" si="36"/>
        <v>354.30515751889993</v>
      </c>
    </row>
    <row r="830" spans="1:6" x14ac:dyDescent="0.25">
      <c r="A830">
        <v>244.19794198341219</v>
      </c>
      <c r="B830">
        <v>-136.91345633075954</v>
      </c>
      <c r="C830">
        <v>279.01859200000007</v>
      </c>
      <c r="E830">
        <f t="shared" si="35"/>
        <v>-145.35243762344825</v>
      </c>
      <c r="F830">
        <f t="shared" si="36"/>
        <v>367.54105839461602</v>
      </c>
    </row>
    <row r="831" spans="1:6" x14ac:dyDescent="0.25">
      <c r="A831">
        <v>266.33770309839508</v>
      </c>
      <c r="B831">
        <v>-113.98215129646276</v>
      </c>
      <c r="C831">
        <v>279.01859200000007</v>
      </c>
      <c r="E831">
        <f t="shared" si="35"/>
        <v>-123.20776824062175</v>
      </c>
      <c r="F831">
        <f t="shared" si="36"/>
        <v>382.27797042186461</v>
      </c>
    </row>
    <row r="832" spans="1:6" x14ac:dyDescent="0.25">
      <c r="A832">
        <v>285.92907238706391</v>
      </c>
      <c r="B832">
        <v>-90.862102679649993</v>
      </c>
      <c r="C832">
        <v>279.01859200000007</v>
      </c>
      <c r="E832">
        <f t="shared" si="35"/>
        <v>-100.78553266063091</v>
      </c>
      <c r="F832">
        <f t="shared" si="36"/>
        <v>395.38203970737834</v>
      </c>
    </row>
    <row r="833" spans="1:6" x14ac:dyDescent="0.25">
      <c r="A833">
        <v>303.02583607963311</v>
      </c>
      <c r="B833">
        <v>-69.571941300162777</v>
      </c>
      <c r="C833">
        <v>279.01859200000007</v>
      </c>
      <c r="E833">
        <f t="shared" si="35"/>
        <v>-80.105009120327423</v>
      </c>
      <c r="F833">
        <f t="shared" si="36"/>
        <v>406.84253443985739</v>
      </c>
    </row>
    <row r="834" spans="1:6" x14ac:dyDescent="0.25">
      <c r="A834">
        <v>318.82972286878737</v>
      </c>
      <c r="B834">
        <v>-49.816749345426928</v>
      </c>
      <c r="C834">
        <v>279.01859200000007</v>
      </c>
      <c r="E834">
        <f t="shared" si="35"/>
        <v>-60.913399189647755</v>
      </c>
      <c r="F834">
        <f t="shared" si="36"/>
        <v>417.43805625434049</v>
      </c>
    </row>
    <row r="835" spans="1:6" x14ac:dyDescent="0.25">
      <c r="A835">
        <v>337.56345925723923</v>
      </c>
      <c r="B835">
        <v>-27.476355165301818</v>
      </c>
      <c r="C835">
        <v>279.01859200000007</v>
      </c>
      <c r="E835">
        <f t="shared" si="35"/>
        <v>-39.240412145354234</v>
      </c>
      <c r="F835">
        <f t="shared" si="36"/>
        <v>429.97369560029767</v>
      </c>
    </row>
    <row r="836" spans="1:6" x14ac:dyDescent="0.25">
      <c r="A836">
        <v>362.1658919079527</v>
      </c>
      <c r="B836">
        <v>0</v>
      </c>
      <c r="C836">
        <v>279.01859200000007</v>
      </c>
      <c r="E836">
        <f t="shared" si="35"/>
        <v>-12.639407350399924</v>
      </c>
      <c r="F836">
        <f t="shared" si="36"/>
        <v>446.39457701825546</v>
      </c>
    </row>
    <row r="837" spans="1:6" x14ac:dyDescent="0.25">
      <c r="A837">
        <v>337.56345925723923</v>
      </c>
      <c r="B837">
        <v>27.476355165301801</v>
      </c>
      <c r="C837">
        <v>279.01859200000007</v>
      </c>
      <c r="E837">
        <f t="shared" si="35"/>
        <v>15.678822478888526</v>
      </c>
      <c r="F837">
        <f t="shared" si="36"/>
        <v>431.20644777640001</v>
      </c>
    </row>
    <row r="838" spans="1:6" x14ac:dyDescent="0.25">
      <c r="A838">
        <v>318.8297228687876</v>
      </c>
      <c r="B838">
        <v>49.816749345426842</v>
      </c>
      <c r="C838">
        <v>279.01859200000007</v>
      </c>
      <c r="E838">
        <f t="shared" si="35"/>
        <v>38.659405465810579</v>
      </c>
      <c r="F838">
        <f t="shared" si="36"/>
        <v>419.67313095010934</v>
      </c>
    </row>
    <row r="839" spans="1:6" x14ac:dyDescent="0.25">
      <c r="A839">
        <v>303.02583607963311</v>
      </c>
      <c r="B839">
        <v>69.571941300162777</v>
      </c>
      <c r="C839">
        <v>279.01859200000007</v>
      </c>
      <c r="E839">
        <f t="shared" si="35"/>
        <v>58.954110786259903</v>
      </c>
      <c r="F839">
        <f t="shared" si="36"/>
        <v>409.96394415804832</v>
      </c>
    </row>
    <row r="840" spans="1:6" x14ac:dyDescent="0.25">
      <c r="A840">
        <v>285.92907238706391</v>
      </c>
      <c r="B840">
        <v>90.862102679649993</v>
      </c>
      <c r="C840">
        <v>279.01859200000007</v>
      </c>
      <c r="E840">
        <f t="shared" si="35"/>
        <v>80.827971222787909</v>
      </c>
      <c r="F840">
        <f t="shared" si="36"/>
        <v>399.45865227588308</v>
      </c>
    </row>
    <row r="841" spans="1:6" x14ac:dyDescent="0.25">
      <c r="A841">
        <v>266.33770309839514</v>
      </c>
      <c r="B841">
        <v>113.98215129646276</v>
      </c>
      <c r="C841">
        <v>279.01859200000007</v>
      </c>
      <c r="E841">
        <f t="shared" si="35"/>
        <v>104.61766465855349</v>
      </c>
      <c r="F841">
        <f t="shared" si="36"/>
        <v>387.39188542995794</v>
      </c>
    </row>
    <row r="842" spans="1:6" x14ac:dyDescent="0.25">
      <c r="A842">
        <v>244.19794198341219</v>
      </c>
      <c r="B842">
        <v>136.91345633075949</v>
      </c>
      <c r="C842">
        <v>279.01859200000007</v>
      </c>
      <c r="E842">
        <f t="shared" si="35"/>
        <v>128.30766708143298</v>
      </c>
      <c r="F842">
        <f t="shared" si="36"/>
        <v>373.6838076862897</v>
      </c>
    </row>
    <row r="843" spans="1:6" x14ac:dyDescent="0.25">
      <c r="A843">
        <v>224.2375500879005</v>
      </c>
      <c r="B843">
        <v>155.34277076231339</v>
      </c>
      <c r="C843">
        <v>279.01859200000007</v>
      </c>
      <c r="E843">
        <f t="shared" si="35"/>
        <v>147.42236250371661</v>
      </c>
      <c r="F843">
        <f t="shared" si="36"/>
        <v>361.27475510733257</v>
      </c>
    </row>
    <row r="844" spans="1:6" x14ac:dyDescent="0.25">
      <c r="A844">
        <v>206.4157038533163</v>
      </c>
      <c r="B844">
        <v>172.9846572629981</v>
      </c>
      <c r="C844">
        <v>279.01859200000007</v>
      </c>
      <c r="E844">
        <f t="shared" si="35"/>
        <v>165.67547550770928</v>
      </c>
      <c r="F844">
        <f t="shared" si="36"/>
        <v>350.22183145163888</v>
      </c>
    </row>
    <row r="845" spans="1:6" x14ac:dyDescent="0.25">
      <c r="A845">
        <v>189.6624285874768</v>
      </c>
      <c r="B845">
        <v>189.66242858747677</v>
      </c>
      <c r="C845">
        <v>279.01859200000007</v>
      </c>
      <c r="E845">
        <f t="shared" si="35"/>
        <v>182.92776805941162</v>
      </c>
      <c r="F845">
        <f t="shared" si="36"/>
        <v>339.8337255945238</v>
      </c>
    </row>
    <row r="846" spans="1:6" x14ac:dyDescent="0.25">
      <c r="A846">
        <v>172.9846572629981</v>
      </c>
      <c r="B846">
        <v>206.41570385331622</v>
      </c>
      <c r="C846">
        <v>279.01859200000007</v>
      </c>
      <c r="E846">
        <f t="shared" si="35"/>
        <v>200.2528835079612</v>
      </c>
      <c r="F846">
        <f t="shared" si="36"/>
        <v>329.49581694761008</v>
      </c>
    </row>
    <row r="847" spans="1:6" x14ac:dyDescent="0.25">
      <c r="A847">
        <v>155.34277076231351</v>
      </c>
      <c r="B847">
        <v>224.23755008790044</v>
      </c>
      <c r="C847">
        <v>279.01859200000007</v>
      </c>
      <c r="E847">
        <f t="shared" si="35"/>
        <v>218.67956611510601</v>
      </c>
      <c r="F847">
        <f t="shared" si="36"/>
        <v>318.56253574272824</v>
      </c>
    </row>
    <row r="848" spans="1:6" x14ac:dyDescent="0.25">
      <c r="A848">
        <v>136.91345633075969</v>
      </c>
      <c r="B848">
        <v>244.19794198341216</v>
      </c>
      <c r="C848">
        <v>279.01859200000007</v>
      </c>
      <c r="E848">
        <f t="shared" si="35"/>
        <v>239.27097247742009</v>
      </c>
      <c r="F848">
        <f t="shared" si="36"/>
        <v>307.17138787056956</v>
      </c>
    </row>
    <row r="849" spans="1:6" x14ac:dyDescent="0.25">
      <c r="A849">
        <v>113.98215129646289</v>
      </c>
      <c r="B849">
        <v>266.33770309839508</v>
      </c>
      <c r="C849">
        <v>279.01859200000007</v>
      </c>
      <c r="E849">
        <f t="shared" si="35"/>
        <v>262.19753765255666</v>
      </c>
      <c r="F849">
        <f t="shared" si="36"/>
        <v>292.93706877068382</v>
      </c>
    </row>
    <row r="850" spans="1:6" x14ac:dyDescent="0.25">
      <c r="A850">
        <v>90.862102679650093</v>
      </c>
      <c r="B850">
        <v>285.92907238706385</v>
      </c>
      <c r="C850">
        <v>279.01859200000007</v>
      </c>
      <c r="E850">
        <f t="shared" si="35"/>
        <v>282.58385046885996</v>
      </c>
      <c r="F850">
        <f t="shared" si="36"/>
        <v>278.52433355839304</v>
      </c>
    </row>
    <row r="851" spans="1:6" x14ac:dyDescent="0.25">
      <c r="A851">
        <v>69.57194130016272</v>
      </c>
      <c r="B851">
        <v>303.02583607963328</v>
      </c>
      <c r="C851">
        <v>279.01859200000007</v>
      </c>
      <c r="E851">
        <f t="shared" si="35"/>
        <v>300.41321519178609</v>
      </c>
      <c r="F851">
        <f t="shared" si="36"/>
        <v>265.23114926485505</v>
      </c>
    </row>
    <row r="852" spans="1:6" x14ac:dyDescent="0.25">
      <c r="A852">
        <v>49.816749345426864</v>
      </c>
      <c r="B852">
        <v>318.8297228687876</v>
      </c>
      <c r="C852">
        <v>279.01859200000007</v>
      </c>
      <c r="E852">
        <f t="shared" ref="E852:E915" si="37">($I$2*A852)+($K$2*B852)+($M$2*C852)</f>
        <v>316.89692093659676</v>
      </c>
      <c r="F852">
        <f t="shared" ref="F852:F915" si="38">($J$2*A852)+($L$2*B852)+($N$2*C852)</f>
        <v>252.89502019147702</v>
      </c>
    </row>
    <row r="853" spans="1:6" x14ac:dyDescent="0.25">
      <c r="A853">
        <v>27.476355165301861</v>
      </c>
      <c r="B853">
        <v>337.56345925723923</v>
      </c>
      <c r="C853">
        <v>279.01859200000007</v>
      </c>
      <c r="E853">
        <f t="shared" si="37"/>
        <v>336.39891375203104</v>
      </c>
      <c r="F853">
        <f t="shared" si="38"/>
        <v>238.9638926545083</v>
      </c>
    </row>
    <row r="854" spans="1:6" x14ac:dyDescent="0.25">
      <c r="A854">
        <v>1.7966578771562693E-14</v>
      </c>
      <c r="B854">
        <v>362.1658919079527</v>
      </c>
      <c r="C854">
        <v>279.01859200000007</v>
      </c>
      <c r="E854">
        <f t="shared" si="37"/>
        <v>361.94527023199737</v>
      </c>
      <c r="F854">
        <f t="shared" si="38"/>
        <v>221.86509636709943</v>
      </c>
    </row>
    <row r="855" spans="1:6" x14ac:dyDescent="0.25">
      <c r="A855">
        <v>-27.476355165301811</v>
      </c>
      <c r="B855">
        <v>337.56345925723923</v>
      </c>
      <c r="C855">
        <v>279.01859200000007</v>
      </c>
      <c r="E855">
        <f t="shared" si="37"/>
        <v>338.31673568500742</v>
      </c>
      <c r="F855">
        <f t="shared" si="38"/>
        <v>203.66248910457702</v>
      </c>
    </row>
    <row r="856" spans="1:6" x14ac:dyDescent="0.25">
      <c r="A856">
        <v>-49.816749345426814</v>
      </c>
      <c r="B856">
        <v>318.8297228687876</v>
      </c>
      <c r="C856">
        <v>279.01859200000007</v>
      </c>
      <c r="E856">
        <f t="shared" si="37"/>
        <v>320.37407989561689</v>
      </c>
      <c r="F856">
        <f t="shared" si="38"/>
        <v>188.89085509721028</v>
      </c>
    </row>
    <row r="857" spans="1:6" x14ac:dyDescent="0.25">
      <c r="A857">
        <v>-69.571941300162763</v>
      </c>
      <c r="B857">
        <v>303.02583607963345</v>
      </c>
      <c r="C857">
        <v>279.01859200000007</v>
      </c>
      <c r="E857">
        <f t="shared" si="37"/>
        <v>305.26926666376954</v>
      </c>
      <c r="F857">
        <f t="shared" si="38"/>
        <v>175.84566997498595</v>
      </c>
    </row>
    <row r="858" spans="1:6" x14ac:dyDescent="0.25">
      <c r="A858">
        <v>-90.862102679649809</v>
      </c>
      <c r="B858">
        <v>285.92907238706402</v>
      </c>
      <c r="C858">
        <v>279.01859200000007</v>
      </c>
      <c r="E858">
        <f t="shared" si="37"/>
        <v>288.92593377456166</v>
      </c>
      <c r="F858">
        <f t="shared" si="38"/>
        <v>161.78542351037328</v>
      </c>
    </row>
    <row r="859" spans="1:6" x14ac:dyDescent="0.25">
      <c r="A859">
        <v>-113.98215129646263</v>
      </c>
      <c r="B859">
        <v>266.33770309839525</v>
      </c>
      <c r="C859">
        <v>279.01859200000007</v>
      </c>
      <c r="E859">
        <f t="shared" si="37"/>
        <v>270.15337707918655</v>
      </c>
      <c r="F859">
        <f t="shared" si="38"/>
        <v>146.49370333162193</v>
      </c>
    </row>
    <row r="860" spans="1:6" x14ac:dyDescent="0.25">
      <c r="A860">
        <v>-136.9134563307596</v>
      </c>
      <c r="B860">
        <v>244.19794198341211</v>
      </c>
      <c r="C860">
        <v>279.01859200000007</v>
      </c>
      <c r="E860">
        <f t="shared" si="37"/>
        <v>248.82739391290679</v>
      </c>
      <c r="F860">
        <f t="shared" si="38"/>
        <v>131.26606330075072</v>
      </c>
    </row>
    <row r="861" spans="1:6" x14ac:dyDescent="0.25">
      <c r="A861">
        <v>-155.34277076231351</v>
      </c>
      <c r="B861">
        <v>224.23755008790044</v>
      </c>
      <c r="C861">
        <v>279.01859200000007</v>
      </c>
      <c r="E861">
        <f t="shared" si="37"/>
        <v>229.52233514705949</v>
      </c>
      <c r="F861">
        <f t="shared" si="38"/>
        <v>118.97937392037478</v>
      </c>
    </row>
    <row r="862" spans="1:6" x14ac:dyDescent="0.25">
      <c r="A862">
        <v>-172.9846572629981</v>
      </c>
      <c r="B862">
        <v>206.4157038533163</v>
      </c>
      <c r="C862">
        <v>279.01859200000007</v>
      </c>
      <c r="E862">
        <f t="shared" si="37"/>
        <v>212.32703845942783</v>
      </c>
      <c r="F862">
        <f t="shared" si="38"/>
        <v>107.24649904320013</v>
      </c>
    </row>
    <row r="863" spans="1:6" x14ac:dyDescent="0.25">
      <c r="A863">
        <v>-189.66242858747677</v>
      </c>
      <c r="B863">
        <v>189.6624285874768</v>
      </c>
      <c r="C863">
        <v>279.01859200000007</v>
      </c>
      <c r="E863">
        <f t="shared" si="37"/>
        <v>196.16601466156564</v>
      </c>
      <c r="F863">
        <f t="shared" si="38"/>
        <v>96.156939152278483</v>
      </c>
    </row>
    <row r="864" spans="1:6" x14ac:dyDescent="0.25">
      <c r="A864">
        <v>-206.41570385331622</v>
      </c>
      <c r="B864">
        <v>172.9846572629981</v>
      </c>
      <c r="C864">
        <v>279.01859200000007</v>
      </c>
      <c r="E864">
        <f t="shared" si="37"/>
        <v>180.0830838596558</v>
      </c>
      <c r="F864">
        <f t="shared" si="38"/>
        <v>85.020569605562002</v>
      </c>
    </row>
    <row r="865" spans="1:6" x14ac:dyDescent="0.25">
      <c r="A865">
        <v>-224.23755008790039</v>
      </c>
      <c r="B865">
        <v>155.34277076231353</v>
      </c>
      <c r="C865">
        <v>279.01859200000007</v>
      </c>
      <c r="E865">
        <f t="shared" si="37"/>
        <v>163.07391778345598</v>
      </c>
      <c r="F865">
        <f t="shared" si="38"/>
        <v>73.176126338062858</v>
      </c>
    </row>
    <row r="866" spans="1:6" x14ac:dyDescent="0.25">
      <c r="A866">
        <v>-244.19794198341216</v>
      </c>
      <c r="B866">
        <v>136.91345633075969</v>
      </c>
      <c r="C866">
        <v>279.01859200000007</v>
      </c>
      <c r="E866">
        <f t="shared" si="37"/>
        <v>145.35243762344845</v>
      </c>
      <c r="F866">
        <f t="shared" si="38"/>
        <v>59.940225462346746</v>
      </c>
    </row>
    <row r="867" spans="1:6" x14ac:dyDescent="0.25">
      <c r="A867">
        <v>-266.33770309839497</v>
      </c>
      <c r="B867">
        <v>113.98215129646289</v>
      </c>
      <c r="C867">
        <v>279.01859200000007</v>
      </c>
      <c r="E867">
        <f t="shared" si="37"/>
        <v>123.20776824062193</v>
      </c>
      <c r="F867">
        <f t="shared" si="38"/>
        <v>45.20331343509821</v>
      </c>
    </row>
    <row r="868" spans="1:6" x14ac:dyDescent="0.25">
      <c r="A868">
        <v>-285.9290723870638</v>
      </c>
      <c r="B868">
        <v>90.86210267965015</v>
      </c>
      <c r="C868">
        <v>279.01859200000007</v>
      </c>
      <c r="E868">
        <f t="shared" si="37"/>
        <v>100.78553266063112</v>
      </c>
      <c r="F868">
        <f t="shared" si="38"/>
        <v>32.099244149584507</v>
      </c>
    </row>
    <row r="869" spans="1:6" x14ac:dyDescent="0.25">
      <c r="A869">
        <v>-303.02583607963328</v>
      </c>
      <c r="B869">
        <v>69.57194130016272</v>
      </c>
      <c r="C869">
        <v>279.01859200000007</v>
      </c>
      <c r="E869">
        <f t="shared" si="37"/>
        <v>80.105009120327423</v>
      </c>
      <c r="F869">
        <f t="shared" si="38"/>
        <v>20.638749417105259</v>
      </c>
    </row>
    <row r="870" spans="1:6" x14ac:dyDescent="0.25">
      <c r="A870">
        <v>-318.82972286878743</v>
      </c>
      <c r="B870">
        <v>49.816749345426857</v>
      </c>
      <c r="C870">
        <v>279.01859200000007</v>
      </c>
      <c r="E870">
        <f t="shared" si="37"/>
        <v>60.913399189647755</v>
      </c>
      <c r="F870">
        <f t="shared" si="38"/>
        <v>10.043227602622238</v>
      </c>
    </row>
    <row r="871" spans="1:6" x14ac:dyDescent="0.25">
      <c r="A871">
        <v>-353.49308253132205</v>
      </c>
      <c r="B871">
        <v>-3.5646789326491355E-14</v>
      </c>
      <c r="C871">
        <v>335.31846400000006</v>
      </c>
      <c r="E871">
        <f t="shared" si="37"/>
        <v>12.336730668158822</v>
      </c>
      <c r="F871">
        <f t="shared" si="38"/>
        <v>29.786289339144162</v>
      </c>
    </row>
    <row r="872" spans="1:6" x14ac:dyDescent="0.25">
      <c r="A872">
        <v>-333.64485683812921</v>
      </c>
      <c r="B872">
        <v>-24.04944725225246</v>
      </c>
      <c r="C872">
        <v>335.31846400000006</v>
      </c>
      <c r="E872">
        <f t="shared" si="37"/>
        <v>-12.390759397751928</v>
      </c>
      <c r="F872">
        <f t="shared" si="38"/>
        <v>41.997210556210007</v>
      </c>
    </row>
    <row r="873" spans="1:6" x14ac:dyDescent="0.25">
      <c r="A873">
        <v>-318.39363869023663</v>
      </c>
      <c r="B873">
        <v>-44.264943221205257</v>
      </c>
      <c r="C873">
        <v>335.31846400000006</v>
      </c>
      <c r="E873">
        <f t="shared" si="37"/>
        <v>-33.126200470226365</v>
      </c>
      <c r="F873">
        <f t="shared" si="38"/>
        <v>51.341039217816927</v>
      </c>
    </row>
    <row r="874" spans="1:6" x14ac:dyDescent="0.25">
      <c r="A874">
        <v>-302.11026378018755</v>
      </c>
      <c r="B874">
        <v>-66.390566127240731</v>
      </c>
      <c r="C874">
        <v>335.31846400000006</v>
      </c>
      <c r="E874">
        <f t="shared" si="37"/>
        <v>-55.806626633580642</v>
      </c>
      <c r="F874">
        <f t="shared" si="38"/>
        <v>61.305071488023231</v>
      </c>
    </row>
    <row r="875" spans="1:6" x14ac:dyDescent="0.25">
      <c r="A875">
        <v>-284.63468441523304</v>
      </c>
      <c r="B875">
        <v>-88.582436055843644</v>
      </c>
      <c r="C875">
        <v>335.31846400000006</v>
      </c>
      <c r="E875">
        <f t="shared" si="37"/>
        <v>-78.594866799048845</v>
      </c>
      <c r="F875">
        <f t="shared" si="38"/>
        <v>72.033485062858603</v>
      </c>
    </row>
    <row r="876" spans="1:6" x14ac:dyDescent="0.25">
      <c r="A876">
        <v>-267.2156627918373</v>
      </c>
      <c r="B876">
        <v>-109.27981309776794</v>
      </c>
      <c r="C876">
        <v>335.31846400000006</v>
      </c>
      <c r="E876">
        <f t="shared" si="37"/>
        <v>-99.887550645810109</v>
      </c>
      <c r="F876">
        <f t="shared" si="38"/>
        <v>82.759092073659446</v>
      </c>
    </row>
    <row r="877" spans="1:6" x14ac:dyDescent="0.25">
      <c r="A877">
        <v>-247.38302334208794</v>
      </c>
      <c r="B877">
        <v>-129.83171833203508</v>
      </c>
      <c r="C877">
        <v>335.31846400000006</v>
      </c>
      <c r="E877">
        <f t="shared" si="37"/>
        <v>-121.11908534978086</v>
      </c>
      <c r="F877">
        <f t="shared" si="38"/>
        <v>95.038460984049749</v>
      </c>
    </row>
    <row r="878" spans="1:6" x14ac:dyDescent="0.25">
      <c r="A878">
        <v>-226.65551934995665</v>
      </c>
      <c r="B878">
        <v>-151.76684897163773</v>
      </c>
      <c r="C878">
        <v>335.31846400000006</v>
      </c>
      <c r="E878">
        <f t="shared" si="37"/>
        <v>-143.76423315768972</v>
      </c>
      <c r="F878">
        <f t="shared" si="38"/>
        <v>107.86165748774505</v>
      </c>
    </row>
    <row r="879" spans="1:6" x14ac:dyDescent="0.25">
      <c r="A879">
        <v>-207.66764930661026</v>
      </c>
      <c r="B879">
        <v>-171.29266568662152</v>
      </c>
      <c r="C879">
        <v>335.31846400000006</v>
      </c>
      <c r="E879">
        <f t="shared" si="37"/>
        <v>-163.94082238066596</v>
      </c>
      <c r="F879">
        <f t="shared" si="38"/>
        <v>119.62136808291766</v>
      </c>
    </row>
    <row r="880" spans="1:6" x14ac:dyDescent="0.25">
      <c r="A880">
        <v>-189.55755002686487</v>
      </c>
      <c r="B880">
        <v>-189.55755002686487</v>
      </c>
      <c r="C880">
        <v>335.31846400000006</v>
      </c>
      <c r="E880">
        <f t="shared" si="37"/>
        <v>-182.82661359696533</v>
      </c>
      <c r="F880">
        <f t="shared" si="38"/>
        <v>130.84548866543639</v>
      </c>
    </row>
    <row r="881" spans="1:6" x14ac:dyDescent="0.25">
      <c r="A881">
        <v>-171.29266568662155</v>
      </c>
      <c r="B881">
        <v>-207.66764930661043</v>
      </c>
      <c r="C881">
        <v>335.31846400000006</v>
      </c>
      <c r="E881">
        <f t="shared" si="37"/>
        <v>-201.56311596435205</v>
      </c>
      <c r="F881">
        <f t="shared" si="38"/>
        <v>142.17251484570045</v>
      </c>
    </row>
    <row r="882" spans="1:6" x14ac:dyDescent="0.25">
      <c r="A882">
        <v>-151.7668489716377</v>
      </c>
      <c r="B882">
        <v>-226.65551934995671</v>
      </c>
      <c r="C882">
        <v>335.31846400000006</v>
      </c>
      <c r="E882">
        <f t="shared" si="37"/>
        <v>-221.22086028636122</v>
      </c>
      <c r="F882">
        <f t="shared" si="38"/>
        <v>154.28986799127077</v>
      </c>
    </row>
    <row r="883" spans="1:6" x14ac:dyDescent="0.25">
      <c r="A883">
        <v>-129.83171833203517</v>
      </c>
      <c r="B883">
        <v>-247.38302334208788</v>
      </c>
      <c r="C883">
        <v>335.31846400000006</v>
      </c>
      <c r="E883">
        <f t="shared" si="37"/>
        <v>-242.70126266252453</v>
      </c>
      <c r="F883">
        <f t="shared" si="38"/>
        <v>167.9159297173035</v>
      </c>
    </row>
    <row r="884" spans="1:6" x14ac:dyDescent="0.25">
      <c r="A884">
        <v>-109.27981309776789</v>
      </c>
      <c r="B884">
        <v>-267.21566279183747</v>
      </c>
      <c r="C884">
        <v>335.31846400000006</v>
      </c>
      <c r="E884">
        <f t="shared" si="37"/>
        <v>-263.23907175313468</v>
      </c>
      <c r="F884">
        <f t="shared" si="38"/>
        <v>180.67348738347843</v>
      </c>
    </row>
    <row r="885" spans="1:6" x14ac:dyDescent="0.25">
      <c r="A885">
        <v>-88.582436055843601</v>
      </c>
      <c r="B885">
        <v>-284.63468441523315</v>
      </c>
      <c r="C885">
        <v>335.31846400000006</v>
      </c>
      <c r="E885">
        <f t="shared" si="37"/>
        <v>-281.36981022102873</v>
      </c>
      <c r="F885">
        <f t="shared" si="38"/>
        <v>193.57864016491081</v>
      </c>
    </row>
    <row r="886" spans="1:6" x14ac:dyDescent="0.25">
      <c r="A886">
        <v>-66.39056612724066</v>
      </c>
      <c r="B886">
        <v>-302.11026378018772</v>
      </c>
      <c r="C886">
        <v>335.31846400000006</v>
      </c>
      <c r="E886">
        <f t="shared" si="37"/>
        <v>-299.60922902660411</v>
      </c>
      <c r="F886">
        <f t="shared" si="38"/>
        <v>207.44258050202848</v>
      </c>
    </row>
    <row r="887" spans="1:6" x14ac:dyDescent="0.25">
      <c r="A887">
        <v>-44.264943221205279</v>
      </c>
      <c r="B887">
        <v>-318.39363869023663</v>
      </c>
      <c r="C887">
        <v>335.31846400000006</v>
      </c>
      <c r="E887">
        <f t="shared" si="37"/>
        <v>-316.65485764826985</v>
      </c>
      <c r="F887">
        <f t="shared" si="38"/>
        <v>221.29070869382582</v>
      </c>
    </row>
    <row r="888" spans="1:6" x14ac:dyDescent="0.25">
      <c r="A888">
        <v>-24.049447252252449</v>
      </c>
      <c r="B888">
        <v>-333.64485683812916</v>
      </c>
      <c r="C888">
        <v>335.31846400000006</v>
      </c>
      <c r="E888">
        <f t="shared" si="37"/>
        <v>-332.60229580104874</v>
      </c>
      <c r="F888">
        <f t="shared" si="38"/>
        <v>233.93493323928973</v>
      </c>
    </row>
    <row r="889" spans="1:6" x14ac:dyDescent="0.25">
      <c r="A889">
        <v>1.7823394663245681E-14</v>
      </c>
      <c r="B889">
        <v>-353.4930825313221</v>
      </c>
      <c r="C889">
        <v>335.31846400000006</v>
      </c>
      <c r="E889">
        <f t="shared" si="37"/>
        <v>-353.27774409650743</v>
      </c>
      <c r="F889">
        <f t="shared" si="38"/>
        <v>248.93894840485871</v>
      </c>
    </row>
    <row r="890" spans="1:6" x14ac:dyDescent="0.25">
      <c r="A890">
        <v>24.049447252252445</v>
      </c>
      <c r="B890">
        <v>-333.64485683812921</v>
      </c>
      <c r="C890">
        <v>335.31846400000006</v>
      </c>
      <c r="E890">
        <f t="shared" si="37"/>
        <v>-334.28092301120267</v>
      </c>
      <c r="F890">
        <f t="shared" si="38"/>
        <v>264.83347263787311</v>
      </c>
    </row>
    <row r="891" spans="1:6" x14ac:dyDescent="0.25">
      <c r="A891">
        <v>44.264943221205293</v>
      </c>
      <c r="B891">
        <v>-318.39363869023663</v>
      </c>
      <c r="C891">
        <v>335.31846400000006</v>
      </c>
      <c r="E891">
        <f t="shared" si="37"/>
        <v>-319.74450612823955</v>
      </c>
      <c r="F891">
        <f t="shared" si="38"/>
        <v>278.16195724064511</v>
      </c>
    </row>
    <row r="892" spans="1:6" x14ac:dyDescent="0.25">
      <c r="A892">
        <v>66.390566127240703</v>
      </c>
      <c r="B892">
        <v>-302.11026378018772</v>
      </c>
      <c r="C892">
        <v>335.31846400000006</v>
      </c>
      <c r="E892">
        <f t="shared" si="37"/>
        <v>-304.2432237138737</v>
      </c>
      <c r="F892">
        <f t="shared" si="38"/>
        <v>292.74065416085961</v>
      </c>
    </row>
    <row r="893" spans="1:6" x14ac:dyDescent="0.25">
      <c r="A893">
        <v>88.582436055843644</v>
      </c>
      <c r="B893">
        <v>-284.6346844152331</v>
      </c>
      <c r="C893">
        <v>335.31846400000006</v>
      </c>
      <c r="E893">
        <f t="shared" si="37"/>
        <v>-287.55277509108947</v>
      </c>
      <c r="F893">
        <f t="shared" si="38"/>
        <v>307.38865258578369</v>
      </c>
    </row>
    <row r="894" spans="1:6" x14ac:dyDescent="0.25">
      <c r="A894">
        <v>109.27981309776793</v>
      </c>
      <c r="B894">
        <v>-267.21566279183736</v>
      </c>
      <c r="C894">
        <v>335.31846400000006</v>
      </c>
      <c r="E894">
        <f t="shared" si="37"/>
        <v>-270.86669270684558</v>
      </c>
      <c r="F894">
        <f t="shared" si="38"/>
        <v>321.07532593945456</v>
      </c>
    </row>
    <row r="895" spans="1:6" x14ac:dyDescent="0.25">
      <c r="A895">
        <v>129.83171833203508</v>
      </c>
      <c r="B895">
        <v>-247.38302334208794</v>
      </c>
      <c r="C895">
        <v>335.31846400000006</v>
      </c>
      <c r="E895">
        <f t="shared" si="37"/>
        <v>-251.76338591414242</v>
      </c>
      <c r="F895">
        <f t="shared" si="38"/>
        <v>334.72269338179672</v>
      </c>
    </row>
    <row r="896" spans="1:6" x14ac:dyDescent="0.25">
      <c r="A896">
        <v>151.7668489716377</v>
      </c>
      <c r="B896">
        <v>-226.65551934995676</v>
      </c>
      <c r="C896">
        <v>335.31846400000006</v>
      </c>
      <c r="E896">
        <f t="shared" si="37"/>
        <v>-231.81403357683055</v>
      </c>
      <c r="F896">
        <f t="shared" si="38"/>
        <v>349.27871381224082</v>
      </c>
    </row>
    <row r="897" spans="1:6" x14ac:dyDescent="0.25">
      <c r="A897">
        <v>171.29266568662158</v>
      </c>
      <c r="B897">
        <v>-207.66764930661034</v>
      </c>
      <c r="C897">
        <v>335.31846400000006</v>
      </c>
      <c r="E897">
        <f t="shared" si="37"/>
        <v>-213.5191716069377</v>
      </c>
      <c r="F897">
        <f t="shared" si="38"/>
        <v>362.24797537050495</v>
      </c>
    </row>
    <row r="898" spans="1:6" x14ac:dyDescent="0.25">
      <c r="A898">
        <v>189.55755002686487</v>
      </c>
      <c r="B898">
        <v>-189.55755002686487</v>
      </c>
      <c r="C898">
        <v>335.31846400000006</v>
      </c>
      <c r="E898">
        <f t="shared" si="37"/>
        <v>-196.05753978115882</v>
      </c>
      <c r="F898">
        <f t="shared" si="38"/>
        <v>374.38752796346904</v>
      </c>
    </row>
    <row r="899" spans="1:6" x14ac:dyDescent="0.25">
      <c r="A899">
        <v>207.66764930661043</v>
      </c>
      <c r="B899">
        <v>-171.29266568662155</v>
      </c>
      <c r="C899">
        <v>335.31846400000006</v>
      </c>
      <c r="E899">
        <f t="shared" si="37"/>
        <v>-178.43581526505037</v>
      </c>
      <c r="F899">
        <f t="shared" si="38"/>
        <v>386.43111953408777</v>
      </c>
    </row>
    <row r="900" spans="1:6" x14ac:dyDescent="0.25">
      <c r="A900">
        <v>226.65551934995673</v>
      </c>
      <c r="B900">
        <v>-151.76684897163773</v>
      </c>
      <c r="C900">
        <v>335.31846400000006</v>
      </c>
      <c r="E900">
        <f t="shared" si="37"/>
        <v>-159.58456025800467</v>
      </c>
      <c r="F900">
        <f t="shared" si="38"/>
        <v>399.06687401866117</v>
      </c>
    </row>
    <row r="901" spans="1:6" x14ac:dyDescent="0.25">
      <c r="A901">
        <v>247.38302334208799</v>
      </c>
      <c r="B901">
        <v>-129.83171833203508</v>
      </c>
      <c r="C901">
        <v>335.31846400000006</v>
      </c>
      <c r="E901">
        <f t="shared" si="37"/>
        <v>-138.38617136454477</v>
      </c>
      <c r="F901">
        <f t="shared" si="38"/>
        <v>412.87421051714034</v>
      </c>
    </row>
    <row r="902" spans="1:6" x14ac:dyDescent="0.25">
      <c r="A902">
        <v>267.21566279183736</v>
      </c>
      <c r="B902">
        <v>-109.27981309776789</v>
      </c>
      <c r="C902">
        <v>335.31846400000006</v>
      </c>
      <c r="E902">
        <f t="shared" si="37"/>
        <v>-118.53893493073079</v>
      </c>
      <c r="F902">
        <f t="shared" si="38"/>
        <v>426.075659730692</v>
      </c>
    </row>
    <row r="903" spans="1:6" x14ac:dyDescent="0.25">
      <c r="A903">
        <v>284.63468441523304</v>
      </c>
      <c r="B903">
        <v>-88.58243605584363</v>
      </c>
      <c r="C903">
        <v>335.31846400000006</v>
      </c>
      <c r="E903">
        <f t="shared" si="37"/>
        <v>-98.462081259382543</v>
      </c>
      <c r="F903">
        <f t="shared" si="38"/>
        <v>437.7298737723213</v>
      </c>
    </row>
    <row r="904" spans="1:6" x14ac:dyDescent="0.25">
      <c r="A904">
        <v>302.11026378018761</v>
      </c>
      <c r="B904">
        <v>-66.390566127240746</v>
      </c>
      <c r="C904">
        <v>335.31846400000006</v>
      </c>
      <c r="E904">
        <f t="shared" si="37"/>
        <v>-76.893618942757442</v>
      </c>
      <c r="F904">
        <f t="shared" si="38"/>
        <v>449.45394618842886</v>
      </c>
    </row>
    <row r="905" spans="1:6" x14ac:dyDescent="0.25">
      <c r="A905">
        <v>318.39363869023663</v>
      </c>
      <c r="B905">
        <v>-44.264943221205343</v>
      </c>
      <c r="C905">
        <v>335.31846400000006</v>
      </c>
      <c r="E905">
        <f t="shared" si="37"/>
        <v>-55.349755957360912</v>
      </c>
      <c r="F905">
        <f t="shared" si="38"/>
        <v>460.41066506575385</v>
      </c>
    </row>
    <row r="906" spans="1:6" x14ac:dyDescent="0.25">
      <c r="A906">
        <v>333.64485683812921</v>
      </c>
      <c r="B906">
        <v>-24.049447252252413</v>
      </c>
      <c r="C906">
        <v>335.31846400000006</v>
      </c>
      <c r="E906">
        <f t="shared" si="37"/>
        <v>-35.678834559809353</v>
      </c>
      <c r="F906">
        <f t="shared" si="38"/>
        <v>470.66148071660257</v>
      </c>
    </row>
    <row r="907" spans="1:6" x14ac:dyDescent="0.25">
      <c r="A907">
        <v>353.4930825313221</v>
      </c>
      <c r="B907">
        <v>0</v>
      </c>
      <c r="C907">
        <v>335.31846400000006</v>
      </c>
      <c r="E907">
        <f t="shared" si="37"/>
        <v>-12.336730668158777</v>
      </c>
      <c r="F907">
        <f t="shared" si="38"/>
        <v>483.95140270563809</v>
      </c>
    </row>
    <row r="908" spans="1:6" x14ac:dyDescent="0.25">
      <c r="A908">
        <v>333.64485683812921</v>
      </c>
      <c r="B908">
        <v>24.04944725225241</v>
      </c>
      <c r="C908">
        <v>335.31846400000006</v>
      </c>
      <c r="E908">
        <f t="shared" si="37"/>
        <v>12.39075939775196</v>
      </c>
      <c r="F908">
        <f t="shared" si="38"/>
        <v>471.74048148857219</v>
      </c>
    </row>
    <row r="909" spans="1:6" x14ac:dyDescent="0.25">
      <c r="A909">
        <v>318.39363869023691</v>
      </c>
      <c r="B909">
        <v>44.2649432212053</v>
      </c>
      <c r="C909">
        <v>335.31846400000006</v>
      </c>
      <c r="E909">
        <f t="shared" si="37"/>
        <v>33.126200470226479</v>
      </c>
      <c r="F909">
        <f t="shared" si="38"/>
        <v>462.39665282696546</v>
      </c>
    </row>
    <row r="910" spans="1:6" x14ac:dyDescent="0.25">
      <c r="A910">
        <v>302.11026378018761</v>
      </c>
      <c r="B910">
        <v>66.39056612724076</v>
      </c>
      <c r="C910">
        <v>335.31846400000006</v>
      </c>
      <c r="E910">
        <f t="shared" si="37"/>
        <v>55.806626633580755</v>
      </c>
      <c r="F910">
        <f t="shared" si="38"/>
        <v>452.43262055675899</v>
      </c>
    </row>
    <row r="911" spans="1:6" x14ac:dyDescent="0.25">
      <c r="A911">
        <v>284.63468441523304</v>
      </c>
      <c r="B911">
        <v>88.582436055843615</v>
      </c>
      <c r="C911">
        <v>335.31846400000006</v>
      </c>
      <c r="E911">
        <f t="shared" si="37"/>
        <v>78.594866799048901</v>
      </c>
      <c r="F911">
        <f t="shared" si="38"/>
        <v>441.70420698192356</v>
      </c>
    </row>
    <row r="912" spans="1:6" x14ac:dyDescent="0.25">
      <c r="A912">
        <v>267.21566279183736</v>
      </c>
      <c r="B912">
        <v>109.27981309776793</v>
      </c>
      <c r="C912">
        <v>335.31846400000006</v>
      </c>
      <c r="E912">
        <f t="shared" si="37"/>
        <v>99.88755064581018</v>
      </c>
      <c r="F912">
        <f t="shared" si="38"/>
        <v>430.97859997112278</v>
      </c>
    </row>
    <row r="913" spans="1:6" x14ac:dyDescent="0.25">
      <c r="A913">
        <v>247.38302334208799</v>
      </c>
      <c r="B913">
        <v>129.83171833203508</v>
      </c>
      <c r="C913">
        <v>335.31846400000006</v>
      </c>
      <c r="E913">
        <f t="shared" si="37"/>
        <v>121.11908534978095</v>
      </c>
      <c r="F913">
        <f t="shared" si="38"/>
        <v>418.69923106073247</v>
      </c>
    </row>
    <row r="914" spans="1:6" x14ac:dyDescent="0.25">
      <c r="A914">
        <v>226.65551934995673</v>
      </c>
      <c r="B914">
        <v>151.76684897163759</v>
      </c>
      <c r="C914">
        <v>335.31846400000006</v>
      </c>
      <c r="E914">
        <f t="shared" si="37"/>
        <v>143.76423315768963</v>
      </c>
      <c r="F914">
        <f t="shared" si="38"/>
        <v>405.8760345570372</v>
      </c>
    </row>
    <row r="915" spans="1:6" x14ac:dyDescent="0.25">
      <c r="A915">
        <v>207.66764930661043</v>
      </c>
      <c r="B915">
        <v>171.29266568662155</v>
      </c>
      <c r="C915">
        <v>335.31846400000006</v>
      </c>
      <c r="E915">
        <f t="shared" si="37"/>
        <v>163.94082238066605</v>
      </c>
      <c r="F915">
        <f t="shared" si="38"/>
        <v>394.11632396186462</v>
      </c>
    </row>
    <row r="916" spans="1:6" x14ac:dyDescent="0.25">
      <c r="A916">
        <v>189.55755002686487</v>
      </c>
      <c r="B916">
        <v>189.55755002686487</v>
      </c>
      <c r="C916">
        <v>335.31846400000006</v>
      </c>
      <c r="E916">
        <f t="shared" ref="E916:E979" si="39">($I$2*A916)+($K$2*B916)+($M$2*C916)</f>
        <v>182.82661359696539</v>
      </c>
      <c r="F916">
        <f t="shared" ref="F916:F979" si="40">($J$2*A916)+($L$2*B916)+($N$2*C916)</f>
        <v>382.8922033793458</v>
      </c>
    </row>
    <row r="917" spans="1:6" x14ac:dyDescent="0.25">
      <c r="A917">
        <v>171.29266568662152</v>
      </c>
      <c r="B917">
        <v>207.66764930661031</v>
      </c>
      <c r="C917">
        <v>335.31846400000006</v>
      </c>
      <c r="E917">
        <f t="shared" si="39"/>
        <v>201.56311596435199</v>
      </c>
      <c r="F917">
        <f t="shared" si="40"/>
        <v>371.56517719908175</v>
      </c>
    </row>
    <row r="918" spans="1:6" x14ac:dyDescent="0.25">
      <c r="A918">
        <v>151.7668489716377</v>
      </c>
      <c r="B918">
        <v>226.65551934995671</v>
      </c>
      <c r="C918">
        <v>335.31846400000006</v>
      </c>
      <c r="E918">
        <f t="shared" si="39"/>
        <v>221.22086028636127</v>
      </c>
      <c r="F918">
        <f t="shared" si="40"/>
        <v>359.44782405351145</v>
      </c>
    </row>
    <row r="919" spans="1:6" x14ac:dyDescent="0.25">
      <c r="A919">
        <v>129.83171833203522</v>
      </c>
      <c r="B919">
        <v>247.38302334208791</v>
      </c>
      <c r="C919">
        <v>335.31846400000006</v>
      </c>
      <c r="E919">
        <f t="shared" si="39"/>
        <v>242.70126266252461</v>
      </c>
      <c r="F919">
        <f t="shared" si="40"/>
        <v>345.82176232747872</v>
      </c>
    </row>
    <row r="920" spans="1:6" x14ac:dyDescent="0.25">
      <c r="A920">
        <v>109.27981309776803</v>
      </c>
      <c r="B920">
        <v>267.21566279183742</v>
      </c>
      <c r="C920">
        <v>335.31846400000006</v>
      </c>
      <c r="E920">
        <f t="shared" si="39"/>
        <v>263.23907175313474</v>
      </c>
      <c r="F920">
        <f t="shared" si="40"/>
        <v>333.06420466130385</v>
      </c>
    </row>
    <row r="921" spans="1:6" x14ac:dyDescent="0.25">
      <c r="A921">
        <v>88.582436055843743</v>
      </c>
      <c r="B921">
        <v>284.63468441523293</v>
      </c>
      <c r="C921">
        <v>335.31846400000006</v>
      </c>
      <c r="E921">
        <f t="shared" si="39"/>
        <v>281.36981022102856</v>
      </c>
      <c r="F921">
        <f t="shared" si="40"/>
        <v>320.15905187987147</v>
      </c>
    </row>
    <row r="922" spans="1:6" x14ac:dyDescent="0.25">
      <c r="A922">
        <v>66.39056612724066</v>
      </c>
      <c r="B922">
        <v>302.11026378018767</v>
      </c>
      <c r="C922">
        <v>335.31846400000006</v>
      </c>
      <c r="E922">
        <f t="shared" si="39"/>
        <v>299.60922902660417</v>
      </c>
      <c r="F922">
        <f t="shared" si="40"/>
        <v>306.29511154275372</v>
      </c>
    </row>
    <row r="923" spans="1:6" x14ac:dyDescent="0.25">
      <c r="A923">
        <v>44.264943221205293</v>
      </c>
      <c r="B923">
        <v>318.39363869023686</v>
      </c>
      <c r="C923">
        <v>335.31846400000006</v>
      </c>
      <c r="E923">
        <f t="shared" si="39"/>
        <v>316.65485764827019</v>
      </c>
      <c r="F923">
        <f t="shared" si="40"/>
        <v>292.44698335095637</v>
      </c>
    </row>
    <row r="924" spans="1:6" x14ac:dyDescent="0.25">
      <c r="A924">
        <v>24.049447252252431</v>
      </c>
      <c r="B924">
        <v>333.64485683812921</v>
      </c>
      <c r="C924">
        <v>335.31846400000006</v>
      </c>
      <c r="E924">
        <f t="shared" si="39"/>
        <v>332.60229580104891</v>
      </c>
      <c r="F924">
        <f t="shared" si="40"/>
        <v>279.80275880549243</v>
      </c>
    </row>
    <row r="925" spans="1:6" x14ac:dyDescent="0.25">
      <c r="A925">
        <v>1.7823394663245681E-14</v>
      </c>
      <c r="B925">
        <v>353.4930825313221</v>
      </c>
      <c r="C925">
        <v>335.31846400000006</v>
      </c>
      <c r="E925">
        <f t="shared" si="39"/>
        <v>353.27774409650755</v>
      </c>
      <c r="F925">
        <f t="shared" si="40"/>
        <v>264.79874363992349</v>
      </c>
    </row>
    <row r="926" spans="1:6" x14ac:dyDescent="0.25">
      <c r="A926">
        <v>-24.049447252252421</v>
      </c>
      <c r="B926">
        <v>333.64485683812921</v>
      </c>
      <c r="C926">
        <v>335.31846400000006</v>
      </c>
      <c r="E926">
        <f t="shared" si="39"/>
        <v>334.28092301120279</v>
      </c>
      <c r="F926">
        <f t="shared" si="40"/>
        <v>248.90421940690908</v>
      </c>
    </row>
    <row r="927" spans="1:6" x14ac:dyDescent="0.25">
      <c r="A927">
        <v>-44.264943221205236</v>
      </c>
      <c r="B927">
        <v>318.39363869023686</v>
      </c>
      <c r="C927">
        <v>335.31846400000006</v>
      </c>
      <c r="E927">
        <f t="shared" si="39"/>
        <v>319.74450612823989</v>
      </c>
      <c r="F927">
        <f t="shared" si="40"/>
        <v>235.57573480413714</v>
      </c>
    </row>
    <row r="928" spans="1:6" x14ac:dyDescent="0.25">
      <c r="A928">
        <v>-66.390566127240646</v>
      </c>
      <c r="B928">
        <v>302.11026378018789</v>
      </c>
      <c r="C928">
        <v>335.31846400000006</v>
      </c>
      <c r="E928">
        <f t="shared" si="39"/>
        <v>304.24322371387399</v>
      </c>
      <c r="F928">
        <f t="shared" si="40"/>
        <v>220.99703788392264</v>
      </c>
    </row>
    <row r="929" spans="1:6" x14ac:dyDescent="0.25">
      <c r="A929">
        <v>-88.582436055843459</v>
      </c>
      <c r="B929">
        <v>284.63468441523321</v>
      </c>
      <c r="C929">
        <v>335.31846400000006</v>
      </c>
      <c r="E929">
        <f t="shared" si="39"/>
        <v>287.5527750910897</v>
      </c>
      <c r="F929">
        <f t="shared" si="40"/>
        <v>206.34903945899862</v>
      </c>
    </row>
    <row r="930" spans="1:6" x14ac:dyDescent="0.25">
      <c r="A930">
        <v>-109.27981309776779</v>
      </c>
      <c r="B930">
        <v>267.21566279183759</v>
      </c>
      <c r="C930">
        <v>335.31846400000006</v>
      </c>
      <c r="E930">
        <f t="shared" si="39"/>
        <v>270.86669270684592</v>
      </c>
      <c r="F930">
        <f t="shared" si="40"/>
        <v>192.66236610532772</v>
      </c>
    </row>
    <row r="931" spans="1:6" x14ac:dyDescent="0.25">
      <c r="A931">
        <v>-129.83171833203517</v>
      </c>
      <c r="B931">
        <v>247.38302334208788</v>
      </c>
      <c r="C931">
        <v>335.31846400000006</v>
      </c>
      <c r="E931">
        <f t="shared" si="39"/>
        <v>251.76338591414242</v>
      </c>
      <c r="F931">
        <f t="shared" si="40"/>
        <v>179.01499866298542</v>
      </c>
    </row>
    <row r="932" spans="1:6" x14ac:dyDescent="0.25">
      <c r="A932">
        <v>-151.7668489716377</v>
      </c>
      <c r="B932">
        <v>226.65551934995665</v>
      </c>
      <c r="C932">
        <v>335.31846400000006</v>
      </c>
      <c r="E932">
        <f t="shared" si="39"/>
        <v>231.8140335768305</v>
      </c>
      <c r="F932">
        <f t="shared" si="40"/>
        <v>164.45897823254137</v>
      </c>
    </row>
    <row r="933" spans="1:6" x14ac:dyDescent="0.25">
      <c r="A933">
        <v>-171.29266568662155</v>
      </c>
      <c r="B933">
        <v>207.66764930661043</v>
      </c>
      <c r="C933">
        <v>335.31846400000006</v>
      </c>
      <c r="E933">
        <f t="shared" si="39"/>
        <v>213.51917160693785</v>
      </c>
      <c r="F933">
        <f t="shared" si="40"/>
        <v>151.48971667427725</v>
      </c>
    </row>
    <row r="934" spans="1:6" x14ac:dyDescent="0.25">
      <c r="A934">
        <v>-189.55755002686487</v>
      </c>
      <c r="B934">
        <v>189.55755002686487</v>
      </c>
      <c r="C934">
        <v>335.31846400000006</v>
      </c>
      <c r="E934">
        <f t="shared" si="39"/>
        <v>196.05753978115888</v>
      </c>
      <c r="F934">
        <f t="shared" si="40"/>
        <v>139.35016408131315</v>
      </c>
    </row>
    <row r="935" spans="1:6" x14ac:dyDescent="0.25">
      <c r="A935">
        <v>-207.66764930661031</v>
      </c>
      <c r="B935">
        <v>171.29266568662152</v>
      </c>
      <c r="C935">
        <v>335.31846400000006</v>
      </c>
      <c r="E935">
        <f t="shared" si="39"/>
        <v>178.43581526505039</v>
      </c>
      <c r="F935">
        <f t="shared" si="40"/>
        <v>127.30657251069454</v>
      </c>
    </row>
    <row r="936" spans="1:6" x14ac:dyDescent="0.25">
      <c r="A936">
        <v>-226.65551934995665</v>
      </c>
      <c r="B936">
        <v>151.76684897163773</v>
      </c>
      <c r="C936">
        <v>335.31846400000006</v>
      </c>
      <c r="E936">
        <f t="shared" si="39"/>
        <v>159.58456025800473</v>
      </c>
      <c r="F936">
        <f t="shared" si="40"/>
        <v>114.67081802612108</v>
      </c>
    </row>
    <row r="937" spans="1:6" x14ac:dyDescent="0.25">
      <c r="A937">
        <v>-247.38302334208799</v>
      </c>
      <c r="B937">
        <v>129.83171833203522</v>
      </c>
      <c r="C937">
        <v>335.31846400000006</v>
      </c>
      <c r="E937">
        <f t="shared" si="39"/>
        <v>138.38617136454496</v>
      </c>
      <c r="F937">
        <f t="shared" si="40"/>
        <v>100.86348152764188</v>
      </c>
    </row>
    <row r="938" spans="1:6" x14ac:dyDescent="0.25">
      <c r="A938">
        <v>-267.21566279183725</v>
      </c>
      <c r="B938">
        <v>109.27981309776804</v>
      </c>
      <c r="C938">
        <v>335.31846400000006</v>
      </c>
      <c r="E938">
        <f t="shared" si="39"/>
        <v>118.53893493073103</v>
      </c>
      <c r="F938">
        <f t="shared" si="40"/>
        <v>87.662032314090311</v>
      </c>
    </row>
    <row r="939" spans="1:6" x14ac:dyDescent="0.25">
      <c r="A939">
        <v>-284.63468441523293</v>
      </c>
      <c r="B939">
        <v>88.582436055843772</v>
      </c>
      <c r="C939">
        <v>335.31846400000006</v>
      </c>
      <c r="E939">
        <f t="shared" si="39"/>
        <v>98.462081259382771</v>
      </c>
      <c r="F939">
        <f t="shared" si="40"/>
        <v>76.007818272460952</v>
      </c>
    </row>
    <row r="940" spans="1:6" x14ac:dyDescent="0.25">
      <c r="A940">
        <v>-302.11026378018767</v>
      </c>
      <c r="B940">
        <v>66.39056612724066</v>
      </c>
      <c r="C940">
        <v>335.31846400000006</v>
      </c>
      <c r="E940">
        <f t="shared" si="39"/>
        <v>76.893618942757442</v>
      </c>
      <c r="F940">
        <f t="shared" si="40"/>
        <v>64.283745856353306</v>
      </c>
    </row>
    <row r="941" spans="1:6" x14ac:dyDescent="0.25">
      <c r="A941">
        <v>-318.39363869023663</v>
      </c>
      <c r="B941">
        <v>44.264943221205257</v>
      </c>
      <c r="C941">
        <v>335.31846400000006</v>
      </c>
      <c r="E941">
        <f t="shared" si="39"/>
        <v>55.349755957360912</v>
      </c>
      <c r="F941">
        <f t="shared" si="40"/>
        <v>53.327026979028318</v>
      </c>
    </row>
    <row r="942" spans="1:6" x14ac:dyDescent="0.25">
      <c r="A942">
        <v>-340.73931056703134</v>
      </c>
      <c r="B942">
        <v>-3.488326994148215E-14</v>
      </c>
      <c r="C942">
        <v>391.61833600000006</v>
      </c>
      <c r="E942">
        <f t="shared" si="39"/>
        <v>11.891630445546614</v>
      </c>
      <c r="F942">
        <f t="shared" si="40"/>
        <v>81.107466048719232</v>
      </c>
    </row>
    <row r="943" spans="1:6" x14ac:dyDescent="0.25">
      <c r="A943">
        <v>-325.58700329040914</v>
      </c>
      <c r="B943">
        <v>-20.82472145753955</v>
      </c>
      <c r="C943">
        <v>391.61833600000006</v>
      </c>
      <c r="E943">
        <f t="shared" si="39"/>
        <v>-9.4492130521818698</v>
      </c>
      <c r="F943">
        <f t="shared" si="40"/>
        <v>90.374088024733055</v>
      </c>
    </row>
    <row r="944" spans="1:6" x14ac:dyDescent="0.25">
      <c r="A944">
        <v>-310.36708350409111</v>
      </c>
      <c r="B944">
        <v>-43.254450635260937</v>
      </c>
      <c r="C944">
        <v>391.61833600000006</v>
      </c>
      <c r="E944">
        <f t="shared" si="39"/>
        <v>-32.396446185314126</v>
      </c>
      <c r="F944">
        <f t="shared" si="40"/>
        <v>99.648138928776547</v>
      </c>
    </row>
    <row r="945" spans="1:6" x14ac:dyDescent="0.25">
      <c r="A945">
        <v>-294.8750741937892</v>
      </c>
      <c r="B945">
        <v>-64.584530144418636</v>
      </c>
      <c r="C945">
        <v>391.61833600000006</v>
      </c>
      <c r="E945">
        <f t="shared" si="39"/>
        <v>-54.254195314194298</v>
      </c>
      <c r="F945">
        <f t="shared" si="40"/>
        <v>109.12164746728052</v>
      </c>
    </row>
    <row r="946" spans="1:6" x14ac:dyDescent="0.25">
      <c r="A946">
        <v>-279.61370721637098</v>
      </c>
      <c r="B946">
        <v>-85.175482448586223</v>
      </c>
      <c r="C946">
        <v>391.61833600000006</v>
      </c>
      <c r="E946">
        <f t="shared" si="39"/>
        <v>-75.365218193071172</v>
      </c>
      <c r="F946">
        <f t="shared" si="40"/>
        <v>118.46357309831819</v>
      </c>
    </row>
    <row r="947" spans="1:6" x14ac:dyDescent="0.25">
      <c r="A947">
        <v>-263.29998993708028</v>
      </c>
      <c r="B947">
        <v>-103.80315471391265</v>
      </c>
      <c r="C947">
        <v>391.61833600000006</v>
      </c>
      <c r="E947">
        <f t="shared" si="39"/>
        <v>-94.550883506150569</v>
      </c>
      <c r="F947">
        <f t="shared" si="40"/>
        <v>128.52556658741807</v>
      </c>
    </row>
    <row r="948" spans="1:6" x14ac:dyDescent="0.25">
      <c r="A948">
        <v>-247.13547259059445</v>
      </c>
      <c r="B948">
        <v>-125.08211029344112</v>
      </c>
      <c r="C948">
        <v>391.61833600000006</v>
      </c>
      <c r="E948">
        <f t="shared" si="39"/>
        <v>-116.38101004070933</v>
      </c>
      <c r="F948">
        <f t="shared" si="40"/>
        <v>138.43223848707746</v>
      </c>
    </row>
    <row r="949" spans="1:6" x14ac:dyDescent="0.25">
      <c r="A949">
        <v>-229.68287531844067</v>
      </c>
      <c r="B949">
        <v>-146.95822932637336</v>
      </c>
      <c r="C949">
        <v>391.61833600000006</v>
      </c>
      <c r="E949">
        <f t="shared" si="39"/>
        <v>-138.85288959394924</v>
      </c>
      <c r="F949">
        <f t="shared" si="40"/>
        <v>149.15297168498336</v>
      </c>
    </row>
    <row r="950" spans="1:6" x14ac:dyDescent="0.25">
      <c r="A950">
        <v>-209.76226604173246</v>
      </c>
      <c r="B950">
        <v>-169.51146293491809</v>
      </c>
      <c r="C950">
        <v>391.61833600000006</v>
      </c>
      <c r="E950">
        <f t="shared" si="39"/>
        <v>-162.08760361971193</v>
      </c>
      <c r="F950">
        <f t="shared" si="40"/>
        <v>161.44395633642381</v>
      </c>
    </row>
    <row r="951" spans="1:6" x14ac:dyDescent="0.25">
      <c r="A951">
        <v>-190.04470306905117</v>
      </c>
      <c r="B951">
        <v>-190.0447030690512</v>
      </c>
      <c r="C951">
        <v>391.61833600000006</v>
      </c>
      <c r="E951">
        <f t="shared" si="39"/>
        <v>-183.29646848269135</v>
      </c>
      <c r="F951">
        <f t="shared" si="40"/>
        <v>173.64981928707206</v>
      </c>
    </row>
    <row r="952" spans="1:6" x14ac:dyDescent="0.25">
      <c r="A952">
        <v>-169.51146293491814</v>
      </c>
      <c r="B952">
        <v>-209.76226604173257</v>
      </c>
      <c r="C952">
        <v>391.61833600000006</v>
      </c>
      <c r="E952">
        <f t="shared" si="39"/>
        <v>-203.71861979511334</v>
      </c>
      <c r="F952">
        <f t="shared" si="40"/>
        <v>186.39796807329355</v>
      </c>
    </row>
    <row r="953" spans="1:6" x14ac:dyDescent="0.25">
      <c r="A953">
        <v>-146.95822932637327</v>
      </c>
      <c r="B953">
        <v>-229.68287531844067</v>
      </c>
      <c r="C953">
        <v>391.61833600000006</v>
      </c>
      <c r="E953">
        <f t="shared" si="39"/>
        <v>-224.41419047683905</v>
      </c>
      <c r="F953">
        <f t="shared" si="40"/>
        <v>200.43919773956276</v>
      </c>
    </row>
    <row r="954" spans="1:6" x14ac:dyDescent="0.25">
      <c r="A954">
        <v>-125.08211029344126</v>
      </c>
      <c r="B954">
        <v>-247.13547259059433</v>
      </c>
      <c r="C954">
        <v>391.61833600000006</v>
      </c>
      <c r="E954">
        <f t="shared" si="39"/>
        <v>-242.61962164234126</v>
      </c>
      <c r="F954">
        <f t="shared" si="40"/>
        <v>214.10081650787097</v>
      </c>
    </row>
    <row r="955" spans="1:6" x14ac:dyDescent="0.25">
      <c r="A955">
        <v>-103.80315471391259</v>
      </c>
      <c r="B955">
        <v>-263.29998993708028</v>
      </c>
      <c r="C955">
        <v>391.61833600000006</v>
      </c>
      <c r="E955">
        <f t="shared" si="39"/>
        <v>-259.51691684169083</v>
      </c>
      <c r="F955">
        <f t="shared" si="40"/>
        <v>227.40771528866213</v>
      </c>
    </row>
    <row r="956" spans="1:6" x14ac:dyDescent="0.25">
      <c r="A956">
        <v>-85.175482448586223</v>
      </c>
      <c r="B956">
        <v>-279.61370721637115</v>
      </c>
      <c r="C956">
        <v>391.61833600000006</v>
      </c>
      <c r="E956">
        <f t="shared" si="39"/>
        <v>-276.47079263199606</v>
      </c>
      <c r="F956">
        <f t="shared" si="40"/>
        <v>239.00809316852749</v>
      </c>
    </row>
    <row r="957" spans="1:6" x14ac:dyDescent="0.25">
      <c r="A957">
        <v>-64.584530144418608</v>
      </c>
      <c r="B957">
        <v>-294.87507419378943</v>
      </c>
      <c r="C957">
        <v>391.61833600000006</v>
      </c>
      <c r="E957">
        <f t="shared" si="39"/>
        <v>-292.44147666904064</v>
      </c>
      <c r="F957">
        <f t="shared" si="40"/>
        <v>251.89328170891449</v>
      </c>
    </row>
    <row r="958" spans="1:6" x14ac:dyDescent="0.25">
      <c r="A958">
        <v>-43.25445063526093</v>
      </c>
      <c r="B958">
        <v>-310.367083504091</v>
      </c>
      <c r="C958">
        <v>391.61833600000006</v>
      </c>
      <c r="E958">
        <f t="shared" si="39"/>
        <v>-308.66845770534445</v>
      </c>
      <c r="F958">
        <f t="shared" si="40"/>
        <v>265.2481086483005</v>
      </c>
    </row>
    <row r="959" spans="1:6" x14ac:dyDescent="0.25">
      <c r="A959">
        <v>-20.824721457539543</v>
      </c>
      <c r="B959">
        <v>-325.5870032904092</v>
      </c>
      <c r="C959">
        <v>391.61833600000006</v>
      </c>
      <c r="E959">
        <f t="shared" si="39"/>
        <v>-324.66189218723315</v>
      </c>
      <c r="F959">
        <f t="shared" si="40"/>
        <v>279.31544995559926</v>
      </c>
    </row>
    <row r="960" spans="1:6" x14ac:dyDescent="0.25">
      <c r="A960">
        <v>2.0872811993391345E-14</v>
      </c>
      <c r="B960">
        <v>-340.73931056703134</v>
      </c>
      <c r="C960">
        <v>391.61833600000006</v>
      </c>
      <c r="E960">
        <f t="shared" si="39"/>
        <v>-340.5317413855019</v>
      </c>
      <c r="F960">
        <f t="shared" si="40"/>
        <v>292.3532574069323</v>
      </c>
    </row>
    <row r="961" spans="1:6" x14ac:dyDescent="0.25">
      <c r="A961">
        <v>20.824721457539521</v>
      </c>
      <c r="B961">
        <v>-325.5870032904092</v>
      </c>
      <c r="C961">
        <v>391.61833600000006</v>
      </c>
      <c r="E961">
        <f t="shared" si="39"/>
        <v>-326.11543678290894</v>
      </c>
      <c r="F961">
        <f t="shared" si="40"/>
        <v>306.0708871875317</v>
      </c>
    </row>
    <row r="962" spans="1:6" x14ac:dyDescent="0.25">
      <c r="A962">
        <v>43.254450635260959</v>
      </c>
      <c r="B962">
        <v>-310.36708350409111</v>
      </c>
      <c r="C962">
        <v>391.61833600000006</v>
      </c>
      <c r="E962">
        <f t="shared" si="39"/>
        <v>-311.6875748199721</v>
      </c>
      <c r="F962">
        <f t="shared" si="40"/>
        <v>320.82108432209759</v>
      </c>
    </row>
    <row r="963" spans="1:6" x14ac:dyDescent="0.25">
      <c r="A963">
        <v>64.58453014441865</v>
      </c>
      <c r="B963">
        <v>-294.87507419378943</v>
      </c>
      <c r="C963">
        <v>391.61833600000006</v>
      </c>
      <c r="E963">
        <f t="shared" si="39"/>
        <v>-296.94941186265612</v>
      </c>
      <c r="F963">
        <f t="shared" si="40"/>
        <v>334.87097463777849</v>
      </c>
    </row>
    <row r="964" spans="1:6" x14ac:dyDescent="0.25">
      <c r="A964">
        <v>85.175482448586237</v>
      </c>
      <c r="B964">
        <v>-279.61370721637104</v>
      </c>
      <c r="C964">
        <v>391.61833600000006</v>
      </c>
      <c r="E964">
        <f t="shared" si="39"/>
        <v>-282.4159555696927</v>
      </c>
      <c r="F964">
        <f t="shared" si="40"/>
        <v>348.44087857212963</v>
      </c>
    </row>
    <row r="965" spans="1:6" x14ac:dyDescent="0.25">
      <c r="A965">
        <v>103.8031547139126</v>
      </c>
      <c r="B965">
        <v>-263.29998993708028</v>
      </c>
      <c r="C965">
        <v>391.61833600000006</v>
      </c>
      <c r="E965">
        <f t="shared" si="39"/>
        <v>-266.76227255298562</v>
      </c>
      <c r="F965">
        <f t="shared" si="40"/>
        <v>360.77318651896985</v>
      </c>
    </row>
    <row r="966" spans="1:6" x14ac:dyDescent="0.25">
      <c r="A966">
        <v>125.08211029344113</v>
      </c>
      <c r="B966">
        <v>-247.13547259059445</v>
      </c>
      <c r="C966">
        <v>391.61833600000006</v>
      </c>
      <c r="E966">
        <f t="shared" si="39"/>
        <v>-251.35022703379701</v>
      </c>
      <c r="F966">
        <f t="shared" si="40"/>
        <v>374.80532137327361</v>
      </c>
    </row>
    <row r="967" spans="1:6" x14ac:dyDescent="0.25">
      <c r="A967">
        <v>146.95822932637327</v>
      </c>
      <c r="B967">
        <v>-229.68287531844072</v>
      </c>
      <c r="C967">
        <v>391.61833600000006</v>
      </c>
      <c r="E967">
        <f t="shared" si="39"/>
        <v>-234.67172695640141</v>
      </c>
      <c r="F967">
        <f t="shared" si="40"/>
        <v>389.24996711646446</v>
      </c>
    </row>
    <row r="968" spans="1:6" x14ac:dyDescent="0.25">
      <c r="A968">
        <v>169.51146293491814</v>
      </c>
      <c r="B968">
        <v>-209.76226604173249</v>
      </c>
      <c r="C968">
        <v>391.61833600000006</v>
      </c>
      <c r="E968">
        <f t="shared" si="39"/>
        <v>-215.55034927857989</v>
      </c>
      <c r="F968">
        <f t="shared" si="40"/>
        <v>404.18495340683484</v>
      </c>
    </row>
    <row r="969" spans="1:6" x14ac:dyDescent="0.25">
      <c r="A969">
        <v>190.0447030690512</v>
      </c>
      <c r="B969">
        <v>-190.04470306905117</v>
      </c>
      <c r="C969">
        <v>391.61833600000006</v>
      </c>
      <c r="E969">
        <f t="shared" si="39"/>
        <v>-196.56139745886364</v>
      </c>
      <c r="F969">
        <f t="shared" si="40"/>
        <v>417.81774895627416</v>
      </c>
    </row>
    <row r="970" spans="1:6" x14ac:dyDescent="0.25">
      <c r="A970">
        <v>209.76226604173257</v>
      </c>
      <c r="B970">
        <v>-169.51146293491814</v>
      </c>
      <c r="C970">
        <v>391.61833600000006</v>
      </c>
      <c r="E970">
        <f t="shared" si="39"/>
        <v>-176.7287986437772</v>
      </c>
      <c r="F970">
        <f t="shared" si="40"/>
        <v>430.94485478304273</v>
      </c>
    </row>
    <row r="971" spans="1:6" x14ac:dyDescent="0.25">
      <c r="A971">
        <v>229.68287531844067</v>
      </c>
      <c r="B971">
        <v>-146.95822932637327</v>
      </c>
      <c r="C971">
        <v>391.61833600000006</v>
      </c>
      <c r="E971">
        <f t="shared" si="39"/>
        <v>-154.88452309354295</v>
      </c>
      <c r="F971">
        <f t="shared" si="40"/>
        <v>444.24771119264801</v>
      </c>
    </row>
    <row r="972" spans="1:6" x14ac:dyDescent="0.25">
      <c r="A972">
        <v>247.13547259059447</v>
      </c>
      <c r="B972">
        <v>-125.08211029344112</v>
      </c>
      <c r="C972">
        <v>391.61833600000006</v>
      </c>
      <c r="E972">
        <f t="shared" si="39"/>
        <v>-133.6308172622023</v>
      </c>
      <c r="F972">
        <f t="shared" si="40"/>
        <v>455.9499367748341</v>
      </c>
    </row>
    <row r="973" spans="1:6" x14ac:dyDescent="0.25">
      <c r="A973">
        <v>263.29998993708028</v>
      </c>
      <c r="B973">
        <v>-103.80315471391258</v>
      </c>
      <c r="C973">
        <v>391.61833600000006</v>
      </c>
      <c r="E973">
        <f t="shared" si="39"/>
        <v>-112.9289577673059</v>
      </c>
      <c r="F973">
        <f t="shared" si="40"/>
        <v>466.8113087661917</v>
      </c>
    </row>
    <row r="974" spans="1:6" x14ac:dyDescent="0.25">
      <c r="A974">
        <v>279.61370721637104</v>
      </c>
      <c r="B974">
        <v>-85.175482448586223</v>
      </c>
      <c r="C974">
        <v>391.61833600000006</v>
      </c>
      <c r="E974">
        <f t="shared" si="39"/>
        <v>-94.881973499014862</v>
      </c>
      <c r="F974">
        <f t="shared" si="40"/>
        <v>477.70905006036446</v>
      </c>
    </row>
    <row r="975" spans="1:6" x14ac:dyDescent="0.25">
      <c r="A975">
        <v>294.87507419378926</v>
      </c>
      <c r="B975">
        <v>-64.584530144418636</v>
      </c>
      <c r="C975">
        <v>391.61833600000006</v>
      </c>
      <c r="E975">
        <f t="shared" si="39"/>
        <v>-74.836178673146122</v>
      </c>
      <c r="F975">
        <f t="shared" si="40"/>
        <v>487.97480787759525</v>
      </c>
    </row>
    <row r="976" spans="1:6" x14ac:dyDescent="0.25">
      <c r="A976">
        <v>310.36708350409106</v>
      </c>
      <c r="B976">
        <v>-43.25445063526103</v>
      </c>
      <c r="C976">
        <v>391.61833600000006</v>
      </c>
      <c r="E976">
        <f t="shared" si="39"/>
        <v>-54.059756199946023</v>
      </c>
      <c r="F976">
        <f t="shared" si="40"/>
        <v>498.40531023034993</v>
      </c>
    </row>
    <row r="977" spans="1:6" x14ac:dyDescent="0.25">
      <c r="A977">
        <v>325.58700329040914</v>
      </c>
      <c r="B977">
        <v>-20.824721457539489</v>
      </c>
      <c r="C977">
        <v>391.61833600000006</v>
      </c>
      <c r="E977">
        <f t="shared" si="39"/>
        <v>-32.174858147603494</v>
      </c>
      <c r="F977">
        <f t="shared" si="40"/>
        <v>508.6856917516414</v>
      </c>
    </row>
    <row r="978" spans="1:6" x14ac:dyDescent="0.25">
      <c r="A978">
        <v>340.73931056703134</v>
      </c>
      <c r="B978">
        <v>0</v>
      </c>
      <c r="C978">
        <v>391.61833600000006</v>
      </c>
      <c r="E978">
        <f t="shared" si="39"/>
        <v>-11.891630445546554</v>
      </c>
      <c r="F978">
        <f t="shared" si="40"/>
        <v>518.88663418388251</v>
      </c>
    </row>
    <row r="979" spans="1:6" x14ac:dyDescent="0.25">
      <c r="A979">
        <v>325.58700329040914</v>
      </c>
      <c r="B979">
        <v>20.824721457539503</v>
      </c>
      <c r="C979">
        <v>391.61833600000006</v>
      </c>
      <c r="E979">
        <f t="shared" si="39"/>
        <v>9.4492130521819195</v>
      </c>
      <c r="F979">
        <f t="shared" si="40"/>
        <v>509.62001220786863</v>
      </c>
    </row>
    <row r="980" spans="1:6" x14ac:dyDescent="0.25">
      <c r="A980">
        <v>310.36708350409117</v>
      </c>
      <c r="B980">
        <v>43.254450635260916</v>
      </c>
      <c r="C980">
        <v>391.61833600000006</v>
      </c>
      <c r="E980">
        <f t="shared" ref="E980:E1043" si="41">($I$2*A980)+($K$2*B980)+($M$2*C980)</f>
        <v>32.396446185314197</v>
      </c>
      <c r="F980">
        <f t="shared" ref="F980:F1043" si="42">($J$2*A980)+($L$2*B980)+($N$2*C980)</f>
        <v>500.34596130382522</v>
      </c>
    </row>
    <row r="981" spans="1:6" x14ac:dyDescent="0.25">
      <c r="A981">
        <v>294.87507419378926</v>
      </c>
      <c r="B981">
        <v>64.584530144418636</v>
      </c>
      <c r="C981">
        <v>391.61833600000006</v>
      </c>
      <c r="E981">
        <f t="shared" si="41"/>
        <v>54.254195314194398</v>
      </c>
      <c r="F981">
        <f t="shared" si="42"/>
        <v>490.87245276532121</v>
      </c>
    </row>
    <row r="982" spans="1:6" x14ac:dyDescent="0.25">
      <c r="A982">
        <v>279.61370721637098</v>
      </c>
      <c r="B982">
        <v>85.175482448586195</v>
      </c>
      <c r="C982">
        <v>391.61833600000006</v>
      </c>
      <c r="E982">
        <f t="shared" si="41"/>
        <v>75.365218193071229</v>
      </c>
      <c r="F982">
        <f t="shared" si="42"/>
        <v>481.53052713428349</v>
      </c>
    </row>
    <row r="983" spans="1:6" x14ac:dyDescent="0.25">
      <c r="A983">
        <v>263.29998993708028</v>
      </c>
      <c r="B983">
        <v>103.80315471391259</v>
      </c>
      <c r="C983">
        <v>391.61833600000006</v>
      </c>
      <c r="E983">
        <f t="shared" si="41"/>
        <v>94.550883506150598</v>
      </c>
      <c r="F983">
        <f t="shared" si="42"/>
        <v>471.46853364518358</v>
      </c>
    </row>
    <row r="984" spans="1:6" x14ac:dyDescent="0.25">
      <c r="A984">
        <v>247.13547259059445</v>
      </c>
      <c r="B984">
        <v>125.08211029344112</v>
      </c>
      <c r="C984">
        <v>391.61833600000006</v>
      </c>
      <c r="E984">
        <f t="shared" si="41"/>
        <v>116.38101004070941</v>
      </c>
      <c r="F984">
        <f t="shared" si="42"/>
        <v>461.5618617455242</v>
      </c>
    </row>
    <row r="985" spans="1:6" x14ac:dyDescent="0.25">
      <c r="A985">
        <v>229.68287531844072</v>
      </c>
      <c r="B985">
        <v>146.95822932637319</v>
      </c>
      <c r="C985">
        <v>391.61833600000006</v>
      </c>
      <c r="E985">
        <f t="shared" si="41"/>
        <v>138.85288959394919</v>
      </c>
      <c r="F985">
        <f t="shared" si="42"/>
        <v>450.84112854761838</v>
      </c>
    </row>
    <row r="986" spans="1:6" x14ac:dyDescent="0.25">
      <c r="A986">
        <v>209.76226604173254</v>
      </c>
      <c r="B986">
        <v>169.51146293491814</v>
      </c>
      <c r="C986">
        <v>391.61833600000006</v>
      </c>
      <c r="E986">
        <f t="shared" si="41"/>
        <v>162.0876036197121</v>
      </c>
      <c r="F986">
        <f t="shared" si="42"/>
        <v>438.55014389617793</v>
      </c>
    </row>
    <row r="987" spans="1:6" x14ac:dyDescent="0.25">
      <c r="A987">
        <v>190.0447030690512</v>
      </c>
      <c r="B987">
        <v>190.04470306905117</v>
      </c>
      <c r="C987">
        <v>391.61833600000006</v>
      </c>
      <c r="E987">
        <f t="shared" si="41"/>
        <v>183.29646848269144</v>
      </c>
      <c r="F987">
        <f t="shared" si="42"/>
        <v>426.34428094552965</v>
      </c>
    </row>
    <row r="988" spans="1:6" x14ac:dyDescent="0.25">
      <c r="A988">
        <v>169.51146293491814</v>
      </c>
      <c r="B988">
        <v>209.76226604173254</v>
      </c>
      <c r="C988">
        <v>391.61833600000006</v>
      </c>
      <c r="E988">
        <f t="shared" si="41"/>
        <v>203.71861979511343</v>
      </c>
      <c r="F988">
        <f t="shared" si="42"/>
        <v>413.59613215930813</v>
      </c>
    </row>
    <row r="989" spans="1:6" x14ac:dyDescent="0.25">
      <c r="A989">
        <v>146.95822932637333</v>
      </c>
      <c r="B989">
        <v>229.68287531844069</v>
      </c>
      <c r="C989">
        <v>391.61833600000006</v>
      </c>
      <c r="E989">
        <f t="shared" si="41"/>
        <v>224.4141904768392</v>
      </c>
      <c r="F989">
        <f t="shared" si="42"/>
        <v>399.55490249303898</v>
      </c>
    </row>
    <row r="990" spans="1:6" x14ac:dyDescent="0.25">
      <c r="A990">
        <v>125.08211029344135</v>
      </c>
      <c r="B990">
        <v>247.13547259059442</v>
      </c>
      <c r="C990">
        <v>391.61833600000006</v>
      </c>
      <c r="E990">
        <f t="shared" si="41"/>
        <v>242.61962164234146</v>
      </c>
      <c r="F990">
        <f t="shared" si="42"/>
        <v>385.89328372473074</v>
      </c>
    </row>
    <row r="991" spans="1:6" x14ac:dyDescent="0.25">
      <c r="A991">
        <v>103.80315471391269</v>
      </c>
      <c r="B991">
        <v>263.29998993708017</v>
      </c>
      <c r="C991">
        <v>391.61833600000006</v>
      </c>
      <c r="E991">
        <f t="shared" si="41"/>
        <v>259.51691684169083</v>
      </c>
      <c r="F991">
        <f t="shared" si="42"/>
        <v>372.58638494393961</v>
      </c>
    </row>
    <row r="992" spans="1:6" x14ac:dyDescent="0.25">
      <c r="A992">
        <v>85.175482448586337</v>
      </c>
      <c r="B992">
        <v>279.61370721637098</v>
      </c>
      <c r="C992">
        <v>391.61833600000006</v>
      </c>
      <c r="E992">
        <f t="shared" si="41"/>
        <v>276.47079263199601</v>
      </c>
      <c r="F992">
        <f t="shared" si="42"/>
        <v>360.98600706407427</v>
      </c>
    </row>
    <row r="993" spans="1:6" x14ac:dyDescent="0.25">
      <c r="A993">
        <v>64.584530144418579</v>
      </c>
      <c r="B993">
        <v>294.87507419378932</v>
      </c>
      <c r="C993">
        <v>391.61833600000006</v>
      </c>
      <c r="E993">
        <f t="shared" si="41"/>
        <v>292.44147666904064</v>
      </c>
      <c r="F993">
        <f t="shared" si="42"/>
        <v>348.10081852368717</v>
      </c>
    </row>
    <row r="994" spans="1:6" x14ac:dyDescent="0.25">
      <c r="A994">
        <v>43.25445063526093</v>
      </c>
      <c r="B994">
        <v>310.36708350409117</v>
      </c>
      <c r="C994">
        <v>391.61833600000006</v>
      </c>
      <c r="E994">
        <f t="shared" si="41"/>
        <v>308.66845770534474</v>
      </c>
      <c r="F994">
        <f t="shared" si="42"/>
        <v>334.74599158430118</v>
      </c>
    </row>
    <row r="995" spans="1:6" x14ac:dyDescent="0.25">
      <c r="A995">
        <v>20.824721457539521</v>
      </c>
      <c r="B995">
        <v>325.5870032904092</v>
      </c>
      <c r="C995">
        <v>391.61833600000006</v>
      </c>
      <c r="E995">
        <f t="shared" si="41"/>
        <v>324.66189218723326</v>
      </c>
      <c r="F995">
        <f t="shared" si="42"/>
        <v>320.67865027700236</v>
      </c>
    </row>
    <row r="996" spans="1:6" x14ac:dyDescent="0.25">
      <c r="A996">
        <v>1.7441634970741078E-14</v>
      </c>
      <c r="B996">
        <v>340.73931056703134</v>
      </c>
      <c r="C996">
        <v>391.61833600000006</v>
      </c>
      <c r="E996">
        <f t="shared" si="41"/>
        <v>340.53174138550202</v>
      </c>
      <c r="F996">
        <f t="shared" si="42"/>
        <v>307.64084282566938</v>
      </c>
    </row>
    <row r="997" spans="1:6" x14ac:dyDescent="0.25">
      <c r="A997">
        <v>-20.824721457539486</v>
      </c>
      <c r="B997">
        <v>325.58700329040914</v>
      </c>
      <c r="C997">
        <v>391.61833600000006</v>
      </c>
      <c r="E997">
        <f t="shared" si="41"/>
        <v>326.115436782909</v>
      </c>
      <c r="F997">
        <f t="shared" si="42"/>
        <v>293.92321304506999</v>
      </c>
    </row>
    <row r="998" spans="1:6" x14ac:dyDescent="0.25">
      <c r="A998">
        <v>-43.254450635260902</v>
      </c>
      <c r="B998">
        <v>310.36708350409123</v>
      </c>
      <c r="C998">
        <v>391.61833600000006</v>
      </c>
      <c r="E998">
        <f t="shared" si="41"/>
        <v>311.68757481997233</v>
      </c>
      <c r="F998">
        <f t="shared" si="42"/>
        <v>279.17301591050415</v>
      </c>
    </row>
    <row r="999" spans="1:6" x14ac:dyDescent="0.25">
      <c r="A999">
        <v>-64.584530144418565</v>
      </c>
      <c r="B999">
        <v>294.87507419378949</v>
      </c>
      <c r="C999">
        <v>391.61833600000006</v>
      </c>
      <c r="E999">
        <f t="shared" si="41"/>
        <v>296.94941186265629</v>
      </c>
      <c r="F999">
        <f t="shared" si="42"/>
        <v>265.12312559482325</v>
      </c>
    </row>
    <row r="1000" spans="1:6" x14ac:dyDescent="0.25">
      <c r="A1000">
        <v>-85.175482448586095</v>
      </c>
      <c r="B1000">
        <v>279.61370721637115</v>
      </c>
      <c r="C1000">
        <v>391.61833600000006</v>
      </c>
      <c r="E1000">
        <f t="shared" si="41"/>
        <v>282.41595556969293</v>
      </c>
      <c r="F1000">
        <f t="shared" si="42"/>
        <v>251.55322166047216</v>
      </c>
    </row>
    <row r="1001" spans="1:6" x14ac:dyDescent="0.25">
      <c r="A1001">
        <v>-103.80315471391252</v>
      </c>
      <c r="B1001">
        <v>263.2999899370804</v>
      </c>
      <c r="C1001">
        <v>391.61833600000006</v>
      </c>
      <c r="E1001">
        <f t="shared" si="41"/>
        <v>266.76227255298585</v>
      </c>
      <c r="F1001">
        <f t="shared" si="42"/>
        <v>239.22091371363192</v>
      </c>
    </row>
    <row r="1002" spans="1:6" x14ac:dyDescent="0.25">
      <c r="A1002">
        <v>-125.08211029344126</v>
      </c>
      <c r="B1002">
        <v>247.13547259059433</v>
      </c>
      <c r="C1002">
        <v>391.61833600000006</v>
      </c>
      <c r="E1002">
        <f t="shared" si="41"/>
        <v>251.35022703379701</v>
      </c>
      <c r="F1002">
        <f t="shared" si="42"/>
        <v>225.18877885932801</v>
      </c>
    </row>
    <row r="1003" spans="1:6" x14ac:dyDescent="0.25">
      <c r="A1003">
        <v>-146.95822932637327</v>
      </c>
      <c r="B1003">
        <v>229.68287531844067</v>
      </c>
      <c r="C1003">
        <v>391.61833600000006</v>
      </c>
      <c r="E1003">
        <f t="shared" si="41"/>
        <v>234.67172695640147</v>
      </c>
      <c r="F1003">
        <f t="shared" si="42"/>
        <v>210.74413311613722</v>
      </c>
    </row>
    <row r="1004" spans="1:6" x14ac:dyDescent="0.25">
      <c r="A1004">
        <v>-169.51146293491814</v>
      </c>
      <c r="B1004">
        <v>209.76226604173254</v>
      </c>
      <c r="C1004">
        <v>391.61833600000006</v>
      </c>
      <c r="E1004">
        <f t="shared" si="41"/>
        <v>215.55034927858006</v>
      </c>
      <c r="F1004">
        <f t="shared" si="42"/>
        <v>195.80914682576685</v>
      </c>
    </row>
    <row r="1005" spans="1:6" x14ac:dyDescent="0.25">
      <c r="A1005">
        <v>-190.04470306905117</v>
      </c>
      <c r="B1005">
        <v>190.0447030690512</v>
      </c>
      <c r="C1005">
        <v>391.61833600000006</v>
      </c>
      <c r="E1005">
        <f t="shared" si="41"/>
        <v>196.56139745886378</v>
      </c>
      <c r="F1005">
        <f t="shared" si="42"/>
        <v>182.17635127632752</v>
      </c>
    </row>
    <row r="1006" spans="1:6" x14ac:dyDescent="0.25">
      <c r="A1006">
        <v>-209.76226604173254</v>
      </c>
      <c r="B1006">
        <v>169.51146293491814</v>
      </c>
      <c r="C1006">
        <v>391.61833600000006</v>
      </c>
      <c r="E1006">
        <f t="shared" si="41"/>
        <v>176.72879864377731</v>
      </c>
      <c r="F1006">
        <f t="shared" si="42"/>
        <v>169.04924544955898</v>
      </c>
    </row>
    <row r="1007" spans="1:6" x14ac:dyDescent="0.25">
      <c r="A1007">
        <v>-229.68287531844058</v>
      </c>
      <c r="B1007">
        <v>146.95822932637333</v>
      </c>
      <c r="C1007">
        <v>391.61833600000006</v>
      </c>
      <c r="E1007">
        <f t="shared" si="41"/>
        <v>154.88452309354312</v>
      </c>
      <c r="F1007">
        <f t="shared" si="42"/>
        <v>155.74638903995373</v>
      </c>
    </row>
    <row r="1008" spans="1:6" x14ac:dyDescent="0.25">
      <c r="A1008">
        <v>-247.13547259059442</v>
      </c>
      <c r="B1008">
        <v>125.08211029344135</v>
      </c>
      <c r="C1008">
        <v>391.61833600000006</v>
      </c>
      <c r="E1008">
        <f t="shared" si="41"/>
        <v>133.63081726220264</v>
      </c>
      <c r="F1008">
        <f t="shared" si="42"/>
        <v>144.04416345776761</v>
      </c>
    </row>
    <row r="1009" spans="1:6" x14ac:dyDescent="0.25">
      <c r="A1009">
        <v>-263.29998993708017</v>
      </c>
      <c r="B1009">
        <v>103.8031547139127</v>
      </c>
      <c r="C1009">
        <v>391.61833600000006</v>
      </c>
      <c r="E1009">
        <f t="shared" si="41"/>
        <v>112.92895776730612</v>
      </c>
      <c r="F1009">
        <f t="shared" si="42"/>
        <v>133.18279146641004</v>
      </c>
    </row>
    <row r="1010" spans="1:6" x14ac:dyDescent="0.25">
      <c r="A1010">
        <v>-279.61370721637098</v>
      </c>
      <c r="B1010">
        <v>85.175482448586365</v>
      </c>
      <c r="C1010">
        <v>391.61833600000006</v>
      </c>
      <c r="E1010">
        <f t="shared" si="41"/>
        <v>94.881973499015089</v>
      </c>
      <c r="F1010">
        <f t="shared" si="42"/>
        <v>122.28505017223728</v>
      </c>
    </row>
    <row r="1011" spans="1:6" x14ac:dyDescent="0.25">
      <c r="A1011">
        <v>-294.87507419378937</v>
      </c>
      <c r="B1011">
        <v>64.584530144418594</v>
      </c>
      <c r="C1011">
        <v>391.61833600000006</v>
      </c>
      <c r="E1011">
        <f t="shared" si="41"/>
        <v>74.836178673146165</v>
      </c>
      <c r="F1011">
        <f t="shared" si="42"/>
        <v>112.01929235500631</v>
      </c>
    </row>
    <row r="1012" spans="1:6" x14ac:dyDescent="0.25">
      <c r="A1012">
        <v>-310.36708350409111</v>
      </c>
      <c r="B1012">
        <v>43.254450635260945</v>
      </c>
      <c r="C1012">
        <v>391.61833600000006</v>
      </c>
      <c r="E1012">
        <f t="shared" si="41"/>
        <v>54.059756199946044</v>
      </c>
      <c r="F1012">
        <f t="shared" si="42"/>
        <v>101.58879000225173</v>
      </c>
    </row>
    <row r="1013" spans="1:6" x14ac:dyDescent="0.25">
      <c r="A1013">
        <v>-322.08307631217832</v>
      </c>
      <c r="B1013">
        <v>-3.6380939807980931E-14</v>
      </c>
      <c r="C1013">
        <v>447.91820800000005</v>
      </c>
      <c r="E1013">
        <f t="shared" si="41"/>
        <v>11.24053725968829</v>
      </c>
      <c r="F1013">
        <f t="shared" si="42"/>
        <v>136.22036116497227</v>
      </c>
    </row>
    <row r="1014" spans="1:6" x14ac:dyDescent="0.25">
      <c r="A1014">
        <v>-311.58150069917281</v>
      </c>
      <c r="B1014">
        <v>-21.541889457508265</v>
      </c>
      <c r="C1014">
        <v>447.91820800000005</v>
      </c>
      <c r="E1014">
        <f t="shared" si="41"/>
        <v>-10.654729164281949</v>
      </c>
      <c r="F1014">
        <f t="shared" si="42"/>
        <v>142.48328332928739</v>
      </c>
    </row>
    <row r="1015" spans="1:6" x14ac:dyDescent="0.25">
      <c r="A1015">
        <v>-301.14035548634394</v>
      </c>
      <c r="B1015">
        <v>-42.082669325581499</v>
      </c>
      <c r="C1015">
        <v>447.91820800000005</v>
      </c>
      <c r="E1015">
        <f t="shared" si="41"/>
        <v>-31.547386857178306</v>
      </c>
      <c r="F1015">
        <f t="shared" si="42"/>
        <v>148.72984309922711</v>
      </c>
    </row>
    <row r="1016" spans="1:6" x14ac:dyDescent="0.25">
      <c r="A1016">
        <v>-290.41546655682248</v>
      </c>
      <c r="B1016">
        <v>-62.121687363108187</v>
      </c>
      <c r="C1016">
        <v>447.91820800000005</v>
      </c>
      <c r="E1016">
        <f t="shared" si="41"/>
        <v>-51.948490892183209</v>
      </c>
      <c r="F1016">
        <f t="shared" si="42"/>
        <v>155.16993471449766</v>
      </c>
    </row>
    <row r="1017" spans="1:6" x14ac:dyDescent="0.25">
      <c r="A1017">
        <v>-278.99671510623085</v>
      </c>
      <c r="B1017">
        <v>-80.819765154482155</v>
      </c>
      <c r="C1017">
        <v>447.91820800000005</v>
      </c>
      <c r="E1017">
        <f t="shared" si="41"/>
        <v>-71.033686998368424</v>
      </c>
      <c r="F1017">
        <f t="shared" si="42"/>
        <v>162.08584213054732</v>
      </c>
    </row>
    <row r="1018" spans="1:6" x14ac:dyDescent="0.25">
      <c r="A1018">
        <v>-266.24982474215176</v>
      </c>
      <c r="B1018">
        <v>-101.29320184893236</v>
      </c>
      <c r="C1018">
        <v>447.91820800000005</v>
      </c>
      <c r="E1018">
        <f t="shared" si="41"/>
        <v>-91.939511886586445</v>
      </c>
      <c r="F1018">
        <f t="shared" si="42"/>
        <v>169.81511416383529</v>
      </c>
    </row>
    <row r="1019" spans="1:6" x14ac:dyDescent="0.25">
      <c r="A1019">
        <v>-251.54646335601075</v>
      </c>
      <c r="B1019">
        <v>-122.71722830998775</v>
      </c>
      <c r="C1019">
        <v>447.91820800000005</v>
      </c>
      <c r="E1019">
        <f t="shared" si="41"/>
        <v>-113.86362732179087</v>
      </c>
      <c r="F1019">
        <f t="shared" si="42"/>
        <v>178.77989088964398</v>
      </c>
    </row>
    <row r="1020" spans="1:6" x14ac:dyDescent="0.25">
      <c r="A1020">
        <v>-235.0697078584237</v>
      </c>
      <c r="B1020">
        <v>-144.50864472380584</v>
      </c>
      <c r="C1020">
        <v>447.91820800000005</v>
      </c>
      <c r="E1020">
        <f t="shared" si="41"/>
        <v>-136.21679946767</v>
      </c>
      <c r="F1020">
        <f t="shared" si="42"/>
        <v>188.8756473258905</v>
      </c>
    </row>
    <row r="1021" spans="1:6" x14ac:dyDescent="0.25">
      <c r="A1021">
        <v>-213.94614769249759</v>
      </c>
      <c r="B1021">
        <v>-169.07936470668298</v>
      </c>
      <c r="C1021">
        <v>447.91820800000005</v>
      </c>
      <c r="E1021">
        <f t="shared" si="41"/>
        <v>-161.50975325016805</v>
      </c>
      <c r="F1021">
        <f t="shared" si="42"/>
        <v>201.89414466655586</v>
      </c>
    </row>
    <row r="1022" spans="1:6" x14ac:dyDescent="0.25">
      <c r="A1022">
        <v>-192.06447773922463</v>
      </c>
      <c r="B1022">
        <v>-192.06447773922463</v>
      </c>
      <c r="C1022">
        <v>447.91820800000005</v>
      </c>
      <c r="E1022">
        <f t="shared" si="41"/>
        <v>-185.24452364126668</v>
      </c>
      <c r="F1022">
        <f t="shared" si="42"/>
        <v>215.43521859687417</v>
      </c>
    </row>
    <row r="1023" spans="1:6" x14ac:dyDescent="0.25">
      <c r="A1023">
        <v>-169.07936470668298</v>
      </c>
      <c r="B1023">
        <v>-213.94614769249768</v>
      </c>
      <c r="C1023">
        <v>447.91820800000005</v>
      </c>
      <c r="E1023">
        <f t="shared" si="41"/>
        <v>-207.91503274891295</v>
      </c>
      <c r="F1023">
        <f t="shared" si="42"/>
        <v>229.70989349155411</v>
      </c>
    </row>
    <row r="1024" spans="1:6" x14ac:dyDescent="0.25">
      <c r="A1024">
        <v>-144.50864472380579</v>
      </c>
      <c r="B1024">
        <v>-235.06970785842375</v>
      </c>
      <c r="C1024">
        <v>447.91820800000005</v>
      </c>
      <c r="E1024">
        <f t="shared" si="41"/>
        <v>-229.88323077374594</v>
      </c>
      <c r="F1024">
        <f t="shared" si="42"/>
        <v>245.0201626630782</v>
      </c>
    </row>
    <row r="1025" spans="1:6" x14ac:dyDescent="0.25">
      <c r="A1025">
        <v>-122.71722830998793</v>
      </c>
      <c r="B1025">
        <v>-251.54646335601063</v>
      </c>
      <c r="C1025">
        <v>447.91820800000005</v>
      </c>
      <c r="E1025">
        <f t="shared" si="41"/>
        <v>-247.11045854234757</v>
      </c>
      <c r="F1025">
        <f t="shared" si="42"/>
        <v>258.64925982768017</v>
      </c>
    </row>
    <row r="1026" spans="1:6" x14ac:dyDescent="0.25">
      <c r="A1026">
        <v>-101.29320184893231</v>
      </c>
      <c r="B1026">
        <v>-266.2498247421517</v>
      </c>
      <c r="C1026">
        <v>447.91820800000005</v>
      </c>
      <c r="E1026">
        <f t="shared" si="41"/>
        <v>-262.55255077883561</v>
      </c>
      <c r="F1026">
        <f t="shared" si="42"/>
        <v>272.08212962755704</v>
      </c>
    </row>
    <row r="1027" spans="1:6" x14ac:dyDescent="0.25">
      <c r="A1027">
        <v>-80.819765154482184</v>
      </c>
      <c r="B1027">
        <v>-278.99671510623091</v>
      </c>
      <c r="C1027">
        <v>447.91820800000005</v>
      </c>
      <c r="E1027">
        <f t="shared" si="41"/>
        <v>-276.00618871812134</v>
      </c>
      <c r="F1027">
        <f t="shared" si="42"/>
        <v>284.94823376903281</v>
      </c>
    </row>
    <row r="1028" spans="1:6" x14ac:dyDescent="0.25">
      <c r="A1028">
        <v>-62.121687363108137</v>
      </c>
      <c r="B1028">
        <v>-290.41546655682271</v>
      </c>
      <c r="C1028">
        <v>447.91820800000005</v>
      </c>
      <c r="E1028">
        <f t="shared" si="41"/>
        <v>-288.07053767807696</v>
      </c>
      <c r="F1028">
        <f t="shared" si="42"/>
        <v>296.7036484726176</v>
      </c>
    </row>
    <row r="1029" spans="1:6" x14ac:dyDescent="0.25">
      <c r="A1029">
        <v>-42.082669325581541</v>
      </c>
      <c r="B1029">
        <v>-301.14035548634394</v>
      </c>
      <c r="C1029">
        <v>447.91820800000005</v>
      </c>
      <c r="E1029">
        <f t="shared" si="41"/>
        <v>-299.48824493896109</v>
      </c>
      <c r="F1029">
        <f t="shared" si="42"/>
        <v>309.33604327433778</v>
      </c>
    </row>
    <row r="1030" spans="1:6" x14ac:dyDescent="0.25">
      <c r="A1030">
        <v>-21.541889457508276</v>
      </c>
      <c r="B1030">
        <v>-311.58150069917281</v>
      </c>
      <c r="C1030">
        <v>447.91820800000005</v>
      </c>
      <c r="E1030">
        <f t="shared" si="41"/>
        <v>-310.63989256750926</v>
      </c>
      <c r="F1030">
        <f t="shared" si="42"/>
        <v>322.2971331020471</v>
      </c>
    </row>
    <row r="1031" spans="1:6" x14ac:dyDescent="0.25">
      <c r="A1031">
        <v>1.6650960643176921E-14</v>
      </c>
      <c r="B1031">
        <v>-322.08307631217832</v>
      </c>
      <c r="C1031">
        <v>447.91820800000005</v>
      </c>
      <c r="E1031">
        <f t="shared" si="41"/>
        <v>-321.88687200448237</v>
      </c>
      <c r="F1031">
        <f t="shared" si="42"/>
        <v>335.8999761334631</v>
      </c>
    </row>
    <row r="1032" spans="1:6" x14ac:dyDescent="0.25">
      <c r="A1032">
        <v>21.541889457508258</v>
      </c>
      <c r="B1032">
        <v>-311.58150069917281</v>
      </c>
      <c r="C1032">
        <v>447.91820800000005</v>
      </c>
      <c r="E1032">
        <f t="shared" si="41"/>
        <v>-312.14349476768518</v>
      </c>
      <c r="F1032">
        <f t="shared" si="42"/>
        <v>349.97398210157689</v>
      </c>
    </row>
    <row r="1033" spans="1:6" x14ac:dyDescent="0.25">
      <c r="A1033">
        <v>42.082669325581534</v>
      </c>
      <c r="B1033">
        <v>-301.14035548634394</v>
      </c>
      <c r="C1033">
        <v>447.91820800000005</v>
      </c>
      <c r="E1033">
        <f t="shared" si="41"/>
        <v>-302.42557289768229</v>
      </c>
      <c r="F1033">
        <f t="shared" si="42"/>
        <v>363.40352359999287</v>
      </c>
    </row>
    <row r="1034" spans="1:6" x14ac:dyDescent="0.25">
      <c r="A1034">
        <v>62.121687363108137</v>
      </c>
      <c r="B1034">
        <v>-290.41546655682265</v>
      </c>
      <c r="C1034">
        <v>447.91820800000005</v>
      </c>
      <c r="E1034">
        <f t="shared" si="41"/>
        <v>-292.4065689246421</v>
      </c>
      <c r="F1034">
        <f t="shared" si="42"/>
        <v>376.51710049761999</v>
      </c>
    </row>
    <row r="1035" spans="1:6" x14ac:dyDescent="0.25">
      <c r="A1035">
        <v>80.819765154482184</v>
      </c>
      <c r="B1035">
        <v>-278.99671510623091</v>
      </c>
      <c r="C1035">
        <v>447.91820800000005</v>
      </c>
      <c r="E1035">
        <f t="shared" si="41"/>
        <v>-281.64732697313281</v>
      </c>
      <c r="F1035">
        <f t="shared" si="42"/>
        <v>388.78482808311372</v>
      </c>
    </row>
    <row r="1036" spans="1:6" x14ac:dyDescent="0.25">
      <c r="A1036">
        <v>101.29320184893233</v>
      </c>
      <c r="B1036">
        <v>-266.24982474215176</v>
      </c>
      <c r="C1036">
        <v>447.91820800000005</v>
      </c>
      <c r="E1036">
        <f t="shared" si="41"/>
        <v>-269.6227143066609</v>
      </c>
      <c r="F1036">
        <f t="shared" si="42"/>
        <v>402.22283329153669</v>
      </c>
    </row>
    <row r="1037" spans="1:6" x14ac:dyDescent="0.25">
      <c r="A1037">
        <v>122.71722830998775</v>
      </c>
      <c r="B1037">
        <v>-251.54646335601075</v>
      </c>
      <c r="C1037">
        <v>447.91820800000005</v>
      </c>
      <c r="E1037">
        <f t="shared" si="41"/>
        <v>-255.67599755183667</v>
      </c>
      <c r="F1037">
        <f t="shared" si="42"/>
        <v>416.31538304662354</v>
      </c>
    </row>
    <row r="1038" spans="1:6" x14ac:dyDescent="0.25">
      <c r="A1038">
        <v>144.50864472380576</v>
      </c>
      <c r="B1038">
        <v>-235.06970785842387</v>
      </c>
      <c r="C1038">
        <v>447.91820800000005</v>
      </c>
      <c r="E1038">
        <f t="shared" si="41"/>
        <v>-239.96978871378877</v>
      </c>
      <c r="F1038">
        <f t="shared" si="42"/>
        <v>430.68372513918484</v>
      </c>
    </row>
    <row r="1039" spans="1:6" x14ac:dyDescent="0.25">
      <c r="A1039">
        <v>169.07936470668298</v>
      </c>
      <c r="B1039">
        <v>-213.94614769249759</v>
      </c>
      <c r="C1039">
        <v>447.91820800000005</v>
      </c>
      <c r="E1039">
        <f t="shared" si="41"/>
        <v>-219.71660221099657</v>
      </c>
      <c r="F1039">
        <f t="shared" si="42"/>
        <v>446.94172244294896</v>
      </c>
    </row>
    <row r="1040" spans="1:6" x14ac:dyDescent="0.25">
      <c r="A1040">
        <v>192.06447773922463</v>
      </c>
      <c r="B1040">
        <v>-192.06447773922463</v>
      </c>
      <c r="C1040">
        <v>447.91820800000005</v>
      </c>
      <c r="E1040">
        <f t="shared" si="41"/>
        <v>-198.650430856322</v>
      </c>
      <c r="F1040">
        <f t="shared" si="42"/>
        <v>462.19813876910212</v>
      </c>
    </row>
    <row r="1041" spans="1:6" x14ac:dyDescent="0.25">
      <c r="A1041">
        <v>213.94614769249768</v>
      </c>
      <c r="B1041">
        <v>-169.07936470668298</v>
      </c>
      <c r="C1041">
        <v>447.91820800000005</v>
      </c>
      <c r="E1041">
        <f t="shared" si="41"/>
        <v>-176.44297900198228</v>
      </c>
      <c r="F1041">
        <f t="shared" si="42"/>
        <v>476.77046112878293</v>
      </c>
    </row>
    <row r="1042" spans="1:6" x14ac:dyDescent="0.25">
      <c r="A1042">
        <v>235.06970785842375</v>
      </c>
      <c r="B1042">
        <v>-144.50864472380584</v>
      </c>
      <c r="C1042">
        <v>447.91820800000005</v>
      </c>
      <c r="E1042">
        <f t="shared" si="41"/>
        <v>-152.62442845619591</v>
      </c>
      <c r="F1042">
        <f t="shared" si="42"/>
        <v>490.89134662628589</v>
      </c>
    </row>
    <row r="1043" spans="1:6" x14ac:dyDescent="0.25">
      <c r="A1043">
        <v>251.54646335601069</v>
      </c>
      <c r="B1043">
        <v>-122.71722830998779</v>
      </c>
      <c r="C1043">
        <v>447.91820800000005</v>
      </c>
      <c r="E1043">
        <f t="shared" si="41"/>
        <v>-131.42131725862873</v>
      </c>
      <c r="F1043">
        <f t="shared" si="42"/>
        <v>501.96479518519095</v>
      </c>
    </row>
    <row r="1044" spans="1:6" x14ac:dyDescent="0.25">
      <c r="A1044">
        <v>266.24982474215182</v>
      </c>
      <c r="B1044">
        <v>-101.29320184893236</v>
      </c>
      <c r="C1044">
        <v>447.91820800000005</v>
      </c>
      <c r="E1044">
        <f t="shared" ref="E1044:E1107" si="43">($I$2*A1044)+($K$2*B1044)+($M$2*C1044)</f>
        <v>-110.52348164784686</v>
      </c>
      <c r="F1044">
        <f t="shared" ref="F1044:F1107" si="44">($J$2*A1044)+($L$2*B1044)+($N$2*C1044)</f>
        <v>511.89078074244219</v>
      </c>
    </row>
    <row r="1045" spans="1:6" x14ac:dyDescent="0.25">
      <c r="A1045">
        <v>278.99671510623085</v>
      </c>
      <c r="B1045">
        <v>-80.819765154482141</v>
      </c>
      <c r="C1045">
        <v>447.91820800000005</v>
      </c>
      <c r="E1045">
        <f t="shared" si="43"/>
        <v>-90.507376876085488</v>
      </c>
      <c r="F1045">
        <f t="shared" si="44"/>
        <v>520.53861251502371</v>
      </c>
    </row>
    <row r="1046" spans="1:6" x14ac:dyDescent="0.25">
      <c r="A1046">
        <v>290.41546655682259</v>
      </c>
      <c r="B1046">
        <v>-62.121687363108158</v>
      </c>
      <c r="C1046">
        <v>447.91820800000005</v>
      </c>
      <c r="E1046">
        <f t="shared" si="43"/>
        <v>-72.219198127093463</v>
      </c>
      <c r="F1046">
        <f t="shared" si="44"/>
        <v>528.29342654541779</v>
      </c>
    </row>
    <row r="1047" spans="1:6" x14ac:dyDescent="0.25">
      <c r="A1047">
        <v>301.14035548634394</v>
      </c>
      <c r="B1047">
        <v>-42.082669325581598</v>
      </c>
      <c r="C1047">
        <v>447.91820800000005</v>
      </c>
      <c r="E1047">
        <f t="shared" si="43"/>
        <v>-52.566680543749733</v>
      </c>
      <c r="F1047">
        <f t="shared" si="44"/>
        <v>535.6325873037423</v>
      </c>
    </row>
    <row r="1048" spans="1:6" x14ac:dyDescent="0.25">
      <c r="A1048">
        <v>311.58150069917281</v>
      </c>
      <c r="B1048">
        <v>-21.541889457508258</v>
      </c>
      <c r="C1048">
        <v>447.91820800000005</v>
      </c>
      <c r="E1048">
        <f t="shared" si="43"/>
        <v>-32.402804276704181</v>
      </c>
      <c r="F1048">
        <f t="shared" si="44"/>
        <v>542.80072822696332</v>
      </c>
    </row>
    <row r="1049" spans="1:6" x14ac:dyDescent="0.25">
      <c r="A1049">
        <v>322.08307631217832</v>
      </c>
      <c r="B1049">
        <v>0</v>
      </c>
      <c r="C1049">
        <v>447.91820800000005</v>
      </c>
      <c r="E1049">
        <f t="shared" si="43"/>
        <v>-11.240537259688216</v>
      </c>
      <c r="F1049">
        <f t="shared" si="44"/>
        <v>550.03014725544892</v>
      </c>
    </row>
    <row r="1050" spans="1:6" x14ac:dyDescent="0.25">
      <c r="A1050">
        <v>311.58150069917281</v>
      </c>
      <c r="B1050">
        <v>21.54188945750823</v>
      </c>
      <c r="C1050">
        <v>447.91820800000005</v>
      </c>
      <c r="E1050">
        <f t="shared" si="43"/>
        <v>10.654729164282024</v>
      </c>
      <c r="F1050">
        <f t="shared" si="44"/>
        <v>543.76722509113381</v>
      </c>
    </row>
    <row r="1051" spans="1:6" x14ac:dyDescent="0.25">
      <c r="A1051">
        <v>301.14035548634411</v>
      </c>
      <c r="B1051">
        <v>42.082669325581499</v>
      </c>
      <c r="C1051">
        <v>447.91820800000005</v>
      </c>
      <c r="E1051">
        <f t="shared" si="43"/>
        <v>31.54738685717841</v>
      </c>
      <c r="F1051">
        <f t="shared" si="44"/>
        <v>537.5206653211942</v>
      </c>
    </row>
    <row r="1052" spans="1:6" x14ac:dyDescent="0.25">
      <c r="A1052">
        <v>290.41546655682254</v>
      </c>
      <c r="B1052">
        <v>62.121687363108158</v>
      </c>
      <c r="C1052">
        <v>447.91820800000005</v>
      </c>
      <c r="E1052">
        <f t="shared" si="43"/>
        <v>51.948490892183287</v>
      </c>
      <c r="F1052">
        <f t="shared" si="44"/>
        <v>531.0805737059236</v>
      </c>
    </row>
    <row r="1053" spans="1:6" x14ac:dyDescent="0.25">
      <c r="A1053">
        <v>278.99671510623085</v>
      </c>
      <c r="B1053">
        <v>80.819765154482141</v>
      </c>
      <c r="C1053">
        <v>447.91820800000005</v>
      </c>
      <c r="E1053">
        <f t="shared" si="43"/>
        <v>71.033686998368523</v>
      </c>
      <c r="F1053">
        <f t="shared" si="44"/>
        <v>524.16466628987382</v>
      </c>
    </row>
    <row r="1054" spans="1:6" x14ac:dyDescent="0.25">
      <c r="A1054">
        <v>266.24982474215182</v>
      </c>
      <c r="B1054">
        <v>101.29320184893236</v>
      </c>
      <c r="C1054">
        <v>447.91820800000005</v>
      </c>
      <c r="E1054">
        <f t="shared" si="43"/>
        <v>91.939511886586558</v>
      </c>
      <c r="F1054">
        <f t="shared" si="44"/>
        <v>516.43539425658594</v>
      </c>
    </row>
    <row r="1055" spans="1:6" x14ac:dyDescent="0.25">
      <c r="A1055">
        <v>251.54646335601075</v>
      </c>
      <c r="B1055">
        <v>122.71722830998775</v>
      </c>
      <c r="C1055">
        <v>447.91820800000005</v>
      </c>
      <c r="E1055">
        <f t="shared" si="43"/>
        <v>113.86362732179099</v>
      </c>
      <c r="F1055">
        <f t="shared" si="44"/>
        <v>507.47061753077719</v>
      </c>
    </row>
    <row r="1056" spans="1:6" x14ac:dyDescent="0.25">
      <c r="A1056">
        <v>235.06970785842384</v>
      </c>
      <c r="B1056">
        <v>144.5086447238057</v>
      </c>
      <c r="C1056">
        <v>447.91820800000005</v>
      </c>
      <c r="E1056">
        <f t="shared" si="43"/>
        <v>136.21679946766997</v>
      </c>
      <c r="F1056">
        <f t="shared" si="44"/>
        <v>497.37486109453079</v>
      </c>
    </row>
    <row r="1057" spans="1:6" x14ac:dyDescent="0.25">
      <c r="A1057">
        <v>213.94614769249762</v>
      </c>
      <c r="B1057">
        <v>169.07936470668292</v>
      </c>
      <c r="C1057">
        <v>447.91820800000005</v>
      </c>
      <c r="E1057">
        <f t="shared" si="43"/>
        <v>161.5097532501681</v>
      </c>
      <c r="F1057">
        <f t="shared" si="44"/>
        <v>484.35636375386537</v>
      </c>
    </row>
    <row r="1058" spans="1:6" x14ac:dyDescent="0.25">
      <c r="A1058">
        <v>192.06447773922463</v>
      </c>
      <c r="B1058">
        <v>192.06447773922463</v>
      </c>
      <c r="C1058">
        <v>447.91820800000005</v>
      </c>
      <c r="E1058">
        <f t="shared" si="43"/>
        <v>185.2445236412668</v>
      </c>
      <c r="F1058">
        <f t="shared" si="44"/>
        <v>470.815289823547</v>
      </c>
    </row>
    <row r="1059" spans="1:6" x14ac:dyDescent="0.25">
      <c r="A1059">
        <v>169.07936470668298</v>
      </c>
      <c r="B1059">
        <v>213.94614769249762</v>
      </c>
      <c r="C1059">
        <v>447.91820800000005</v>
      </c>
      <c r="E1059">
        <f t="shared" si="43"/>
        <v>207.91503274891301</v>
      </c>
      <c r="F1059">
        <f t="shared" si="44"/>
        <v>456.54061492886706</v>
      </c>
    </row>
    <row r="1060" spans="1:6" x14ac:dyDescent="0.25">
      <c r="A1060">
        <v>144.50864472380584</v>
      </c>
      <c r="B1060">
        <v>235.06970785842375</v>
      </c>
      <c r="C1060">
        <v>447.91820800000005</v>
      </c>
      <c r="E1060">
        <f t="shared" si="43"/>
        <v>229.88323077374605</v>
      </c>
      <c r="F1060">
        <f t="shared" si="44"/>
        <v>441.230345757343</v>
      </c>
    </row>
    <row r="1061" spans="1:6" x14ac:dyDescent="0.25">
      <c r="A1061">
        <v>122.71722830998795</v>
      </c>
      <c r="B1061">
        <v>251.54646335601075</v>
      </c>
      <c r="C1061">
        <v>447.91820800000005</v>
      </c>
      <c r="E1061">
        <f t="shared" si="43"/>
        <v>247.1104585423478</v>
      </c>
      <c r="F1061">
        <f t="shared" si="44"/>
        <v>427.601248592741</v>
      </c>
    </row>
    <row r="1062" spans="1:6" x14ac:dyDescent="0.25">
      <c r="A1062">
        <v>101.29320184893247</v>
      </c>
      <c r="B1062">
        <v>266.24982474215176</v>
      </c>
      <c r="C1062">
        <v>447.91820800000005</v>
      </c>
      <c r="E1062">
        <f t="shared" si="43"/>
        <v>262.55255077883578</v>
      </c>
      <c r="F1062">
        <f t="shared" si="44"/>
        <v>414.16837879286425</v>
      </c>
    </row>
    <row r="1063" spans="1:6" x14ac:dyDescent="0.25">
      <c r="A1063">
        <v>80.819765154482297</v>
      </c>
      <c r="B1063">
        <v>278.99671510623085</v>
      </c>
      <c r="C1063">
        <v>447.91820800000005</v>
      </c>
      <c r="E1063">
        <f t="shared" si="43"/>
        <v>276.00618871812134</v>
      </c>
      <c r="F1063">
        <f t="shared" si="44"/>
        <v>401.30227465138847</v>
      </c>
    </row>
    <row r="1064" spans="1:6" x14ac:dyDescent="0.25">
      <c r="A1064">
        <v>62.12168736310808</v>
      </c>
      <c r="B1064">
        <v>290.41546655682265</v>
      </c>
      <c r="C1064">
        <v>447.91820800000005</v>
      </c>
      <c r="E1064">
        <f t="shared" si="43"/>
        <v>288.07053767807702</v>
      </c>
      <c r="F1064">
        <f t="shared" si="44"/>
        <v>389.54685994780357</v>
      </c>
    </row>
    <row r="1065" spans="1:6" x14ac:dyDescent="0.25">
      <c r="A1065">
        <v>42.08266932558152</v>
      </c>
      <c r="B1065">
        <v>301.14035548634411</v>
      </c>
      <c r="C1065">
        <v>447.91820800000005</v>
      </c>
      <c r="E1065">
        <f t="shared" si="43"/>
        <v>299.48824493896137</v>
      </c>
      <c r="F1065">
        <f t="shared" si="44"/>
        <v>376.91446514608333</v>
      </c>
    </row>
    <row r="1066" spans="1:6" x14ac:dyDescent="0.25">
      <c r="A1066">
        <v>21.541889457508265</v>
      </c>
      <c r="B1066">
        <v>311.58150069917281</v>
      </c>
      <c r="C1066">
        <v>447.91820800000005</v>
      </c>
      <c r="E1066">
        <f t="shared" si="43"/>
        <v>310.63989256750938</v>
      </c>
      <c r="F1066">
        <f t="shared" si="44"/>
        <v>363.95337531837407</v>
      </c>
    </row>
    <row r="1067" spans="1:6" x14ac:dyDescent="0.25">
      <c r="A1067">
        <v>1.6650960643176921E-14</v>
      </c>
      <c r="B1067">
        <v>322.08307631217832</v>
      </c>
      <c r="C1067">
        <v>447.91820800000005</v>
      </c>
      <c r="E1067">
        <f t="shared" si="43"/>
        <v>321.88687200448248</v>
      </c>
      <c r="F1067">
        <f t="shared" si="44"/>
        <v>350.35053228695807</v>
      </c>
    </row>
    <row r="1068" spans="1:6" x14ac:dyDescent="0.25">
      <c r="A1068">
        <v>-21.541889457508219</v>
      </c>
      <c r="B1068">
        <v>311.58150069917281</v>
      </c>
      <c r="C1068">
        <v>447.91820800000005</v>
      </c>
      <c r="E1068">
        <f t="shared" si="43"/>
        <v>312.1434947676853</v>
      </c>
      <c r="F1068">
        <f t="shared" si="44"/>
        <v>336.27652631884428</v>
      </c>
    </row>
    <row r="1069" spans="1:6" x14ac:dyDescent="0.25">
      <c r="A1069">
        <v>-42.08266932558147</v>
      </c>
      <c r="B1069">
        <v>301.14035548634411</v>
      </c>
      <c r="C1069">
        <v>447.91820800000005</v>
      </c>
      <c r="E1069">
        <f t="shared" si="43"/>
        <v>302.42557289768257</v>
      </c>
      <c r="F1069">
        <f t="shared" si="44"/>
        <v>322.84698482042836</v>
      </c>
    </row>
    <row r="1070" spans="1:6" x14ac:dyDescent="0.25">
      <c r="A1070">
        <v>-62.121687363108094</v>
      </c>
      <c r="B1070">
        <v>290.41546655682276</v>
      </c>
      <c r="C1070">
        <v>447.91820800000005</v>
      </c>
      <c r="E1070">
        <f t="shared" si="43"/>
        <v>292.40656892464233</v>
      </c>
      <c r="F1070">
        <f t="shared" si="44"/>
        <v>309.73340792280118</v>
      </c>
    </row>
    <row r="1071" spans="1:6" x14ac:dyDescent="0.25">
      <c r="A1071">
        <v>-80.819765154481999</v>
      </c>
      <c r="B1071">
        <v>278.99671510623091</v>
      </c>
      <c r="C1071">
        <v>447.91820800000005</v>
      </c>
      <c r="E1071">
        <f t="shared" si="43"/>
        <v>281.64732697313292</v>
      </c>
      <c r="F1071">
        <f t="shared" si="44"/>
        <v>297.46568033730756</v>
      </c>
    </row>
    <row r="1072" spans="1:6" x14ac:dyDescent="0.25">
      <c r="A1072">
        <v>-101.2932018489322</v>
      </c>
      <c r="B1072">
        <v>266.24982474215182</v>
      </c>
      <c r="C1072">
        <v>447.91820800000005</v>
      </c>
      <c r="E1072">
        <f t="shared" si="43"/>
        <v>269.62271430666101</v>
      </c>
      <c r="F1072">
        <f t="shared" si="44"/>
        <v>284.02767512888454</v>
      </c>
    </row>
    <row r="1073" spans="1:6" x14ac:dyDescent="0.25">
      <c r="A1073">
        <v>-122.71722830998795</v>
      </c>
      <c r="B1073">
        <v>251.54646335601063</v>
      </c>
      <c r="C1073">
        <v>447.91820800000005</v>
      </c>
      <c r="E1073">
        <f t="shared" si="43"/>
        <v>255.67599755183667</v>
      </c>
      <c r="F1073">
        <f t="shared" si="44"/>
        <v>269.93512537379752</v>
      </c>
    </row>
    <row r="1074" spans="1:6" x14ac:dyDescent="0.25">
      <c r="A1074">
        <v>-144.50864472380579</v>
      </c>
      <c r="B1074">
        <v>235.06970785842375</v>
      </c>
      <c r="C1074">
        <v>447.91820800000005</v>
      </c>
      <c r="E1074">
        <f t="shared" si="43"/>
        <v>239.96978871378877</v>
      </c>
      <c r="F1074">
        <f t="shared" si="44"/>
        <v>255.5667832812363</v>
      </c>
    </row>
    <row r="1075" spans="1:6" x14ac:dyDescent="0.25">
      <c r="A1075">
        <v>-169.07936470668292</v>
      </c>
      <c r="B1075">
        <v>213.94614769249762</v>
      </c>
      <c r="C1075">
        <v>447.91820800000005</v>
      </c>
      <c r="E1075">
        <f t="shared" si="43"/>
        <v>219.71660221099671</v>
      </c>
      <c r="F1075">
        <f t="shared" si="44"/>
        <v>239.30878597747227</v>
      </c>
    </row>
    <row r="1076" spans="1:6" x14ac:dyDescent="0.25">
      <c r="A1076">
        <v>-192.06447773922463</v>
      </c>
      <c r="B1076">
        <v>192.06447773922463</v>
      </c>
      <c r="C1076">
        <v>447.91820800000005</v>
      </c>
      <c r="E1076">
        <f t="shared" si="43"/>
        <v>198.65043085632212</v>
      </c>
      <c r="F1076">
        <f t="shared" si="44"/>
        <v>224.05236965131908</v>
      </c>
    </row>
    <row r="1077" spans="1:6" x14ac:dyDescent="0.25">
      <c r="A1077">
        <v>-213.94614769249762</v>
      </c>
      <c r="B1077">
        <v>169.07936470668298</v>
      </c>
      <c r="C1077">
        <v>447.91820800000005</v>
      </c>
      <c r="E1077">
        <f t="shared" si="43"/>
        <v>176.44297900198239</v>
      </c>
      <c r="F1077">
        <f t="shared" si="44"/>
        <v>209.48004729163827</v>
      </c>
    </row>
    <row r="1078" spans="1:6" x14ac:dyDescent="0.25">
      <c r="A1078">
        <v>-235.0697078584237</v>
      </c>
      <c r="B1078">
        <v>144.50864472380584</v>
      </c>
      <c r="C1078">
        <v>447.91820800000005</v>
      </c>
      <c r="E1078">
        <f t="shared" si="43"/>
        <v>152.62442845619603</v>
      </c>
      <c r="F1078">
        <f t="shared" si="44"/>
        <v>195.35916179413533</v>
      </c>
    </row>
    <row r="1079" spans="1:6" x14ac:dyDescent="0.25">
      <c r="A1079">
        <v>-251.54646335601075</v>
      </c>
      <c r="B1079">
        <v>122.71722830998795</v>
      </c>
      <c r="C1079">
        <v>447.91820800000005</v>
      </c>
      <c r="E1079">
        <f t="shared" si="43"/>
        <v>131.42131725862899</v>
      </c>
      <c r="F1079">
        <f t="shared" si="44"/>
        <v>184.28571323523019</v>
      </c>
    </row>
    <row r="1080" spans="1:6" x14ac:dyDescent="0.25">
      <c r="A1080">
        <v>-266.24982474215165</v>
      </c>
      <c r="B1080">
        <v>101.29320184893247</v>
      </c>
      <c r="C1080">
        <v>447.91820800000005</v>
      </c>
      <c r="E1080">
        <f t="shared" si="43"/>
        <v>110.52348164784709</v>
      </c>
      <c r="F1080">
        <f t="shared" si="44"/>
        <v>174.35972767797907</v>
      </c>
    </row>
    <row r="1081" spans="1:6" x14ac:dyDescent="0.25">
      <c r="A1081">
        <v>-278.99671510623085</v>
      </c>
      <c r="B1081">
        <v>80.819765154482297</v>
      </c>
      <c r="C1081">
        <v>447.91820800000005</v>
      </c>
      <c r="E1081">
        <f t="shared" si="43"/>
        <v>90.507376876085758</v>
      </c>
      <c r="F1081">
        <f t="shared" si="44"/>
        <v>165.71189590539748</v>
      </c>
    </row>
    <row r="1082" spans="1:6" x14ac:dyDescent="0.25">
      <c r="A1082">
        <v>-290.41546655682265</v>
      </c>
      <c r="B1082">
        <v>62.121687363108087</v>
      </c>
      <c r="C1082">
        <v>447.91820800000005</v>
      </c>
      <c r="E1082">
        <f t="shared" si="43"/>
        <v>72.219198127093506</v>
      </c>
      <c r="F1082">
        <f t="shared" si="44"/>
        <v>157.95708187500333</v>
      </c>
    </row>
    <row r="1083" spans="1:6" x14ac:dyDescent="0.25">
      <c r="A1083">
        <v>-301.14035548634394</v>
      </c>
      <c r="B1083">
        <v>42.08266932558152</v>
      </c>
      <c r="C1083">
        <v>447.91820800000005</v>
      </c>
      <c r="E1083">
        <f t="shared" si="43"/>
        <v>52.566680543749769</v>
      </c>
      <c r="F1083">
        <f t="shared" si="44"/>
        <v>150.6179211166789</v>
      </c>
    </row>
    <row r="1084" spans="1:6" x14ac:dyDescent="0.25">
      <c r="A1084">
        <v>-317.49841834535653</v>
      </c>
      <c r="B1084">
        <v>-3.8898269667174421E-14</v>
      </c>
      <c r="C1084">
        <v>504.2180800000001</v>
      </c>
      <c r="E1084">
        <f t="shared" si="43"/>
        <v>11.080535004093102</v>
      </c>
      <c r="F1084">
        <f t="shared" si="44"/>
        <v>182.29373138538432</v>
      </c>
    </row>
    <row r="1085" spans="1:6" x14ac:dyDescent="0.25">
      <c r="A1085">
        <v>-309.5792519270708</v>
      </c>
      <c r="B1085">
        <v>-20.493740679802425</v>
      </c>
      <c r="C1085">
        <v>504.2180800000001</v>
      </c>
      <c r="E1085">
        <f t="shared" si="43"/>
        <v>-9.6770963649110104</v>
      </c>
      <c r="F1085">
        <f t="shared" si="44"/>
        <v>186.92123719104151</v>
      </c>
    </row>
    <row r="1086" spans="1:6" x14ac:dyDescent="0.25">
      <c r="A1086">
        <v>-300.27999511817194</v>
      </c>
      <c r="B1086">
        <v>-40.655898514931579</v>
      </c>
      <c r="C1086">
        <v>504.2180800000001</v>
      </c>
      <c r="E1086">
        <f t="shared" si="43"/>
        <v>-30.151511340588154</v>
      </c>
      <c r="F1086">
        <f t="shared" si="44"/>
        <v>192.44274598567199</v>
      </c>
    </row>
    <row r="1087" spans="1:6" x14ac:dyDescent="0.25">
      <c r="A1087">
        <v>-290.53353428369763</v>
      </c>
      <c r="B1087">
        <v>-59.095695564766501</v>
      </c>
      <c r="C1087">
        <v>504.2180800000001</v>
      </c>
      <c r="E1087">
        <f t="shared" si="43"/>
        <v>-48.920221942040747</v>
      </c>
      <c r="F1087">
        <f t="shared" si="44"/>
        <v>198.29017453338378</v>
      </c>
    </row>
    <row r="1088" spans="1:6" x14ac:dyDescent="0.25">
      <c r="A1088">
        <v>-279.97546657047019</v>
      </c>
      <c r="B1088">
        <v>-78.898487938867618</v>
      </c>
      <c r="C1088">
        <v>504.2180800000001</v>
      </c>
      <c r="E1088">
        <f t="shared" si="43"/>
        <v>-69.079422239423678</v>
      </c>
      <c r="F1088">
        <f t="shared" si="44"/>
        <v>204.62840010159735</v>
      </c>
    </row>
    <row r="1089" spans="1:6" x14ac:dyDescent="0.25">
      <c r="A1089">
        <v>-268.04367461284443</v>
      </c>
      <c r="B1089">
        <v>-99.21203773410798</v>
      </c>
      <c r="C1089">
        <v>504.2180800000001</v>
      </c>
      <c r="E1089">
        <f t="shared" si="43"/>
        <v>-89.797011103062616</v>
      </c>
      <c r="F1089">
        <f t="shared" si="44"/>
        <v>211.83764288274728</v>
      </c>
    </row>
    <row r="1090" spans="1:6" x14ac:dyDescent="0.25">
      <c r="A1090">
        <v>-254.09856360065623</v>
      </c>
      <c r="B1090">
        <v>-120.52069817994138</v>
      </c>
      <c r="C1090">
        <v>504.2180800000001</v>
      </c>
      <c r="E1090">
        <f t="shared" si="43"/>
        <v>-111.57936824447903</v>
      </c>
      <c r="F1090">
        <f t="shared" si="44"/>
        <v>220.31791057203523</v>
      </c>
    </row>
    <row r="1091" spans="1:6" x14ac:dyDescent="0.25">
      <c r="A1091">
        <v>-237.25789922505618</v>
      </c>
      <c r="B1091">
        <v>-143.39355299915755</v>
      </c>
      <c r="C1091">
        <v>504.2180800000001</v>
      </c>
      <c r="E1091">
        <f t="shared" si="43"/>
        <v>-135.02602024938736</v>
      </c>
      <c r="F1091">
        <f t="shared" si="44"/>
        <v>230.62318076185821</v>
      </c>
    </row>
    <row r="1092" spans="1:6" x14ac:dyDescent="0.25">
      <c r="A1092">
        <v>-217.36616494299784</v>
      </c>
      <c r="B1092">
        <v>-167.38945096135546</v>
      </c>
      <c r="C1092">
        <v>504.2180800000001</v>
      </c>
      <c r="E1092">
        <f t="shared" si="43"/>
        <v>-159.70151207387789</v>
      </c>
      <c r="F1092">
        <f t="shared" si="44"/>
        <v>242.86325299345339</v>
      </c>
    </row>
    <row r="1093" spans="1:6" x14ac:dyDescent="0.25">
      <c r="A1093">
        <v>-193.0834998209223</v>
      </c>
      <c r="B1093">
        <v>-193.0834998209223</v>
      </c>
      <c r="C1093">
        <v>504.2180800000001</v>
      </c>
      <c r="E1093">
        <f t="shared" si="43"/>
        <v>-186.22736160446527</v>
      </c>
      <c r="F1093">
        <f t="shared" si="44"/>
        <v>257.8859472542307</v>
      </c>
    </row>
    <row r="1094" spans="1:6" x14ac:dyDescent="0.25">
      <c r="A1094">
        <v>-167.38945096135538</v>
      </c>
      <c r="B1094">
        <v>-217.3661649429979</v>
      </c>
      <c r="C1094">
        <v>504.2180800000001</v>
      </c>
      <c r="E1094">
        <f t="shared" si="43"/>
        <v>-211.39194375649251</v>
      </c>
      <c r="F1094">
        <f t="shared" si="44"/>
        <v>273.84697036074624</v>
      </c>
    </row>
    <row r="1095" spans="1:6" x14ac:dyDescent="0.25">
      <c r="A1095">
        <v>-143.39355299915744</v>
      </c>
      <c r="B1095">
        <v>-237.25789922505621</v>
      </c>
      <c r="C1095">
        <v>504.2180800000001</v>
      </c>
      <c r="E1095">
        <f t="shared" si="43"/>
        <v>-232.10900529328813</v>
      </c>
      <c r="F1095">
        <f t="shared" si="44"/>
        <v>288.81560964778379</v>
      </c>
    </row>
    <row r="1096" spans="1:6" x14ac:dyDescent="0.25">
      <c r="A1096">
        <v>-120.52069817994149</v>
      </c>
      <c r="B1096">
        <v>-254.09856360065621</v>
      </c>
      <c r="C1096">
        <v>504.2180800000001</v>
      </c>
      <c r="E1096">
        <f t="shared" si="43"/>
        <v>-249.73766191251005</v>
      </c>
      <c r="F1096">
        <f t="shared" si="44"/>
        <v>303.131255007645</v>
      </c>
    </row>
    <row r="1097" spans="1:6" x14ac:dyDescent="0.25">
      <c r="A1097">
        <v>-99.212037734107923</v>
      </c>
      <c r="B1097">
        <v>-268.04367461284443</v>
      </c>
      <c r="C1097">
        <v>504.2180800000001</v>
      </c>
      <c r="E1097">
        <f t="shared" si="43"/>
        <v>-264.41793946481801</v>
      </c>
      <c r="F1097">
        <f t="shared" si="44"/>
        <v>316.50702393948632</v>
      </c>
    </row>
    <row r="1098" spans="1:6" x14ac:dyDescent="0.25">
      <c r="A1098">
        <v>-78.898487938867632</v>
      </c>
      <c r="B1098">
        <v>-279.97546657047025</v>
      </c>
      <c r="C1098">
        <v>504.2180800000001</v>
      </c>
      <c r="E1098">
        <f t="shared" si="43"/>
        <v>-277.05139556126454</v>
      </c>
      <c r="F1098">
        <f t="shared" si="44"/>
        <v>329.2887024431883</v>
      </c>
    </row>
    <row r="1099" spans="1:6" x14ac:dyDescent="0.25">
      <c r="A1099">
        <v>-59.09569556476648</v>
      </c>
      <c r="B1099">
        <v>-290.5335342836978</v>
      </c>
      <c r="C1099">
        <v>504.2180800000001</v>
      </c>
      <c r="E1099">
        <f t="shared" si="43"/>
        <v>-288.29413907207089</v>
      </c>
      <c r="F1099">
        <f t="shared" si="44"/>
        <v>341.77308910832903</v>
      </c>
    </row>
    <row r="1100" spans="1:6" x14ac:dyDescent="0.25">
      <c r="A1100">
        <v>-40.655898514931593</v>
      </c>
      <c r="B1100">
        <v>-300.27999511817194</v>
      </c>
      <c r="C1100">
        <v>504.2180800000001</v>
      </c>
      <c r="E1100">
        <f t="shared" si="43"/>
        <v>-298.67820226228076</v>
      </c>
      <c r="F1100">
        <f t="shared" si="44"/>
        <v>353.4000997214203</v>
      </c>
    </row>
    <row r="1101" spans="1:6" x14ac:dyDescent="0.25">
      <c r="A1101">
        <v>-20.493740679802443</v>
      </c>
      <c r="B1101">
        <v>-309.57925192707086</v>
      </c>
      <c r="C1101">
        <v>504.2180800000001</v>
      </c>
      <c r="E1101">
        <f t="shared" si="43"/>
        <v>-308.6754433760716</v>
      </c>
      <c r="F1101">
        <f t="shared" si="44"/>
        <v>366.14358019572188</v>
      </c>
    </row>
    <row r="1102" spans="1:6" x14ac:dyDescent="0.25">
      <c r="A1102">
        <v>1.6370116311960111E-14</v>
      </c>
      <c r="B1102">
        <v>-317.49841834535653</v>
      </c>
      <c r="C1102">
        <v>504.2180800000001</v>
      </c>
      <c r="E1102">
        <f t="shared" si="43"/>
        <v>-317.30500688742063</v>
      </c>
      <c r="F1102">
        <f t="shared" si="44"/>
        <v>379.13102769479138</v>
      </c>
    </row>
    <row r="1103" spans="1:6" x14ac:dyDescent="0.25">
      <c r="A1103">
        <v>20.493740679802418</v>
      </c>
      <c r="B1103">
        <v>-309.57925192707086</v>
      </c>
      <c r="C1103">
        <v>504.2180800000001</v>
      </c>
      <c r="E1103">
        <f t="shared" si="43"/>
        <v>-310.10588584662491</v>
      </c>
      <c r="F1103">
        <f t="shared" si="44"/>
        <v>392.47377594522789</v>
      </c>
    </row>
    <row r="1104" spans="1:6" x14ac:dyDescent="0.25">
      <c r="A1104">
        <v>40.655898514931607</v>
      </c>
      <c r="B1104">
        <v>-300.27999511817205</v>
      </c>
      <c r="C1104">
        <v>504.2180800000001</v>
      </c>
      <c r="E1104">
        <f t="shared" si="43"/>
        <v>-301.51594305459906</v>
      </c>
      <c r="F1104">
        <f t="shared" si="44"/>
        <v>405.63447620717369</v>
      </c>
    </row>
    <row r="1105" spans="1:6" x14ac:dyDescent="0.25">
      <c r="A1105">
        <v>59.095695564766508</v>
      </c>
      <c r="B1105">
        <v>-290.5335342836978</v>
      </c>
      <c r="C1105">
        <v>504.2180800000001</v>
      </c>
      <c r="E1105">
        <f t="shared" si="43"/>
        <v>-292.41895913706009</v>
      </c>
      <c r="F1105">
        <f t="shared" si="44"/>
        <v>417.69877083157985</v>
      </c>
    </row>
    <row r="1106" spans="1:6" x14ac:dyDescent="0.25">
      <c r="A1106">
        <v>78.898487938867632</v>
      </c>
      <c r="B1106">
        <v>-279.97546657047025</v>
      </c>
      <c r="C1106">
        <v>504.2180800000001</v>
      </c>
      <c r="E1106">
        <f t="shared" si="43"/>
        <v>-282.55843060057424</v>
      </c>
      <c r="F1106">
        <f t="shared" si="44"/>
        <v>430.65685500392675</v>
      </c>
    </row>
    <row r="1107" spans="1:6" x14ac:dyDescent="0.25">
      <c r="A1107">
        <v>99.212037734107938</v>
      </c>
      <c r="B1107">
        <v>-268.04367461284443</v>
      </c>
      <c r="C1107">
        <v>504.2180800000001</v>
      </c>
      <c r="E1107">
        <f t="shared" si="43"/>
        <v>-271.34283983231785</v>
      </c>
      <c r="F1107">
        <f t="shared" si="44"/>
        <v>443.97386442805367</v>
      </c>
    </row>
    <row r="1108" spans="1:6" x14ac:dyDescent="0.25">
      <c r="A1108">
        <v>120.52069817994138</v>
      </c>
      <c r="B1108">
        <v>-254.09856360065623</v>
      </c>
      <c r="C1108">
        <v>504.2180800000001</v>
      </c>
      <c r="E1108">
        <f t="shared" ref="E1108:E1171" si="45">($I$2*A1108)+($K$2*B1108)+($M$2*C1108)</f>
        <v>-258.14988532993806</v>
      </c>
      <c r="F1108">
        <f t="shared" ref="F1108:F1171" si="46">($J$2*A1108)+($L$2*B1108)+($N$2*C1108)</f>
        <v>457.97529370832331</v>
      </c>
    </row>
    <row r="1109" spans="1:6" x14ac:dyDescent="0.25">
      <c r="A1109">
        <v>143.39355299915744</v>
      </c>
      <c r="B1109">
        <v>-237.25789922505632</v>
      </c>
      <c r="C1109">
        <v>504.2180800000001</v>
      </c>
      <c r="E1109">
        <f t="shared" si="45"/>
        <v>-242.11773095339629</v>
      </c>
      <c r="F1109">
        <f t="shared" si="46"/>
        <v>473.04651110571035</v>
      </c>
    </row>
    <row r="1110" spans="1:6" x14ac:dyDescent="0.25">
      <c r="A1110">
        <v>167.38945096135546</v>
      </c>
      <c r="B1110">
        <v>-217.36616494299784</v>
      </c>
      <c r="C1110">
        <v>504.2180800000001</v>
      </c>
      <c r="E1110">
        <f t="shared" si="45"/>
        <v>-223.07555894021104</v>
      </c>
      <c r="F1110">
        <f t="shared" si="46"/>
        <v>488.90761151341439</v>
      </c>
    </row>
    <row r="1111" spans="1:6" x14ac:dyDescent="0.25">
      <c r="A1111">
        <v>193.0834998209223</v>
      </c>
      <c r="B1111">
        <v>-193.0834998209223</v>
      </c>
      <c r="C1111">
        <v>504.2180800000001</v>
      </c>
      <c r="E1111">
        <f t="shared" si="45"/>
        <v>-199.70439553508055</v>
      </c>
      <c r="F1111">
        <f t="shared" si="46"/>
        <v>505.95809892808552</v>
      </c>
    </row>
    <row r="1112" spans="1:6" x14ac:dyDescent="0.25">
      <c r="A1112">
        <v>217.3661649429979</v>
      </c>
      <c r="B1112">
        <v>-167.38945096135538</v>
      </c>
      <c r="C1112">
        <v>504.2180800000001</v>
      </c>
      <c r="E1112">
        <f t="shared" si="45"/>
        <v>-174.87345158720476</v>
      </c>
      <c r="F1112">
        <f t="shared" si="46"/>
        <v>522.13358053834759</v>
      </c>
    </row>
    <row r="1113" spans="1:6" x14ac:dyDescent="0.25">
      <c r="A1113">
        <v>237.25789922505624</v>
      </c>
      <c r="B1113">
        <v>-143.39355299915752</v>
      </c>
      <c r="C1113">
        <v>504.2180800000001</v>
      </c>
      <c r="E1113">
        <f t="shared" si="45"/>
        <v>-151.58638279268172</v>
      </c>
      <c r="F1113">
        <f t="shared" si="46"/>
        <v>535.4502510033135</v>
      </c>
    </row>
    <row r="1114" spans="1:6" x14ac:dyDescent="0.25">
      <c r="A1114">
        <v>254.09856360065632</v>
      </c>
      <c r="B1114">
        <v>-120.52069817994138</v>
      </c>
      <c r="C1114">
        <v>504.2180800000001</v>
      </c>
      <c r="E1114">
        <f t="shared" si="45"/>
        <v>-129.31519220946177</v>
      </c>
      <c r="F1114">
        <f t="shared" si="46"/>
        <v>546.7817330535679</v>
      </c>
    </row>
    <row r="1115" spans="1:6" x14ac:dyDescent="0.25">
      <c r="A1115">
        <v>268.04367461284448</v>
      </c>
      <c r="B1115">
        <v>-99.212037734107938</v>
      </c>
      <c r="C1115">
        <v>504.2180800000001</v>
      </c>
      <c r="E1115">
        <f t="shared" si="45"/>
        <v>-108.50618977961705</v>
      </c>
      <c r="F1115">
        <f t="shared" si="46"/>
        <v>556.21803357095087</v>
      </c>
    </row>
    <row r="1116" spans="1:6" x14ac:dyDescent="0.25">
      <c r="A1116">
        <v>279.97546657047019</v>
      </c>
      <c r="B1116">
        <v>-78.898487938867589</v>
      </c>
      <c r="C1116">
        <v>504.2180800000001</v>
      </c>
      <c r="E1116">
        <f t="shared" si="45"/>
        <v>-88.621427984138307</v>
      </c>
      <c r="F1116">
        <f t="shared" si="46"/>
        <v>564.33866261726553</v>
      </c>
    </row>
    <row r="1117" spans="1:6" x14ac:dyDescent="0.25">
      <c r="A1117">
        <v>290.53353428369763</v>
      </c>
      <c r="B1117">
        <v>-59.095695564766501</v>
      </c>
      <c r="C1117">
        <v>504.2180800000001</v>
      </c>
      <c r="E1117">
        <f t="shared" si="45"/>
        <v>-69.199170185440536</v>
      </c>
      <c r="F1117">
        <f t="shared" si="46"/>
        <v>571.56535884489563</v>
      </c>
    </row>
    <row r="1118" spans="1:6" x14ac:dyDescent="0.25">
      <c r="A1118">
        <v>300.279995118172</v>
      </c>
      <c r="B1118">
        <v>-40.655898514931657</v>
      </c>
      <c r="C1118">
        <v>504.2180800000001</v>
      </c>
      <c r="E1118">
        <f t="shared" si="45"/>
        <v>-51.110752739495595</v>
      </c>
      <c r="F1118">
        <f t="shared" si="46"/>
        <v>578.24010600176462</v>
      </c>
    </row>
    <row r="1119" spans="1:6" x14ac:dyDescent="0.25">
      <c r="A1119">
        <v>309.57925192707086</v>
      </c>
      <c r="B1119">
        <v>-20.493740679802393</v>
      </c>
      <c r="C1119">
        <v>504.2180800000001</v>
      </c>
      <c r="E1119">
        <f t="shared" si="45"/>
        <v>-31.2854165284941</v>
      </c>
      <c r="F1119">
        <f t="shared" si="46"/>
        <v>584.66620872075828</v>
      </c>
    </row>
    <row r="1120" spans="1:6" x14ac:dyDescent="0.25">
      <c r="A1120">
        <v>317.49841834535653</v>
      </c>
      <c r="B1120">
        <v>0</v>
      </c>
      <c r="C1120">
        <v>504.2180800000001</v>
      </c>
      <c r="E1120">
        <f t="shared" si="45"/>
        <v>-11.080535004093017</v>
      </c>
      <c r="F1120">
        <f t="shared" si="46"/>
        <v>590.21318522285651</v>
      </c>
    </row>
    <row r="1121" spans="1:6" x14ac:dyDescent="0.25">
      <c r="A1121">
        <v>309.57925192707086</v>
      </c>
      <c r="B1121">
        <v>20.493740679802396</v>
      </c>
      <c r="C1121">
        <v>504.2180800000001</v>
      </c>
      <c r="E1121">
        <f t="shared" si="45"/>
        <v>9.6770963649111046</v>
      </c>
      <c r="F1121">
        <f t="shared" si="46"/>
        <v>585.58567941719934</v>
      </c>
    </row>
    <row r="1122" spans="1:6" x14ac:dyDescent="0.25">
      <c r="A1122">
        <v>300.27999511817211</v>
      </c>
      <c r="B1122">
        <v>40.655898514931536</v>
      </c>
      <c r="C1122">
        <v>504.2180800000001</v>
      </c>
      <c r="E1122">
        <f t="shared" si="45"/>
        <v>30.151511340588225</v>
      </c>
      <c r="F1122">
        <f t="shared" si="46"/>
        <v>580.06417062256889</v>
      </c>
    </row>
    <row r="1123" spans="1:6" x14ac:dyDescent="0.25">
      <c r="A1123">
        <v>290.53353428369769</v>
      </c>
      <c r="B1123">
        <v>59.095695564766544</v>
      </c>
      <c r="C1123">
        <v>504.2180800000001</v>
      </c>
      <c r="E1123">
        <f t="shared" si="45"/>
        <v>48.920221942040918</v>
      </c>
      <c r="F1123">
        <f t="shared" si="46"/>
        <v>574.21674207485705</v>
      </c>
    </row>
    <row r="1124" spans="1:6" x14ac:dyDescent="0.25">
      <c r="A1124">
        <v>279.97546657047019</v>
      </c>
      <c r="B1124">
        <v>78.898487938867603</v>
      </c>
      <c r="C1124">
        <v>504.2180800000001</v>
      </c>
      <c r="E1124">
        <f t="shared" si="45"/>
        <v>69.079422239423778</v>
      </c>
      <c r="F1124">
        <f t="shared" si="46"/>
        <v>567.87851650664345</v>
      </c>
    </row>
    <row r="1125" spans="1:6" x14ac:dyDescent="0.25">
      <c r="A1125">
        <v>268.04367461284448</v>
      </c>
      <c r="B1125">
        <v>99.212037734107938</v>
      </c>
      <c r="C1125">
        <v>504.2180800000001</v>
      </c>
      <c r="E1125">
        <f t="shared" si="45"/>
        <v>89.797011103062687</v>
      </c>
      <c r="F1125">
        <f t="shared" si="46"/>
        <v>560.66927372549355</v>
      </c>
    </row>
    <row r="1126" spans="1:6" x14ac:dyDescent="0.25">
      <c r="A1126">
        <v>254.09856360065632</v>
      </c>
      <c r="B1126">
        <v>120.52069817994135</v>
      </c>
      <c r="C1126">
        <v>504.2180800000001</v>
      </c>
      <c r="E1126">
        <f t="shared" si="45"/>
        <v>111.57936824447911</v>
      </c>
      <c r="F1126">
        <f t="shared" si="46"/>
        <v>552.18900603620557</v>
      </c>
    </row>
    <row r="1127" spans="1:6" x14ac:dyDescent="0.25">
      <c r="A1127">
        <v>237.25789922505624</v>
      </c>
      <c r="B1127">
        <v>143.39355299915735</v>
      </c>
      <c r="C1127">
        <v>504.2180800000001</v>
      </c>
      <c r="E1127">
        <f t="shared" si="45"/>
        <v>135.02602024938727</v>
      </c>
      <c r="F1127">
        <f t="shared" si="46"/>
        <v>541.88373584638259</v>
      </c>
    </row>
    <row r="1128" spans="1:6" x14ac:dyDescent="0.25">
      <c r="A1128">
        <v>217.3661649429979</v>
      </c>
      <c r="B1128">
        <v>167.38945096135538</v>
      </c>
      <c r="C1128">
        <v>504.2180800000001</v>
      </c>
      <c r="E1128">
        <f t="shared" si="45"/>
        <v>159.70151207387792</v>
      </c>
      <c r="F1128">
        <f t="shared" si="46"/>
        <v>529.64366361478744</v>
      </c>
    </row>
    <row r="1129" spans="1:6" x14ac:dyDescent="0.25">
      <c r="A1129">
        <v>193.0834998209223</v>
      </c>
      <c r="B1129">
        <v>193.0834998209223</v>
      </c>
      <c r="C1129">
        <v>504.2180800000001</v>
      </c>
      <c r="E1129">
        <f t="shared" si="45"/>
        <v>186.22736160446539</v>
      </c>
      <c r="F1129">
        <f t="shared" si="46"/>
        <v>514.62096935401007</v>
      </c>
    </row>
    <row r="1130" spans="1:6" x14ac:dyDescent="0.25">
      <c r="A1130">
        <v>167.38945096135538</v>
      </c>
      <c r="B1130">
        <v>217.36616494299784</v>
      </c>
      <c r="C1130">
        <v>504.2180800000001</v>
      </c>
      <c r="E1130">
        <f t="shared" si="45"/>
        <v>211.39194375649257</v>
      </c>
      <c r="F1130">
        <f t="shared" si="46"/>
        <v>498.65994624749453</v>
      </c>
    </row>
    <row r="1131" spans="1:6" x14ac:dyDescent="0.25">
      <c r="A1131">
        <v>143.39355299915752</v>
      </c>
      <c r="B1131">
        <v>237.25789922505624</v>
      </c>
      <c r="C1131">
        <v>504.2180800000001</v>
      </c>
      <c r="E1131">
        <f t="shared" si="45"/>
        <v>232.10900529328828</v>
      </c>
      <c r="F1131">
        <f t="shared" si="46"/>
        <v>483.69130696045704</v>
      </c>
    </row>
    <row r="1132" spans="1:6" x14ac:dyDescent="0.25">
      <c r="A1132">
        <v>120.52069817994155</v>
      </c>
      <c r="B1132">
        <v>254.09856360065632</v>
      </c>
      <c r="C1132">
        <v>504.2180800000001</v>
      </c>
      <c r="E1132">
        <f t="shared" si="45"/>
        <v>249.73766191251028</v>
      </c>
      <c r="F1132">
        <f t="shared" si="46"/>
        <v>469.37566160059583</v>
      </c>
    </row>
    <row r="1133" spans="1:6" x14ac:dyDescent="0.25">
      <c r="A1133">
        <v>99.212037734108122</v>
      </c>
      <c r="B1133">
        <v>268.04367461284448</v>
      </c>
      <c r="C1133">
        <v>504.2180800000001</v>
      </c>
      <c r="E1133">
        <f t="shared" si="45"/>
        <v>264.41793946481818</v>
      </c>
      <c r="F1133">
        <f t="shared" si="46"/>
        <v>455.99989266875457</v>
      </c>
    </row>
    <row r="1134" spans="1:6" x14ac:dyDescent="0.25">
      <c r="A1134">
        <v>78.898487938867703</v>
      </c>
      <c r="B1134">
        <v>279.97546657047013</v>
      </c>
      <c r="C1134">
        <v>504.2180800000001</v>
      </c>
      <c r="E1134">
        <f t="shared" si="45"/>
        <v>277.05139556126454</v>
      </c>
      <c r="F1134">
        <f t="shared" si="46"/>
        <v>443.21821416505253</v>
      </c>
    </row>
    <row r="1135" spans="1:6" x14ac:dyDescent="0.25">
      <c r="A1135">
        <v>59.095695564766508</v>
      </c>
      <c r="B1135">
        <v>290.5335342836978</v>
      </c>
      <c r="C1135">
        <v>504.2180800000001</v>
      </c>
      <c r="E1135">
        <f t="shared" si="45"/>
        <v>288.294139072071</v>
      </c>
      <c r="F1135">
        <f t="shared" si="46"/>
        <v>430.73382749991174</v>
      </c>
    </row>
    <row r="1136" spans="1:6" x14ac:dyDescent="0.25">
      <c r="A1136">
        <v>40.655898514931557</v>
      </c>
      <c r="B1136">
        <v>300.27999511817211</v>
      </c>
      <c r="C1136">
        <v>504.2180800000001</v>
      </c>
      <c r="E1136">
        <f t="shared" si="45"/>
        <v>298.67820226228105</v>
      </c>
      <c r="F1136">
        <f t="shared" si="46"/>
        <v>419.10681688682047</v>
      </c>
    </row>
    <row r="1137" spans="1:6" x14ac:dyDescent="0.25">
      <c r="A1137">
        <v>20.493740679802418</v>
      </c>
      <c r="B1137">
        <v>309.57925192707086</v>
      </c>
      <c r="C1137">
        <v>504.2180800000001</v>
      </c>
      <c r="E1137">
        <f t="shared" si="45"/>
        <v>308.67544337607171</v>
      </c>
      <c r="F1137">
        <f t="shared" si="46"/>
        <v>406.36333641251889</v>
      </c>
    </row>
    <row r="1138" spans="1:6" x14ac:dyDescent="0.25">
      <c r="A1138">
        <v>1.6370116311960114E-14</v>
      </c>
      <c r="B1138">
        <v>317.49841834535664</v>
      </c>
      <c r="C1138">
        <v>504.2180800000001</v>
      </c>
      <c r="E1138">
        <f t="shared" si="45"/>
        <v>317.30500688742086</v>
      </c>
      <c r="F1138">
        <f t="shared" si="46"/>
        <v>393.37588891344939</v>
      </c>
    </row>
    <row r="1139" spans="1:6" x14ac:dyDescent="0.25">
      <c r="A1139">
        <v>-20.493740679802421</v>
      </c>
      <c r="B1139">
        <v>309.57925192707086</v>
      </c>
      <c r="C1139">
        <v>504.2180800000001</v>
      </c>
      <c r="E1139">
        <f t="shared" si="45"/>
        <v>310.10588584662503</v>
      </c>
      <c r="F1139">
        <f t="shared" si="46"/>
        <v>380.03314066301289</v>
      </c>
    </row>
    <row r="1140" spans="1:6" x14ac:dyDescent="0.25">
      <c r="A1140">
        <v>-40.65589851493155</v>
      </c>
      <c r="B1140">
        <v>300.27999511817222</v>
      </c>
      <c r="C1140">
        <v>504.2180800000001</v>
      </c>
      <c r="E1140">
        <f t="shared" si="45"/>
        <v>301.51594305459935</v>
      </c>
      <c r="F1140">
        <f t="shared" si="46"/>
        <v>366.87244040106708</v>
      </c>
    </row>
    <row r="1141" spans="1:6" x14ac:dyDescent="0.25">
      <c r="A1141">
        <v>-59.095695564766473</v>
      </c>
      <c r="B1141">
        <v>290.53353428369792</v>
      </c>
      <c r="C1141">
        <v>504.2180800000001</v>
      </c>
      <c r="E1141">
        <f t="shared" si="45"/>
        <v>292.41895913706031</v>
      </c>
      <c r="F1141">
        <f t="shared" si="46"/>
        <v>354.80814577666098</v>
      </c>
    </row>
    <row r="1142" spans="1:6" x14ac:dyDescent="0.25">
      <c r="A1142">
        <v>-78.898487938867504</v>
      </c>
      <c r="B1142">
        <v>279.97546657047025</v>
      </c>
      <c r="C1142">
        <v>504.2180800000001</v>
      </c>
      <c r="E1142">
        <f t="shared" si="45"/>
        <v>282.55843060057435</v>
      </c>
      <c r="F1142">
        <f t="shared" si="46"/>
        <v>341.85006160431408</v>
      </c>
    </row>
    <row r="1143" spans="1:6" x14ac:dyDescent="0.25">
      <c r="A1143">
        <v>-99.212037734107867</v>
      </c>
      <c r="B1143">
        <v>268.04367461284454</v>
      </c>
      <c r="C1143">
        <v>504.2180800000001</v>
      </c>
      <c r="E1143">
        <f t="shared" si="45"/>
        <v>271.34283983231808</v>
      </c>
      <c r="F1143">
        <f t="shared" si="46"/>
        <v>328.53305218018716</v>
      </c>
    </row>
    <row r="1144" spans="1:6" x14ac:dyDescent="0.25">
      <c r="A1144">
        <v>-120.52069817994149</v>
      </c>
      <c r="B1144">
        <v>254.09856360065621</v>
      </c>
      <c r="C1144">
        <v>504.2180800000001</v>
      </c>
      <c r="E1144">
        <f t="shared" si="45"/>
        <v>258.14988532993817</v>
      </c>
      <c r="F1144">
        <f t="shared" si="46"/>
        <v>314.53162289991741</v>
      </c>
    </row>
    <row r="1145" spans="1:6" x14ac:dyDescent="0.25">
      <c r="A1145">
        <v>-143.39355299915746</v>
      </c>
      <c r="B1145">
        <v>237.25789922505621</v>
      </c>
      <c r="C1145">
        <v>504.2180800000001</v>
      </c>
      <c r="E1145">
        <f t="shared" si="45"/>
        <v>242.11773095339629</v>
      </c>
      <c r="F1145">
        <f t="shared" si="46"/>
        <v>299.46040550253042</v>
      </c>
    </row>
    <row r="1146" spans="1:6" x14ac:dyDescent="0.25">
      <c r="A1146">
        <v>-167.38945096135538</v>
      </c>
      <c r="B1146">
        <v>217.3661649429979</v>
      </c>
      <c r="C1146">
        <v>504.2180800000001</v>
      </c>
      <c r="E1146">
        <f t="shared" si="45"/>
        <v>223.07555894021121</v>
      </c>
      <c r="F1146">
        <f t="shared" si="46"/>
        <v>283.59930509482638</v>
      </c>
    </row>
    <row r="1147" spans="1:6" x14ac:dyDescent="0.25">
      <c r="A1147">
        <v>-193.0834998209223</v>
      </c>
      <c r="B1147">
        <v>193.08349982092238</v>
      </c>
      <c r="C1147">
        <v>504.2180800000001</v>
      </c>
      <c r="E1147">
        <f t="shared" si="45"/>
        <v>199.70439553508075</v>
      </c>
      <c r="F1147">
        <f t="shared" si="46"/>
        <v>266.54881768015525</v>
      </c>
    </row>
    <row r="1148" spans="1:6" x14ac:dyDescent="0.25">
      <c r="A1148">
        <v>-217.36616494299784</v>
      </c>
      <c r="B1148">
        <v>167.38945096135538</v>
      </c>
      <c r="C1148">
        <v>504.2180800000001</v>
      </c>
      <c r="E1148">
        <f t="shared" si="45"/>
        <v>174.87345158720484</v>
      </c>
      <c r="F1148">
        <f t="shared" si="46"/>
        <v>250.37333606989318</v>
      </c>
    </row>
    <row r="1149" spans="1:6" x14ac:dyDescent="0.25">
      <c r="A1149">
        <v>-237.25789922505618</v>
      </c>
      <c r="B1149">
        <v>143.39355299915755</v>
      </c>
      <c r="C1149">
        <v>504.2180800000001</v>
      </c>
      <c r="E1149">
        <f t="shared" si="45"/>
        <v>151.58638279268186</v>
      </c>
      <c r="F1149">
        <f t="shared" si="46"/>
        <v>237.05666560492736</v>
      </c>
    </row>
    <row r="1150" spans="1:6" x14ac:dyDescent="0.25">
      <c r="A1150">
        <v>-254.09856360065635</v>
      </c>
      <c r="B1150">
        <v>120.52069817994155</v>
      </c>
      <c r="C1150">
        <v>504.2180800000001</v>
      </c>
      <c r="E1150">
        <f t="shared" si="45"/>
        <v>129.31519220946205</v>
      </c>
      <c r="F1150">
        <f t="shared" si="46"/>
        <v>225.72518355467281</v>
      </c>
    </row>
    <row r="1151" spans="1:6" x14ac:dyDescent="0.25">
      <c r="A1151">
        <v>-268.04367461284443</v>
      </c>
      <c r="B1151">
        <v>99.21203773410808</v>
      </c>
      <c r="C1151">
        <v>504.2180800000001</v>
      </c>
      <c r="E1151">
        <f t="shared" si="45"/>
        <v>108.5061897796173</v>
      </c>
      <c r="F1151">
        <f t="shared" si="46"/>
        <v>216.28888303728991</v>
      </c>
    </row>
    <row r="1152" spans="1:6" x14ac:dyDescent="0.25">
      <c r="A1152">
        <v>-279.97546657047008</v>
      </c>
      <c r="B1152">
        <v>78.898487938867703</v>
      </c>
      <c r="C1152">
        <v>504.2180800000001</v>
      </c>
      <c r="E1152">
        <f t="shared" si="45"/>
        <v>88.621427984138535</v>
      </c>
      <c r="F1152">
        <f t="shared" si="46"/>
        <v>208.1682539909753</v>
      </c>
    </row>
    <row r="1153" spans="1:6" x14ac:dyDescent="0.25">
      <c r="A1153">
        <v>-290.5335342836978</v>
      </c>
      <c r="B1153">
        <v>59.095695564766508</v>
      </c>
      <c r="C1153">
        <v>504.2180800000001</v>
      </c>
      <c r="E1153">
        <f t="shared" si="45"/>
        <v>69.199170185440664</v>
      </c>
      <c r="F1153">
        <f t="shared" si="46"/>
        <v>200.94155776334512</v>
      </c>
    </row>
    <row r="1154" spans="1:6" x14ac:dyDescent="0.25">
      <c r="A1154">
        <v>-300.27999511817194</v>
      </c>
      <c r="B1154">
        <v>40.655898514931579</v>
      </c>
      <c r="C1154">
        <v>504.2180800000001</v>
      </c>
      <c r="E1154">
        <f t="shared" si="45"/>
        <v>51.110752739495645</v>
      </c>
      <c r="F1154">
        <f t="shared" si="46"/>
        <v>194.26681060647616</v>
      </c>
    </row>
    <row r="1155" spans="1:6" x14ac:dyDescent="0.25">
      <c r="A1155">
        <v>-312.0277680135431</v>
      </c>
      <c r="B1155">
        <v>-3.6688524526224214E-14</v>
      </c>
      <c r="C1155">
        <v>560.51795200000015</v>
      </c>
      <c r="E1155">
        <f t="shared" si="45"/>
        <v>10.889612060877452</v>
      </c>
      <c r="F1155">
        <f t="shared" si="46"/>
        <v>228.93625959328344</v>
      </c>
    </row>
    <row r="1156" spans="1:6" x14ac:dyDescent="0.25">
      <c r="A1156">
        <v>-306.42215783100517</v>
      </c>
      <c r="B1156">
        <v>-19.530100184527527</v>
      </c>
      <c r="C1156">
        <v>560.51795200000015</v>
      </c>
      <c r="E1156">
        <f t="shared" si="45"/>
        <v>-8.8242238883842603</v>
      </c>
      <c r="F1156">
        <f t="shared" si="46"/>
        <v>232.09916334543206</v>
      </c>
    </row>
    <row r="1157" spans="1:6" x14ac:dyDescent="0.25">
      <c r="A1157">
        <v>-297.93329815571695</v>
      </c>
      <c r="B1157">
        <v>-38.043061201077165</v>
      </c>
      <c r="C1157">
        <v>560.51795200000015</v>
      </c>
      <c r="E1157">
        <f t="shared" si="45"/>
        <v>-27.622164239531802</v>
      </c>
      <c r="F1157">
        <f t="shared" si="46"/>
        <v>237.13707260288794</v>
      </c>
    </row>
    <row r="1158" spans="1:6" x14ac:dyDescent="0.25">
      <c r="A1158">
        <v>-289.04398320971632</v>
      </c>
      <c r="B1158">
        <v>-57.521457545581796</v>
      </c>
      <c r="C1158">
        <v>560.51795200000015</v>
      </c>
      <c r="E1158">
        <f t="shared" si="45"/>
        <v>-47.398927488917451</v>
      </c>
      <c r="F1158">
        <f t="shared" si="46"/>
        <v>242.41057516476513</v>
      </c>
    </row>
    <row r="1159" spans="1:6" x14ac:dyDescent="0.25">
      <c r="A1159">
        <v>-279.19345856224641</v>
      </c>
      <c r="B1159">
        <v>-77.12289683397897</v>
      </c>
      <c r="C1159">
        <v>560.51795200000015</v>
      </c>
      <c r="E1159">
        <f t="shared" si="45"/>
        <v>-67.332204462565571</v>
      </c>
      <c r="F1159">
        <f t="shared" si="46"/>
        <v>248.29879481534658</v>
      </c>
    </row>
    <row r="1160" spans="1:6" x14ac:dyDescent="0.25">
      <c r="A1160">
        <v>-267.90125292812473</v>
      </c>
      <c r="B1160">
        <v>-97.284598092448988</v>
      </c>
      <c r="C1160">
        <v>560.51795200000015</v>
      </c>
      <c r="E1160">
        <f t="shared" si="45"/>
        <v>-87.875716050671869</v>
      </c>
      <c r="F1160">
        <f t="shared" si="46"/>
        <v>255.10057628726923</v>
      </c>
    </row>
    <row r="1161" spans="1:6" x14ac:dyDescent="0.25">
      <c r="A1161">
        <v>-254.54466451115928</v>
      </c>
      <c r="B1161">
        <v>-118.48172322795459</v>
      </c>
      <c r="C1161">
        <v>560.51795200000015</v>
      </c>
      <c r="E1161">
        <f t="shared" si="45"/>
        <v>-109.52606668368664</v>
      </c>
      <c r="F1161">
        <f t="shared" si="46"/>
        <v>263.20528145904842</v>
      </c>
    </row>
    <row r="1162" spans="1:6" x14ac:dyDescent="0.25">
      <c r="A1162">
        <v>-238.2544985367187</v>
      </c>
      <c r="B1162">
        <v>-141.27741840089971</v>
      </c>
      <c r="C1162">
        <v>560.51795200000015</v>
      </c>
      <c r="E1162">
        <f t="shared" si="45"/>
        <v>-132.87639392875965</v>
      </c>
      <c r="F1162">
        <f t="shared" si="46"/>
        <v>273.15864457504858</v>
      </c>
    </row>
    <row r="1163" spans="1:6" x14ac:dyDescent="0.25">
      <c r="A1163">
        <v>-217.74462932861485</v>
      </c>
      <c r="B1163">
        <v>-166.39047564290345</v>
      </c>
      <c r="C1163">
        <v>560.51795200000015</v>
      </c>
      <c r="E1163">
        <f t="shared" si="45"/>
        <v>-158.68993708762062</v>
      </c>
      <c r="F1163">
        <f t="shared" si="46"/>
        <v>285.77074304186334</v>
      </c>
    </row>
    <row r="1164" spans="1:6" x14ac:dyDescent="0.25">
      <c r="A1164">
        <v>-192.96061816161588</v>
      </c>
      <c r="B1164">
        <v>-192.96061816161591</v>
      </c>
      <c r="C1164">
        <v>560.51795200000015</v>
      </c>
      <c r="E1164">
        <f t="shared" si="45"/>
        <v>-186.10884330940934</v>
      </c>
      <c r="F1164">
        <f t="shared" si="46"/>
        <v>301.09584663941848</v>
      </c>
    </row>
    <row r="1165" spans="1:6" x14ac:dyDescent="0.25">
      <c r="A1165">
        <v>-166.3904756429034</v>
      </c>
      <c r="B1165">
        <v>-217.74462932861479</v>
      </c>
      <c r="C1165">
        <v>560.51795200000015</v>
      </c>
      <c r="E1165">
        <f t="shared" si="45"/>
        <v>-211.80504132766364</v>
      </c>
      <c r="F1165">
        <f t="shared" si="46"/>
        <v>317.60842216616646</v>
      </c>
    </row>
    <row r="1166" spans="1:6" x14ac:dyDescent="0.25">
      <c r="A1166">
        <v>-141.27741840089959</v>
      </c>
      <c r="B1166">
        <v>-238.25449853671881</v>
      </c>
      <c r="C1166">
        <v>560.51795200000015</v>
      </c>
      <c r="E1166">
        <f t="shared" si="45"/>
        <v>-233.17884953601123</v>
      </c>
      <c r="F1166">
        <f t="shared" si="46"/>
        <v>333.28085355295838</v>
      </c>
    </row>
    <row r="1167" spans="1:6" x14ac:dyDescent="0.25">
      <c r="A1167">
        <v>-118.48172322795473</v>
      </c>
      <c r="B1167">
        <v>-254.5446645111592</v>
      </c>
      <c r="C1167">
        <v>560.51795200000015</v>
      </c>
      <c r="E1167">
        <f t="shared" si="45"/>
        <v>-250.25465027000496</v>
      </c>
      <c r="F1167">
        <f t="shared" si="46"/>
        <v>347.55928117239307</v>
      </c>
    </row>
    <row r="1168" spans="1:6" x14ac:dyDescent="0.25">
      <c r="A1168">
        <v>-97.284598092448931</v>
      </c>
      <c r="B1168">
        <v>-267.90125292812473</v>
      </c>
      <c r="C1168">
        <v>560.51795200000015</v>
      </c>
      <c r="E1168">
        <f t="shared" si="45"/>
        <v>-264.34287121295893</v>
      </c>
      <c r="F1168">
        <f t="shared" si="46"/>
        <v>360.8766025686956</v>
      </c>
    </row>
    <row r="1169" spans="1:6" x14ac:dyDescent="0.25">
      <c r="A1169">
        <v>-77.12289683397897</v>
      </c>
      <c r="B1169">
        <v>-279.19345856224652</v>
      </c>
      <c r="C1169">
        <v>560.51795200000015</v>
      </c>
      <c r="E1169">
        <f t="shared" si="45"/>
        <v>-276.33183116710035</v>
      </c>
      <c r="F1169">
        <f t="shared" si="46"/>
        <v>373.57508199058009</v>
      </c>
    </row>
    <row r="1170" spans="1:6" x14ac:dyDescent="0.25">
      <c r="A1170">
        <v>-57.521457545581704</v>
      </c>
      <c r="B1170">
        <v>-289.04398320971649</v>
      </c>
      <c r="C1170">
        <v>560.51795200000015</v>
      </c>
      <c r="E1170">
        <f t="shared" si="45"/>
        <v>-286.86043550691704</v>
      </c>
      <c r="F1170">
        <f t="shared" si="46"/>
        <v>385.94599251882158</v>
      </c>
    </row>
    <row r="1171" spans="1:6" x14ac:dyDescent="0.25">
      <c r="A1171">
        <v>-38.04306120107718</v>
      </c>
      <c r="B1171">
        <v>-297.93329815571695</v>
      </c>
      <c r="C1171">
        <v>560.51795200000015</v>
      </c>
      <c r="E1171">
        <f t="shared" si="45"/>
        <v>-296.4241215514287</v>
      </c>
      <c r="F1171">
        <f t="shared" si="46"/>
        <v>398.25942352974448</v>
      </c>
    </row>
    <row r="1172" spans="1:6" x14ac:dyDescent="0.25">
      <c r="A1172">
        <v>-19.530100184527527</v>
      </c>
      <c r="B1172">
        <v>-306.42215783100517</v>
      </c>
      <c r="C1172">
        <v>560.51795200000015</v>
      </c>
      <c r="E1172">
        <f t="shared" ref="E1172:E1235" si="47">($I$2*A1172)+($K$2*B1172)+($M$2*C1172)</f>
        <v>-305.55390306471463</v>
      </c>
      <c r="F1172">
        <f t="shared" ref="F1172:F1235" si="48">($J$2*A1172)+($L$2*B1172)+($N$2*C1172)</f>
        <v>409.96164610699736</v>
      </c>
    </row>
    <row r="1173" spans="1:6" x14ac:dyDescent="0.25">
      <c r="A1173">
        <v>1.6034998371891783E-14</v>
      </c>
      <c r="B1173">
        <v>-312.0277680135431</v>
      </c>
      <c r="C1173">
        <v>560.51795200000015</v>
      </c>
      <c r="E1173">
        <f t="shared" si="47"/>
        <v>-311.83768912797734</v>
      </c>
      <c r="F1173">
        <f t="shared" si="48"/>
        <v>422.38195469100515</v>
      </c>
    </row>
    <row r="1174" spans="1:6" x14ac:dyDescent="0.25">
      <c r="A1174">
        <v>19.530100184527495</v>
      </c>
      <c r="B1174">
        <v>-306.42215783100517</v>
      </c>
      <c r="C1174">
        <v>560.51795200000015</v>
      </c>
      <c r="E1174">
        <f t="shared" si="47"/>
        <v>-306.91708439869353</v>
      </c>
      <c r="F1174">
        <f t="shared" si="48"/>
        <v>435.05376417858361</v>
      </c>
    </row>
    <row r="1175" spans="1:6" x14ac:dyDescent="0.25">
      <c r="A1175">
        <v>38.043061201077187</v>
      </c>
      <c r="B1175">
        <v>-297.93329815571701</v>
      </c>
      <c r="C1175">
        <v>560.51795200000015</v>
      </c>
      <c r="E1175">
        <f t="shared" si="47"/>
        <v>-299.07948892930887</v>
      </c>
      <c r="F1175">
        <f t="shared" si="48"/>
        <v>447.1368473239279</v>
      </c>
    </row>
    <row r="1176" spans="1:6" x14ac:dyDescent="0.25">
      <c r="A1176">
        <v>57.52145754558174</v>
      </c>
      <c r="B1176">
        <v>-289.04398320971649</v>
      </c>
      <c r="C1176">
        <v>560.51795200000015</v>
      </c>
      <c r="E1176">
        <f t="shared" si="47"/>
        <v>-290.87537534278727</v>
      </c>
      <c r="F1176">
        <f t="shared" si="48"/>
        <v>459.84910570033708</v>
      </c>
    </row>
    <row r="1177" spans="1:6" x14ac:dyDescent="0.25">
      <c r="A1177">
        <v>77.122896833978999</v>
      </c>
      <c r="B1177">
        <v>-279.19345856224641</v>
      </c>
      <c r="C1177">
        <v>560.51795200000015</v>
      </c>
      <c r="E1177">
        <f t="shared" si="47"/>
        <v>-281.71493173458981</v>
      </c>
      <c r="F1177">
        <f t="shared" si="48"/>
        <v>472.66196915944818</v>
      </c>
    </row>
    <row r="1178" spans="1:6" x14ac:dyDescent="0.25">
      <c r="A1178">
        <v>97.284598092448945</v>
      </c>
      <c r="B1178">
        <v>-267.90125292812473</v>
      </c>
      <c r="C1178">
        <v>560.51795200000015</v>
      </c>
      <c r="E1178">
        <f t="shared" si="47"/>
        <v>-271.13323823362202</v>
      </c>
      <c r="F1178">
        <f t="shared" si="48"/>
        <v>485.86708386773466</v>
      </c>
    </row>
    <row r="1179" spans="1:6" x14ac:dyDescent="0.25">
      <c r="A1179">
        <v>118.48172322795459</v>
      </c>
      <c r="B1179">
        <v>-254.54466451115928</v>
      </c>
      <c r="C1179">
        <v>560.51795200000015</v>
      </c>
      <c r="E1179">
        <f t="shared" si="47"/>
        <v>-258.52455528820633</v>
      </c>
      <c r="F1179">
        <f t="shared" si="48"/>
        <v>499.78366100000568</v>
      </c>
    </row>
    <row r="1180" spans="1:6" x14ac:dyDescent="0.25">
      <c r="A1180">
        <v>141.27741840089959</v>
      </c>
      <c r="B1180">
        <v>-238.2544985367189</v>
      </c>
      <c r="C1180">
        <v>560.51795200000015</v>
      </c>
      <c r="E1180">
        <f t="shared" si="47"/>
        <v>-243.03987113125143</v>
      </c>
      <c r="F1180">
        <f t="shared" si="48"/>
        <v>514.79296203526462</v>
      </c>
    </row>
    <row r="1181" spans="1:6" x14ac:dyDescent="0.25">
      <c r="A1181">
        <v>166.39047564290345</v>
      </c>
      <c r="B1181">
        <v>-217.74462932861479</v>
      </c>
      <c r="C1181">
        <v>560.51795200000015</v>
      </c>
      <c r="E1181">
        <f t="shared" si="47"/>
        <v>-223.41892903971782</v>
      </c>
      <c r="F1181">
        <f t="shared" si="48"/>
        <v>531.38558773988916</v>
      </c>
    </row>
    <row r="1182" spans="1:6" x14ac:dyDescent="0.25">
      <c r="A1182">
        <v>192.96061816161591</v>
      </c>
      <c r="B1182">
        <v>-192.96061816161588</v>
      </c>
      <c r="C1182">
        <v>560.51795200000015</v>
      </c>
      <c r="E1182">
        <f t="shared" si="47"/>
        <v>-199.57730022389708</v>
      </c>
      <c r="F1182">
        <f t="shared" si="48"/>
        <v>549.0101209304122</v>
      </c>
    </row>
    <row r="1183" spans="1:6" x14ac:dyDescent="0.25">
      <c r="A1183">
        <v>217.74462932861479</v>
      </c>
      <c r="B1183">
        <v>-166.3904756429034</v>
      </c>
      <c r="C1183">
        <v>560.51795200000015</v>
      </c>
      <c r="E1183">
        <f t="shared" si="47"/>
        <v>-173.88829303410321</v>
      </c>
      <c r="F1183">
        <f t="shared" si="48"/>
        <v>565.52731863259783</v>
      </c>
    </row>
    <row r="1184" spans="1:6" x14ac:dyDescent="0.25">
      <c r="A1184">
        <v>238.25449853671881</v>
      </c>
      <c r="B1184">
        <v>-141.27741840089959</v>
      </c>
      <c r="C1184">
        <v>560.51795200000015</v>
      </c>
      <c r="E1184">
        <f t="shared" si="47"/>
        <v>-149.50631810083607</v>
      </c>
      <c r="F1184">
        <f t="shared" si="48"/>
        <v>579.26613772074006</v>
      </c>
    </row>
    <row r="1185" spans="1:6" x14ac:dyDescent="0.25">
      <c r="A1185">
        <v>254.54466451115934</v>
      </c>
      <c r="B1185">
        <v>-118.48172322795459</v>
      </c>
      <c r="C1185">
        <v>560.51795200000015</v>
      </c>
      <c r="E1185">
        <f t="shared" si="47"/>
        <v>-127.29302804317953</v>
      </c>
      <c r="F1185">
        <f t="shared" si="48"/>
        <v>590.24225085802766</v>
      </c>
    </row>
    <row r="1186" spans="1:6" x14ac:dyDescent="0.25">
      <c r="A1186">
        <v>267.90125292812473</v>
      </c>
      <c r="B1186">
        <v>-97.284598092448974</v>
      </c>
      <c r="C1186">
        <v>560.51795200000015</v>
      </c>
      <c r="E1186">
        <f t="shared" si="47"/>
        <v>-106.57495383699384</v>
      </c>
      <c r="F1186">
        <f t="shared" si="48"/>
        <v>599.29798472268476</v>
      </c>
    </row>
    <row r="1187" spans="1:6" x14ac:dyDescent="0.25">
      <c r="A1187">
        <v>279.19345856224641</v>
      </c>
      <c r="B1187">
        <v>-77.122896833978956</v>
      </c>
      <c r="C1187">
        <v>560.51795200000015</v>
      </c>
      <c r="E1187">
        <f t="shared" si="47"/>
        <v>-86.819626835471539</v>
      </c>
      <c r="F1187">
        <f t="shared" si="48"/>
        <v>607.00433963423495</v>
      </c>
    </row>
    <row r="1188" spans="1:6" x14ac:dyDescent="0.25">
      <c r="A1188">
        <v>289.04398320971632</v>
      </c>
      <c r="B1188">
        <v>-57.521457545581768</v>
      </c>
      <c r="C1188">
        <v>560.51795200000015</v>
      </c>
      <c r="E1188">
        <f t="shared" si="47"/>
        <v>-67.57390656672797</v>
      </c>
      <c r="F1188">
        <f t="shared" si="48"/>
        <v>613.77199605116107</v>
      </c>
    </row>
    <row r="1189" spans="1:6" x14ac:dyDescent="0.25">
      <c r="A1189">
        <v>297.93329815571701</v>
      </c>
      <c r="B1189">
        <v>-38.043061201077279</v>
      </c>
      <c r="C1189">
        <v>560.51795200000015</v>
      </c>
      <c r="E1189">
        <f t="shared" si="47"/>
        <v>-48.41760855263334</v>
      </c>
      <c r="F1189">
        <f t="shared" si="48"/>
        <v>619.91941494350533</v>
      </c>
    </row>
    <row r="1190" spans="1:6" x14ac:dyDescent="0.25">
      <c r="A1190">
        <v>306.42215783100517</v>
      </c>
      <c r="B1190">
        <v>-19.530100184527495</v>
      </c>
      <c r="C1190">
        <v>560.51795200000015</v>
      </c>
      <c r="E1190">
        <f t="shared" si="47"/>
        <v>-30.212182061977092</v>
      </c>
      <c r="F1190">
        <f t="shared" si="48"/>
        <v>625.78792537939069</v>
      </c>
    </row>
    <row r="1191" spans="1:6" x14ac:dyDescent="0.25">
      <c r="A1191">
        <v>312.0277680135431</v>
      </c>
      <c r="B1191">
        <v>0</v>
      </c>
      <c r="C1191">
        <v>560.51795200000015</v>
      </c>
      <c r="E1191">
        <f t="shared" si="47"/>
        <v>-10.889612060877351</v>
      </c>
      <c r="F1191">
        <f t="shared" si="48"/>
        <v>629.82706520277691</v>
      </c>
    </row>
    <row r="1192" spans="1:6" x14ac:dyDescent="0.25">
      <c r="A1192">
        <v>306.42215783100517</v>
      </c>
      <c r="B1192">
        <v>19.53010018452747</v>
      </c>
      <c r="C1192">
        <v>560.51795200000015</v>
      </c>
      <c r="E1192">
        <f t="shared" si="47"/>
        <v>8.824223888384342</v>
      </c>
      <c r="F1192">
        <f t="shared" si="48"/>
        <v>626.66416145062828</v>
      </c>
    </row>
    <row r="1193" spans="1:6" x14ac:dyDescent="0.25">
      <c r="A1193">
        <v>297.93329815571718</v>
      </c>
      <c r="B1193">
        <v>38.04306120107718</v>
      </c>
      <c r="C1193">
        <v>560.51795200000015</v>
      </c>
      <c r="E1193">
        <f t="shared" si="47"/>
        <v>27.622164239531944</v>
      </c>
      <c r="F1193">
        <f t="shared" si="48"/>
        <v>621.6262521931726</v>
      </c>
    </row>
    <row r="1194" spans="1:6" x14ac:dyDescent="0.25">
      <c r="A1194">
        <v>289.04398320971632</v>
      </c>
      <c r="B1194">
        <v>57.521457545581782</v>
      </c>
      <c r="C1194">
        <v>560.51795200000015</v>
      </c>
      <c r="E1194">
        <f t="shared" si="47"/>
        <v>47.398927488917579</v>
      </c>
      <c r="F1194">
        <f t="shared" si="48"/>
        <v>616.35274963129518</v>
      </c>
    </row>
    <row r="1195" spans="1:6" x14ac:dyDescent="0.25">
      <c r="A1195">
        <v>279.19345856224641</v>
      </c>
      <c r="B1195">
        <v>77.122896833978999</v>
      </c>
      <c r="C1195">
        <v>560.51795200000015</v>
      </c>
      <c r="E1195">
        <f t="shared" si="47"/>
        <v>67.332204462565741</v>
      </c>
      <c r="F1195">
        <f t="shared" si="48"/>
        <v>610.46452998071379</v>
      </c>
    </row>
    <row r="1196" spans="1:6" x14ac:dyDescent="0.25">
      <c r="A1196">
        <v>267.90125292812473</v>
      </c>
      <c r="B1196">
        <v>97.284598092448945</v>
      </c>
      <c r="C1196">
        <v>560.51795200000015</v>
      </c>
      <c r="E1196">
        <f t="shared" si="47"/>
        <v>87.875716050671969</v>
      </c>
      <c r="F1196">
        <f t="shared" si="48"/>
        <v>603.66274850879108</v>
      </c>
    </row>
    <row r="1197" spans="1:6" x14ac:dyDescent="0.25">
      <c r="A1197">
        <v>254.54466451115934</v>
      </c>
      <c r="B1197">
        <v>118.48172322795462</v>
      </c>
      <c r="C1197">
        <v>560.51795200000015</v>
      </c>
      <c r="E1197">
        <f t="shared" si="47"/>
        <v>109.52606668368679</v>
      </c>
      <c r="F1197">
        <f t="shared" si="48"/>
        <v>595.55804333701201</v>
      </c>
    </row>
    <row r="1198" spans="1:6" x14ac:dyDescent="0.25">
      <c r="A1198">
        <v>238.25449853671884</v>
      </c>
      <c r="B1198">
        <v>141.27741840089953</v>
      </c>
      <c r="C1198">
        <v>560.51795200000015</v>
      </c>
      <c r="E1198">
        <f t="shared" si="47"/>
        <v>132.8763939287596</v>
      </c>
      <c r="F1198">
        <f t="shared" si="48"/>
        <v>585.6046802210119</v>
      </c>
    </row>
    <row r="1199" spans="1:6" x14ac:dyDescent="0.25">
      <c r="A1199">
        <v>217.74462932861479</v>
      </c>
      <c r="B1199">
        <v>166.39047564290334</v>
      </c>
      <c r="C1199">
        <v>560.51795200000015</v>
      </c>
      <c r="E1199">
        <f t="shared" si="47"/>
        <v>158.68993708762062</v>
      </c>
      <c r="F1199">
        <f t="shared" si="48"/>
        <v>572.99258175419698</v>
      </c>
    </row>
    <row r="1200" spans="1:6" x14ac:dyDescent="0.25">
      <c r="A1200">
        <v>192.96061816161591</v>
      </c>
      <c r="B1200">
        <v>192.96061816161588</v>
      </c>
      <c r="C1200">
        <v>560.51795200000015</v>
      </c>
      <c r="E1200">
        <f t="shared" si="47"/>
        <v>186.10884330940942</v>
      </c>
      <c r="F1200">
        <f t="shared" si="48"/>
        <v>557.66747815664189</v>
      </c>
    </row>
    <row r="1201" spans="1:6" x14ac:dyDescent="0.25">
      <c r="A1201">
        <v>166.39047564290345</v>
      </c>
      <c r="B1201">
        <v>217.74462932861479</v>
      </c>
      <c r="C1201">
        <v>560.51795200000015</v>
      </c>
      <c r="E1201">
        <f t="shared" si="47"/>
        <v>211.80504132766376</v>
      </c>
      <c r="F1201">
        <f t="shared" si="48"/>
        <v>541.15490262989397</v>
      </c>
    </row>
    <row r="1202" spans="1:6" x14ac:dyDescent="0.25">
      <c r="A1202">
        <v>141.27741840089968</v>
      </c>
      <c r="B1202">
        <v>238.25449853671884</v>
      </c>
      <c r="C1202">
        <v>560.51795200000015</v>
      </c>
      <c r="E1202">
        <f t="shared" si="47"/>
        <v>233.17884953601137</v>
      </c>
      <c r="F1202">
        <f t="shared" si="48"/>
        <v>525.48247124310205</v>
      </c>
    </row>
    <row r="1203" spans="1:6" x14ac:dyDescent="0.25">
      <c r="A1203">
        <v>118.48172322795476</v>
      </c>
      <c r="B1203">
        <v>254.54466451115928</v>
      </c>
      <c r="C1203">
        <v>560.51795200000015</v>
      </c>
      <c r="E1203">
        <f t="shared" si="47"/>
        <v>250.25465027000516</v>
      </c>
      <c r="F1203">
        <f t="shared" si="48"/>
        <v>511.2040436236673</v>
      </c>
    </row>
    <row r="1204" spans="1:6" x14ac:dyDescent="0.25">
      <c r="A1204">
        <v>97.284598092449073</v>
      </c>
      <c r="B1204">
        <v>267.90125292812479</v>
      </c>
      <c r="C1204">
        <v>560.51795200000015</v>
      </c>
      <c r="E1204">
        <f t="shared" si="47"/>
        <v>264.3428712129591</v>
      </c>
      <c r="F1204">
        <f t="shared" si="48"/>
        <v>497.88672222736483</v>
      </c>
    </row>
    <row r="1205" spans="1:6" x14ac:dyDescent="0.25">
      <c r="A1205">
        <v>77.122896833979098</v>
      </c>
      <c r="B1205">
        <v>279.19345856224629</v>
      </c>
      <c r="C1205">
        <v>560.51795200000015</v>
      </c>
      <c r="E1205">
        <f t="shared" si="47"/>
        <v>276.33183116710023</v>
      </c>
      <c r="F1205">
        <f t="shared" si="48"/>
        <v>485.1882428054804</v>
      </c>
    </row>
    <row r="1206" spans="1:6" x14ac:dyDescent="0.25">
      <c r="A1206">
        <v>57.521457545581697</v>
      </c>
      <c r="B1206">
        <v>289.04398320971649</v>
      </c>
      <c r="C1206">
        <v>560.51795200000015</v>
      </c>
      <c r="E1206">
        <f t="shared" si="47"/>
        <v>286.86043550691716</v>
      </c>
      <c r="F1206">
        <f t="shared" si="48"/>
        <v>472.81733227723879</v>
      </c>
    </row>
    <row r="1207" spans="1:6" x14ac:dyDescent="0.25">
      <c r="A1207">
        <v>38.04306120107718</v>
      </c>
      <c r="B1207">
        <v>297.93329815571707</v>
      </c>
      <c r="C1207">
        <v>560.51795200000015</v>
      </c>
      <c r="E1207">
        <f t="shared" si="47"/>
        <v>296.42412155142893</v>
      </c>
      <c r="F1207">
        <f t="shared" si="48"/>
        <v>460.50390126631589</v>
      </c>
    </row>
    <row r="1208" spans="1:6" x14ac:dyDescent="0.25">
      <c r="A1208">
        <v>19.530100184527523</v>
      </c>
      <c r="B1208">
        <v>306.42215783100517</v>
      </c>
      <c r="C1208">
        <v>560.51795200000015</v>
      </c>
      <c r="E1208">
        <f t="shared" si="47"/>
        <v>305.55390306471475</v>
      </c>
      <c r="F1208">
        <f t="shared" si="48"/>
        <v>448.80167868906301</v>
      </c>
    </row>
    <row r="1209" spans="1:6" x14ac:dyDescent="0.25">
      <c r="A1209">
        <v>1.6034998371891783E-14</v>
      </c>
      <c r="B1209">
        <v>312.0277680135431</v>
      </c>
      <c r="C1209">
        <v>560.51795200000015</v>
      </c>
      <c r="E1209">
        <f t="shared" si="47"/>
        <v>311.83768912797746</v>
      </c>
      <c r="F1209">
        <f t="shared" si="48"/>
        <v>436.38137010505528</v>
      </c>
    </row>
    <row r="1210" spans="1:6" x14ac:dyDescent="0.25">
      <c r="A1210">
        <v>-19.530100184527477</v>
      </c>
      <c r="B1210">
        <v>306.42215783100517</v>
      </c>
      <c r="C1210">
        <v>560.51795200000015</v>
      </c>
      <c r="E1210">
        <f t="shared" si="47"/>
        <v>306.91708439869365</v>
      </c>
      <c r="F1210">
        <f t="shared" si="48"/>
        <v>423.70956061747677</v>
      </c>
    </row>
    <row r="1211" spans="1:6" x14ac:dyDescent="0.25">
      <c r="A1211">
        <v>-38.043061201077144</v>
      </c>
      <c r="B1211">
        <v>297.93329815571718</v>
      </c>
      <c r="C1211">
        <v>560.51795200000015</v>
      </c>
      <c r="E1211">
        <f t="shared" si="47"/>
        <v>299.07948892930915</v>
      </c>
      <c r="F1211">
        <f t="shared" si="48"/>
        <v>411.62647747213248</v>
      </c>
    </row>
    <row r="1212" spans="1:6" x14ac:dyDescent="0.25">
      <c r="A1212">
        <v>-57.521457545581725</v>
      </c>
      <c r="B1212">
        <v>289.0439832097166</v>
      </c>
      <c r="C1212">
        <v>560.51795200000015</v>
      </c>
      <c r="E1212">
        <f t="shared" si="47"/>
        <v>290.87537534278749</v>
      </c>
      <c r="F1212">
        <f t="shared" si="48"/>
        <v>398.9142190957233</v>
      </c>
    </row>
    <row r="1213" spans="1:6" x14ac:dyDescent="0.25">
      <c r="A1213">
        <v>-77.122896833978871</v>
      </c>
      <c r="B1213">
        <v>279.19345856224652</v>
      </c>
      <c r="C1213">
        <v>560.51795200000015</v>
      </c>
      <c r="E1213">
        <f t="shared" si="47"/>
        <v>281.71493173459004</v>
      </c>
      <c r="F1213">
        <f t="shared" si="48"/>
        <v>386.10135563661231</v>
      </c>
    </row>
    <row r="1214" spans="1:6" x14ac:dyDescent="0.25">
      <c r="A1214">
        <v>-97.284598092448832</v>
      </c>
      <c r="B1214">
        <v>267.9012529281249</v>
      </c>
      <c r="C1214">
        <v>560.51795200000015</v>
      </c>
      <c r="E1214">
        <f t="shared" si="47"/>
        <v>271.13323823362231</v>
      </c>
      <c r="F1214">
        <f t="shared" si="48"/>
        <v>372.89624092832577</v>
      </c>
    </row>
    <row r="1215" spans="1:6" x14ac:dyDescent="0.25">
      <c r="A1215">
        <v>-118.48172322795469</v>
      </c>
      <c r="B1215">
        <v>254.5446645111592</v>
      </c>
      <c r="C1215">
        <v>560.51795200000015</v>
      </c>
      <c r="E1215">
        <f t="shared" si="47"/>
        <v>258.52455528820639</v>
      </c>
      <c r="F1215">
        <f t="shared" si="48"/>
        <v>358.97966379605458</v>
      </c>
    </row>
    <row r="1216" spans="1:6" x14ac:dyDescent="0.25">
      <c r="A1216">
        <v>-141.27741840089965</v>
      </c>
      <c r="B1216">
        <v>238.25449853671884</v>
      </c>
      <c r="C1216">
        <v>560.51795200000015</v>
      </c>
      <c r="E1216">
        <f t="shared" si="47"/>
        <v>243.03987113125149</v>
      </c>
      <c r="F1216">
        <f t="shared" si="48"/>
        <v>343.97036276079575</v>
      </c>
    </row>
    <row r="1217" spans="1:6" x14ac:dyDescent="0.25">
      <c r="A1217">
        <v>-166.39047564290334</v>
      </c>
      <c r="B1217">
        <v>217.74462932861479</v>
      </c>
      <c r="C1217">
        <v>560.51795200000015</v>
      </c>
      <c r="E1217">
        <f t="shared" si="47"/>
        <v>223.41892903971794</v>
      </c>
      <c r="F1217">
        <f t="shared" si="48"/>
        <v>327.37773705617121</v>
      </c>
    </row>
    <row r="1218" spans="1:6" x14ac:dyDescent="0.25">
      <c r="A1218">
        <v>-192.96061816161588</v>
      </c>
      <c r="B1218">
        <v>192.96061816161591</v>
      </c>
      <c r="C1218">
        <v>560.51795200000015</v>
      </c>
      <c r="E1218">
        <f t="shared" si="47"/>
        <v>199.57730022389723</v>
      </c>
      <c r="F1218">
        <f t="shared" si="48"/>
        <v>309.75320386564823</v>
      </c>
    </row>
    <row r="1219" spans="1:6" x14ac:dyDescent="0.25">
      <c r="A1219">
        <v>-217.74462932861479</v>
      </c>
      <c r="B1219">
        <v>166.39047564290345</v>
      </c>
      <c r="C1219">
        <v>560.51795200000015</v>
      </c>
      <c r="E1219">
        <f t="shared" si="47"/>
        <v>173.88829303410338</v>
      </c>
      <c r="F1219">
        <f t="shared" si="48"/>
        <v>293.23600616346255</v>
      </c>
    </row>
    <row r="1220" spans="1:6" x14ac:dyDescent="0.25">
      <c r="A1220">
        <v>-238.2544985367187</v>
      </c>
      <c r="B1220">
        <v>141.27741840089968</v>
      </c>
      <c r="C1220">
        <v>560.51795200000015</v>
      </c>
      <c r="E1220">
        <f t="shared" si="47"/>
        <v>149.50631810083627</v>
      </c>
      <c r="F1220">
        <f t="shared" si="48"/>
        <v>279.49718707532031</v>
      </c>
    </row>
    <row r="1221" spans="1:6" x14ac:dyDescent="0.25">
      <c r="A1221">
        <v>-254.54466451115928</v>
      </c>
      <c r="B1221">
        <v>118.48172322795476</v>
      </c>
      <c r="C1221">
        <v>560.51795200000015</v>
      </c>
      <c r="E1221">
        <f t="shared" si="47"/>
        <v>127.29302804317983</v>
      </c>
      <c r="F1221">
        <f t="shared" si="48"/>
        <v>268.52107393803271</v>
      </c>
    </row>
    <row r="1222" spans="1:6" x14ac:dyDescent="0.25">
      <c r="A1222">
        <v>-267.90125292812462</v>
      </c>
      <c r="B1222">
        <v>97.284598092449045</v>
      </c>
      <c r="C1222">
        <v>560.51795200000015</v>
      </c>
      <c r="E1222">
        <f t="shared" si="47"/>
        <v>106.57495383699406</v>
      </c>
      <c r="F1222">
        <f t="shared" si="48"/>
        <v>259.46534007337561</v>
      </c>
    </row>
    <row r="1223" spans="1:6" x14ac:dyDescent="0.25">
      <c r="A1223">
        <v>-279.19345856224629</v>
      </c>
      <c r="B1223">
        <v>77.122896833979112</v>
      </c>
      <c r="C1223">
        <v>560.51795200000015</v>
      </c>
      <c r="E1223">
        <f t="shared" si="47"/>
        <v>86.819626835471837</v>
      </c>
      <c r="F1223">
        <f t="shared" si="48"/>
        <v>251.75898516182548</v>
      </c>
    </row>
    <row r="1224" spans="1:6" x14ac:dyDescent="0.25">
      <c r="A1224">
        <v>-289.04398320971649</v>
      </c>
      <c r="B1224">
        <v>57.521457545581697</v>
      </c>
      <c r="C1224">
        <v>560.51795200000015</v>
      </c>
      <c r="E1224">
        <f t="shared" si="47"/>
        <v>67.573906566728041</v>
      </c>
      <c r="F1224">
        <f t="shared" si="48"/>
        <v>244.99132874489925</v>
      </c>
    </row>
    <row r="1225" spans="1:6" x14ac:dyDescent="0.25">
      <c r="A1225">
        <v>-297.93329815571695</v>
      </c>
      <c r="B1225">
        <v>38.043061201077151</v>
      </c>
      <c r="C1225">
        <v>560.51795200000015</v>
      </c>
      <c r="E1225">
        <f t="shared" si="47"/>
        <v>48.417608552633354</v>
      </c>
      <c r="F1225">
        <f t="shared" si="48"/>
        <v>238.8439098525551</v>
      </c>
    </row>
    <row r="1226" spans="1:6" x14ac:dyDescent="0.25">
      <c r="A1226">
        <v>-304.72706978548217</v>
      </c>
      <c r="B1226">
        <v>-3.4254571350024371E-14</v>
      </c>
      <c r="C1226">
        <v>616.81782400000009</v>
      </c>
      <c r="E1226">
        <f t="shared" si="47"/>
        <v>10.634821367141294</v>
      </c>
      <c r="F1226">
        <f t="shared" si="48"/>
        <v>276.75440332428354</v>
      </c>
    </row>
    <row r="1227" spans="1:6" x14ac:dyDescent="0.25">
      <c r="A1227">
        <v>-301.04494362745749</v>
      </c>
      <c r="B1227">
        <v>-17.351364141643639</v>
      </c>
      <c r="C1227">
        <v>616.81782400000009</v>
      </c>
      <c r="E1227">
        <f t="shared" si="47"/>
        <v>-6.8344771419955661</v>
      </c>
      <c r="F1227">
        <f t="shared" si="48"/>
        <v>278.73054406181791</v>
      </c>
    </row>
    <row r="1228" spans="1:6" x14ac:dyDescent="0.25">
      <c r="A1228">
        <v>-293.96288267276498</v>
      </c>
      <c r="B1228">
        <v>-36.839500118123198</v>
      </c>
      <c r="C1228">
        <v>616.81782400000009</v>
      </c>
      <c r="E1228">
        <f t="shared" si="47"/>
        <v>-26.557901835525268</v>
      </c>
      <c r="F1228">
        <f t="shared" si="48"/>
        <v>282.84285532606827</v>
      </c>
    </row>
    <row r="1229" spans="1:6" x14ac:dyDescent="0.25">
      <c r="A1229">
        <v>-285.6918141486226</v>
      </c>
      <c r="B1229">
        <v>-56.071323725173762</v>
      </c>
      <c r="C1229">
        <v>616.81782400000009</v>
      </c>
      <c r="E1229">
        <f t="shared" si="47"/>
        <v>-46.06666606394537</v>
      </c>
      <c r="F1229">
        <f t="shared" si="48"/>
        <v>287.72473019163749</v>
      </c>
    </row>
    <row r="1230" spans="1:6" x14ac:dyDescent="0.25">
      <c r="A1230">
        <v>-276.38164975844916</v>
      </c>
      <c r="B1230">
        <v>-75.483420849247736</v>
      </c>
      <c r="C1230">
        <v>616.81782400000009</v>
      </c>
      <c r="E1230">
        <f t="shared" si="47"/>
        <v>-65.791857914383286</v>
      </c>
      <c r="F1230">
        <f t="shared" si="48"/>
        <v>293.27007205827135</v>
      </c>
    </row>
    <row r="1231" spans="1:6" x14ac:dyDescent="0.25">
      <c r="A1231">
        <v>-265.57100246977171</v>
      </c>
      <c r="B1231">
        <v>-95.500510626324314</v>
      </c>
      <c r="C1231">
        <v>616.81782400000009</v>
      </c>
      <c r="E1231">
        <f t="shared" si="47"/>
        <v>-86.174039970614416</v>
      </c>
      <c r="F1231">
        <f t="shared" si="48"/>
        <v>299.76574641981153</v>
      </c>
    </row>
    <row r="1232" spans="1:6" x14ac:dyDescent="0.25">
      <c r="A1232">
        <v>-252.65107303496683</v>
      </c>
      <c r="B1232">
        <v>-116.58948399988365</v>
      </c>
      <c r="C1232">
        <v>616.81782400000009</v>
      </c>
      <c r="E1232">
        <f t="shared" si="47"/>
        <v>-107.70106554610611</v>
      </c>
      <c r="F1232">
        <f t="shared" si="48"/>
        <v>307.59236975484185</v>
      </c>
    </row>
    <row r="1233" spans="1:6" x14ac:dyDescent="0.25">
      <c r="A1233">
        <v>-236.76313254845505</v>
      </c>
      <c r="B1233">
        <v>-139.30816464255588</v>
      </c>
      <c r="C1233">
        <v>616.81782400000009</v>
      </c>
      <c r="E1233">
        <f t="shared" si="47"/>
        <v>-130.96038770898755</v>
      </c>
      <c r="F1233">
        <f t="shared" si="48"/>
        <v>317.28907247406079</v>
      </c>
    </row>
    <row r="1234" spans="1:6" x14ac:dyDescent="0.25">
      <c r="A1234">
        <v>-216.62909893507049</v>
      </c>
      <c r="B1234">
        <v>-164.37220208798115</v>
      </c>
      <c r="C1234">
        <v>616.81782400000009</v>
      </c>
      <c r="E1234">
        <f t="shared" si="47"/>
        <v>-156.71182445970706</v>
      </c>
      <c r="F1234">
        <f t="shared" si="48"/>
        <v>329.66083530215536</v>
      </c>
    </row>
    <row r="1235" spans="1:6" x14ac:dyDescent="0.25">
      <c r="A1235">
        <v>-191.42157745095471</v>
      </c>
      <c r="B1235">
        <v>-191.42157745095477</v>
      </c>
      <c r="C1235">
        <v>616.81782400000009</v>
      </c>
      <c r="E1235">
        <f t="shared" si="47"/>
        <v>-184.62445188697237</v>
      </c>
      <c r="F1235">
        <f t="shared" si="48"/>
        <v>345.24724963750833</v>
      </c>
    </row>
    <row r="1236" spans="1:6" x14ac:dyDescent="0.25">
      <c r="A1236">
        <v>-164.37220208798107</v>
      </c>
      <c r="B1236">
        <v>-216.62909893507049</v>
      </c>
      <c r="C1236">
        <v>616.81782400000009</v>
      </c>
      <c r="E1236">
        <f t="shared" ref="E1236:E1299" si="49">($I$2*A1236)+($K$2*B1236)+($M$2*C1236)</f>
        <v>-210.76062721636919</v>
      </c>
      <c r="F1236">
        <f t="shared" ref="F1236:F1299" si="50">($J$2*A1236)+($L$2*B1236)+($N$2*C1236)</f>
        <v>362.05818185432634</v>
      </c>
    </row>
    <row r="1237" spans="1:6" x14ac:dyDescent="0.25">
      <c r="A1237">
        <v>-139.30816464255579</v>
      </c>
      <c r="B1237">
        <v>-236.76313254845516</v>
      </c>
      <c r="C1237">
        <v>616.81782400000009</v>
      </c>
      <c r="E1237">
        <f t="shared" si="49"/>
        <v>-231.75711801265794</v>
      </c>
      <c r="F1237">
        <f t="shared" si="50"/>
        <v>377.70755422426384</v>
      </c>
    </row>
    <row r="1238" spans="1:6" x14ac:dyDescent="0.25">
      <c r="A1238">
        <v>-116.58948399988378</v>
      </c>
      <c r="B1238">
        <v>-252.65107303496677</v>
      </c>
      <c r="C1238">
        <v>616.81782400000009</v>
      </c>
      <c r="E1238">
        <f t="shared" si="49"/>
        <v>-248.42825051527709</v>
      </c>
      <c r="F1238">
        <f t="shared" si="50"/>
        <v>391.94553112428054</v>
      </c>
    </row>
    <row r="1239" spans="1:6" x14ac:dyDescent="0.25">
      <c r="A1239">
        <v>-95.500510626324271</v>
      </c>
      <c r="B1239">
        <v>-265.57100246977171</v>
      </c>
      <c r="C1239">
        <v>616.81782400000009</v>
      </c>
      <c r="E1239">
        <f t="shared" si="49"/>
        <v>-262.07630403486485</v>
      </c>
      <c r="F1239">
        <f t="shared" si="50"/>
        <v>405.20317181215398</v>
      </c>
    </row>
    <row r="1240" spans="1:6" x14ac:dyDescent="0.25">
      <c r="A1240">
        <v>-75.483420849247707</v>
      </c>
      <c r="B1240">
        <v>-276.38164975844927</v>
      </c>
      <c r="C1240">
        <v>616.81782400000009</v>
      </c>
      <c r="E1240">
        <f t="shared" si="49"/>
        <v>-273.57895212797683</v>
      </c>
      <c r="F1240">
        <f t="shared" si="50"/>
        <v>417.81955617198935</v>
      </c>
    </row>
    <row r="1241" spans="1:6" x14ac:dyDescent="0.25">
      <c r="A1241">
        <v>-56.071323725173706</v>
      </c>
      <c r="B1241">
        <v>-285.69181414862283</v>
      </c>
      <c r="C1241">
        <v>616.81782400000009</v>
      </c>
      <c r="E1241">
        <f t="shared" si="49"/>
        <v>-283.56091743712631</v>
      </c>
      <c r="F1241">
        <f t="shared" si="50"/>
        <v>430.08095592573903</v>
      </c>
    </row>
    <row r="1242" spans="1:6" x14ac:dyDescent="0.25">
      <c r="A1242">
        <v>-36.839500118123212</v>
      </c>
      <c r="B1242">
        <v>-293.96288267276498</v>
      </c>
      <c r="C1242">
        <v>616.81782400000009</v>
      </c>
      <c r="E1242">
        <f t="shared" si="49"/>
        <v>-292.49812841435772</v>
      </c>
      <c r="F1242">
        <f t="shared" si="50"/>
        <v>442.24985868610651</v>
      </c>
    </row>
    <row r="1243" spans="1:6" x14ac:dyDescent="0.25">
      <c r="A1243">
        <v>-17.351364141643611</v>
      </c>
      <c r="B1243">
        <v>-301.04494362745743</v>
      </c>
      <c r="C1243">
        <v>616.81782400000009</v>
      </c>
      <c r="E1243">
        <f t="shared" si="49"/>
        <v>-300.2560013061165</v>
      </c>
      <c r="F1243">
        <f t="shared" si="50"/>
        <v>454.61008846189219</v>
      </c>
    </row>
    <row r="1244" spans="1:6" x14ac:dyDescent="0.25">
      <c r="A1244">
        <v>1.5587776414198634E-14</v>
      </c>
      <c r="B1244">
        <v>-304.72706978548217</v>
      </c>
      <c r="C1244">
        <v>616.81782400000009</v>
      </c>
      <c r="E1244">
        <f t="shared" si="49"/>
        <v>-304.5414382880187</v>
      </c>
      <c r="F1244">
        <f t="shared" si="50"/>
        <v>465.67393508591186</v>
      </c>
    </row>
    <row r="1245" spans="1:6" x14ac:dyDescent="0.25">
      <c r="A1245">
        <v>17.351364141643629</v>
      </c>
      <c r="B1245">
        <v>-301.04494362745749</v>
      </c>
      <c r="C1245">
        <v>616.81782400000009</v>
      </c>
      <c r="E1245">
        <f t="shared" si="49"/>
        <v>-301.4671090574069</v>
      </c>
      <c r="F1245">
        <f t="shared" si="50"/>
        <v>476.90298371750055</v>
      </c>
    </row>
    <row r="1246" spans="1:6" x14ac:dyDescent="0.25">
      <c r="A1246">
        <v>36.839500118123212</v>
      </c>
      <c r="B1246">
        <v>-293.96288267276498</v>
      </c>
      <c r="C1246">
        <v>616.81782400000009</v>
      </c>
      <c r="E1246">
        <f t="shared" si="49"/>
        <v>-295.06948844014613</v>
      </c>
      <c r="F1246">
        <f t="shared" si="50"/>
        <v>489.58095673108699</v>
      </c>
    </row>
    <row r="1247" spans="1:6" x14ac:dyDescent="0.25">
      <c r="A1247">
        <v>56.071323725173762</v>
      </c>
      <c r="B1247">
        <v>-285.69181414862288</v>
      </c>
      <c r="C1247">
        <v>616.81782400000009</v>
      </c>
      <c r="E1247">
        <f t="shared" si="49"/>
        <v>-287.47463939202953</v>
      </c>
      <c r="F1247">
        <f t="shared" si="50"/>
        <v>502.12094865741142</v>
      </c>
    </row>
    <row r="1248" spans="1:6" x14ac:dyDescent="0.25">
      <c r="A1248">
        <v>75.483420849247736</v>
      </c>
      <c r="B1248">
        <v>-276.38164975844916</v>
      </c>
      <c r="C1248">
        <v>616.81782400000009</v>
      </c>
      <c r="E1248">
        <f t="shared" si="49"/>
        <v>-278.84761892202033</v>
      </c>
      <c r="F1248">
        <f t="shared" si="50"/>
        <v>514.80005757756282</v>
      </c>
    </row>
    <row r="1249" spans="1:6" x14ac:dyDescent="0.25">
      <c r="A1249">
        <v>95.500510626324314</v>
      </c>
      <c r="B1249">
        <v>-265.57100246977171</v>
      </c>
      <c r="C1249">
        <v>616.81782400000009</v>
      </c>
      <c r="E1249">
        <f t="shared" si="49"/>
        <v>-268.74214354624598</v>
      </c>
      <c r="F1249">
        <f t="shared" si="50"/>
        <v>527.90147166168344</v>
      </c>
    </row>
    <row r="1250" spans="1:6" x14ac:dyDescent="0.25">
      <c r="A1250">
        <v>116.58948399988365</v>
      </c>
      <c r="B1250">
        <v>-252.65107303496683</v>
      </c>
      <c r="C1250">
        <v>616.81782400000009</v>
      </c>
      <c r="E1250">
        <f t="shared" si="49"/>
        <v>-256.56607914007765</v>
      </c>
      <c r="F1250">
        <f t="shared" si="50"/>
        <v>541.73877697501484</v>
      </c>
    </row>
    <row r="1251" spans="1:6" x14ac:dyDescent="0.25">
      <c r="A1251">
        <v>139.30816464255574</v>
      </c>
      <c r="B1251">
        <v>-236.76313254845519</v>
      </c>
      <c r="C1251">
        <v>616.81782400000009</v>
      </c>
      <c r="E1251">
        <f t="shared" si="49"/>
        <v>-241.48068767780669</v>
      </c>
      <c r="F1251">
        <f t="shared" si="50"/>
        <v>556.68958107102242</v>
      </c>
    </row>
    <row r="1252" spans="1:6" x14ac:dyDescent="0.25">
      <c r="A1252">
        <v>164.37220208798109</v>
      </c>
      <c r="B1252">
        <v>-216.62909893507046</v>
      </c>
      <c r="C1252">
        <v>616.81782400000009</v>
      </c>
      <c r="E1252">
        <f t="shared" si="49"/>
        <v>-222.23364146587383</v>
      </c>
      <c r="F1252">
        <f t="shared" si="50"/>
        <v>573.24228554601154</v>
      </c>
    </row>
    <row r="1253" spans="1:6" x14ac:dyDescent="0.25">
      <c r="A1253">
        <v>191.42157745095471</v>
      </c>
      <c r="B1253">
        <v>-191.42157745095469</v>
      </c>
      <c r="C1253">
        <v>616.81782400000009</v>
      </c>
      <c r="E1253">
        <f t="shared" si="49"/>
        <v>-197.98548530904657</v>
      </c>
      <c r="F1253">
        <f t="shared" si="50"/>
        <v>591.18417661005435</v>
      </c>
    </row>
    <row r="1254" spans="1:6" x14ac:dyDescent="0.25">
      <c r="A1254">
        <v>216.62909893507046</v>
      </c>
      <c r="B1254">
        <v>-164.37220208798107</v>
      </c>
      <c r="C1254">
        <v>616.81782400000009</v>
      </c>
      <c r="E1254">
        <f t="shared" si="49"/>
        <v>-171.83231750760751</v>
      </c>
      <c r="F1254">
        <f t="shared" si="50"/>
        <v>607.98418627638569</v>
      </c>
    </row>
    <row r="1255" spans="1:6" x14ac:dyDescent="0.25">
      <c r="A1255">
        <v>236.7631325484551</v>
      </c>
      <c r="B1255">
        <v>-139.30816464255585</v>
      </c>
      <c r="C1255">
        <v>616.81782400000009</v>
      </c>
      <c r="E1255">
        <f t="shared" si="49"/>
        <v>-147.48621603628482</v>
      </c>
      <c r="F1255">
        <f t="shared" si="50"/>
        <v>621.48047040713755</v>
      </c>
    </row>
    <row r="1256" spans="1:6" x14ac:dyDescent="0.25">
      <c r="A1256">
        <v>252.65107303496683</v>
      </c>
      <c r="B1256">
        <v>-116.58948399988363</v>
      </c>
      <c r="C1256">
        <v>616.81782400000009</v>
      </c>
      <c r="E1256">
        <f t="shared" si="49"/>
        <v>-125.33585612664045</v>
      </c>
      <c r="F1256">
        <f t="shared" si="50"/>
        <v>632.19646781926372</v>
      </c>
    </row>
    <row r="1257" spans="1:6" x14ac:dyDescent="0.25">
      <c r="A1257">
        <v>265.57100246977171</v>
      </c>
      <c r="B1257">
        <v>-95.500510626324271</v>
      </c>
      <c r="C1257">
        <v>616.81782400000009</v>
      </c>
      <c r="E1257">
        <f t="shared" si="49"/>
        <v>-104.71062862056179</v>
      </c>
      <c r="F1257">
        <f t="shared" si="50"/>
        <v>640.96926751799344</v>
      </c>
    </row>
    <row r="1258" spans="1:6" x14ac:dyDescent="0.25">
      <c r="A1258">
        <v>276.38164975844916</v>
      </c>
      <c r="B1258">
        <v>-75.483420849247693</v>
      </c>
      <c r="C1258">
        <v>616.81782400000009</v>
      </c>
      <c r="E1258">
        <f t="shared" si="49"/>
        <v>-85.083018863136843</v>
      </c>
      <c r="F1258">
        <f t="shared" si="50"/>
        <v>648.36302719083028</v>
      </c>
    </row>
    <row r="1259" spans="1:6" x14ac:dyDescent="0.25">
      <c r="A1259">
        <v>285.69181414862271</v>
      </c>
      <c r="B1259">
        <v>-56.071323725173748</v>
      </c>
      <c r="C1259">
        <v>616.81782400000009</v>
      </c>
      <c r="E1259">
        <f t="shared" si="49"/>
        <v>-66.007667115568168</v>
      </c>
      <c r="F1259">
        <f t="shared" si="50"/>
        <v>654.77931081187239</v>
      </c>
    </row>
    <row r="1260" spans="1:6" x14ac:dyDescent="0.25">
      <c r="A1260">
        <v>293.96288267276498</v>
      </c>
      <c r="B1260">
        <v>-36.839500118123276</v>
      </c>
      <c r="C1260">
        <v>616.81782400000009</v>
      </c>
      <c r="E1260">
        <f t="shared" si="49"/>
        <v>-47.076215144517093</v>
      </c>
      <c r="F1260">
        <f t="shared" si="50"/>
        <v>660.52403929319132</v>
      </c>
    </row>
    <row r="1261" spans="1:6" x14ac:dyDescent="0.25">
      <c r="A1261">
        <v>301.04494362745749</v>
      </c>
      <c r="B1261">
        <v>-17.35136414164359</v>
      </c>
      <c r="C1261">
        <v>616.81782400000009</v>
      </c>
      <c r="E1261">
        <f t="shared" si="49"/>
        <v>-27.84711117685767</v>
      </c>
      <c r="F1261">
        <f t="shared" si="50"/>
        <v>665.51070386553704</v>
      </c>
    </row>
    <row r="1262" spans="1:6" x14ac:dyDescent="0.25">
      <c r="A1262">
        <v>304.72706978548217</v>
      </c>
      <c r="B1262">
        <v>0</v>
      </c>
      <c r="C1262">
        <v>616.81782400000009</v>
      </c>
      <c r="E1262">
        <f t="shared" si="49"/>
        <v>-10.634821367141175</v>
      </c>
      <c r="F1262">
        <f t="shared" si="50"/>
        <v>668.2653296595962</v>
      </c>
    </row>
    <row r="1263" spans="1:6" x14ac:dyDescent="0.25">
      <c r="A1263">
        <v>301.04494362745749</v>
      </c>
      <c r="B1263">
        <v>17.351364141643604</v>
      </c>
      <c r="C1263">
        <v>616.81782400000009</v>
      </c>
      <c r="E1263">
        <f t="shared" si="49"/>
        <v>6.8344771419956816</v>
      </c>
      <c r="F1263">
        <f t="shared" si="50"/>
        <v>666.28918892206184</v>
      </c>
    </row>
    <row r="1264" spans="1:6" x14ac:dyDescent="0.25">
      <c r="A1264">
        <v>293.96288267276515</v>
      </c>
      <c r="B1264">
        <v>36.839500118123212</v>
      </c>
      <c r="C1264">
        <v>616.81782400000009</v>
      </c>
      <c r="E1264">
        <f t="shared" si="49"/>
        <v>26.557901835525428</v>
      </c>
      <c r="F1264">
        <f t="shared" si="50"/>
        <v>662.17687765781159</v>
      </c>
    </row>
    <row r="1265" spans="1:6" x14ac:dyDescent="0.25">
      <c r="A1265">
        <v>285.69181414862271</v>
      </c>
      <c r="B1265">
        <v>56.071323725173727</v>
      </c>
      <c r="C1265">
        <v>616.81782400000009</v>
      </c>
      <c r="E1265">
        <f t="shared" si="49"/>
        <v>46.066666063945483</v>
      </c>
      <c r="F1265">
        <f t="shared" si="50"/>
        <v>657.29500279224237</v>
      </c>
    </row>
    <row r="1266" spans="1:6" x14ac:dyDescent="0.25">
      <c r="A1266">
        <v>276.38164975844916</v>
      </c>
      <c r="B1266">
        <v>75.483420849247736</v>
      </c>
      <c r="C1266">
        <v>616.81782400000009</v>
      </c>
      <c r="E1266">
        <f t="shared" si="49"/>
        <v>65.791857914383428</v>
      </c>
      <c r="F1266">
        <f t="shared" si="50"/>
        <v>651.7496609256084</v>
      </c>
    </row>
    <row r="1267" spans="1:6" x14ac:dyDescent="0.25">
      <c r="A1267">
        <v>265.57100246977171</v>
      </c>
      <c r="B1267">
        <v>95.500510626324242</v>
      </c>
      <c r="C1267">
        <v>616.81782400000009</v>
      </c>
      <c r="E1267">
        <f t="shared" si="49"/>
        <v>86.174039970614487</v>
      </c>
      <c r="F1267">
        <f t="shared" si="50"/>
        <v>645.25398656406821</v>
      </c>
    </row>
    <row r="1268" spans="1:6" x14ac:dyDescent="0.25">
      <c r="A1268">
        <v>252.65107303496688</v>
      </c>
      <c r="B1268">
        <v>116.58948399988365</v>
      </c>
      <c r="C1268">
        <v>616.81782400000009</v>
      </c>
      <c r="E1268">
        <f t="shared" si="49"/>
        <v>107.70106554610625</v>
      </c>
      <c r="F1268">
        <f t="shared" si="50"/>
        <v>637.42736322903795</v>
      </c>
    </row>
    <row r="1269" spans="1:6" x14ac:dyDescent="0.25">
      <c r="A1269">
        <v>236.7631325484551</v>
      </c>
      <c r="B1269">
        <v>139.30816464255568</v>
      </c>
      <c r="C1269">
        <v>616.81782400000009</v>
      </c>
      <c r="E1269">
        <f t="shared" si="49"/>
        <v>130.96038770898753</v>
      </c>
      <c r="F1269">
        <f t="shared" si="50"/>
        <v>627.73066050981902</v>
      </c>
    </row>
    <row r="1270" spans="1:6" x14ac:dyDescent="0.25">
      <c r="A1270">
        <v>216.62909893507049</v>
      </c>
      <c r="B1270">
        <v>164.37220208798107</v>
      </c>
      <c r="C1270">
        <v>616.81782400000009</v>
      </c>
      <c r="E1270">
        <f t="shared" si="49"/>
        <v>156.71182445970715</v>
      </c>
      <c r="F1270">
        <f t="shared" si="50"/>
        <v>615.35889768172433</v>
      </c>
    </row>
    <row r="1271" spans="1:6" x14ac:dyDescent="0.25">
      <c r="A1271">
        <v>191.42157745095477</v>
      </c>
      <c r="B1271">
        <v>191.42157745095471</v>
      </c>
      <c r="C1271">
        <v>616.81782400000009</v>
      </c>
      <c r="E1271">
        <f t="shared" si="49"/>
        <v>184.62445188697248</v>
      </c>
      <c r="F1271">
        <f t="shared" si="50"/>
        <v>599.77248334637147</v>
      </c>
    </row>
    <row r="1272" spans="1:6" x14ac:dyDescent="0.25">
      <c r="A1272">
        <v>164.37220208798109</v>
      </c>
      <c r="B1272">
        <v>216.62909893507046</v>
      </c>
      <c r="C1272">
        <v>616.81782400000009</v>
      </c>
      <c r="E1272">
        <f t="shared" si="49"/>
        <v>210.76062721636933</v>
      </c>
      <c r="F1272">
        <f t="shared" si="50"/>
        <v>582.96155112955353</v>
      </c>
    </row>
    <row r="1273" spans="1:6" x14ac:dyDescent="0.25">
      <c r="A1273">
        <v>139.30816464255588</v>
      </c>
      <c r="B1273">
        <v>236.76313254845516</v>
      </c>
      <c r="C1273">
        <v>616.81782400000009</v>
      </c>
      <c r="E1273">
        <f t="shared" si="49"/>
        <v>231.75711801265811</v>
      </c>
      <c r="F1273">
        <f t="shared" si="50"/>
        <v>567.31217875961602</v>
      </c>
    </row>
    <row r="1274" spans="1:6" x14ac:dyDescent="0.25">
      <c r="A1274">
        <v>116.58948399988385</v>
      </c>
      <c r="B1274">
        <v>252.65107303496688</v>
      </c>
      <c r="C1274">
        <v>616.81782400000009</v>
      </c>
      <c r="E1274">
        <f t="shared" si="49"/>
        <v>248.42825051527737</v>
      </c>
      <c r="F1274">
        <f t="shared" si="50"/>
        <v>553.07420185959927</v>
      </c>
    </row>
    <row r="1275" spans="1:6" x14ac:dyDescent="0.25">
      <c r="A1275">
        <v>95.500510626324385</v>
      </c>
      <c r="B1275">
        <v>265.57100246977171</v>
      </c>
      <c r="C1275">
        <v>616.81782400000009</v>
      </c>
      <c r="E1275">
        <f t="shared" si="49"/>
        <v>262.07630403486496</v>
      </c>
      <c r="F1275">
        <f t="shared" si="50"/>
        <v>539.81656117172588</v>
      </c>
    </row>
    <row r="1276" spans="1:6" x14ac:dyDescent="0.25">
      <c r="A1276">
        <v>75.483420849247878</v>
      </c>
      <c r="B1276">
        <v>276.38164975844916</v>
      </c>
      <c r="C1276">
        <v>616.81782400000009</v>
      </c>
      <c r="E1276">
        <f t="shared" si="49"/>
        <v>273.57895212797683</v>
      </c>
      <c r="F1276">
        <f t="shared" si="50"/>
        <v>527.20017681189051</v>
      </c>
    </row>
    <row r="1277" spans="1:6" x14ac:dyDescent="0.25">
      <c r="A1277">
        <v>56.071323725173691</v>
      </c>
      <c r="B1277">
        <v>285.69181414862283</v>
      </c>
      <c r="C1277">
        <v>616.81782400000009</v>
      </c>
      <c r="E1277">
        <f t="shared" si="49"/>
        <v>283.56091743712642</v>
      </c>
      <c r="F1277">
        <f t="shared" si="50"/>
        <v>514.93877705814066</v>
      </c>
    </row>
    <row r="1278" spans="1:6" x14ac:dyDescent="0.25">
      <c r="A1278">
        <v>36.839500118123183</v>
      </c>
      <c r="B1278">
        <v>293.9628826727652</v>
      </c>
      <c r="C1278">
        <v>616.81782400000009</v>
      </c>
      <c r="E1278">
        <f t="shared" si="49"/>
        <v>292.49812841435806</v>
      </c>
      <c r="F1278">
        <f t="shared" si="50"/>
        <v>502.76987429777324</v>
      </c>
    </row>
    <row r="1279" spans="1:6" x14ac:dyDescent="0.25">
      <c r="A1279">
        <v>17.351364141643618</v>
      </c>
      <c r="B1279">
        <v>301.04494362745749</v>
      </c>
      <c r="C1279">
        <v>616.81782400000009</v>
      </c>
      <c r="E1279">
        <f t="shared" si="49"/>
        <v>300.25600130611667</v>
      </c>
      <c r="F1279">
        <f t="shared" si="50"/>
        <v>490.40964452198756</v>
      </c>
    </row>
    <row r="1280" spans="1:6" x14ac:dyDescent="0.25">
      <c r="A1280">
        <v>1.8666794935825737E-14</v>
      </c>
      <c r="B1280">
        <v>304.72706978548217</v>
      </c>
      <c r="C1280">
        <v>616.81782400000009</v>
      </c>
      <c r="E1280">
        <f t="shared" si="49"/>
        <v>304.54143828801881</v>
      </c>
      <c r="F1280">
        <f t="shared" si="50"/>
        <v>479.34579789796794</v>
      </c>
    </row>
    <row r="1281" spans="1:6" x14ac:dyDescent="0.25">
      <c r="A1281">
        <v>-17.351364141643572</v>
      </c>
      <c r="B1281">
        <v>301.04494362745749</v>
      </c>
      <c r="C1281">
        <v>616.81782400000009</v>
      </c>
      <c r="E1281">
        <f t="shared" si="49"/>
        <v>301.46710905740701</v>
      </c>
      <c r="F1281">
        <f t="shared" si="50"/>
        <v>468.1167492663792</v>
      </c>
    </row>
    <row r="1282" spans="1:6" x14ac:dyDescent="0.25">
      <c r="A1282">
        <v>-36.83950011812319</v>
      </c>
      <c r="B1282">
        <v>293.96288267276515</v>
      </c>
      <c r="C1282">
        <v>616.81782400000009</v>
      </c>
      <c r="E1282">
        <f t="shared" si="49"/>
        <v>295.06948844014642</v>
      </c>
      <c r="F1282">
        <f t="shared" si="50"/>
        <v>455.43877625279276</v>
      </c>
    </row>
    <row r="1283" spans="1:6" x14ac:dyDescent="0.25">
      <c r="A1283">
        <v>-56.07132372517372</v>
      </c>
      <c r="B1283">
        <v>285.69181414862288</v>
      </c>
      <c r="C1283">
        <v>616.81782400000009</v>
      </c>
      <c r="E1283">
        <f t="shared" si="49"/>
        <v>287.47463939202964</v>
      </c>
      <c r="F1283">
        <f t="shared" si="50"/>
        <v>442.89878432646839</v>
      </c>
    </row>
    <row r="1284" spans="1:6" x14ac:dyDescent="0.25">
      <c r="A1284">
        <v>-75.483420849247551</v>
      </c>
      <c r="B1284">
        <v>276.38164975844927</v>
      </c>
      <c r="C1284">
        <v>616.81782400000009</v>
      </c>
      <c r="E1284">
        <f t="shared" si="49"/>
        <v>278.84761892202056</v>
      </c>
      <c r="F1284">
        <f t="shared" si="50"/>
        <v>430.21967540631709</v>
      </c>
    </row>
    <row r="1285" spans="1:6" x14ac:dyDescent="0.25">
      <c r="A1285">
        <v>-95.500510626324129</v>
      </c>
      <c r="B1285">
        <v>265.57100246977171</v>
      </c>
      <c r="C1285">
        <v>616.81782400000009</v>
      </c>
      <c r="E1285">
        <f t="shared" si="49"/>
        <v>268.7421435462461</v>
      </c>
      <c r="F1285">
        <f t="shared" si="50"/>
        <v>417.11826132219636</v>
      </c>
    </row>
    <row r="1286" spans="1:6" x14ac:dyDescent="0.25">
      <c r="A1286">
        <v>-116.58948399988378</v>
      </c>
      <c r="B1286">
        <v>252.65107303496677</v>
      </c>
      <c r="C1286">
        <v>616.81782400000009</v>
      </c>
      <c r="E1286">
        <f t="shared" si="49"/>
        <v>256.5660791400777</v>
      </c>
      <c r="F1286">
        <f t="shared" si="50"/>
        <v>403.28095600886491</v>
      </c>
    </row>
    <row r="1287" spans="1:6" x14ac:dyDescent="0.25">
      <c r="A1287">
        <v>-139.30816464255579</v>
      </c>
      <c r="B1287">
        <v>236.7631325484551</v>
      </c>
      <c r="C1287">
        <v>616.81782400000009</v>
      </c>
      <c r="E1287">
        <f t="shared" si="49"/>
        <v>241.48068767780677</v>
      </c>
      <c r="F1287">
        <f t="shared" si="50"/>
        <v>388.33015191285727</v>
      </c>
    </row>
    <row r="1288" spans="1:6" x14ac:dyDescent="0.25">
      <c r="A1288">
        <v>-164.37220208798101</v>
      </c>
      <c r="B1288">
        <v>216.62909893507046</v>
      </c>
      <c r="C1288">
        <v>616.81782400000009</v>
      </c>
      <c r="E1288">
        <f t="shared" si="49"/>
        <v>222.233641465874</v>
      </c>
      <c r="F1288">
        <f t="shared" si="50"/>
        <v>371.7774474378682</v>
      </c>
    </row>
    <row r="1289" spans="1:6" x14ac:dyDescent="0.25">
      <c r="A1289">
        <v>-191.42157745095469</v>
      </c>
      <c r="B1289">
        <v>191.42157745095471</v>
      </c>
      <c r="C1289">
        <v>616.81782400000009</v>
      </c>
      <c r="E1289">
        <f t="shared" si="49"/>
        <v>197.98548530904677</v>
      </c>
      <c r="F1289">
        <f t="shared" si="50"/>
        <v>353.8355563738254</v>
      </c>
    </row>
    <row r="1290" spans="1:6" x14ac:dyDescent="0.25">
      <c r="A1290">
        <v>-216.62909893507046</v>
      </c>
      <c r="B1290">
        <v>164.37220208798109</v>
      </c>
      <c r="C1290">
        <v>616.81782400000009</v>
      </c>
      <c r="E1290">
        <f t="shared" si="49"/>
        <v>171.83231750760771</v>
      </c>
      <c r="F1290">
        <f t="shared" si="50"/>
        <v>337.03554670749406</v>
      </c>
    </row>
    <row r="1291" spans="1:6" x14ac:dyDescent="0.25">
      <c r="A1291">
        <v>-236.76313254845505</v>
      </c>
      <c r="B1291">
        <v>139.30816464255588</v>
      </c>
      <c r="C1291">
        <v>616.81782400000009</v>
      </c>
      <c r="E1291">
        <f t="shared" si="49"/>
        <v>147.48621603628501</v>
      </c>
      <c r="F1291">
        <f t="shared" si="50"/>
        <v>323.53926257674226</v>
      </c>
    </row>
    <row r="1292" spans="1:6" x14ac:dyDescent="0.25">
      <c r="A1292">
        <v>-252.65107303496688</v>
      </c>
      <c r="B1292">
        <v>116.58948399988385</v>
      </c>
      <c r="C1292">
        <v>616.81782400000009</v>
      </c>
      <c r="E1292">
        <f t="shared" si="49"/>
        <v>125.33585612664082</v>
      </c>
      <c r="F1292">
        <f t="shared" si="50"/>
        <v>312.82326516461598</v>
      </c>
    </row>
    <row r="1293" spans="1:6" x14ac:dyDescent="0.25">
      <c r="A1293">
        <v>-265.5710024697716</v>
      </c>
      <c r="B1293">
        <v>95.50051062632437</v>
      </c>
      <c r="C1293">
        <v>616.81782400000009</v>
      </c>
      <c r="E1293">
        <f t="shared" si="49"/>
        <v>104.71062862056202</v>
      </c>
      <c r="F1293">
        <f t="shared" si="50"/>
        <v>304.05046546588642</v>
      </c>
    </row>
    <row r="1294" spans="1:6" x14ac:dyDescent="0.25">
      <c r="A1294">
        <v>-276.38164975844916</v>
      </c>
      <c r="B1294">
        <v>75.483420849247878</v>
      </c>
      <c r="C1294">
        <v>616.81782400000009</v>
      </c>
      <c r="E1294">
        <f t="shared" si="49"/>
        <v>85.08301886313717</v>
      </c>
      <c r="F1294">
        <f t="shared" si="50"/>
        <v>296.65670579304953</v>
      </c>
    </row>
    <row r="1295" spans="1:6" x14ac:dyDescent="0.25">
      <c r="A1295">
        <v>-285.69181414862283</v>
      </c>
      <c r="B1295">
        <v>56.071323725173706</v>
      </c>
      <c r="C1295">
        <v>616.81782400000009</v>
      </c>
      <c r="E1295">
        <f t="shared" si="49"/>
        <v>66.007667115568282</v>
      </c>
      <c r="F1295">
        <f t="shared" si="50"/>
        <v>290.24042217200724</v>
      </c>
    </row>
    <row r="1296" spans="1:6" x14ac:dyDescent="0.25">
      <c r="A1296">
        <v>-293.96288267276498</v>
      </c>
      <c r="B1296">
        <v>36.839500118123198</v>
      </c>
      <c r="C1296">
        <v>616.81782400000009</v>
      </c>
      <c r="E1296">
        <f t="shared" si="49"/>
        <v>47.076215144517171</v>
      </c>
      <c r="F1296">
        <f t="shared" si="50"/>
        <v>284.49569369068843</v>
      </c>
    </row>
    <row r="1297" spans="1:6" x14ac:dyDescent="0.25">
      <c r="A1297">
        <v>-296.26954257829527</v>
      </c>
      <c r="B1297">
        <v>-3.3218398711001105E-14</v>
      </c>
      <c r="C1297">
        <v>673.11769600000014</v>
      </c>
      <c r="E1297">
        <f t="shared" si="49"/>
        <v>10.339657924262767</v>
      </c>
      <c r="F1297">
        <f t="shared" si="50"/>
        <v>325.31568941140586</v>
      </c>
    </row>
    <row r="1298" spans="1:6" x14ac:dyDescent="0.25">
      <c r="A1298">
        <v>-293.6372803704898</v>
      </c>
      <c r="B1298">
        <v>-17.755030073716746</v>
      </c>
      <c r="C1298">
        <v>673.11769600000014</v>
      </c>
      <c r="E1298">
        <f t="shared" si="49"/>
        <v>-7.4964208910993202</v>
      </c>
      <c r="F1298">
        <f t="shared" si="50"/>
        <v>326.60834628054806</v>
      </c>
    </row>
    <row r="1299" spans="1:6" x14ac:dyDescent="0.25">
      <c r="A1299">
        <v>-288.01781178136827</v>
      </c>
      <c r="B1299">
        <v>-35.734695074465911</v>
      </c>
      <c r="C1299">
        <v>673.11769600000014</v>
      </c>
      <c r="E1299">
        <f t="shared" si="49"/>
        <v>-25.661249791220175</v>
      </c>
      <c r="F1299">
        <f t="shared" si="50"/>
        <v>329.81493347498065</v>
      </c>
    </row>
    <row r="1300" spans="1:6" x14ac:dyDescent="0.25">
      <c r="A1300">
        <v>-280.2037281564169</v>
      </c>
      <c r="B1300">
        <v>-54.736598373695195</v>
      </c>
      <c r="C1300">
        <v>673.11769600000014</v>
      </c>
      <c r="E1300">
        <f t="shared" ref="E1300:E1363" si="51">($I$2*A1300)+($K$2*B1300)+($M$2*C1300)</f>
        <v>-44.924285230075867</v>
      </c>
      <c r="F1300">
        <f t="shared" ref="F1300:F1363" si="52">($J$2*A1300)+($L$2*B1300)+($N$2*C1300)</f>
        <v>334.40840084458796</v>
      </c>
    </row>
    <row r="1301" spans="1:6" x14ac:dyDescent="0.25">
      <c r="A1301">
        <v>-271.28518265115355</v>
      </c>
      <c r="B1301">
        <v>-73.970340007661946</v>
      </c>
      <c r="C1301">
        <v>673.11769600000014</v>
      </c>
      <c r="E1301">
        <f t="shared" si="51"/>
        <v>-64.457562937769552</v>
      </c>
      <c r="F1301">
        <f t="shared" si="52"/>
        <v>339.7061693323368</v>
      </c>
    </row>
    <row r="1302" spans="1:6" x14ac:dyDescent="0.25">
      <c r="A1302">
        <v>-260.81623054727964</v>
      </c>
      <c r="B1302">
        <v>-93.849433539606508</v>
      </c>
      <c r="C1302">
        <v>673.11769600000014</v>
      </c>
      <c r="E1302">
        <f t="shared" si="51"/>
        <v>-84.68990782247738</v>
      </c>
      <c r="F1302">
        <f t="shared" si="52"/>
        <v>345.98543572479241</v>
      </c>
    </row>
    <row r="1303" spans="1:6" x14ac:dyDescent="0.25">
      <c r="A1303">
        <v>-248.19910534309915</v>
      </c>
      <c r="B1303">
        <v>-114.83336791153656</v>
      </c>
      <c r="C1303">
        <v>673.11769600000014</v>
      </c>
      <c r="E1303">
        <f t="shared" si="51"/>
        <v>-106.10139066801331</v>
      </c>
      <c r="F1303">
        <f t="shared" si="52"/>
        <v>353.6198951570683</v>
      </c>
    </row>
    <row r="1304" spans="1:6" x14ac:dyDescent="0.25">
      <c r="A1304">
        <v>-232.58305146925932</v>
      </c>
      <c r="B1304">
        <v>-137.47519128670586</v>
      </c>
      <c r="C1304">
        <v>673.11769600000014</v>
      </c>
      <c r="E1304">
        <f t="shared" si="51"/>
        <v>-129.27441367682022</v>
      </c>
      <c r="F1304">
        <f t="shared" si="52"/>
        <v>363.14366312906878</v>
      </c>
    </row>
    <row r="1305" spans="1:6" x14ac:dyDescent="0.25">
      <c r="A1305">
        <v>-212.6958268317378</v>
      </c>
      <c r="B1305">
        <v>-162.4877797448556</v>
      </c>
      <c r="C1305">
        <v>673.11769600000014</v>
      </c>
      <c r="E1305">
        <f t="shared" si="51"/>
        <v>-154.96581927255787</v>
      </c>
      <c r="F1305">
        <f t="shared" si="52"/>
        <v>375.3580310015073</v>
      </c>
    </row>
    <row r="1306" spans="1:6" x14ac:dyDescent="0.25">
      <c r="A1306">
        <v>-188.51003111114611</v>
      </c>
      <c r="B1306">
        <v>-188.51003111114613</v>
      </c>
      <c r="C1306">
        <v>673.11769600000014</v>
      </c>
      <c r="E1306">
        <f t="shared" si="51"/>
        <v>-181.81629068441188</v>
      </c>
      <c r="F1306">
        <f t="shared" si="52"/>
        <v>390.3111341872534</v>
      </c>
    </row>
    <row r="1307" spans="1:6" x14ac:dyDescent="0.25">
      <c r="A1307">
        <v>-162.48777974485549</v>
      </c>
      <c r="B1307">
        <v>-212.69582683173783</v>
      </c>
      <c r="C1307">
        <v>673.11769600000014</v>
      </c>
      <c r="E1307">
        <f t="shared" si="51"/>
        <v>-206.89551654747845</v>
      </c>
      <c r="F1307">
        <f t="shared" si="52"/>
        <v>406.48516635248524</v>
      </c>
    </row>
    <row r="1308" spans="1:6" x14ac:dyDescent="0.25">
      <c r="A1308">
        <v>-137.47519128670581</v>
      </c>
      <c r="B1308">
        <v>-232.58305146925935</v>
      </c>
      <c r="C1308">
        <v>673.11769600000014</v>
      </c>
      <c r="E1308">
        <f t="shared" si="51"/>
        <v>-227.64355317350183</v>
      </c>
      <c r="F1308">
        <f t="shared" si="52"/>
        <v>422.10702475357789</v>
      </c>
    </row>
    <row r="1309" spans="1:6" x14ac:dyDescent="0.25">
      <c r="A1309">
        <v>-114.83336791153667</v>
      </c>
      <c r="B1309">
        <v>-248.19910534309915</v>
      </c>
      <c r="C1309">
        <v>673.11769600000014</v>
      </c>
      <c r="E1309">
        <f t="shared" si="51"/>
        <v>-244.04028240947369</v>
      </c>
      <c r="F1309">
        <f t="shared" si="52"/>
        <v>436.30172807185255</v>
      </c>
    </row>
    <row r="1310" spans="1:6" x14ac:dyDescent="0.25">
      <c r="A1310">
        <v>-93.849433539606437</v>
      </c>
      <c r="B1310">
        <v>-260.8162305472797</v>
      </c>
      <c r="C1310">
        <v>673.11769600000014</v>
      </c>
      <c r="E1310">
        <f t="shared" si="51"/>
        <v>-257.38205035030188</v>
      </c>
      <c r="F1310">
        <f t="shared" si="52"/>
        <v>449.49868491736959</v>
      </c>
    </row>
    <row r="1311" spans="1:6" x14ac:dyDescent="0.25">
      <c r="A1311">
        <v>-73.970340007661889</v>
      </c>
      <c r="B1311">
        <v>-271.2851826511536</v>
      </c>
      <c r="C1311">
        <v>673.11769600000014</v>
      </c>
      <c r="E1311">
        <f t="shared" si="51"/>
        <v>-268.5383954105825</v>
      </c>
      <c r="F1311">
        <f t="shared" si="52"/>
        <v>462.03408627148281</v>
      </c>
    </row>
    <row r="1312" spans="1:6" x14ac:dyDescent="0.25">
      <c r="A1312">
        <v>-54.736598373695095</v>
      </c>
      <c r="B1312">
        <v>-280.20372815641713</v>
      </c>
      <c r="C1312">
        <v>673.11769600000014</v>
      </c>
      <c r="E1312">
        <f t="shared" si="51"/>
        <v>-278.12275588162663</v>
      </c>
      <c r="F1312">
        <f t="shared" si="52"/>
        <v>474.18969633689733</v>
      </c>
    </row>
    <row r="1313" spans="1:6" x14ac:dyDescent="0.25">
      <c r="A1313">
        <v>-35.734695074465925</v>
      </c>
      <c r="B1313">
        <v>-288.01781178136827</v>
      </c>
      <c r="C1313">
        <v>673.11769600000014</v>
      </c>
      <c r="E1313">
        <f t="shared" si="51"/>
        <v>-286.59523623949565</v>
      </c>
      <c r="F1313">
        <f t="shared" si="52"/>
        <v>486.22115072763279</v>
      </c>
    </row>
    <row r="1314" spans="1:6" x14ac:dyDescent="0.25">
      <c r="A1314">
        <v>-17.755030073716739</v>
      </c>
      <c r="B1314">
        <v>-293.6372803704898</v>
      </c>
      <c r="C1314">
        <v>673.11769600000014</v>
      </c>
      <c r="E1314">
        <f t="shared" si="51"/>
        <v>-292.83876285959133</v>
      </c>
      <c r="F1314">
        <f t="shared" si="52"/>
        <v>497.64515500286194</v>
      </c>
    </row>
    <row r="1315" spans="1:6" x14ac:dyDescent="0.25">
      <c r="A1315">
        <v>1.81487086163141E-14</v>
      </c>
      <c r="B1315">
        <v>-296.26954257829527</v>
      </c>
      <c r="C1315">
        <v>673.11769600000014</v>
      </c>
      <c r="E1315">
        <f t="shared" si="51"/>
        <v>-296.08906317789166</v>
      </c>
      <c r="F1315">
        <f t="shared" si="52"/>
        <v>508.99186658373634</v>
      </c>
    </row>
    <row r="1316" spans="1:6" x14ac:dyDescent="0.25">
      <c r="A1316">
        <v>17.755030073716732</v>
      </c>
      <c r="B1316">
        <v>-293.6372803704898</v>
      </c>
      <c r="C1316">
        <v>673.11769600000014</v>
      </c>
      <c r="E1316">
        <f t="shared" si="51"/>
        <v>-294.07804608661235</v>
      </c>
      <c r="F1316">
        <f t="shared" si="52"/>
        <v>520.45667705164362</v>
      </c>
    </row>
    <row r="1317" spans="1:6" x14ac:dyDescent="0.25">
      <c r="A1317">
        <v>35.734695074465968</v>
      </c>
      <c r="B1317">
        <v>-288.01781178136832</v>
      </c>
      <c r="C1317">
        <v>673.11769600000014</v>
      </c>
      <c r="E1317">
        <f t="shared" si="51"/>
        <v>-289.08948198532806</v>
      </c>
      <c r="F1317">
        <f t="shared" si="52"/>
        <v>532.13280400071733</v>
      </c>
    </row>
    <row r="1318" spans="1:6" x14ac:dyDescent="0.25">
      <c r="A1318">
        <v>54.736598373695152</v>
      </c>
      <c r="B1318">
        <v>-280.20372815641713</v>
      </c>
      <c r="C1318">
        <v>673.11769600000014</v>
      </c>
      <c r="E1318">
        <f t="shared" si="51"/>
        <v>-281.94331535052447</v>
      </c>
      <c r="F1318">
        <f t="shared" si="52"/>
        <v>544.5148445057664</v>
      </c>
    </row>
    <row r="1319" spans="1:6" x14ac:dyDescent="0.25">
      <c r="A1319">
        <v>73.970340007661846</v>
      </c>
      <c r="B1319">
        <v>-271.28518265115343</v>
      </c>
      <c r="C1319">
        <v>673.11769600000014</v>
      </c>
      <c r="E1319">
        <f t="shared" si="51"/>
        <v>-273.70145068494287</v>
      </c>
      <c r="F1319">
        <f t="shared" si="52"/>
        <v>557.07059339283819</v>
      </c>
    </row>
    <row r="1320" spans="1:6" x14ac:dyDescent="0.25">
      <c r="A1320">
        <v>93.849433539606451</v>
      </c>
      <c r="B1320">
        <v>-260.81623054727959</v>
      </c>
      <c r="C1320">
        <v>673.11769600000014</v>
      </c>
      <c r="E1320">
        <f t="shared" si="51"/>
        <v>-263.93264634299595</v>
      </c>
      <c r="F1320">
        <f t="shared" si="52"/>
        <v>570.07569399963324</v>
      </c>
    </row>
    <row r="1321" spans="1:6" x14ac:dyDescent="0.25">
      <c r="A1321">
        <v>114.8333679115366</v>
      </c>
      <c r="B1321">
        <v>-248.19910534309918</v>
      </c>
      <c r="C1321">
        <v>673.11769600000014</v>
      </c>
      <c r="E1321">
        <f t="shared" si="51"/>
        <v>-252.05553589900524</v>
      </c>
      <c r="F1321">
        <f t="shared" si="52"/>
        <v>583.83872987775965</v>
      </c>
    </row>
    <row r="1322" spans="1:6" x14ac:dyDescent="0.25">
      <c r="A1322">
        <v>137.47519128670578</v>
      </c>
      <c r="B1322">
        <v>-232.58305146925957</v>
      </c>
      <c r="C1322">
        <v>673.11769600000014</v>
      </c>
      <c r="E1322">
        <f t="shared" si="51"/>
        <v>-237.23918314347426</v>
      </c>
      <c r="F1322">
        <f t="shared" si="52"/>
        <v>598.73406194680183</v>
      </c>
    </row>
    <row r="1323" spans="1:6" x14ac:dyDescent="0.25">
      <c r="A1323">
        <v>162.4877797448556</v>
      </c>
      <c r="B1323">
        <v>-212.6958268317378</v>
      </c>
      <c r="C1323">
        <v>673.11769600000014</v>
      </c>
      <c r="E1323">
        <f t="shared" si="51"/>
        <v>-218.23700001428304</v>
      </c>
      <c r="F1323">
        <f t="shared" si="52"/>
        <v>615.24817913917343</v>
      </c>
    </row>
    <row r="1324" spans="1:6" x14ac:dyDescent="0.25">
      <c r="A1324">
        <v>188.51003111114613</v>
      </c>
      <c r="B1324">
        <v>-188.51003111114611</v>
      </c>
      <c r="C1324">
        <v>673.11769600000014</v>
      </c>
      <c r="E1324">
        <f t="shared" si="51"/>
        <v>-194.97410110271551</v>
      </c>
      <c r="F1324">
        <f t="shared" si="52"/>
        <v>632.50732947695587</v>
      </c>
    </row>
    <row r="1325" spans="1:6" x14ac:dyDescent="0.25">
      <c r="A1325">
        <v>212.69582683173783</v>
      </c>
      <c r="B1325">
        <v>-162.48777974485549</v>
      </c>
      <c r="C1325">
        <v>673.11769600000014</v>
      </c>
      <c r="E1325">
        <f t="shared" si="51"/>
        <v>-169.81177388685771</v>
      </c>
      <c r="F1325">
        <f t="shared" si="52"/>
        <v>648.62794512226515</v>
      </c>
    </row>
    <row r="1326" spans="1:6" x14ac:dyDescent="0.25">
      <c r="A1326">
        <v>232.58305146925943</v>
      </c>
      <c r="B1326">
        <v>-137.47519128670586</v>
      </c>
      <c r="C1326">
        <v>673.11769600000014</v>
      </c>
      <c r="E1326">
        <f t="shared" si="51"/>
        <v>-145.50847655243834</v>
      </c>
      <c r="F1326">
        <f t="shared" si="52"/>
        <v>661.96452599079566</v>
      </c>
    </row>
    <row r="1327" spans="1:6" x14ac:dyDescent="0.25">
      <c r="A1327">
        <v>248.19910534309923</v>
      </c>
      <c r="B1327">
        <v>-114.83336791153656</v>
      </c>
      <c r="C1327">
        <v>673.11769600000014</v>
      </c>
      <c r="E1327">
        <f t="shared" si="51"/>
        <v>-123.42543838498374</v>
      </c>
      <c r="F1327">
        <f t="shared" si="52"/>
        <v>672.50414038306337</v>
      </c>
    </row>
    <row r="1328" spans="1:6" x14ac:dyDescent="0.25">
      <c r="A1328">
        <v>260.8162305472797</v>
      </c>
      <c r="B1328">
        <v>-93.849433539606508</v>
      </c>
      <c r="C1328">
        <v>673.11769600000014</v>
      </c>
      <c r="E1328">
        <f t="shared" si="51"/>
        <v>-102.89461817836448</v>
      </c>
      <c r="F1328">
        <f t="shared" si="52"/>
        <v>681.08006350674077</v>
      </c>
    </row>
    <row r="1329" spans="1:6" x14ac:dyDescent="0.25">
      <c r="A1329">
        <v>271.28518265115355</v>
      </c>
      <c r="B1329">
        <v>-73.970340007661875</v>
      </c>
      <c r="C1329">
        <v>673.11769600000014</v>
      </c>
      <c r="E1329">
        <f t="shared" si="51"/>
        <v>-83.392995612512166</v>
      </c>
      <c r="F1329">
        <f t="shared" si="52"/>
        <v>688.25122388087675</v>
      </c>
    </row>
    <row r="1330" spans="1:6" x14ac:dyDescent="0.25">
      <c r="A1330">
        <v>280.20372815641701</v>
      </c>
      <c r="B1330">
        <v>-54.736598373695138</v>
      </c>
      <c r="C1330">
        <v>673.11769600000014</v>
      </c>
      <c r="E1330">
        <f t="shared" si="51"/>
        <v>-64.482223403722571</v>
      </c>
      <c r="F1330">
        <f t="shared" si="52"/>
        <v>694.41193203843329</v>
      </c>
    </row>
    <row r="1331" spans="1:6" x14ac:dyDescent="0.25">
      <c r="A1331">
        <v>288.01781178136827</v>
      </c>
      <c r="B1331">
        <v>-35.734695074465954</v>
      </c>
      <c r="C1331">
        <v>673.11769600000014</v>
      </c>
      <c r="E1331">
        <f t="shared" si="51"/>
        <v>-45.764603136271091</v>
      </c>
      <c r="F1331">
        <f t="shared" si="52"/>
        <v>699.85793743578415</v>
      </c>
    </row>
    <row r="1332" spans="1:6" x14ac:dyDescent="0.25">
      <c r="A1332">
        <v>293.6372803704898</v>
      </c>
      <c r="B1332">
        <v>-17.755030073716682</v>
      </c>
      <c r="C1332">
        <v>673.11769600000014</v>
      </c>
      <c r="E1332">
        <f t="shared" si="51"/>
        <v>-27.992007487141844</v>
      </c>
      <c r="F1332">
        <f t="shared" si="52"/>
        <v>703.87119898792969</v>
      </c>
    </row>
    <row r="1333" spans="1:6" x14ac:dyDescent="0.25">
      <c r="A1333">
        <v>296.26954257829527</v>
      </c>
      <c r="B1333">
        <v>0</v>
      </c>
      <c r="C1333">
        <v>673.11769600000014</v>
      </c>
      <c r="E1333">
        <f t="shared" si="51"/>
        <v>-10.339657924262637</v>
      </c>
      <c r="F1333">
        <f t="shared" si="52"/>
        <v>705.96045176029338</v>
      </c>
    </row>
    <row r="1334" spans="1:6" x14ac:dyDescent="0.25">
      <c r="A1334">
        <v>293.6372803704898</v>
      </c>
      <c r="B1334">
        <v>17.755030073716707</v>
      </c>
      <c r="C1334">
        <v>673.11769600000014</v>
      </c>
      <c r="E1334">
        <f t="shared" si="51"/>
        <v>7.4964208910994463</v>
      </c>
      <c r="F1334">
        <f t="shared" si="52"/>
        <v>704.66779489115117</v>
      </c>
    </row>
    <row r="1335" spans="1:6" x14ac:dyDescent="0.25">
      <c r="A1335">
        <v>288.01781178136838</v>
      </c>
      <c r="B1335">
        <v>35.734695074465925</v>
      </c>
      <c r="C1335">
        <v>673.11769600000014</v>
      </c>
      <c r="E1335">
        <f t="shared" si="51"/>
        <v>25.661249791220349</v>
      </c>
      <c r="F1335">
        <f t="shared" si="52"/>
        <v>701.46120769671859</v>
      </c>
    </row>
    <row r="1336" spans="1:6" x14ac:dyDescent="0.25">
      <c r="A1336">
        <v>280.20372815641701</v>
      </c>
      <c r="B1336">
        <v>54.736598373695138</v>
      </c>
      <c r="C1336">
        <v>673.11769600000014</v>
      </c>
      <c r="E1336">
        <f t="shared" si="51"/>
        <v>44.924285230075981</v>
      </c>
      <c r="F1336">
        <f t="shared" si="52"/>
        <v>696.86774032711139</v>
      </c>
    </row>
    <row r="1337" spans="1:6" x14ac:dyDescent="0.25">
      <c r="A1337">
        <v>271.28518265115343</v>
      </c>
      <c r="B1337">
        <v>73.970340007661846</v>
      </c>
      <c r="C1337">
        <v>673.11769600000014</v>
      </c>
      <c r="E1337">
        <f t="shared" si="51"/>
        <v>64.457562937769637</v>
      </c>
      <c r="F1337">
        <f t="shared" si="52"/>
        <v>691.56997183936232</v>
      </c>
    </row>
    <row r="1338" spans="1:6" x14ac:dyDescent="0.25">
      <c r="A1338">
        <v>260.8162305472797</v>
      </c>
      <c r="B1338">
        <v>93.849433539606537</v>
      </c>
      <c r="C1338">
        <v>673.11769600000014</v>
      </c>
      <c r="E1338">
        <f t="shared" si="51"/>
        <v>84.689907822477579</v>
      </c>
      <c r="F1338">
        <f t="shared" si="52"/>
        <v>685.29070544690683</v>
      </c>
    </row>
    <row r="1339" spans="1:6" x14ac:dyDescent="0.25">
      <c r="A1339">
        <v>248.19910534309918</v>
      </c>
      <c r="B1339">
        <v>114.83336791153656</v>
      </c>
      <c r="C1339">
        <v>673.11769600000014</v>
      </c>
      <c r="E1339">
        <f t="shared" si="51"/>
        <v>106.10139066801348</v>
      </c>
      <c r="F1339">
        <f t="shared" si="52"/>
        <v>677.65624601463094</v>
      </c>
    </row>
    <row r="1340" spans="1:6" x14ac:dyDescent="0.25">
      <c r="A1340">
        <v>232.58305146925943</v>
      </c>
      <c r="B1340">
        <v>137.47519128670569</v>
      </c>
      <c r="C1340">
        <v>673.11769600000014</v>
      </c>
      <c r="E1340">
        <f t="shared" si="51"/>
        <v>129.27441367682022</v>
      </c>
      <c r="F1340">
        <f t="shared" si="52"/>
        <v>668.13247804263051</v>
      </c>
    </row>
    <row r="1341" spans="1:6" x14ac:dyDescent="0.25">
      <c r="A1341">
        <v>212.69582683173783</v>
      </c>
      <c r="B1341">
        <v>162.48777974485549</v>
      </c>
      <c r="C1341">
        <v>673.11769600000014</v>
      </c>
      <c r="E1341">
        <f t="shared" si="51"/>
        <v>154.96581927255792</v>
      </c>
      <c r="F1341">
        <f t="shared" si="52"/>
        <v>655.91811017019199</v>
      </c>
    </row>
    <row r="1342" spans="1:6" x14ac:dyDescent="0.25">
      <c r="A1342">
        <v>188.51003111114613</v>
      </c>
      <c r="B1342">
        <v>188.51003111114611</v>
      </c>
      <c r="C1342">
        <v>673.11769600000014</v>
      </c>
      <c r="E1342">
        <f t="shared" si="51"/>
        <v>181.81629068441202</v>
      </c>
      <c r="F1342">
        <f t="shared" si="52"/>
        <v>640.96500698444584</v>
      </c>
    </row>
    <row r="1343" spans="1:6" x14ac:dyDescent="0.25">
      <c r="A1343">
        <v>162.48777974485549</v>
      </c>
      <c r="B1343">
        <v>212.6958268317378</v>
      </c>
      <c r="C1343">
        <v>673.11769600000014</v>
      </c>
      <c r="E1343">
        <f t="shared" si="51"/>
        <v>206.89551654747859</v>
      </c>
      <c r="F1343">
        <f t="shared" si="52"/>
        <v>624.79097481921406</v>
      </c>
    </row>
    <row r="1344" spans="1:6" x14ac:dyDescent="0.25">
      <c r="A1344">
        <v>137.47519128670586</v>
      </c>
      <c r="B1344">
        <v>232.58305146925943</v>
      </c>
      <c r="C1344">
        <v>673.11769600000014</v>
      </c>
      <c r="E1344">
        <f t="shared" si="51"/>
        <v>227.64355317350208</v>
      </c>
      <c r="F1344">
        <f t="shared" si="52"/>
        <v>609.16911641812135</v>
      </c>
    </row>
    <row r="1345" spans="1:6" x14ac:dyDescent="0.25">
      <c r="A1345">
        <v>114.83336791153675</v>
      </c>
      <c r="B1345">
        <v>248.19910534309923</v>
      </c>
      <c r="C1345">
        <v>673.11769600000014</v>
      </c>
      <c r="E1345">
        <f t="shared" si="51"/>
        <v>244.04028240947395</v>
      </c>
      <c r="F1345">
        <f t="shared" si="52"/>
        <v>594.97441309984674</v>
      </c>
    </row>
    <row r="1346" spans="1:6" x14ac:dyDescent="0.25">
      <c r="A1346">
        <v>93.849433539606622</v>
      </c>
      <c r="B1346">
        <v>260.8162305472797</v>
      </c>
      <c r="C1346">
        <v>673.11769600000014</v>
      </c>
      <c r="E1346">
        <f t="shared" si="51"/>
        <v>257.38205035030199</v>
      </c>
      <c r="F1346">
        <f t="shared" si="52"/>
        <v>581.77745625432976</v>
      </c>
    </row>
    <row r="1347" spans="1:6" x14ac:dyDescent="0.25">
      <c r="A1347">
        <v>73.970340007661946</v>
      </c>
      <c r="B1347">
        <v>271.28518265115343</v>
      </c>
      <c r="C1347">
        <v>673.11769600000014</v>
      </c>
      <c r="E1347">
        <f t="shared" si="51"/>
        <v>268.53839541058244</v>
      </c>
      <c r="F1347">
        <f t="shared" si="52"/>
        <v>569.24205490021643</v>
      </c>
    </row>
    <row r="1348" spans="1:6" x14ac:dyDescent="0.25">
      <c r="A1348">
        <v>54.736598373695095</v>
      </c>
      <c r="B1348">
        <v>280.20372815641713</v>
      </c>
      <c r="C1348">
        <v>673.11769600000014</v>
      </c>
      <c r="E1348">
        <f t="shared" si="51"/>
        <v>278.12275588162674</v>
      </c>
      <c r="F1348">
        <f t="shared" si="52"/>
        <v>557.08644483480191</v>
      </c>
    </row>
    <row r="1349" spans="1:6" x14ac:dyDescent="0.25">
      <c r="A1349">
        <v>35.734695074465925</v>
      </c>
      <c r="B1349">
        <v>288.01781178136849</v>
      </c>
      <c r="C1349">
        <v>673.11769600000014</v>
      </c>
      <c r="E1349">
        <f t="shared" si="51"/>
        <v>286.59523623949599</v>
      </c>
      <c r="F1349">
        <f t="shared" si="52"/>
        <v>545.05499044406645</v>
      </c>
    </row>
    <row r="1350" spans="1:6" x14ac:dyDescent="0.25">
      <c r="A1350">
        <v>17.755030073716693</v>
      </c>
      <c r="B1350">
        <v>293.6372803704898</v>
      </c>
      <c r="C1350">
        <v>673.11769600000014</v>
      </c>
      <c r="E1350">
        <f t="shared" si="51"/>
        <v>292.83876285959144</v>
      </c>
      <c r="F1350">
        <f t="shared" si="52"/>
        <v>533.63098616883724</v>
      </c>
    </row>
    <row r="1351" spans="1:6" x14ac:dyDescent="0.25">
      <c r="A1351">
        <v>1.81487086163141E-14</v>
      </c>
      <c r="B1351">
        <v>296.26954257829527</v>
      </c>
      <c r="C1351">
        <v>673.11769600000014</v>
      </c>
      <c r="E1351">
        <f t="shared" si="51"/>
        <v>296.08906317789177</v>
      </c>
      <c r="F1351">
        <f t="shared" si="52"/>
        <v>522.28427458796295</v>
      </c>
    </row>
    <row r="1352" spans="1:6" x14ac:dyDescent="0.25">
      <c r="A1352">
        <v>-17.755030073716693</v>
      </c>
      <c r="B1352">
        <v>293.6372803704898</v>
      </c>
      <c r="C1352">
        <v>673.11769600000014</v>
      </c>
      <c r="E1352">
        <f t="shared" si="51"/>
        <v>294.07804608661246</v>
      </c>
      <c r="F1352">
        <f t="shared" si="52"/>
        <v>510.81946412005561</v>
      </c>
    </row>
    <row r="1353" spans="1:6" x14ac:dyDescent="0.25">
      <c r="A1353">
        <v>-35.734695074465904</v>
      </c>
      <c r="B1353">
        <v>288.01781178136849</v>
      </c>
      <c r="C1353">
        <v>673.11769600000014</v>
      </c>
      <c r="E1353">
        <f t="shared" si="51"/>
        <v>289.08948198532835</v>
      </c>
      <c r="F1353">
        <f t="shared" si="52"/>
        <v>499.14333717098191</v>
      </c>
    </row>
    <row r="1354" spans="1:6" x14ac:dyDescent="0.25">
      <c r="A1354">
        <v>-54.736598373695074</v>
      </c>
      <c r="B1354">
        <v>280.20372815641724</v>
      </c>
      <c r="C1354">
        <v>673.11769600000014</v>
      </c>
      <c r="E1354">
        <f t="shared" si="51"/>
        <v>281.9433153505247</v>
      </c>
      <c r="F1354">
        <f t="shared" si="52"/>
        <v>486.76129666593283</v>
      </c>
    </row>
    <row r="1355" spans="1:6" x14ac:dyDescent="0.25">
      <c r="A1355">
        <v>-73.970340007661761</v>
      </c>
      <c r="B1355">
        <v>271.28518265115355</v>
      </c>
      <c r="C1355">
        <v>673.11769600000014</v>
      </c>
      <c r="E1355">
        <f t="shared" si="51"/>
        <v>273.7014506849431</v>
      </c>
      <c r="F1355">
        <f t="shared" si="52"/>
        <v>474.2055477788611</v>
      </c>
    </row>
    <row r="1356" spans="1:6" x14ac:dyDescent="0.25">
      <c r="A1356">
        <v>-93.84943353960638</v>
      </c>
      <c r="B1356">
        <v>260.81623054727982</v>
      </c>
      <c r="C1356">
        <v>673.11769600000014</v>
      </c>
      <c r="E1356">
        <f t="shared" si="51"/>
        <v>263.93264634299629</v>
      </c>
      <c r="F1356">
        <f t="shared" si="52"/>
        <v>461.20044717206605</v>
      </c>
    </row>
    <row r="1357" spans="1:6" x14ac:dyDescent="0.25">
      <c r="A1357">
        <v>-114.83336791153667</v>
      </c>
      <c r="B1357">
        <v>248.19910534309915</v>
      </c>
      <c r="C1357">
        <v>673.11769600000014</v>
      </c>
      <c r="E1357">
        <f t="shared" si="51"/>
        <v>252.05553589900538</v>
      </c>
      <c r="F1357">
        <f t="shared" si="52"/>
        <v>447.43741129393948</v>
      </c>
    </row>
    <row r="1358" spans="1:6" x14ac:dyDescent="0.25">
      <c r="A1358">
        <v>-137.47519128670578</v>
      </c>
      <c r="B1358">
        <v>232.58305146925943</v>
      </c>
      <c r="C1358">
        <v>673.11769600000014</v>
      </c>
      <c r="E1358">
        <f t="shared" si="51"/>
        <v>237.23918314347429</v>
      </c>
      <c r="F1358">
        <f t="shared" si="52"/>
        <v>432.54207922489746</v>
      </c>
    </row>
    <row r="1359" spans="1:6" x14ac:dyDescent="0.25">
      <c r="A1359">
        <v>-162.48777974485549</v>
      </c>
      <c r="B1359">
        <v>212.69582683173783</v>
      </c>
      <c r="C1359">
        <v>673.11769600000014</v>
      </c>
      <c r="E1359">
        <f t="shared" si="51"/>
        <v>218.23700001428324</v>
      </c>
      <c r="F1359">
        <f t="shared" si="52"/>
        <v>416.02796203252592</v>
      </c>
    </row>
    <row r="1360" spans="1:6" x14ac:dyDescent="0.25">
      <c r="A1360">
        <v>-188.51003111114613</v>
      </c>
      <c r="B1360">
        <v>188.51003111114619</v>
      </c>
      <c r="C1360">
        <v>673.11769600000014</v>
      </c>
      <c r="E1360">
        <f t="shared" si="51"/>
        <v>194.97410110271576</v>
      </c>
      <c r="F1360">
        <f t="shared" si="52"/>
        <v>398.76881169474342</v>
      </c>
    </row>
    <row r="1361" spans="1:6" x14ac:dyDescent="0.25">
      <c r="A1361">
        <v>-212.6958268317378</v>
      </c>
      <c r="B1361">
        <v>162.48777974485549</v>
      </c>
      <c r="C1361">
        <v>673.11769600000014</v>
      </c>
      <c r="E1361">
        <f t="shared" si="51"/>
        <v>169.81177388685788</v>
      </c>
      <c r="F1361">
        <f t="shared" si="52"/>
        <v>382.64819604943403</v>
      </c>
    </row>
    <row r="1362" spans="1:6" x14ac:dyDescent="0.25">
      <c r="A1362">
        <v>-232.58305146925932</v>
      </c>
      <c r="B1362">
        <v>137.47519128670586</v>
      </c>
      <c r="C1362">
        <v>673.11769600000014</v>
      </c>
      <c r="E1362">
        <f t="shared" si="51"/>
        <v>145.50847655243851</v>
      </c>
      <c r="F1362">
        <f t="shared" si="52"/>
        <v>369.31161518090369</v>
      </c>
    </row>
    <row r="1363" spans="1:6" x14ac:dyDescent="0.25">
      <c r="A1363">
        <v>-248.19910534309923</v>
      </c>
      <c r="B1363">
        <v>114.83336791153675</v>
      </c>
      <c r="C1363">
        <v>673.11769600000014</v>
      </c>
      <c r="E1363">
        <f t="shared" si="51"/>
        <v>123.4254383849841</v>
      </c>
      <c r="F1363">
        <f t="shared" si="52"/>
        <v>358.77200078863592</v>
      </c>
    </row>
    <row r="1364" spans="1:6" x14ac:dyDescent="0.25">
      <c r="A1364">
        <v>-260.81623054727964</v>
      </c>
      <c r="B1364">
        <v>93.849433539606636</v>
      </c>
      <c r="C1364">
        <v>673.11769600000014</v>
      </c>
      <c r="E1364">
        <f t="shared" ref="E1364:E1427" si="53">($I$2*A1364)+($K$2*B1364)+($M$2*C1364)</f>
        <v>102.89461817836478</v>
      </c>
      <c r="F1364">
        <f t="shared" ref="F1364:F1427" si="54">($J$2*A1364)+($L$2*B1364)+($N$2*C1364)</f>
        <v>350.19607766495858</v>
      </c>
    </row>
    <row r="1365" spans="1:6" x14ac:dyDescent="0.25">
      <c r="A1365">
        <v>-271.28518265115343</v>
      </c>
      <c r="B1365">
        <v>73.97034000766196</v>
      </c>
      <c r="C1365">
        <v>673.11769600000014</v>
      </c>
      <c r="E1365">
        <f t="shared" si="53"/>
        <v>83.392995612512408</v>
      </c>
      <c r="F1365">
        <f t="shared" si="54"/>
        <v>343.0249172908226</v>
      </c>
    </row>
    <row r="1366" spans="1:6" x14ac:dyDescent="0.25">
      <c r="A1366">
        <v>-280.20372815641713</v>
      </c>
      <c r="B1366">
        <v>54.736598373695102</v>
      </c>
      <c r="C1366">
        <v>673.11769600000014</v>
      </c>
      <c r="E1366">
        <f t="shared" si="53"/>
        <v>64.482223403722713</v>
      </c>
      <c r="F1366">
        <f t="shared" si="54"/>
        <v>336.86420913326589</v>
      </c>
    </row>
    <row r="1367" spans="1:6" x14ac:dyDescent="0.25">
      <c r="A1367">
        <v>-288.01781178136827</v>
      </c>
      <c r="B1367">
        <v>35.734695074465911</v>
      </c>
      <c r="C1367">
        <v>673.11769600000014</v>
      </c>
      <c r="E1367">
        <f t="shared" si="53"/>
        <v>45.764603136271219</v>
      </c>
      <c r="F1367">
        <f t="shared" si="54"/>
        <v>331.41820373591509</v>
      </c>
    </row>
    <row r="1368" spans="1:6" x14ac:dyDescent="0.25">
      <c r="A1368">
        <v>-285.84596740965407</v>
      </c>
      <c r="B1368">
        <v>-3.4250619900972966E-14</v>
      </c>
      <c r="C1368">
        <v>729.41756800000007</v>
      </c>
      <c r="E1368">
        <f t="shared" si="53"/>
        <v>9.9758803970365086</v>
      </c>
      <c r="F1368">
        <f t="shared" si="54"/>
        <v>375.1399569250724</v>
      </c>
    </row>
    <row r="1369" spans="1:6" x14ac:dyDescent="0.25">
      <c r="A1369">
        <v>-283.84674929346318</v>
      </c>
      <c r="B1369">
        <v>-17.382680305756335</v>
      </c>
      <c r="C1369">
        <v>729.41756800000007</v>
      </c>
      <c r="E1369">
        <f t="shared" si="53"/>
        <v>-7.4659825555954127</v>
      </c>
      <c r="F1369">
        <f t="shared" si="54"/>
        <v>376.03430168504701</v>
      </c>
    </row>
    <row r="1370" spans="1:6" x14ac:dyDescent="0.25">
      <c r="A1370">
        <v>-278.88232772176121</v>
      </c>
      <c r="B1370">
        <v>-35.920766314755234</v>
      </c>
      <c r="C1370">
        <v>729.41756800000007</v>
      </c>
      <c r="E1370">
        <f t="shared" si="53"/>
        <v>-26.166031477751385</v>
      </c>
      <c r="F1370">
        <f t="shared" si="54"/>
        <v>378.80756223051264</v>
      </c>
    </row>
    <row r="1371" spans="1:6" x14ac:dyDescent="0.25">
      <c r="A1371">
        <v>-272.32271016332334</v>
      </c>
      <c r="B1371">
        <v>-53.508541251411664</v>
      </c>
      <c r="C1371">
        <v>729.41756800000007</v>
      </c>
      <c r="E1371">
        <f t="shared" si="53"/>
        <v>-43.972019768472549</v>
      </c>
      <c r="F1371">
        <f t="shared" si="54"/>
        <v>382.62688865636113</v>
      </c>
    </row>
    <row r="1372" spans="1:6" x14ac:dyDescent="0.25">
      <c r="A1372">
        <v>-263.66578466777401</v>
      </c>
      <c r="B1372">
        <v>-72.574045530722927</v>
      </c>
      <c r="C1372">
        <v>729.41756800000007</v>
      </c>
      <c r="E1372">
        <f t="shared" si="53"/>
        <v>-63.328032200495258</v>
      </c>
      <c r="F1372">
        <f t="shared" si="54"/>
        <v>387.76036754819597</v>
      </c>
    </row>
    <row r="1373" spans="1:6" x14ac:dyDescent="0.25">
      <c r="A1373">
        <v>-253.41667855774401</v>
      </c>
      <c r="B1373">
        <v>-92.321277154094702</v>
      </c>
      <c r="C1373">
        <v>729.41756800000007</v>
      </c>
      <c r="E1373">
        <f t="shared" si="53"/>
        <v>-83.420922988805003</v>
      </c>
      <c r="F1373">
        <f t="shared" si="54"/>
        <v>393.90136379806768</v>
      </c>
    </row>
    <row r="1374" spans="1:6" x14ac:dyDescent="0.25">
      <c r="A1374">
        <v>-240.9859577583006</v>
      </c>
      <c r="B1374">
        <v>-113.20311256117407</v>
      </c>
      <c r="C1374">
        <v>729.41756800000007</v>
      </c>
      <c r="E1374">
        <f t="shared" si="53"/>
        <v>-104.72386364551258</v>
      </c>
      <c r="F1374">
        <f t="shared" si="54"/>
        <v>401.41836816115443</v>
      </c>
    </row>
    <row r="1375" spans="1:6" x14ac:dyDescent="0.25">
      <c r="A1375">
        <v>-225.52855450654278</v>
      </c>
      <c r="B1375">
        <v>-135.76834314772927</v>
      </c>
      <c r="C1375">
        <v>729.41756800000007</v>
      </c>
      <c r="E1375">
        <f t="shared" si="53"/>
        <v>-127.81480369710053</v>
      </c>
      <c r="F1375">
        <f t="shared" si="54"/>
        <v>410.84193780492689</v>
      </c>
    </row>
    <row r="1376" spans="1:6" x14ac:dyDescent="0.25">
      <c r="A1376">
        <v>-206.71177604848987</v>
      </c>
      <c r="B1376">
        <v>-159.39116912214476</v>
      </c>
      <c r="C1376">
        <v>729.41756800000007</v>
      </c>
      <c r="E1376">
        <f t="shared" si="53"/>
        <v>-152.0799353819483</v>
      </c>
      <c r="F1376">
        <f t="shared" si="54"/>
        <v>422.39983178159605</v>
      </c>
    </row>
    <row r="1377" spans="1:6" x14ac:dyDescent="0.25">
      <c r="A1377">
        <v>-184.00662204909847</v>
      </c>
      <c r="B1377">
        <v>-184.0066220490985</v>
      </c>
      <c r="C1377">
        <v>729.41756800000007</v>
      </c>
      <c r="E1377">
        <f t="shared" si="53"/>
        <v>-177.47279168719777</v>
      </c>
      <c r="F1377">
        <f t="shared" si="54"/>
        <v>436.43333524657311</v>
      </c>
    </row>
    <row r="1378" spans="1:6" x14ac:dyDescent="0.25">
      <c r="A1378">
        <v>-159.3911691221447</v>
      </c>
      <c r="B1378">
        <v>-206.71177604848987</v>
      </c>
      <c r="C1378">
        <v>729.41756800000007</v>
      </c>
      <c r="E1378">
        <f t="shared" si="53"/>
        <v>-201.02318123850023</v>
      </c>
      <c r="F1378">
        <f t="shared" si="54"/>
        <v>451.7368608466362</v>
      </c>
    </row>
    <row r="1379" spans="1:6" x14ac:dyDescent="0.25">
      <c r="A1379">
        <v>-135.76834314772921</v>
      </c>
      <c r="B1379">
        <v>-225.52855450654286</v>
      </c>
      <c r="C1379">
        <v>729.41756800000007</v>
      </c>
      <c r="E1379">
        <f t="shared" si="53"/>
        <v>-220.6529217607268</v>
      </c>
      <c r="F1379">
        <f t="shared" si="54"/>
        <v>466.48995461114413</v>
      </c>
    </row>
    <row r="1380" spans="1:6" x14ac:dyDescent="0.25">
      <c r="A1380">
        <v>-113.20311256117419</v>
      </c>
      <c r="B1380">
        <v>-240.98595775830057</v>
      </c>
      <c r="C1380">
        <v>729.41756800000007</v>
      </c>
      <c r="E1380">
        <f t="shared" si="53"/>
        <v>-236.88842397051522</v>
      </c>
      <c r="F1380">
        <f t="shared" si="54"/>
        <v>480.63901402895999</v>
      </c>
    </row>
    <row r="1381" spans="1:6" x14ac:dyDescent="0.25">
      <c r="A1381">
        <v>-92.321277154094659</v>
      </c>
      <c r="B1381">
        <v>-253.41667855774412</v>
      </c>
      <c r="C1381">
        <v>729.41756800000007</v>
      </c>
      <c r="E1381">
        <f t="shared" si="53"/>
        <v>-250.04033785664618</v>
      </c>
      <c r="F1381">
        <f t="shared" si="54"/>
        <v>493.77456450699577</v>
      </c>
    </row>
    <row r="1382" spans="1:6" x14ac:dyDescent="0.25">
      <c r="A1382">
        <v>-72.574045530722898</v>
      </c>
      <c r="B1382">
        <v>-263.66578466777418</v>
      </c>
      <c r="C1382">
        <v>729.41756800000007</v>
      </c>
      <c r="E1382">
        <f t="shared" si="53"/>
        <v>-260.97236893307894</v>
      </c>
      <c r="F1382">
        <f t="shared" si="54"/>
        <v>506.23019009038359</v>
      </c>
    </row>
    <row r="1383" spans="1:6" x14ac:dyDescent="0.25">
      <c r="A1383">
        <v>-53.508541251411586</v>
      </c>
      <c r="B1383">
        <v>-272.32271016332362</v>
      </c>
      <c r="C1383">
        <v>729.41756800000007</v>
      </c>
      <c r="E1383">
        <f t="shared" si="53"/>
        <v>-270.28939736724607</v>
      </c>
      <c r="F1383">
        <f t="shared" si="54"/>
        <v>518.28359405752224</v>
      </c>
    </row>
    <row r="1384" spans="1:6" x14ac:dyDescent="0.25">
      <c r="A1384">
        <v>-35.920766314755241</v>
      </c>
      <c r="B1384">
        <v>-278.88232772176121</v>
      </c>
      <c r="C1384">
        <v>729.41756800000007</v>
      </c>
      <c r="E1384">
        <f t="shared" si="53"/>
        <v>-277.45882347730821</v>
      </c>
      <c r="F1384">
        <f t="shared" si="54"/>
        <v>529.43475937908852</v>
      </c>
    </row>
    <row r="1385" spans="1:6" x14ac:dyDescent="0.25">
      <c r="A1385">
        <v>-17.382680305756274</v>
      </c>
      <c r="B1385">
        <v>-283.84674929346312</v>
      </c>
      <c r="C1385">
        <v>729.41756800000007</v>
      </c>
      <c r="E1385">
        <f t="shared" si="53"/>
        <v>-283.06719072906452</v>
      </c>
      <c r="F1385">
        <f t="shared" si="54"/>
        <v>541.23218574534292</v>
      </c>
    </row>
    <row r="1386" spans="1:6" x14ac:dyDescent="0.25">
      <c r="A1386">
        <v>1.7510187265689871E-14</v>
      </c>
      <c r="B1386">
        <v>-285.84596740965407</v>
      </c>
      <c r="C1386">
        <v>729.41756800000007</v>
      </c>
      <c r="E1386">
        <f t="shared" si="53"/>
        <v>-285.67183776960758</v>
      </c>
      <c r="F1386">
        <f t="shared" si="54"/>
        <v>552.35390236482954</v>
      </c>
    </row>
    <row r="1387" spans="1:6" x14ac:dyDescent="0.25">
      <c r="A1387">
        <v>17.382680305756313</v>
      </c>
      <c r="B1387">
        <v>-283.84674929346318</v>
      </c>
      <c r="C1387">
        <v>729.41756800000007</v>
      </c>
      <c r="E1387">
        <f t="shared" si="53"/>
        <v>-284.28048431708737</v>
      </c>
      <c r="F1387">
        <f t="shared" si="54"/>
        <v>563.56531576063196</v>
      </c>
    </row>
    <row r="1388" spans="1:6" x14ac:dyDescent="0.25">
      <c r="A1388">
        <v>35.920766314755227</v>
      </c>
      <c r="B1388">
        <v>-278.88232772176127</v>
      </c>
      <c r="C1388">
        <v>729.41756800000007</v>
      </c>
      <c r="E1388">
        <f t="shared" si="53"/>
        <v>-279.96605680841452</v>
      </c>
      <c r="F1388">
        <f t="shared" si="54"/>
        <v>575.585475508326</v>
      </c>
    </row>
    <row r="1389" spans="1:6" x14ac:dyDescent="0.25">
      <c r="A1389">
        <v>53.50854125141155</v>
      </c>
      <c r="B1389">
        <v>-272.32271016332351</v>
      </c>
      <c r="C1389">
        <v>729.41756800000007</v>
      </c>
      <c r="E1389">
        <f t="shared" si="53"/>
        <v>-274.02423968516456</v>
      </c>
      <c r="F1389">
        <f t="shared" si="54"/>
        <v>587.03094415982514</v>
      </c>
    </row>
    <row r="1390" spans="1:6" x14ac:dyDescent="0.25">
      <c r="A1390">
        <v>72.574045530722913</v>
      </c>
      <c r="B1390">
        <v>-263.66578466777401</v>
      </c>
      <c r="C1390">
        <v>729.41756800000007</v>
      </c>
      <c r="E1390">
        <f t="shared" si="53"/>
        <v>-266.03796425845201</v>
      </c>
      <c r="F1390">
        <f t="shared" si="54"/>
        <v>599.47274912406795</v>
      </c>
    </row>
    <row r="1391" spans="1:6" x14ac:dyDescent="0.25">
      <c r="A1391">
        <v>92.321277154094673</v>
      </c>
      <c r="B1391">
        <v>-253.41667855774401</v>
      </c>
      <c r="C1391">
        <v>729.41756800000007</v>
      </c>
      <c r="E1391">
        <f t="shared" si="53"/>
        <v>-256.48427007186604</v>
      </c>
      <c r="F1391">
        <f t="shared" si="54"/>
        <v>612.38821036557829</v>
      </c>
    </row>
    <row r="1392" spans="1:6" x14ac:dyDescent="0.25">
      <c r="A1392">
        <v>113.20311256117407</v>
      </c>
      <c r="B1392">
        <v>-240.9859577583006</v>
      </c>
      <c r="C1392">
        <v>729.41756800000007</v>
      </c>
      <c r="E1392">
        <f t="shared" si="53"/>
        <v>-244.78988727759838</v>
      </c>
      <c r="F1392">
        <f t="shared" si="54"/>
        <v>626.08147666959758</v>
      </c>
    </row>
    <row r="1393" spans="1:6" x14ac:dyDescent="0.25">
      <c r="A1393">
        <v>135.76834314772913</v>
      </c>
      <c r="B1393">
        <v>-225.52855450654297</v>
      </c>
      <c r="C1393">
        <v>729.41756800000007</v>
      </c>
      <c r="E1393">
        <f t="shared" si="53"/>
        <v>-230.12941544870333</v>
      </c>
      <c r="F1393">
        <f t="shared" si="54"/>
        <v>640.9240468307728</v>
      </c>
    </row>
    <row r="1394" spans="1:6" x14ac:dyDescent="0.25">
      <c r="A1394">
        <v>159.39116912214476</v>
      </c>
      <c r="B1394">
        <v>-206.71177604848987</v>
      </c>
      <c r="C1394">
        <v>729.41756800000007</v>
      </c>
      <c r="E1394">
        <f t="shared" si="53"/>
        <v>-212.14852440087242</v>
      </c>
      <c r="F1394">
        <f t="shared" si="54"/>
        <v>656.52137282520539</v>
      </c>
    </row>
    <row r="1395" spans="1:6" x14ac:dyDescent="0.25">
      <c r="A1395">
        <v>184.00662204909855</v>
      </c>
      <c r="B1395">
        <v>-184.0066220490985</v>
      </c>
      <c r="C1395">
        <v>729.41756800000007</v>
      </c>
      <c r="E1395">
        <f t="shared" si="53"/>
        <v>-190.3162686860795</v>
      </c>
      <c r="F1395">
        <f t="shared" si="54"/>
        <v>672.84358623277046</v>
      </c>
    </row>
    <row r="1396" spans="1:6" x14ac:dyDescent="0.25">
      <c r="A1396">
        <v>206.71177604848995</v>
      </c>
      <c r="B1396">
        <v>-159.3911691221447</v>
      </c>
      <c r="C1396">
        <v>729.41756800000007</v>
      </c>
      <c r="E1396">
        <f t="shared" si="53"/>
        <v>-166.50820927509307</v>
      </c>
      <c r="F1396">
        <f t="shared" si="54"/>
        <v>687.98148483963905</v>
      </c>
    </row>
    <row r="1397" spans="1:6" x14ac:dyDescent="0.25">
      <c r="A1397">
        <v>225.5285545065428</v>
      </c>
      <c r="B1397">
        <v>-135.76834314772921</v>
      </c>
      <c r="C1397">
        <v>729.41756800000007</v>
      </c>
      <c r="E1397">
        <f t="shared" si="53"/>
        <v>-143.55646978574234</v>
      </c>
      <c r="F1397">
        <f t="shared" si="54"/>
        <v>700.59923882868793</v>
      </c>
    </row>
    <row r="1398" spans="1:6" x14ac:dyDescent="0.25">
      <c r="A1398">
        <v>240.98595775830066</v>
      </c>
      <c r="B1398">
        <v>-113.20311256117411</v>
      </c>
      <c r="C1398">
        <v>729.41756800000007</v>
      </c>
      <c r="E1398">
        <f t="shared" si="53"/>
        <v>-121.54444092178237</v>
      </c>
      <c r="F1398">
        <f t="shared" si="54"/>
        <v>711.03521848617845</v>
      </c>
    </row>
    <row r="1399" spans="1:6" x14ac:dyDescent="0.25">
      <c r="A1399">
        <v>253.41667855774406</v>
      </c>
      <c r="B1399">
        <v>-92.321277154094673</v>
      </c>
      <c r="C1399">
        <v>729.41756800000007</v>
      </c>
      <c r="E1399">
        <f t="shared" si="53"/>
        <v>-101.10915206417449</v>
      </c>
      <c r="F1399">
        <f t="shared" si="54"/>
        <v>719.48910577584775</v>
      </c>
    </row>
    <row r="1400" spans="1:6" x14ac:dyDescent="0.25">
      <c r="A1400">
        <v>263.66578466777401</v>
      </c>
      <c r="B1400">
        <v>-72.574045530722898</v>
      </c>
      <c r="C1400">
        <v>729.41756800000007</v>
      </c>
      <c r="E1400">
        <f t="shared" si="53"/>
        <v>-81.731638565645909</v>
      </c>
      <c r="F1400">
        <f t="shared" si="54"/>
        <v>726.51607990048683</v>
      </c>
    </row>
    <row r="1401" spans="1:6" x14ac:dyDescent="0.25">
      <c r="A1401">
        <v>272.32271016332334</v>
      </c>
      <c r="B1401">
        <v>-53.508541251411586</v>
      </c>
      <c r="C1401">
        <v>729.41756800000007</v>
      </c>
      <c r="E1401">
        <f t="shared" si="53"/>
        <v>-62.979870819194595</v>
      </c>
      <c r="F1401">
        <f t="shared" si="54"/>
        <v>732.50495033706659</v>
      </c>
    </row>
    <row r="1402" spans="1:6" x14ac:dyDescent="0.25">
      <c r="A1402">
        <v>278.88232772176121</v>
      </c>
      <c r="B1402">
        <v>-35.920766314755276</v>
      </c>
      <c r="C1402">
        <v>729.41756800000007</v>
      </c>
      <c r="E1402">
        <f t="shared" si="53"/>
        <v>-45.631737231174291</v>
      </c>
      <c r="F1402">
        <f t="shared" si="54"/>
        <v>737.11336860917788</v>
      </c>
    </row>
    <row r="1403" spans="1:6" x14ac:dyDescent="0.25">
      <c r="A1403">
        <v>283.84674929346318</v>
      </c>
      <c r="B1403">
        <v>-17.382680305756246</v>
      </c>
      <c r="C1403">
        <v>729.41756800000007</v>
      </c>
      <c r="E1403">
        <f t="shared" si="53"/>
        <v>-27.278199937561062</v>
      </c>
      <c r="F1403">
        <f t="shared" si="54"/>
        <v>740.71835758917859</v>
      </c>
    </row>
    <row r="1404" spans="1:6" x14ac:dyDescent="0.25">
      <c r="A1404">
        <v>285.84596740965407</v>
      </c>
      <c r="B1404">
        <v>0</v>
      </c>
      <c r="C1404">
        <v>729.41756800000007</v>
      </c>
      <c r="E1404">
        <f t="shared" si="53"/>
        <v>-9.9758803970363648</v>
      </c>
      <c r="F1404">
        <f t="shared" si="54"/>
        <v>742.39259243444633</v>
      </c>
    </row>
    <row r="1405" spans="1:6" x14ac:dyDescent="0.25">
      <c r="A1405">
        <v>283.84674929346318</v>
      </c>
      <c r="B1405">
        <v>17.382680305756296</v>
      </c>
      <c r="C1405">
        <v>729.41756800000007</v>
      </c>
      <c r="E1405">
        <f t="shared" si="53"/>
        <v>7.465982555595553</v>
      </c>
      <c r="F1405">
        <f t="shared" si="54"/>
        <v>741.49824767447171</v>
      </c>
    </row>
    <row r="1406" spans="1:6" x14ac:dyDescent="0.25">
      <c r="A1406">
        <v>278.88232772176138</v>
      </c>
      <c r="B1406">
        <v>35.920766314755248</v>
      </c>
      <c r="C1406">
        <v>729.41756800000007</v>
      </c>
      <c r="E1406">
        <f t="shared" si="53"/>
        <v>26.166031477751574</v>
      </c>
      <c r="F1406">
        <f t="shared" si="54"/>
        <v>738.72498712900619</v>
      </c>
    </row>
    <row r="1407" spans="1:6" x14ac:dyDescent="0.25">
      <c r="A1407">
        <v>272.32271016332334</v>
      </c>
      <c r="B1407">
        <v>53.508541251411586</v>
      </c>
      <c r="C1407">
        <v>729.41756800000007</v>
      </c>
      <c r="E1407">
        <f t="shared" si="53"/>
        <v>43.972019768472656</v>
      </c>
      <c r="F1407">
        <f t="shared" si="54"/>
        <v>734.90566070315754</v>
      </c>
    </row>
    <row r="1408" spans="1:6" x14ac:dyDescent="0.25">
      <c r="A1408">
        <v>263.66578466777401</v>
      </c>
      <c r="B1408">
        <v>72.574045530722898</v>
      </c>
      <c r="C1408">
        <v>729.41756800000007</v>
      </c>
      <c r="E1408">
        <f t="shared" si="53"/>
        <v>63.328032200495414</v>
      </c>
      <c r="F1408">
        <f t="shared" si="54"/>
        <v>729.77218181132275</v>
      </c>
    </row>
    <row r="1409" spans="1:6" x14ac:dyDescent="0.25">
      <c r="A1409">
        <v>253.41667855774406</v>
      </c>
      <c r="B1409">
        <v>92.321277154094673</v>
      </c>
      <c r="C1409">
        <v>729.41756800000007</v>
      </c>
      <c r="E1409">
        <f t="shared" si="53"/>
        <v>83.420922988805145</v>
      </c>
      <c r="F1409">
        <f t="shared" si="54"/>
        <v>723.63118556145105</v>
      </c>
    </row>
    <row r="1410" spans="1:6" x14ac:dyDescent="0.25">
      <c r="A1410">
        <v>240.98595775830066</v>
      </c>
      <c r="B1410">
        <v>113.20311256117405</v>
      </c>
      <c r="C1410">
        <v>729.41756800000007</v>
      </c>
      <c r="E1410">
        <f t="shared" si="53"/>
        <v>104.72386364551274</v>
      </c>
      <c r="F1410">
        <f t="shared" si="54"/>
        <v>716.11418119836435</v>
      </c>
    </row>
    <row r="1411" spans="1:6" x14ac:dyDescent="0.25">
      <c r="A1411">
        <v>225.5285545065428</v>
      </c>
      <c r="B1411">
        <v>135.7683431477291</v>
      </c>
      <c r="C1411">
        <v>729.41756800000007</v>
      </c>
      <c r="E1411">
        <f t="shared" si="53"/>
        <v>127.81480369710053</v>
      </c>
      <c r="F1411">
        <f t="shared" si="54"/>
        <v>706.6906115545919</v>
      </c>
    </row>
    <row r="1412" spans="1:6" x14ac:dyDescent="0.25">
      <c r="A1412">
        <v>206.71177604848987</v>
      </c>
      <c r="B1412">
        <v>159.3911691221447</v>
      </c>
      <c r="C1412">
        <v>729.41756800000007</v>
      </c>
      <c r="E1412">
        <f t="shared" si="53"/>
        <v>152.07993538194842</v>
      </c>
      <c r="F1412">
        <f t="shared" si="54"/>
        <v>695.13271757792268</v>
      </c>
    </row>
    <row r="1413" spans="1:6" x14ac:dyDescent="0.25">
      <c r="A1413">
        <v>184.00662204909855</v>
      </c>
      <c r="B1413">
        <v>184.0066220490985</v>
      </c>
      <c r="C1413">
        <v>729.41756800000007</v>
      </c>
      <c r="E1413">
        <f t="shared" si="53"/>
        <v>177.47279168719794</v>
      </c>
      <c r="F1413">
        <f t="shared" si="54"/>
        <v>681.09921411294567</v>
      </c>
    </row>
    <row r="1414" spans="1:6" x14ac:dyDescent="0.25">
      <c r="A1414">
        <v>159.39116912214476</v>
      </c>
      <c r="B1414">
        <v>206.71177604848987</v>
      </c>
      <c r="C1414">
        <v>729.41756800000007</v>
      </c>
      <c r="E1414">
        <f t="shared" si="53"/>
        <v>201.0231812385004</v>
      </c>
      <c r="F1414">
        <f t="shared" si="54"/>
        <v>665.79568851288263</v>
      </c>
    </row>
    <row r="1415" spans="1:6" x14ac:dyDescent="0.25">
      <c r="A1415">
        <v>135.76834314772924</v>
      </c>
      <c r="B1415">
        <v>225.52855450654286</v>
      </c>
      <c r="C1415">
        <v>729.41756800000007</v>
      </c>
      <c r="E1415">
        <f t="shared" si="53"/>
        <v>220.65292176072697</v>
      </c>
      <c r="F1415">
        <f t="shared" si="54"/>
        <v>651.04259474837465</v>
      </c>
    </row>
    <row r="1416" spans="1:6" x14ac:dyDescent="0.25">
      <c r="A1416">
        <v>113.20311256117429</v>
      </c>
      <c r="B1416">
        <v>240.98595775830071</v>
      </c>
      <c r="C1416">
        <v>729.41756800000007</v>
      </c>
      <c r="E1416">
        <f t="shared" si="53"/>
        <v>236.88842397051553</v>
      </c>
      <c r="F1416">
        <f t="shared" si="54"/>
        <v>636.89353533055885</v>
      </c>
    </row>
    <row r="1417" spans="1:6" x14ac:dyDescent="0.25">
      <c r="A1417">
        <v>92.321277154094815</v>
      </c>
      <c r="B1417">
        <v>253.41667855774412</v>
      </c>
      <c r="C1417">
        <v>729.41756800000007</v>
      </c>
      <c r="E1417">
        <f t="shared" si="53"/>
        <v>250.04033785664632</v>
      </c>
      <c r="F1417">
        <f t="shared" si="54"/>
        <v>623.75798485252301</v>
      </c>
    </row>
    <row r="1418" spans="1:6" x14ac:dyDescent="0.25">
      <c r="A1418">
        <v>72.574045530723012</v>
      </c>
      <c r="B1418">
        <v>263.66578466777395</v>
      </c>
      <c r="C1418">
        <v>729.41756800000007</v>
      </c>
      <c r="E1418">
        <f t="shared" si="53"/>
        <v>260.97236893307894</v>
      </c>
      <c r="F1418">
        <f t="shared" si="54"/>
        <v>611.3023592691352</v>
      </c>
    </row>
    <row r="1419" spans="1:6" x14ac:dyDescent="0.25">
      <c r="A1419">
        <v>53.508541251411508</v>
      </c>
      <c r="B1419">
        <v>272.32271016332345</v>
      </c>
      <c r="C1419">
        <v>729.41756800000007</v>
      </c>
      <c r="E1419">
        <f t="shared" si="53"/>
        <v>270.28939736724612</v>
      </c>
      <c r="F1419">
        <f t="shared" si="54"/>
        <v>599.24895530199649</v>
      </c>
    </row>
    <row r="1420" spans="1:6" x14ac:dyDescent="0.25">
      <c r="A1420">
        <v>35.920766314755205</v>
      </c>
      <c r="B1420">
        <v>278.88232772176138</v>
      </c>
      <c r="C1420">
        <v>729.41756800000007</v>
      </c>
      <c r="E1420">
        <f t="shared" si="53"/>
        <v>277.45882347730861</v>
      </c>
      <c r="F1420">
        <f t="shared" si="54"/>
        <v>588.09778998043009</v>
      </c>
    </row>
    <row r="1421" spans="1:6" x14ac:dyDescent="0.25">
      <c r="A1421">
        <v>17.382680305756256</v>
      </c>
      <c r="B1421">
        <v>283.84674929346318</v>
      </c>
      <c r="C1421">
        <v>729.41756800000007</v>
      </c>
      <c r="E1421">
        <f t="shared" si="53"/>
        <v>283.06719072906481</v>
      </c>
      <c r="F1421">
        <f t="shared" si="54"/>
        <v>576.30036361417581</v>
      </c>
    </row>
    <row r="1422" spans="1:6" x14ac:dyDescent="0.25">
      <c r="A1422">
        <v>1.9819451156910198E-14</v>
      </c>
      <c r="B1422">
        <v>285.84596740965407</v>
      </c>
      <c r="C1422">
        <v>729.41756800000007</v>
      </c>
      <c r="E1422">
        <f t="shared" si="53"/>
        <v>285.67183776960781</v>
      </c>
      <c r="F1422">
        <f t="shared" si="54"/>
        <v>565.17864699468919</v>
      </c>
    </row>
    <row r="1423" spans="1:6" x14ac:dyDescent="0.25">
      <c r="A1423">
        <v>-17.382680305756228</v>
      </c>
      <c r="B1423">
        <v>283.84674929346312</v>
      </c>
      <c r="C1423">
        <v>729.41756800000007</v>
      </c>
      <c r="E1423">
        <f t="shared" si="53"/>
        <v>284.28048431708754</v>
      </c>
      <c r="F1423">
        <f t="shared" si="54"/>
        <v>553.96723359888676</v>
      </c>
    </row>
    <row r="1424" spans="1:6" x14ac:dyDescent="0.25">
      <c r="A1424">
        <v>-35.920766314755227</v>
      </c>
      <c r="B1424">
        <v>278.88232772176138</v>
      </c>
      <c r="C1424">
        <v>729.41756800000007</v>
      </c>
      <c r="E1424">
        <f t="shared" si="53"/>
        <v>279.96605680841486</v>
      </c>
      <c r="F1424">
        <f t="shared" si="54"/>
        <v>541.94707385119273</v>
      </c>
    </row>
    <row r="1425" spans="1:6" x14ac:dyDescent="0.25">
      <c r="A1425">
        <v>-53.508541251411572</v>
      </c>
      <c r="B1425">
        <v>272.32271016332368</v>
      </c>
      <c r="C1425">
        <v>729.41756800000007</v>
      </c>
      <c r="E1425">
        <f t="shared" si="53"/>
        <v>274.02423968516496</v>
      </c>
      <c r="F1425">
        <f t="shared" si="54"/>
        <v>530.50160519969359</v>
      </c>
    </row>
    <row r="1426" spans="1:6" x14ac:dyDescent="0.25">
      <c r="A1426">
        <v>-72.574045530722785</v>
      </c>
      <c r="B1426">
        <v>263.66578466777401</v>
      </c>
      <c r="C1426">
        <v>729.41756800000007</v>
      </c>
      <c r="E1426">
        <f t="shared" si="53"/>
        <v>266.03796425845223</v>
      </c>
      <c r="F1426">
        <f t="shared" si="54"/>
        <v>518.05980023545078</v>
      </c>
    </row>
    <row r="1427" spans="1:6" x14ac:dyDescent="0.25">
      <c r="A1427">
        <v>-92.321277154094602</v>
      </c>
      <c r="B1427">
        <v>253.41667855774423</v>
      </c>
      <c r="C1427">
        <v>729.41756800000007</v>
      </c>
      <c r="E1427">
        <f t="shared" si="53"/>
        <v>256.48427007186649</v>
      </c>
      <c r="F1427">
        <f t="shared" si="54"/>
        <v>505.14433899394049</v>
      </c>
    </row>
    <row r="1428" spans="1:6" x14ac:dyDescent="0.25">
      <c r="A1428">
        <v>-113.20311256117418</v>
      </c>
      <c r="B1428">
        <v>240.9859577583006</v>
      </c>
      <c r="C1428">
        <v>729.41756800000007</v>
      </c>
      <c r="E1428">
        <f t="shared" ref="E1428:E1491" si="55">($I$2*A1428)+($K$2*B1428)+($M$2*C1428)</f>
        <v>244.78988727759855</v>
      </c>
      <c r="F1428">
        <f t="shared" ref="F1428:F1491" si="56">($J$2*A1428)+($L$2*B1428)+($N$2*C1428)</f>
        <v>491.45107268992109</v>
      </c>
    </row>
    <row r="1429" spans="1:6" x14ac:dyDescent="0.25">
      <c r="A1429">
        <v>-135.76834314772921</v>
      </c>
      <c r="B1429">
        <v>225.52855450654286</v>
      </c>
      <c r="C1429">
        <v>729.41756800000007</v>
      </c>
      <c r="E1429">
        <f t="shared" si="55"/>
        <v>230.12941544870338</v>
      </c>
      <c r="F1429">
        <f t="shared" si="56"/>
        <v>476.60850252874582</v>
      </c>
    </row>
    <row r="1430" spans="1:6" x14ac:dyDescent="0.25">
      <c r="A1430">
        <v>-159.3911691221447</v>
      </c>
      <c r="B1430">
        <v>206.71177604848987</v>
      </c>
      <c r="C1430">
        <v>729.41756800000007</v>
      </c>
      <c r="E1430">
        <f t="shared" si="55"/>
        <v>212.14852440087259</v>
      </c>
      <c r="F1430">
        <f t="shared" si="56"/>
        <v>461.01117653431339</v>
      </c>
    </row>
    <row r="1431" spans="1:6" x14ac:dyDescent="0.25">
      <c r="A1431">
        <v>-184.00662204909847</v>
      </c>
      <c r="B1431">
        <v>184.0066220490985</v>
      </c>
      <c r="C1431">
        <v>729.41756800000007</v>
      </c>
      <c r="E1431">
        <f t="shared" si="55"/>
        <v>190.31626868607967</v>
      </c>
      <c r="F1431">
        <f t="shared" si="56"/>
        <v>444.68896312674832</v>
      </c>
    </row>
    <row r="1432" spans="1:6" x14ac:dyDescent="0.25">
      <c r="A1432">
        <v>-206.7117760484899</v>
      </c>
      <c r="B1432">
        <v>159.39116912214473</v>
      </c>
      <c r="C1432">
        <v>729.41756800000007</v>
      </c>
      <c r="E1432">
        <f t="shared" si="55"/>
        <v>166.50820927509326</v>
      </c>
      <c r="F1432">
        <f t="shared" si="56"/>
        <v>429.55106451987973</v>
      </c>
    </row>
    <row r="1433" spans="1:6" x14ac:dyDescent="0.25">
      <c r="A1433">
        <v>-225.52855450654278</v>
      </c>
      <c r="B1433">
        <v>135.76834314772927</v>
      </c>
      <c r="C1433">
        <v>729.41756800000007</v>
      </c>
      <c r="E1433">
        <f t="shared" si="55"/>
        <v>143.55646978574256</v>
      </c>
      <c r="F1433">
        <f t="shared" si="56"/>
        <v>416.93331053083079</v>
      </c>
    </row>
    <row r="1434" spans="1:6" x14ac:dyDescent="0.25">
      <c r="A1434">
        <v>-240.98595775830071</v>
      </c>
      <c r="B1434">
        <v>113.20311256117429</v>
      </c>
      <c r="C1434">
        <v>729.41756800000007</v>
      </c>
      <c r="E1434">
        <f t="shared" si="55"/>
        <v>121.54444092178272</v>
      </c>
      <c r="F1434">
        <f t="shared" si="56"/>
        <v>406.49733087334016</v>
      </c>
    </row>
    <row r="1435" spans="1:6" x14ac:dyDescent="0.25">
      <c r="A1435">
        <v>-253.41667855774401</v>
      </c>
      <c r="B1435">
        <v>92.321277154094815</v>
      </c>
      <c r="C1435">
        <v>729.41756800000007</v>
      </c>
      <c r="E1435">
        <f t="shared" si="55"/>
        <v>101.10915206417481</v>
      </c>
      <c r="F1435">
        <f t="shared" si="56"/>
        <v>398.04344358367109</v>
      </c>
    </row>
    <row r="1436" spans="1:6" x14ac:dyDescent="0.25">
      <c r="A1436">
        <v>-263.66578466777395</v>
      </c>
      <c r="B1436">
        <v>72.574045530723026</v>
      </c>
      <c r="C1436">
        <v>729.41756800000007</v>
      </c>
      <c r="E1436">
        <f t="shared" si="55"/>
        <v>81.731638565646207</v>
      </c>
      <c r="F1436">
        <f t="shared" si="56"/>
        <v>391.01646945903195</v>
      </c>
    </row>
    <row r="1437" spans="1:6" x14ac:dyDescent="0.25">
      <c r="A1437">
        <v>-272.32271016332345</v>
      </c>
      <c r="B1437">
        <v>53.508541251411522</v>
      </c>
      <c r="C1437">
        <v>729.41756800000007</v>
      </c>
      <c r="E1437">
        <f t="shared" si="55"/>
        <v>62.979870819194716</v>
      </c>
      <c r="F1437">
        <f t="shared" si="56"/>
        <v>385.02759902245202</v>
      </c>
    </row>
    <row r="1438" spans="1:6" x14ac:dyDescent="0.25">
      <c r="A1438">
        <v>-278.88232772176121</v>
      </c>
      <c r="B1438">
        <v>35.920766314755234</v>
      </c>
      <c r="C1438">
        <v>729.41756800000007</v>
      </c>
      <c r="E1438">
        <f t="shared" si="55"/>
        <v>45.631737231174434</v>
      </c>
      <c r="F1438">
        <f t="shared" si="56"/>
        <v>380.41918075034084</v>
      </c>
    </row>
    <row r="1439" spans="1:6" x14ac:dyDescent="0.25">
      <c r="A1439">
        <v>-273.14111729306973</v>
      </c>
      <c r="B1439">
        <v>-3.1924332521548301E-14</v>
      </c>
      <c r="C1439">
        <v>785.71744000000012</v>
      </c>
      <c r="E1439">
        <f t="shared" si="55"/>
        <v>9.5324875222870116</v>
      </c>
      <c r="F1439">
        <f t="shared" si="56"/>
        <v>426.42970643337026</v>
      </c>
    </row>
    <row r="1440" spans="1:6" x14ac:dyDescent="0.25">
      <c r="A1440">
        <v>-271.48879866989012</v>
      </c>
      <c r="B1440">
        <v>-17.147471797596257</v>
      </c>
      <c r="C1440">
        <v>785.71744000000012</v>
      </c>
      <c r="E1440">
        <f t="shared" si="55"/>
        <v>-7.6622035871404393</v>
      </c>
      <c r="F1440">
        <f t="shared" si="56"/>
        <v>427.10648075647543</v>
      </c>
    </row>
    <row r="1441" spans="1:6" x14ac:dyDescent="0.25">
      <c r="A1441">
        <v>-267.46147242801624</v>
      </c>
      <c r="B1441">
        <v>-34.984012776378066</v>
      </c>
      <c r="C1441">
        <v>785.71744000000012</v>
      </c>
      <c r="E1441">
        <f t="shared" si="55"/>
        <v>-25.628430685983357</v>
      </c>
      <c r="F1441">
        <f t="shared" si="56"/>
        <v>429.29349270662044</v>
      </c>
    </row>
    <row r="1442" spans="1:6" x14ac:dyDescent="0.25">
      <c r="A1442">
        <v>-261.27126205540446</v>
      </c>
      <c r="B1442">
        <v>-53.585116965388856</v>
      </c>
      <c r="C1442">
        <v>785.71744000000012</v>
      </c>
      <c r="E1442">
        <f t="shared" si="55"/>
        <v>-44.434238811393968</v>
      </c>
      <c r="F1442">
        <f t="shared" si="56"/>
        <v>432.85278144013176</v>
      </c>
    </row>
    <row r="1443" spans="1:6" x14ac:dyDescent="0.25">
      <c r="A1443">
        <v>-253.30312708880189</v>
      </c>
      <c r="B1443">
        <v>-71.285216470675067</v>
      </c>
      <c r="C1443">
        <v>785.71744000000012</v>
      </c>
      <c r="E1443">
        <f t="shared" si="55"/>
        <v>-62.401639794294262</v>
      </c>
      <c r="F1443">
        <f t="shared" si="56"/>
        <v>437.57441409943095</v>
      </c>
    </row>
    <row r="1444" spans="1:6" x14ac:dyDescent="0.25">
      <c r="A1444">
        <v>-243.16918801244336</v>
      </c>
      <c r="B1444">
        <v>-90.906333087710451</v>
      </c>
      <c r="C1444">
        <v>785.71744000000012</v>
      </c>
      <c r="E1444">
        <f t="shared" si="55"/>
        <v>-82.364473130610108</v>
      </c>
      <c r="F1444">
        <f t="shared" si="56"/>
        <v>443.64425663624178</v>
      </c>
    </row>
    <row r="1445" spans="1:6" x14ac:dyDescent="0.25">
      <c r="A1445">
        <v>-230.82491775681558</v>
      </c>
      <c r="B1445">
        <v>-111.68892100829306</v>
      </c>
      <c r="C1445">
        <v>785.71744000000012</v>
      </c>
      <c r="E1445">
        <f t="shared" si="55"/>
        <v>-103.56520967923929</v>
      </c>
      <c r="F1445">
        <f t="shared" si="56"/>
        <v>451.10795192755074</v>
      </c>
    </row>
    <row r="1446" spans="1:6" x14ac:dyDescent="0.25">
      <c r="A1446">
        <v>-216.22424244533462</v>
      </c>
      <c r="B1446">
        <v>-132.86824190200454</v>
      </c>
      <c r="C1446">
        <v>785.71744000000012</v>
      </c>
      <c r="E1446">
        <f t="shared" si="55"/>
        <v>-125.24118492279575</v>
      </c>
      <c r="F1446">
        <f t="shared" si="56"/>
        <v>460.01225299674684</v>
      </c>
    </row>
    <row r="1447" spans="1:6" x14ac:dyDescent="0.25">
      <c r="A1447">
        <v>-197.53663323991339</v>
      </c>
      <c r="B1447">
        <v>-156.46003356489345</v>
      </c>
      <c r="C1447">
        <v>785.71744000000012</v>
      </c>
      <c r="E1447">
        <f t="shared" si="55"/>
        <v>-149.47079325947473</v>
      </c>
      <c r="F1447">
        <f t="shared" si="56"/>
        <v>471.48786534852218</v>
      </c>
    </row>
    <row r="1448" spans="1:6" x14ac:dyDescent="0.25">
      <c r="A1448">
        <v>-177.79216675775046</v>
      </c>
      <c r="B1448">
        <v>-177.79216675775052</v>
      </c>
      <c r="C1448">
        <v>785.71744000000012</v>
      </c>
      <c r="E1448">
        <f t="shared" si="55"/>
        <v>-171.47900343605255</v>
      </c>
      <c r="F1448">
        <f t="shared" si="56"/>
        <v>483.69308946786828</v>
      </c>
    </row>
    <row r="1449" spans="1:6" x14ac:dyDescent="0.25">
      <c r="A1449">
        <v>-156.46003356489345</v>
      </c>
      <c r="B1449">
        <v>-197.53663323991344</v>
      </c>
      <c r="C1449">
        <v>785.71744000000012</v>
      </c>
      <c r="E1449">
        <f t="shared" si="55"/>
        <v>-191.95592283473363</v>
      </c>
      <c r="F1449">
        <f t="shared" si="56"/>
        <v>496.95384046660905</v>
      </c>
    </row>
    <row r="1450" spans="1:6" x14ac:dyDescent="0.25">
      <c r="A1450">
        <v>-132.86824190200448</v>
      </c>
      <c r="B1450">
        <v>-216.22424244533465</v>
      </c>
      <c r="C1450">
        <v>785.71744000000012</v>
      </c>
      <c r="E1450">
        <f t="shared" si="55"/>
        <v>-211.45548970889425</v>
      </c>
      <c r="F1450">
        <f t="shared" si="56"/>
        <v>511.6898955614646</v>
      </c>
    </row>
    <row r="1451" spans="1:6" x14ac:dyDescent="0.25">
      <c r="A1451">
        <v>-111.68892100829322</v>
      </c>
      <c r="B1451">
        <v>-230.82491775681549</v>
      </c>
      <c r="C1451">
        <v>785.71744000000012</v>
      </c>
      <c r="E1451">
        <f t="shared" si="55"/>
        <v>-226.78641832316367</v>
      </c>
      <c r="F1451">
        <f t="shared" si="56"/>
        <v>524.96787102673022</v>
      </c>
    </row>
    <row r="1452" spans="1:6" x14ac:dyDescent="0.25">
      <c r="A1452">
        <v>-90.906333087710408</v>
      </c>
      <c r="B1452">
        <v>-243.16918801244347</v>
      </c>
      <c r="C1452">
        <v>785.71744000000012</v>
      </c>
      <c r="E1452">
        <f t="shared" si="55"/>
        <v>-239.84847064148676</v>
      </c>
      <c r="F1452">
        <f t="shared" si="56"/>
        <v>538.04160465431971</v>
      </c>
    </row>
    <row r="1453" spans="1:6" x14ac:dyDescent="0.25">
      <c r="A1453">
        <v>-71.28521647067501</v>
      </c>
      <c r="B1453">
        <v>-253.30312708880206</v>
      </c>
      <c r="C1453">
        <v>785.71744000000012</v>
      </c>
      <c r="E1453">
        <f t="shared" si="55"/>
        <v>-250.66100349064553</v>
      </c>
      <c r="F1453">
        <f t="shared" si="56"/>
        <v>550.41879799487401</v>
      </c>
    </row>
    <row r="1454" spans="1:6" x14ac:dyDescent="0.25">
      <c r="A1454">
        <v>-53.585116965388707</v>
      </c>
      <c r="B1454">
        <v>-261.27126205540475</v>
      </c>
      <c r="C1454">
        <v>785.71744000000012</v>
      </c>
      <c r="E1454">
        <f t="shared" si="55"/>
        <v>-259.24200904903699</v>
      </c>
      <c r="F1454">
        <f t="shared" si="56"/>
        <v>561.61052295421587</v>
      </c>
    </row>
    <row r="1455" spans="1:6" x14ac:dyDescent="0.25">
      <c r="A1455">
        <v>-34.984012776378073</v>
      </c>
      <c r="B1455">
        <v>-267.46147242801624</v>
      </c>
      <c r="C1455">
        <v>785.71744000000012</v>
      </c>
      <c r="E1455">
        <f t="shared" si="55"/>
        <v>-266.07761768705069</v>
      </c>
      <c r="F1455">
        <f t="shared" si="56"/>
        <v>573.42093387368914</v>
      </c>
    </row>
    <row r="1456" spans="1:6" x14ac:dyDescent="0.25">
      <c r="A1456">
        <v>-17.147471797596243</v>
      </c>
      <c r="B1456">
        <v>-271.48879866989</v>
      </c>
      <c r="C1456">
        <v>785.71744000000012</v>
      </c>
      <c r="E1456">
        <f t="shared" si="55"/>
        <v>-270.7249768936656</v>
      </c>
      <c r="F1456">
        <f t="shared" si="56"/>
        <v>584.78871231591859</v>
      </c>
    </row>
    <row r="1457" spans="1:6" x14ac:dyDescent="0.25">
      <c r="A1457">
        <v>1.3652902369553825E-14</v>
      </c>
      <c r="B1457">
        <v>-273.14111729306973</v>
      </c>
      <c r="C1457">
        <v>785.71744000000012</v>
      </c>
      <c r="E1457">
        <f t="shared" si="55"/>
        <v>-272.97472710444066</v>
      </c>
      <c r="F1457">
        <f t="shared" si="56"/>
        <v>595.7671139048515</v>
      </c>
    </row>
    <row r="1458" spans="1:6" x14ac:dyDescent="0.25">
      <c r="A1458">
        <v>17.147471797596243</v>
      </c>
      <c r="B1458">
        <v>-271.48879866989012</v>
      </c>
      <c r="C1458">
        <v>785.71744000000012</v>
      </c>
      <c r="E1458">
        <f t="shared" si="55"/>
        <v>-271.92185316457858</v>
      </c>
      <c r="F1458">
        <f t="shared" si="56"/>
        <v>606.81964830237882</v>
      </c>
    </row>
    <row r="1459" spans="1:6" x14ac:dyDescent="0.25">
      <c r="A1459">
        <v>34.984012776378115</v>
      </c>
      <c r="B1459">
        <v>-267.46147242801624</v>
      </c>
      <c r="C1459">
        <v>785.71744000000012</v>
      </c>
      <c r="E1459">
        <f t="shared" si="55"/>
        <v>-268.51946656410956</v>
      </c>
      <c r="F1459">
        <f t="shared" si="56"/>
        <v>618.36811647432967</v>
      </c>
    </row>
    <row r="1460" spans="1:6" x14ac:dyDescent="0.25">
      <c r="A1460">
        <v>53.585116965388814</v>
      </c>
      <c r="B1460">
        <v>-261.27126205540463</v>
      </c>
      <c r="C1460">
        <v>785.71744000000012</v>
      </c>
      <c r="E1460">
        <f t="shared" si="55"/>
        <v>-262.98219627471036</v>
      </c>
      <c r="F1460">
        <f t="shared" si="56"/>
        <v>630.45625692748592</v>
      </c>
    </row>
    <row r="1461" spans="1:6" x14ac:dyDescent="0.25">
      <c r="A1461">
        <v>71.28521647067501</v>
      </c>
      <c r="B1461">
        <v>-253.303127088802</v>
      </c>
      <c r="C1461">
        <v>785.71744000000012</v>
      </c>
      <c r="E1461">
        <f t="shared" si="55"/>
        <v>-255.63663984495625</v>
      </c>
      <c r="F1461">
        <f t="shared" si="56"/>
        <v>642.00547965756402</v>
      </c>
    </row>
    <row r="1462" spans="1:6" x14ac:dyDescent="0.25">
      <c r="A1462">
        <v>90.906333087710436</v>
      </c>
      <c r="B1462">
        <v>-243.16918801244336</v>
      </c>
      <c r="C1462">
        <v>785.71744000000012</v>
      </c>
      <c r="E1462">
        <f t="shared" si="55"/>
        <v>-246.19364118514869</v>
      </c>
      <c r="F1462">
        <f t="shared" si="56"/>
        <v>654.83734158038521</v>
      </c>
    </row>
    <row r="1463" spans="1:6" x14ac:dyDescent="0.25">
      <c r="A1463">
        <v>111.68892100829306</v>
      </c>
      <c r="B1463">
        <v>-230.82491775681558</v>
      </c>
      <c r="C1463">
        <v>785.71744000000012</v>
      </c>
      <c r="E1463">
        <f t="shared" si="55"/>
        <v>-234.58219258403344</v>
      </c>
      <c r="F1463">
        <f t="shared" si="56"/>
        <v>668.46491235007261</v>
      </c>
    </row>
    <row r="1464" spans="1:6" x14ac:dyDescent="0.25">
      <c r="A1464">
        <v>132.86824190200446</v>
      </c>
      <c r="B1464">
        <v>-216.2242424453348</v>
      </c>
      <c r="C1464">
        <v>785.71744000000012</v>
      </c>
      <c r="E1464">
        <f t="shared" si="55"/>
        <v>-220.72955924914663</v>
      </c>
      <c r="F1464">
        <f t="shared" si="56"/>
        <v>682.39796066450288</v>
      </c>
    </row>
    <row r="1465" spans="1:6" x14ac:dyDescent="0.25">
      <c r="A1465">
        <v>156.46003356489345</v>
      </c>
      <c r="B1465">
        <v>-197.53663323991333</v>
      </c>
      <c r="C1465">
        <v>785.71744000000012</v>
      </c>
      <c r="E1465">
        <f t="shared" si="55"/>
        <v>-202.87667568567591</v>
      </c>
      <c r="F1465">
        <f t="shared" si="56"/>
        <v>697.97245269087784</v>
      </c>
    </row>
    <row r="1466" spans="1:6" x14ac:dyDescent="0.25">
      <c r="A1466">
        <v>177.79216675775052</v>
      </c>
      <c r="B1466">
        <v>-177.79216675775046</v>
      </c>
      <c r="C1466">
        <v>785.71744000000012</v>
      </c>
      <c r="E1466">
        <f t="shared" si="55"/>
        <v>-183.88871771103777</v>
      </c>
      <c r="F1466">
        <f t="shared" si="56"/>
        <v>712.11905750375922</v>
      </c>
    </row>
    <row r="1467" spans="1:6" x14ac:dyDescent="0.25">
      <c r="A1467">
        <v>197.53663323991341</v>
      </c>
      <c r="B1467">
        <v>-156.46003356489339</v>
      </c>
      <c r="C1467">
        <v>785.71744000000012</v>
      </c>
      <c r="E1467">
        <f t="shared" si="55"/>
        <v>-163.25865142023375</v>
      </c>
      <c r="F1467">
        <f t="shared" si="56"/>
        <v>725.28136757778134</v>
      </c>
    </row>
    <row r="1468" spans="1:6" x14ac:dyDescent="0.25">
      <c r="A1468">
        <v>216.22424244533471</v>
      </c>
      <c r="B1468">
        <v>-132.86824190200451</v>
      </c>
      <c r="C1468">
        <v>785.71744000000012</v>
      </c>
      <c r="E1468">
        <f t="shared" si="55"/>
        <v>-140.33341939523925</v>
      </c>
      <c r="F1468">
        <f t="shared" si="56"/>
        <v>737.81544755874597</v>
      </c>
    </row>
    <row r="1469" spans="1:6" x14ac:dyDescent="0.25">
      <c r="A1469">
        <v>230.82491775681558</v>
      </c>
      <c r="B1469">
        <v>-111.68892100829309</v>
      </c>
      <c r="C1469">
        <v>785.71744000000012</v>
      </c>
      <c r="E1469">
        <f t="shared" si="55"/>
        <v>-119.67655659145747</v>
      </c>
      <c r="F1469">
        <f t="shared" si="56"/>
        <v>747.66997851698716</v>
      </c>
    </row>
    <row r="1470" spans="1:6" x14ac:dyDescent="0.25">
      <c r="A1470">
        <v>243.16918801244344</v>
      </c>
      <c r="B1470">
        <v>-90.906333087710451</v>
      </c>
      <c r="C1470">
        <v>785.71744000000012</v>
      </c>
      <c r="E1470">
        <f t="shared" si="55"/>
        <v>-99.337437680990362</v>
      </c>
      <c r="F1470">
        <f t="shared" si="56"/>
        <v>756.0661039042825</v>
      </c>
    </row>
    <row r="1471" spans="1:6" x14ac:dyDescent="0.25">
      <c r="A1471">
        <v>253.30312708880189</v>
      </c>
      <c r="B1471">
        <v>-71.28521647067501</v>
      </c>
      <c r="C1471">
        <v>785.71744000000012</v>
      </c>
      <c r="E1471">
        <f t="shared" si="55"/>
        <v>-80.08194309143191</v>
      </c>
      <c r="F1471">
        <f t="shared" si="56"/>
        <v>763.01626604905039</v>
      </c>
    </row>
    <row r="1472" spans="1:6" x14ac:dyDescent="0.25">
      <c r="A1472">
        <v>261.27126205540452</v>
      </c>
      <c r="B1472">
        <v>-53.585116965388885</v>
      </c>
      <c r="C1472">
        <v>785.71744000000012</v>
      </c>
      <c r="E1472">
        <f t="shared" si="55"/>
        <v>-62.670709908515761</v>
      </c>
      <c r="F1472">
        <f t="shared" si="56"/>
        <v>768.53203010063578</v>
      </c>
    </row>
    <row r="1473" spans="1:6" x14ac:dyDescent="0.25">
      <c r="A1473">
        <v>267.46147242801618</v>
      </c>
      <c r="B1473">
        <v>-34.984012776378123</v>
      </c>
      <c r="C1473">
        <v>785.71744000000012</v>
      </c>
      <c r="E1473">
        <f t="shared" si="55"/>
        <v>-44.29697223607868</v>
      </c>
      <c r="F1473">
        <f t="shared" si="56"/>
        <v>772.92587463781729</v>
      </c>
    </row>
    <row r="1474" spans="1:6" x14ac:dyDescent="0.25">
      <c r="A1474">
        <v>271.48879866989012</v>
      </c>
      <c r="B1474">
        <v>-17.147471797596189</v>
      </c>
      <c r="C1474">
        <v>785.71744000000012</v>
      </c>
      <c r="E1474">
        <f t="shared" si="55"/>
        <v>-26.611848455031993</v>
      </c>
      <c r="F1474">
        <f t="shared" si="56"/>
        <v>775.91313955359215</v>
      </c>
    </row>
    <row r="1475" spans="1:6" x14ac:dyDescent="0.25">
      <c r="A1475">
        <v>273.14111729306973</v>
      </c>
      <c r="B1475">
        <v>0</v>
      </c>
      <c r="C1475">
        <v>785.71744000000012</v>
      </c>
      <c r="E1475">
        <f t="shared" si="55"/>
        <v>-9.5324875222868517</v>
      </c>
      <c r="F1475">
        <f t="shared" si="56"/>
        <v>777.35925111396796</v>
      </c>
    </row>
    <row r="1476" spans="1:6" x14ac:dyDescent="0.25">
      <c r="A1476">
        <v>271.48879866989012</v>
      </c>
      <c r="B1476">
        <v>17.147471797596214</v>
      </c>
      <c r="C1476">
        <v>785.71744000000012</v>
      </c>
      <c r="E1476">
        <f t="shared" si="55"/>
        <v>7.6622035871405885</v>
      </c>
      <c r="F1476">
        <f t="shared" si="56"/>
        <v>776.68247679086278</v>
      </c>
    </row>
    <row r="1477" spans="1:6" x14ac:dyDescent="0.25">
      <c r="A1477">
        <v>267.46147242801624</v>
      </c>
      <c r="B1477">
        <v>34.984012776378101</v>
      </c>
      <c r="C1477">
        <v>785.71744000000012</v>
      </c>
      <c r="E1477">
        <f t="shared" si="55"/>
        <v>25.628430685983584</v>
      </c>
      <c r="F1477">
        <f t="shared" si="56"/>
        <v>774.49546484071777</v>
      </c>
    </row>
    <row r="1478" spans="1:6" x14ac:dyDescent="0.25">
      <c r="A1478">
        <v>261.27126205540446</v>
      </c>
      <c r="B1478">
        <v>53.585116965388849</v>
      </c>
      <c r="C1478">
        <v>785.71744000000012</v>
      </c>
      <c r="E1478">
        <f t="shared" si="55"/>
        <v>44.43423881139416</v>
      </c>
      <c r="F1478">
        <f t="shared" si="56"/>
        <v>770.93617610720639</v>
      </c>
    </row>
    <row r="1479" spans="1:6" x14ac:dyDescent="0.25">
      <c r="A1479">
        <v>253.303127088802</v>
      </c>
      <c r="B1479">
        <v>71.285216470674996</v>
      </c>
      <c r="C1479">
        <v>785.71744000000012</v>
      </c>
      <c r="E1479">
        <f t="shared" si="55"/>
        <v>62.40163979429439</v>
      </c>
      <c r="F1479">
        <f t="shared" si="56"/>
        <v>766.21454344790732</v>
      </c>
    </row>
    <row r="1480" spans="1:6" x14ac:dyDescent="0.25">
      <c r="A1480">
        <v>243.16918801244347</v>
      </c>
      <c r="B1480">
        <v>90.906333087710479</v>
      </c>
      <c r="C1480">
        <v>785.71744000000012</v>
      </c>
      <c r="E1480">
        <f t="shared" si="55"/>
        <v>82.364473130610321</v>
      </c>
      <c r="F1480">
        <f t="shared" si="56"/>
        <v>760.14470091109649</v>
      </c>
    </row>
    <row r="1481" spans="1:6" x14ac:dyDescent="0.25">
      <c r="A1481">
        <v>230.82491775681561</v>
      </c>
      <c r="B1481">
        <v>111.68892100829306</v>
      </c>
      <c r="C1481">
        <v>785.71744000000012</v>
      </c>
      <c r="E1481">
        <f t="shared" si="55"/>
        <v>103.56520967923949</v>
      </c>
      <c r="F1481">
        <f t="shared" si="56"/>
        <v>752.68100561978747</v>
      </c>
    </row>
    <row r="1482" spans="1:6" x14ac:dyDescent="0.25">
      <c r="A1482">
        <v>216.22424244533465</v>
      </c>
      <c r="B1482">
        <v>132.86824190200434</v>
      </c>
      <c r="C1482">
        <v>785.71744000000012</v>
      </c>
      <c r="E1482">
        <f t="shared" si="55"/>
        <v>125.24118492279575</v>
      </c>
      <c r="F1482">
        <f t="shared" si="56"/>
        <v>743.77670455059138</v>
      </c>
    </row>
    <row r="1483" spans="1:6" x14ac:dyDescent="0.25">
      <c r="A1483">
        <v>197.53663323991344</v>
      </c>
      <c r="B1483">
        <v>156.46003356489345</v>
      </c>
      <c r="C1483">
        <v>785.71744000000012</v>
      </c>
      <c r="E1483">
        <f t="shared" si="55"/>
        <v>149.4707932594749</v>
      </c>
      <c r="F1483">
        <f t="shared" si="56"/>
        <v>732.30109219881615</v>
      </c>
    </row>
    <row r="1484" spans="1:6" x14ac:dyDescent="0.25">
      <c r="A1484">
        <v>177.79216675775052</v>
      </c>
      <c r="B1484">
        <v>177.79216675775046</v>
      </c>
      <c r="C1484">
        <v>785.71744000000012</v>
      </c>
      <c r="E1484">
        <f t="shared" si="55"/>
        <v>171.47900343605266</v>
      </c>
      <c r="F1484">
        <f t="shared" si="56"/>
        <v>720.09586807946994</v>
      </c>
    </row>
    <row r="1485" spans="1:6" x14ac:dyDescent="0.25">
      <c r="A1485">
        <v>156.46003356489348</v>
      </c>
      <c r="B1485">
        <v>197.53663323991341</v>
      </c>
      <c r="C1485">
        <v>785.71744000000012</v>
      </c>
      <c r="E1485">
        <f t="shared" si="55"/>
        <v>191.95592283473377</v>
      </c>
      <c r="F1485">
        <f t="shared" si="56"/>
        <v>706.83511708072922</v>
      </c>
    </row>
    <row r="1486" spans="1:6" x14ac:dyDescent="0.25">
      <c r="A1486">
        <v>132.86824190200451</v>
      </c>
      <c r="B1486">
        <v>216.22424244533471</v>
      </c>
      <c r="C1486">
        <v>785.71744000000012</v>
      </c>
      <c r="E1486">
        <f t="shared" si="55"/>
        <v>211.45548970889448</v>
      </c>
      <c r="F1486">
        <f t="shared" si="56"/>
        <v>692.09906198587362</v>
      </c>
    </row>
    <row r="1487" spans="1:6" x14ac:dyDescent="0.25">
      <c r="A1487">
        <v>111.68892100829328</v>
      </c>
      <c r="B1487">
        <v>230.82491775681564</v>
      </c>
      <c r="C1487">
        <v>785.71744000000012</v>
      </c>
      <c r="E1487">
        <f t="shared" si="55"/>
        <v>226.78641832316399</v>
      </c>
      <c r="F1487">
        <f t="shared" si="56"/>
        <v>678.82108652060811</v>
      </c>
    </row>
    <row r="1488" spans="1:6" x14ac:dyDescent="0.25">
      <c r="A1488">
        <v>90.906333087710621</v>
      </c>
      <c r="B1488">
        <v>243.16918801244344</v>
      </c>
      <c r="C1488">
        <v>785.71744000000012</v>
      </c>
      <c r="E1488">
        <f t="shared" si="55"/>
        <v>239.8484706414869</v>
      </c>
      <c r="F1488">
        <f t="shared" si="56"/>
        <v>665.74735289301861</v>
      </c>
    </row>
    <row r="1489" spans="1:6" x14ac:dyDescent="0.25">
      <c r="A1489">
        <v>71.285216470675081</v>
      </c>
      <c r="B1489">
        <v>253.30312708880194</v>
      </c>
      <c r="C1489">
        <v>785.71744000000012</v>
      </c>
      <c r="E1489">
        <f t="shared" si="55"/>
        <v>250.66100349064558</v>
      </c>
      <c r="F1489">
        <f t="shared" si="56"/>
        <v>653.3701595524642</v>
      </c>
    </row>
    <row r="1490" spans="1:6" x14ac:dyDescent="0.25">
      <c r="A1490">
        <v>53.585116965388742</v>
      </c>
      <c r="B1490">
        <v>261.27126205540475</v>
      </c>
      <c r="C1490">
        <v>785.71744000000012</v>
      </c>
      <c r="E1490">
        <f t="shared" si="55"/>
        <v>259.24200904903722</v>
      </c>
      <c r="F1490">
        <f t="shared" si="56"/>
        <v>642.17843459312246</v>
      </c>
    </row>
    <row r="1491" spans="1:6" x14ac:dyDescent="0.25">
      <c r="A1491">
        <v>34.984012776378059</v>
      </c>
      <c r="B1491">
        <v>267.46147242801635</v>
      </c>
      <c r="C1491">
        <v>785.71744000000012</v>
      </c>
      <c r="E1491">
        <f t="shared" si="55"/>
        <v>266.07761768705103</v>
      </c>
      <c r="F1491">
        <f t="shared" si="56"/>
        <v>630.36802367364908</v>
      </c>
    </row>
    <row r="1492" spans="1:6" x14ac:dyDescent="0.25">
      <c r="A1492">
        <v>17.147471797596207</v>
      </c>
      <c r="B1492">
        <v>271.48879866989</v>
      </c>
      <c r="C1492">
        <v>785.71744000000012</v>
      </c>
      <c r="E1492">
        <f t="shared" ref="E1492:E1555" si="57">($I$2*A1492)+($K$2*B1492)+($M$2*C1492)</f>
        <v>270.72497689366583</v>
      </c>
      <c r="F1492">
        <f t="shared" ref="F1492:F1555" si="58">($J$2*A1492)+($L$2*B1492)+($N$2*C1492)</f>
        <v>619.00024523141963</v>
      </c>
    </row>
    <row r="1493" spans="1:6" x14ac:dyDescent="0.25">
      <c r="A1493">
        <v>1.7886552836791093E-14</v>
      </c>
      <c r="B1493">
        <v>273.14111729306978</v>
      </c>
      <c r="C1493">
        <v>785.71744000000012</v>
      </c>
      <c r="E1493">
        <f t="shared" si="57"/>
        <v>272.97472710444094</v>
      </c>
      <c r="F1493">
        <f t="shared" si="58"/>
        <v>608.02184364248671</v>
      </c>
    </row>
    <row r="1494" spans="1:6" x14ac:dyDescent="0.25">
      <c r="A1494">
        <v>-17.147471797596154</v>
      </c>
      <c r="B1494">
        <v>271.48879866989012</v>
      </c>
      <c r="C1494">
        <v>785.71744000000012</v>
      </c>
      <c r="E1494">
        <f t="shared" si="57"/>
        <v>271.92185316457881</v>
      </c>
      <c r="F1494">
        <f t="shared" si="58"/>
        <v>596.9693092449595</v>
      </c>
    </row>
    <row r="1495" spans="1:6" x14ac:dyDescent="0.25">
      <c r="A1495">
        <v>-34.984012776378073</v>
      </c>
      <c r="B1495">
        <v>267.46147242801635</v>
      </c>
      <c r="C1495">
        <v>785.71744000000012</v>
      </c>
      <c r="E1495">
        <f t="shared" si="57"/>
        <v>268.5194665641099</v>
      </c>
      <c r="F1495">
        <f t="shared" si="58"/>
        <v>585.42084107300866</v>
      </c>
    </row>
    <row r="1496" spans="1:6" x14ac:dyDescent="0.25">
      <c r="A1496">
        <v>-53.585116965388757</v>
      </c>
      <c r="B1496">
        <v>261.2712620554048</v>
      </c>
      <c r="C1496">
        <v>785.71744000000012</v>
      </c>
      <c r="E1496">
        <f t="shared" si="57"/>
        <v>262.98219627471076</v>
      </c>
      <c r="F1496">
        <f t="shared" si="58"/>
        <v>573.33270061985229</v>
      </c>
    </row>
    <row r="1497" spans="1:6" x14ac:dyDescent="0.25">
      <c r="A1497">
        <v>-71.285216470674882</v>
      </c>
      <c r="B1497">
        <v>253.303127088802</v>
      </c>
      <c r="C1497">
        <v>785.71744000000012</v>
      </c>
      <c r="E1497">
        <f t="shared" si="57"/>
        <v>255.63663984495642</v>
      </c>
      <c r="F1497">
        <f t="shared" si="58"/>
        <v>561.7834778897743</v>
      </c>
    </row>
    <row r="1498" spans="1:6" x14ac:dyDescent="0.25">
      <c r="A1498">
        <v>-90.906333087710323</v>
      </c>
      <c r="B1498">
        <v>243.1691880124435</v>
      </c>
      <c r="C1498">
        <v>785.71744000000012</v>
      </c>
      <c r="E1498">
        <f t="shared" si="57"/>
        <v>246.193641185149</v>
      </c>
      <c r="F1498">
        <f t="shared" si="58"/>
        <v>548.951615966953</v>
      </c>
    </row>
    <row r="1499" spans="1:6" x14ac:dyDescent="0.25">
      <c r="A1499">
        <v>-111.68892100829321</v>
      </c>
      <c r="B1499">
        <v>230.82491775681549</v>
      </c>
      <c r="C1499">
        <v>785.71744000000012</v>
      </c>
      <c r="E1499">
        <f t="shared" si="57"/>
        <v>234.58219258403352</v>
      </c>
      <c r="F1499">
        <f t="shared" si="58"/>
        <v>535.32404519726549</v>
      </c>
    </row>
    <row r="1500" spans="1:6" x14ac:dyDescent="0.25">
      <c r="A1500">
        <v>-132.86824190200448</v>
      </c>
      <c r="B1500">
        <v>216.22424244533471</v>
      </c>
      <c r="C1500">
        <v>785.71744000000012</v>
      </c>
      <c r="E1500">
        <f t="shared" si="57"/>
        <v>220.72955924914672</v>
      </c>
      <c r="F1500">
        <f t="shared" si="58"/>
        <v>521.39099688283534</v>
      </c>
    </row>
    <row r="1501" spans="1:6" x14ac:dyDescent="0.25">
      <c r="A1501">
        <v>-156.46003356489345</v>
      </c>
      <c r="B1501">
        <v>197.53663323991341</v>
      </c>
      <c r="C1501">
        <v>785.71744000000012</v>
      </c>
      <c r="E1501">
        <f t="shared" si="57"/>
        <v>202.87667568567616</v>
      </c>
      <c r="F1501">
        <f t="shared" si="58"/>
        <v>505.81650485646037</v>
      </c>
    </row>
    <row r="1502" spans="1:6" x14ac:dyDescent="0.25">
      <c r="A1502">
        <v>-177.79216675775046</v>
      </c>
      <c r="B1502">
        <v>177.79216675775052</v>
      </c>
      <c r="C1502">
        <v>785.71744000000012</v>
      </c>
      <c r="E1502">
        <f t="shared" si="57"/>
        <v>183.888717711038</v>
      </c>
      <c r="F1502">
        <f t="shared" si="58"/>
        <v>491.66990004357899</v>
      </c>
    </row>
    <row r="1503" spans="1:6" x14ac:dyDescent="0.25">
      <c r="A1503">
        <v>-197.53663323991339</v>
      </c>
      <c r="B1503">
        <v>156.46003356489348</v>
      </c>
      <c r="C1503">
        <v>785.71744000000012</v>
      </c>
      <c r="E1503">
        <f t="shared" si="57"/>
        <v>163.258651420234</v>
      </c>
      <c r="F1503">
        <f t="shared" si="58"/>
        <v>478.50758996955688</v>
      </c>
    </row>
    <row r="1504" spans="1:6" x14ac:dyDescent="0.25">
      <c r="A1504">
        <v>-216.22424244533462</v>
      </c>
      <c r="B1504">
        <v>132.86824190200454</v>
      </c>
      <c r="C1504">
        <v>785.71744000000012</v>
      </c>
      <c r="E1504">
        <f t="shared" si="57"/>
        <v>140.33341939523945</v>
      </c>
      <c r="F1504">
        <f t="shared" si="58"/>
        <v>465.9735099885923</v>
      </c>
    </row>
    <row r="1505" spans="1:6" x14ac:dyDescent="0.25">
      <c r="A1505">
        <v>-230.82491775681564</v>
      </c>
      <c r="B1505">
        <v>111.68892100829328</v>
      </c>
      <c r="C1505">
        <v>785.71744000000012</v>
      </c>
      <c r="E1505">
        <f t="shared" si="57"/>
        <v>119.67655659145785</v>
      </c>
      <c r="F1505">
        <f t="shared" si="58"/>
        <v>456.11897903035094</v>
      </c>
    </row>
    <row r="1506" spans="1:6" x14ac:dyDescent="0.25">
      <c r="A1506">
        <v>-243.16918801244336</v>
      </c>
      <c r="B1506">
        <v>90.906333087710593</v>
      </c>
      <c r="C1506">
        <v>785.71744000000012</v>
      </c>
      <c r="E1506">
        <f t="shared" si="57"/>
        <v>99.337437680990703</v>
      </c>
      <c r="F1506">
        <f t="shared" si="58"/>
        <v>447.72285364305571</v>
      </c>
    </row>
    <row r="1507" spans="1:6" x14ac:dyDescent="0.25">
      <c r="A1507">
        <v>-253.30312708880194</v>
      </c>
      <c r="B1507">
        <v>71.285216470675081</v>
      </c>
      <c r="C1507">
        <v>785.71744000000012</v>
      </c>
      <c r="E1507">
        <f t="shared" si="57"/>
        <v>80.081943091432194</v>
      </c>
      <c r="F1507">
        <f t="shared" si="58"/>
        <v>440.77269149828777</v>
      </c>
    </row>
    <row r="1508" spans="1:6" x14ac:dyDescent="0.25">
      <c r="A1508">
        <v>-261.27126205540475</v>
      </c>
      <c r="B1508">
        <v>53.585116965388757</v>
      </c>
      <c r="C1508">
        <v>785.71744000000012</v>
      </c>
      <c r="E1508">
        <f t="shared" si="57"/>
        <v>62.670709908515846</v>
      </c>
      <c r="F1508">
        <f t="shared" si="58"/>
        <v>435.25692744670232</v>
      </c>
    </row>
    <row r="1509" spans="1:6" x14ac:dyDescent="0.25">
      <c r="A1509">
        <v>-267.46147242801624</v>
      </c>
      <c r="B1509">
        <v>34.984012776378066</v>
      </c>
      <c r="C1509">
        <v>785.71744000000012</v>
      </c>
      <c r="E1509">
        <f t="shared" si="57"/>
        <v>44.296972236078823</v>
      </c>
      <c r="F1509">
        <f t="shared" si="58"/>
        <v>430.86308290952093</v>
      </c>
    </row>
    <row r="1510" spans="1:6" x14ac:dyDescent="0.25">
      <c r="A1510">
        <v>-257.8660389775975</v>
      </c>
      <c r="B1510">
        <v>-3.0726443963473331E-14</v>
      </c>
      <c r="C1510">
        <v>842.01731200000017</v>
      </c>
      <c r="E1510">
        <f t="shared" si="57"/>
        <v>8.9993949769857515</v>
      </c>
      <c r="F1510">
        <f t="shared" si="58"/>
        <v>479.37056036069475</v>
      </c>
    </row>
    <row r="1511" spans="1:6" x14ac:dyDescent="0.25">
      <c r="A1511">
        <v>-256.44140129490518</v>
      </c>
      <c r="B1511">
        <v>-16.933449897748325</v>
      </c>
      <c r="C1511">
        <v>842.01731200000017</v>
      </c>
      <c r="E1511">
        <f t="shared" si="57"/>
        <v>-7.9734586587207197</v>
      </c>
      <c r="F1511">
        <f t="shared" si="58"/>
        <v>479.90587449464402</v>
      </c>
    </row>
    <row r="1512" spans="1:6" x14ac:dyDescent="0.25">
      <c r="A1512">
        <v>-253.25857079196834</v>
      </c>
      <c r="B1512">
        <v>-34.126511213794075</v>
      </c>
      <c r="C1512">
        <v>842.01731200000017</v>
      </c>
      <c r="E1512">
        <f t="shared" si="57"/>
        <v>-25.267125608995567</v>
      </c>
      <c r="F1512">
        <f t="shared" si="58"/>
        <v>481.56482088173823</v>
      </c>
    </row>
    <row r="1513" spans="1:6" x14ac:dyDescent="0.25">
      <c r="A1513">
        <v>-247.19449323206268</v>
      </c>
      <c r="B1513">
        <v>-52.53596862278642</v>
      </c>
      <c r="C1513">
        <v>842.01731200000017</v>
      </c>
      <c r="E1513">
        <f t="shared" si="57"/>
        <v>-43.877001728746883</v>
      </c>
      <c r="F1513">
        <f t="shared" si="58"/>
        <v>485.0473816010761</v>
      </c>
    </row>
    <row r="1514" spans="1:6" x14ac:dyDescent="0.25">
      <c r="A1514">
        <v>-239.41766097183256</v>
      </c>
      <c r="B1514">
        <v>-71.301007982845732</v>
      </c>
      <c r="C1514">
        <v>842.01731200000017</v>
      </c>
      <c r="E1514">
        <f t="shared" si="57"/>
        <v>-62.902017465664251</v>
      </c>
      <c r="F1514">
        <f t="shared" si="58"/>
        <v>489.62223240170601</v>
      </c>
    </row>
    <row r="1515" spans="1:6" x14ac:dyDescent="0.25">
      <c r="A1515">
        <v>-229.30965243552575</v>
      </c>
      <c r="B1515">
        <v>-90.796881146391584</v>
      </c>
      <c r="C1515">
        <v>842.01731200000017</v>
      </c>
      <c r="E1515">
        <f t="shared" si="57"/>
        <v>-82.738778680621422</v>
      </c>
      <c r="F1515">
        <f t="shared" si="58"/>
        <v>495.67822684414227</v>
      </c>
    </row>
    <row r="1516" spans="1:6" x14ac:dyDescent="0.25">
      <c r="A1516">
        <v>-218.21584714613891</v>
      </c>
      <c r="B1516">
        <v>-108.97871326372086</v>
      </c>
      <c r="C1516">
        <v>842.01731200000017</v>
      </c>
      <c r="E1516">
        <f t="shared" si="57"/>
        <v>-101.29670313819663</v>
      </c>
      <c r="F1516">
        <f t="shared" si="58"/>
        <v>502.39697105340144</v>
      </c>
    </row>
    <row r="1517" spans="1:6" x14ac:dyDescent="0.25">
      <c r="A1517">
        <v>-202.95705791530364</v>
      </c>
      <c r="B1517">
        <v>-131.15358151853067</v>
      </c>
      <c r="C1517">
        <v>842.01731200000017</v>
      </c>
      <c r="E1517">
        <f t="shared" si="57"/>
        <v>-123.9905871268562</v>
      </c>
      <c r="F1517">
        <f t="shared" si="58"/>
        <v>511.70170882063769</v>
      </c>
    </row>
    <row r="1518" spans="1:6" x14ac:dyDescent="0.25">
      <c r="A1518">
        <v>-186.66040323236476</v>
      </c>
      <c r="B1518">
        <v>-151.52439803451716</v>
      </c>
      <c r="C1518">
        <v>842.01731200000017</v>
      </c>
      <c r="E1518">
        <f t="shared" si="57"/>
        <v>-144.91773933819121</v>
      </c>
      <c r="F1518">
        <f t="shared" si="58"/>
        <v>521.71363747306009</v>
      </c>
    </row>
    <row r="1519" spans="1:6" x14ac:dyDescent="0.25">
      <c r="A1519">
        <v>-169.73661344052383</v>
      </c>
      <c r="B1519">
        <v>-169.73661344052385</v>
      </c>
      <c r="C1519">
        <v>842.01731200000017</v>
      </c>
      <c r="E1519">
        <f t="shared" si="57"/>
        <v>-163.70949210068434</v>
      </c>
      <c r="F1519">
        <f t="shared" si="58"/>
        <v>532.17685905764449</v>
      </c>
    </row>
    <row r="1520" spans="1:6" x14ac:dyDescent="0.25">
      <c r="A1520">
        <v>-151.52439803451716</v>
      </c>
      <c r="B1520">
        <v>-186.66040323236479</v>
      </c>
      <c r="C1520">
        <v>842.01731200000017</v>
      </c>
      <c r="E1520">
        <f t="shared" si="57"/>
        <v>-181.25856952855673</v>
      </c>
      <c r="F1520">
        <f t="shared" si="58"/>
        <v>543.49666336119128</v>
      </c>
    </row>
    <row r="1521" spans="1:6" x14ac:dyDescent="0.25">
      <c r="A1521">
        <v>-131.15358151853061</v>
      </c>
      <c r="B1521">
        <v>-202.95705791530372</v>
      </c>
      <c r="C1521">
        <v>842.01731200000017</v>
      </c>
      <c r="E1521">
        <f t="shared" si="57"/>
        <v>-198.25622797361061</v>
      </c>
      <c r="F1521">
        <f t="shared" si="58"/>
        <v>556.21721297090846</v>
      </c>
    </row>
    <row r="1522" spans="1:6" x14ac:dyDescent="0.25">
      <c r="A1522">
        <v>-108.97871326372105</v>
      </c>
      <c r="B1522">
        <v>-218.21584714613883</v>
      </c>
      <c r="C1522">
        <v>842.01731200000017</v>
      </c>
      <c r="E1522">
        <f t="shared" si="57"/>
        <v>-214.27961370386211</v>
      </c>
      <c r="F1522">
        <f t="shared" si="58"/>
        <v>570.11996067351129</v>
      </c>
    </row>
    <row r="1523" spans="1:6" x14ac:dyDescent="0.25">
      <c r="A1523">
        <v>-90.796881146391513</v>
      </c>
      <c r="B1523">
        <v>-229.30965243552578</v>
      </c>
      <c r="C1523">
        <v>842.01731200000017</v>
      </c>
      <c r="E1523">
        <f t="shared" si="57"/>
        <v>-226.00119773683551</v>
      </c>
      <c r="F1523">
        <f t="shared" si="58"/>
        <v>581.55103070554514</v>
      </c>
    </row>
    <row r="1524" spans="1:6" x14ac:dyDescent="0.25">
      <c r="A1524">
        <v>-71.301007982845718</v>
      </c>
      <c r="B1524">
        <v>-239.41766097183259</v>
      </c>
      <c r="C1524">
        <v>842.01731200000017</v>
      </c>
      <c r="E1524">
        <f t="shared" si="57"/>
        <v>-236.78344490863481</v>
      </c>
      <c r="F1524">
        <f t="shared" si="58"/>
        <v>593.84834984630947</v>
      </c>
    </row>
    <row r="1525" spans="1:6" x14ac:dyDescent="0.25">
      <c r="A1525">
        <v>-52.535968622786363</v>
      </c>
      <c r="B1525">
        <v>-247.194493232063</v>
      </c>
      <c r="C1525">
        <v>842.01731200000017</v>
      </c>
      <c r="E1525">
        <f t="shared" si="57"/>
        <v>-245.21043016204396</v>
      </c>
      <c r="F1525">
        <f t="shared" si="58"/>
        <v>605.72847943883016</v>
      </c>
    </row>
    <row r="1526" spans="1:6" x14ac:dyDescent="0.25">
      <c r="A1526">
        <v>-34.126511213794075</v>
      </c>
      <c r="B1526">
        <v>-253.25857079196834</v>
      </c>
      <c r="C1526">
        <v>842.01731200000017</v>
      </c>
      <c r="E1526">
        <f t="shared" si="57"/>
        <v>-251.91329444788568</v>
      </c>
      <c r="F1526">
        <f t="shared" si="58"/>
        <v>617.41860675843429</v>
      </c>
    </row>
    <row r="1527" spans="1:6" x14ac:dyDescent="0.25">
      <c r="A1527">
        <v>-16.933449897748282</v>
      </c>
      <c r="B1527">
        <v>-256.44140129490518</v>
      </c>
      <c r="C1527">
        <v>842.01731200000017</v>
      </c>
      <c r="E1527">
        <f t="shared" si="57"/>
        <v>-255.69421524318253</v>
      </c>
      <c r="F1527">
        <f t="shared" si="58"/>
        <v>628.39196095552393</v>
      </c>
    </row>
    <row r="1528" spans="1:6" x14ac:dyDescent="0.25">
      <c r="A1528">
        <v>1.5796208961340477E-14</v>
      </c>
      <c r="B1528">
        <v>-257.8660389775975</v>
      </c>
      <c r="C1528">
        <v>842.01731200000017</v>
      </c>
      <c r="E1528">
        <f t="shared" si="57"/>
        <v>-257.70895395395945</v>
      </c>
      <c r="F1528">
        <f t="shared" si="58"/>
        <v>639.23798328169721</v>
      </c>
    </row>
    <row r="1529" spans="1:6" x14ac:dyDescent="0.25">
      <c r="A1529">
        <v>16.933449897748311</v>
      </c>
      <c r="B1529">
        <v>-256.44140129490518</v>
      </c>
      <c r="C1529">
        <v>842.01731200000017</v>
      </c>
      <c r="E1529">
        <f t="shared" si="57"/>
        <v>-256.87615300091937</v>
      </c>
      <c r="F1529">
        <f t="shared" si="58"/>
        <v>650.14792329975251</v>
      </c>
    </row>
    <row r="1530" spans="1:6" x14ac:dyDescent="0.25">
      <c r="A1530">
        <v>34.126511213794046</v>
      </c>
      <c r="B1530">
        <v>-253.25857079196834</v>
      </c>
      <c r="C1530">
        <v>842.01731200000017</v>
      </c>
      <c r="E1530">
        <f t="shared" si="57"/>
        <v>-254.29529057903301</v>
      </c>
      <c r="F1530">
        <f t="shared" si="58"/>
        <v>661.26407814143477</v>
      </c>
    </row>
    <row r="1531" spans="1:6" x14ac:dyDescent="0.25">
      <c r="A1531">
        <v>52.535968622786392</v>
      </c>
      <c r="B1531">
        <v>-247.194493232063</v>
      </c>
      <c r="C1531">
        <v>842.01731200000017</v>
      </c>
      <c r="E1531">
        <f t="shared" si="57"/>
        <v>-248.87738788947121</v>
      </c>
      <c r="F1531">
        <f t="shared" si="58"/>
        <v>673.22627592901233</v>
      </c>
    </row>
    <row r="1532" spans="1:6" x14ac:dyDescent="0.25">
      <c r="A1532">
        <v>71.301007982845675</v>
      </c>
      <c r="B1532">
        <v>-239.41766097183256</v>
      </c>
      <c r="C1532">
        <v>842.01731200000017</v>
      </c>
      <c r="E1532">
        <f t="shared" si="57"/>
        <v>-241.76018349459943</v>
      </c>
      <c r="F1532">
        <f t="shared" si="58"/>
        <v>685.45532031879418</v>
      </c>
    </row>
    <row r="1533" spans="1:6" x14ac:dyDescent="0.25">
      <c r="A1533">
        <v>90.796881146391556</v>
      </c>
      <c r="B1533">
        <v>-229.30965243552566</v>
      </c>
      <c r="C1533">
        <v>842.01731200000017</v>
      </c>
      <c r="E1533">
        <f t="shared" si="57"/>
        <v>-232.33872864516715</v>
      </c>
      <c r="F1533">
        <f t="shared" si="58"/>
        <v>698.20614464407913</v>
      </c>
    </row>
    <row r="1534" spans="1:6" x14ac:dyDescent="0.25">
      <c r="A1534">
        <v>108.97871326372086</v>
      </c>
      <c r="B1534">
        <v>-218.21584714613894</v>
      </c>
      <c r="C1534">
        <v>842.01731200000017</v>
      </c>
      <c r="E1534">
        <f t="shared" si="57"/>
        <v>-221.8862181922423</v>
      </c>
      <c r="F1534">
        <f t="shared" si="58"/>
        <v>710.13494854690737</v>
      </c>
    </row>
    <row r="1535" spans="1:6" x14ac:dyDescent="0.25">
      <c r="A1535">
        <v>131.15358151853056</v>
      </c>
      <c r="B1535">
        <v>-202.95705791530384</v>
      </c>
      <c r="C1535">
        <v>842.01731200000017</v>
      </c>
      <c r="E1535">
        <f t="shared" si="57"/>
        <v>-207.41061594506508</v>
      </c>
      <c r="F1535">
        <f t="shared" si="58"/>
        <v>724.72229599048137</v>
      </c>
    </row>
    <row r="1536" spans="1:6" x14ac:dyDescent="0.25">
      <c r="A1536">
        <v>151.52439803451719</v>
      </c>
      <c r="B1536">
        <v>-186.66040323236479</v>
      </c>
      <c r="C1536">
        <v>842.01731200000017</v>
      </c>
      <c r="E1536">
        <f t="shared" si="57"/>
        <v>-191.8348199876649</v>
      </c>
      <c r="F1536">
        <f t="shared" si="58"/>
        <v>738.17401013795188</v>
      </c>
    </row>
    <row r="1537" spans="1:6" x14ac:dyDescent="0.25">
      <c r="A1537">
        <v>169.73661344052385</v>
      </c>
      <c r="B1537">
        <v>-169.73661344052383</v>
      </c>
      <c r="C1537">
        <v>842.01731200000017</v>
      </c>
      <c r="E1537">
        <f t="shared" si="57"/>
        <v>-175.55693686280682</v>
      </c>
      <c r="F1537">
        <f t="shared" si="58"/>
        <v>750.2531159779752</v>
      </c>
    </row>
    <row r="1538" spans="1:6" x14ac:dyDescent="0.25">
      <c r="A1538">
        <v>186.66040323236479</v>
      </c>
      <c r="B1538">
        <v>-151.52439803451716</v>
      </c>
      <c r="C1538">
        <v>842.01731200000017</v>
      </c>
      <c r="E1538">
        <f t="shared" si="57"/>
        <v>-157.94644759238207</v>
      </c>
      <c r="F1538">
        <f t="shared" si="58"/>
        <v>761.53344551004136</v>
      </c>
    </row>
    <row r="1539" spans="1:6" x14ac:dyDescent="0.25">
      <c r="A1539">
        <v>202.95705791530372</v>
      </c>
      <c r="B1539">
        <v>-131.15358151853064</v>
      </c>
      <c r="C1539">
        <v>842.01731200000017</v>
      </c>
      <c r="E1539">
        <f t="shared" si="57"/>
        <v>-138.15678547378508</v>
      </c>
      <c r="F1539">
        <f t="shared" si="58"/>
        <v>772.45932975220569</v>
      </c>
    </row>
    <row r="1540" spans="1:6" x14ac:dyDescent="0.25">
      <c r="A1540">
        <v>218.21584714613894</v>
      </c>
      <c r="B1540">
        <v>-108.97871326372093</v>
      </c>
      <c r="C1540">
        <v>842.01731200000017</v>
      </c>
      <c r="E1540">
        <f t="shared" si="57"/>
        <v>-116.52794961401702</v>
      </c>
      <c r="F1540">
        <f t="shared" si="58"/>
        <v>782.75896356483952</v>
      </c>
    </row>
    <row r="1541" spans="1:6" x14ac:dyDescent="0.25">
      <c r="A1541">
        <v>229.30965243552575</v>
      </c>
      <c r="B1541">
        <v>-90.796881146391584</v>
      </c>
      <c r="C1541">
        <v>842.01731200000017</v>
      </c>
      <c r="E1541">
        <f t="shared" si="57"/>
        <v>-98.744361598672029</v>
      </c>
      <c r="F1541">
        <f t="shared" si="58"/>
        <v>790.29345254713439</v>
      </c>
    </row>
    <row r="1542" spans="1:6" x14ac:dyDescent="0.25">
      <c r="A1542">
        <v>239.41766097183248</v>
      </c>
      <c r="B1542">
        <v>-71.301007982845718</v>
      </c>
      <c r="C1542">
        <v>842.01731200000017</v>
      </c>
      <c r="E1542">
        <f t="shared" si="57"/>
        <v>-79.61312920487822</v>
      </c>
      <c r="F1542">
        <f t="shared" si="58"/>
        <v>797.22414743374463</v>
      </c>
    </row>
    <row r="1543" spans="1:6" x14ac:dyDescent="0.25">
      <c r="A1543">
        <v>247.19449323206285</v>
      </c>
      <c r="B1543">
        <v>-52.53596862278642</v>
      </c>
      <c r="C1543">
        <v>842.01731200000017</v>
      </c>
      <c r="E1543">
        <f t="shared" si="57"/>
        <v>-61.130928531604482</v>
      </c>
      <c r="F1543">
        <f t="shared" si="58"/>
        <v>802.64090914164717</v>
      </c>
    </row>
    <row r="1544" spans="1:6" x14ac:dyDescent="0.25">
      <c r="A1544">
        <v>253.25857079196834</v>
      </c>
      <c r="B1544">
        <v>-34.126511213794146</v>
      </c>
      <c r="C1544">
        <v>842.01731200000017</v>
      </c>
      <c r="E1544">
        <f t="shared" si="57"/>
        <v>-42.944318921464507</v>
      </c>
      <c r="F1544">
        <f t="shared" si="58"/>
        <v>806.94942725399676</v>
      </c>
    </row>
    <row r="1545" spans="1:6" x14ac:dyDescent="0.25">
      <c r="A1545">
        <v>256.44140129490518</v>
      </c>
      <c r="B1545">
        <v>-16.933449897748265</v>
      </c>
      <c r="C1545">
        <v>842.01731200000017</v>
      </c>
      <c r="E1545">
        <f t="shared" si="57"/>
        <v>-25.872810336473258</v>
      </c>
      <c r="F1545">
        <f t="shared" si="58"/>
        <v>809.37975629441974</v>
      </c>
    </row>
    <row r="1546" spans="1:6" x14ac:dyDescent="0.25">
      <c r="A1546">
        <v>257.8660389775975</v>
      </c>
      <c r="B1546">
        <v>0</v>
      </c>
      <c r="C1546">
        <v>842.01731200000017</v>
      </c>
      <c r="E1546">
        <f t="shared" si="57"/>
        <v>-8.9993949769855757</v>
      </c>
      <c r="F1546">
        <f t="shared" si="58"/>
        <v>810.67480537446295</v>
      </c>
    </row>
    <row r="1547" spans="1:6" x14ac:dyDescent="0.25">
      <c r="A1547">
        <v>256.44140129490518</v>
      </c>
      <c r="B1547">
        <v>16.933449897748289</v>
      </c>
      <c r="C1547">
        <v>842.01731200000017</v>
      </c>
      <c r="E1547">
        <f t="shared" si="57"/>
        <v>7.9734586587208902</v>
      </c>
      <c r="F1547">
        <f t="shared" si="58"/>
        <v>810.13949124051373</v>
      </c>
    </row>
    <row r="1548" spans="1:6" x14ac:dyDescent="0.25">
      <c r="A1548">
        <v>253.25857079196851</v>
      </c>
      <c r="B1548">
        <v>34.126511213794025</v>
      </c>
      <c r="C1548">
        <v>842.01731200000017</v>
      </c>
      <c r="E1548">
        <f t="shared" si="57"/>
        <v>25.267125608995716</v>
      </c>
      <c r="F1548">
        <f t="shared" si="58"/>
        <v>808.48054485341959</v>
      </c>
    </row>
    <row r="1549" spans="1:6" x14ac:dyDescent="0.25">
      <c r="A1549">
        <v>247.19449323206274</v>
      </c>
      <c r="B1549">
        <v>52.535968622786363</v>
      </c>
      <c r="C1549">
        <v>842.01731200000017</v>
      </c>
      <c r="E1549">
        <f t="shared" si="57"/>
        <v>43.87700172874704</v>
      </c>
      <c r="F1549">
        <f t="shared" si="58"/>
        <v>804.99798413408166</v>
      </c>
    </row>
    <row r="1550" spans="1:6" x14ac:dyDescent="0.25">
      <c r="A1550">
        <v>239.41766097183256</v>
      </c>
      <c r="B1550">
        <v>71.301007982845661</v>
      </c>
      <c r="C1550">
        <v>842.01731200000017</v>
      </c>
      <c r="E1550">
        <f t="shared" si="57"/>
        <v>62.902017465664393</v>
      </c>
      <c r="F1550">
        <f t="shared" si="58"/>
        <v>800.42313333345169</v>
      </c>
    </row>
    <row r="1551" spans="1:6" x14ac:dyDescent="0.25">
      <c r="A1551">
        <v>229.30965243552575</v>
      </c>
      <c r="B1551">
        <v>90.79688114639157</v>
      </c>
      <c r="C1551">
        <v>842.01731200000017</v>
      </c>
      <c r="E1551">
        <f t="shared" si="57"/>
        <v>82.738778680621607</v>
      </c>
      <c r="F1551">
        <f t="shared" si="58"/>
        <v>794.36713889101543</v>
      </c>
    </row>
    <row r="1552" spans="1:6" x14ac:dyDescent="0.25">
      <c r="A1552">
        <v>218.21584714613894</v>
      </c>
      <c r="B1552">
        <v>108.97871326372093</v>
      </c>
      <c r="C1552">
        <v>842.01731200000017</v>
      </c>
      <c r="E1552">
        <f t="shared" si="57"/>
        <v>101.2967031381969</v>
      </c>
      <c r="F1552">
        <f t="shared" si="58"/>
        <v>787.64839468175626</v>
      </c>
    </row>
    <row r="1553" spans="1:6" x14ac:dyDescent="0.25">
      <c r="A1553">
        <v>202.95705791530375</v>
      </c>
      <c r="B1553">
        <v>131.1535815185305</v>
      </c>
      <c r="C1553">
        <v>842.01731200000017</v>
      </c>
      <c r="E1553">
        <f t="shared" si="57"/>
        <v>123.99058712685623</v>
      </c>
      <c r="F1553">
        <f t="shared" si="58"/>
        <v>778.34365691452012</v>
      </c>
    </row>
    <row r="1554" spans="1:6" x14ac:dyDescent="0.25">
      <c r="A1554">
        <v>186.66040323236479</v>
      </c>
      <c r="B1554">
        <v>151.52439803451716</v>
      </c>
      <c r="C1554">
        <v>842.01731200000017</v>
      </c>
      <c r="E1554">
        <f t="shared" si="57"/>
        <v>144.91773933819144</v>
      </c>
      <c r="F1554">
        <f t="shared" si="58"/>
        <v>768.33172826209761</v>
      </c>
    </row>
    <row r="1555" spans="1:6" x14ac:dyDescent="0.25">
      <c r="A1555">
        <v>169.73661344052385</v>
      </c>
      <c r="B1555">
        <v>169.73661344052383</v>
      </c>
      <c r="C1555">
        <v>842.01731200000017</v>
      </c>
      <c r="E1555">
        <f t="shared" si="57"/>
        <v>163.70949210068454</v>
      </c>
      <c r="F1555">
        <f t="shared" si="58"/>
        <v>757.86850667751321</v>
      </c>
    </row>
    <row r="1556" spans="1:6" x14ac:dyDescent="0.25">
      <c r="A1556">
        <v>151.52439803451719</v>
      </c>
      <c r="B1556">
        <v>186.66040323236479</v>
      </c>
      <c r="C1556">
        <v>842.01731200000017</v>
      </c>
      <c r="E1556">
        <f t="shared" ref="E1556:E1619" si="59">($I$2*A1556)+($K$2*B1556)+($M$2*C1556)</f>
        <v>181.25856952855696</v>
      </c>
      <c r="F1556">
        <f t="shared" ref="F1556:F1619" si="60">($J$2*A1556)+($L$2*B1556)+($N$2*C1556)</f>
        <v>746.54870237396642</v>
      </c>
    </row>
    <row r="1557" spans="1:6" x14ac:dyDescent="0.25">
      <c r="A1557">
        <v>131.15358151853064</v>
      </c>
      <c r="B1557">
        <v>202.95705791530372</v>
      </c>
      <c r="C1557">
        <v>842.01731200000017</v>
      </c>
      <c r="E1557">
        <f t="shared" si="59"/>
        <v>198.25622797361083</v>
      </c>
      <c r="F1557">
        <f t="shared" si="60"/>
        <v>733.82815276424924</v>
      </c>
    </row>
    <row r="1558" spans="1:6" x14ac:dyDescent="0.25">
      <c r="A1558">
        <v>108.97871326372109</v>
      </c>
      <c r="B1558">
        <v>218.21584714613897</v>
      </c>
      <c r="C1558">
        <v>842.01731200000017</v>
      </c>
      <c r="E1558">
        <f t="shared" si="59"/>
        <v>214.27961370386248</v>
      </c>
      <c r="F1558">
        <f t="shared" si="60"/>
        <v>719.92540506164653</v>
      </c>
    </row>
    <row r="1559" spans="1:6" x14ac:dyDescent="0.25">
      <c r="A1559">
        <v>90.796881146391698</v>
      </c>
      <c r="B1559">
        <v>229.30965243552583</v>
      </c>
      <c r="C1559">
        <v>842.01731200000017</v>
      </c>
      <c r="E1559">
        <f t="shared" si="59"/>
        <v>226.00119773683579</v>
      </c>
      <c r="F1559">
        <f t="shared" si="60"/>
        <v>708.49433502961267</v>
      </c>
    </row>
    <row r="1560" spans="1:6" x14ac:dyDescent="0.25">
      <c r="A1560">
        <v>71.301007982845832</v>
      </c>
      <c r="B1560">
        <v>239.41766097183256</v>
      </c>
      <c r="C1560">
        <v>842.01731200000017</v>
      </c>
      <c r="E1560">
        <f t="shared" si="59"/>
        <v>236.783444908635</v>
      </c>
      <c r="F1560">
        <f t="shared" si="60"/>
        <v>696.19701588884823</v>
      </c>
    </row>
    <row r="1561" spans="1:6" x14ac:dyDescent="0.25">
      <c r="A1561">
        <v>52.535968622786314</v>
      </c>
      <c r="B1561">
        <v>247.19449323206297</v>
      </c>
      <c r="C1561">
        <v>842.01731200000017</v>
      </c>
      <c r="E1561">
        <f t="shared" si="59"/>
        <v>245.21043016204416</v>
      </c>
      <c r="F1561">
        <f t="shared" si="60"/>
        <v>684.31688629632754</v>
      </c>
    </row>
    <row r="1562" spans="1:6" x14ac:dyDescent="0.25">
      <c r="A1562">
        <v>34.126511213794075</v>
      </c>
      <c r="B1562">
        <v>253.25857079196857</v>
      </c>
      <c r="C1562">
        <v>842.01731200000017</v>
      </c>
      <c r="E1562">
        <f t="shared" si="59"/>
        <v>251.91329444788613</v>
      </c>
      <c r="F1562">
        <f t="shared" si="60"/>
        <v>672.62675897672341</v>
      </c>
    </row>
    <row r="1563" spans="1:6" x14ac:dyDescent="0.25">
      <c r="A1563">
        <v>16.933449897748279</v>
      </c>
      <c r="B1563">
        <v>256.44140129490518</v>
      </c>
      <c r="C1563">
        <v>842.01731200000017</v>
      </c>
      <c r="E1563">
        <f t="shared" si="59"/>
        <v>255.69421524318275</v>
      </c>
      <c r="F1563">
        <f t="shared" si="60"/>
        <v>661.65340477963377</v>
      </c>
    </row>
    <row r="1564" spans="1:6" x14ac:dyDescent="0.25">
      <c r="A1564">
        <v>1.4352919029327774E-14</v>
      </c>
      <c r="B1564">
        <v>257.8660389775975</v>
      </c>
      <c r="C1564">
        <v>842.01731200000017</v>
      </c>
      <c r="E1564">
        <f t="shared" si="59"/>
        <v>257.70895395395968</v>
      </c>
      <c r="F1564">
        <f t="shared" si="60"/>
        <v>650.80738245346049</v>
      </c>
    </row>
    <row r="1565" spans="1:6" x14ac:dyDescent="0.25">
      <c r="A1565">
        <v>-16.933449897748307</v>
      </c>
      <c r="B1565">
        <v>256.44140129490529</v>
      </c>
      <c r="C1565">
        <v>842.01731200000017</v>
      </c>
      <c r="E1565">
        <f t="shared" si="59"/>
        <v>256.87615300091971</v>
      </c>
      <c r="F1565">
        <f t="shared" si="60"/>
        <v>639.8974424354052</v>
      </c>
    </row>
    <row r="1566" spans="1:6" x14ac:dyDescent="0.25">
      <c r="A1566">
        <v>-34.126511213793982</v>
      </c>
      <c r="B1566">
        <v>253.25857079196845</v>
      </c>
      <c r="C1566">
        <v>842.01731200000017</v>
      </c>
      <c r="E1566">
        <f t="shared" si="59"/>
        <v>254.29529057903335</v>
      </c>
      <c r="F1566">
        <f t="shared" si="60"/>
        <v>628.78128759372305</v>
      </c>
    </row>
    <row r="1567" spans="1:6" x14ac:dyDescent="0.25">
      <c r="A1567">
        <v>-52.535968622786328</v>
      </c>
      <c r="B1567">
        <v>247.194493232063</v>
      </c>
      <c r="C1567">
        <v>842.01731200000017</v>
      </c>
      <c r="E1567">
        <f t="shared" si="59"/>
        <v>248.87738788947144</v>
      </c>
      <c r="F1567">
        <f t="shared" si="60"/>
        <v>616.81908980614548</v>
      </c>
    </row>
    <row r="1568" spans="1:6" x14ac:dyDescent="0.25">
      <c r="A1568">
        <v>-71.301007982845604</v>
      </c>
      <c r="B1568">
        <v>239.41766097183256</v>
      </c>
      <c r="C1568">
        <v>842.01731200000017</v>
      </c>
      <c r="E1568">
        <f t="shared" si="59"/>
        <v>241.76018349459966</v>
      </c>
      <c r="F1568">
        <f t="shared" si="60"/>
        <v>604.59004541636352</v>
      </c>
    </row>
    <row r="1569" spans="1:6" x14ac:dyDescent="0.25">
      <c r="A1569">
        <v>-90.796881146391456</v>
      </c>
      <c r="B1569">
        <v>229.30965243552592</v>
      </c>
      <c r="C1569">
        <v>842.01731200000017</v>
      </c>
      <c r="E1569">
        <f t="shared" si="59"/>
        <v>232.33872864516763</v>
      </c>
      <c r="F1569">
        <f t="shared" si="60"/>
        <v>591.83922109107857</v>
      </c>
    </row>
    <row r="1570" spans="1:6" x14ac:dyDescent="0.25">
      <c r="A1570">
        <v>-108.97871326372103</v>
      </c>
      <c r="B1570">
        <v>218.21584714613883</v>
      </c>
      <c r="C1570">
        <v>842.01731200000017</v>
      </c>
      <c r="E1570">
        <f t="shared" si="59"/>
        <v>221.88621819224241</v>
      </c>
      <c r="F1570">
        <f t="shared" si="60"/>
        <v>579.91041718825022</v>
      </c>
    </row>
    <row r="1571" spans="1:6" x14ac:dyDescent="0.25">
      <c r="A1571">
        <v>-131.15358151853061</v>
      </c>
      <c r="B1571">
        <v>202.95705791530372</v>
      </c>
      <c r="C1571">
        <v>842.01731200000017</v>
      </c>
      <c r="E1571">
        <f t="shared" si="59"/>
        <v>207.41061594506519</v>
      </c>
      <c r="F1571">
        <f t="shared" si="60"/>
        <v>565.32306974467633</v>
      </c>
    </row>
    <row r="1572" spans="1:6" x14ac:dyDescent="0.25">
      <c r="A1572">
        <v>-151.52439803451716</v>
      </c>
      <c r="B1572">
        <v>186.66040323236479</v>
      </c>
      <c r="C1572">
        <v>842.01731200000017</v>
      </c>
      <c r="E1572">
        <f t="shared" si="59"/>
        <v>191.83481998766513</v>
      </c>
      <c r="F1572">
        <f t="shared" si="60"/>
        <v>551.87135559720582</v>
      </c>
    </row>
    <row r="1573" spans="1:6" x14ac:dyDescent="0.25">
      <c r="A1573">
        <v>-169.73661344052383</v>
      </c>
      <c r="B1573">
        <v>169.73661344052385</v>
      </c>
      <c r="C1573">
        <v>842.01731200000017</v>
      </c>
      <c r="E1573">
        <f t="shared" si="59"/>
        <v>175.55693686280708</v>
      </c>
      <c r="F1573">
        <f t="shared" si="60"/>
        <v>539.7922497571825</v>
      </c>
    </row>
    <row r="1574" spans="1:6" x14ac:dyDescent="0.25">
      <c r="A1574">
        <v>-186.66040323236479</v>
      </c>
      <c r="B1574">
        <v>151.52439803451722</v>
      </c>
      <c r="C1574">
        <v>842.01731200000017</v>
      </c>
      <c r="E1574">
        <f t="shared" si="59"/>
        <v>157.94644759238236</v>
      </c>
      <c r="F1574">
        <f t="shared" si="60"/>
        <v>528.51192022511634</v>
      </c>
    </row>
    <row r="1575" spans="1:6" x14ac:dyDescent="0.25">
      <c r="A1575">
        <v>-202.95705791530364</v>
      </c>
      <c r="B1575">
        <v>131.15358151853067</v>
      </c>
      <c r="C1575">
        <v>842.01731200000017</v>
      </c>
      <c r="E1575">
        <f t="shared" si="59"/>
        <v>138.15678547378533</v>
      </c>
      <c r="F1575">
        <f t="shared" si="60"/>
        <v>517.58603598295201</v>
      </c>
    </row>
    <row r="1576" spans="1:6" x14ac:dyDescent="0.25">
      <c r="A1576">
        <v>-218.21584714613897</v>
      </c>
      <c r="B1576">
        <v>108.97871326372109</v>
      </c>
      <c r="C1576">
        <v>842.01731200000017</v>
      </c>
      <c r="E1576">
        <f t="shared" si="59"/>
        <v>116.52794961401737</v>
      </c>
      <c r="F1576">
        <f t="shared" si="60"/>
        <v>507.28640217031813</v>
      </c>
    </row>
    <row r="1577" spans="1:6" x14ac:dyDescent="0.25">
      <c r="A1577">
        <v>-229.30965243552566</v>
      </c>
      <c r="B1577">
        <v>90.79688114639174</v>
      </c>
      <c r="C1577">
        <v>842.01731200000017</v>
      </c>
      <c r="E1577">
        <f t="shared" si="59"/>
        <v>98.74436159867237</v>
      </c>
      <c r="F1577">
        <f t="shared" si="60"/>
        <v>499.75191318802342</v>
      </c>
    </row>
    <row r="1578" spans="1:6" x14ac:dyDescent="0.25">
      <c r="A1578">
        <v>-239.41766097183256</v>
      </c>
      <c r="B1578">
        <v>71.301007982845832</v>
      </c>
      <c r="C1578">
        <v>842.01731200000017</v>
      </c>
      <c r="E1578">
        <f t="shared" si="59"/>
        <v>79.613129204878533</v>
      </c>
      <c r="F1578">
        <f t="shared" si="60"/>
        <v>492.82121830141307</v>
      </c>
    </row>
    <row r="1579" spans="1:6" x14ac:dyDescent="0.25">
      <c r="A1579">
        <v>-247.19449323206297</v>
      </c>
      <c r="B1579">
        <v>52.535968622786314</v>
      </c>
      <c r="C1579">
        <v>842.01731200000017</v>
      </c>
      <c r="E1579">
        <f t="shared" si="59"/>
        <v>61.130928531604589</v>
      </c>
      <c r="F1579">
        <f t="shared" si="60"/>
        <v>487.40445659351042</v>
      </c>
    </row>
    <row r="1580" spans="1:6" x14ac:dyDescent="0.25">
      <c r="A1580">
        <v>-253.25857079196834</v>
      </c>
      <c r="B1580">
        <v>34.126511213794075</v>
      </c>
      <c r="C1580">
        <v>842.01731200000017</v>
      </c>
      <c r="E1580">
        <f t="shared" si="59"/>
        <v>42.944318921464649</v>
      </c>
      <c r="F1580">
        <f t="shared" si="60"/>
        <v>483.09593848116094</v>
      </c>
    </row>
    <row r="1581" spans="1:6" x14ac:dyDescent="0.25">
      <c r="A1581">
        <v>-239.75981613035344</v>
      </c>
      <c r="B1581">
        <v>-2.8604382197720955E-14</v>
      </c>
      <c r="C1581">
        <v>898.31718400000011</v>
      </c>
      <c r="E1581">
        <f t="shared" si="59"/>
        <v>8.3674969124336176</v>
      </c>
      <c r="F1581">
        <f t="shared" si="60"/>
        <v>534.13013032628169</v>
      </c>
    </row>
    <row r="1582" spans="1:6" x14ac:dyDescent="0.25">
      <c r="A1582">
        <v>-238.46337973499126</v>
      </c>
      <c r="B1582">
        <v>-16.738522324214603</v>
      </c>
      <c r="C1582">
        <v>898.31718400000011</v>
      </c>
      <c r="E1582">
        <f t="shared" si="59"/>
        <v>-8.4060737339457283</v>
      </c>
      <c r="F1582">
        <f t="shared" si="60"/>
        <v>534.58746126407152</v>
      </c>
    </row>
    <row r="1583" spans="1:6" x14ac:dyDescent="0.25">
      <c r="A1583">
        <v>-236.02516198992095</v>
      </c>
      <c r="B1583">
        <v>-33.359676677835935</v>
      </c>
      <c r="C1583">
        <v>898.31718400000011</v>
      </c>
      <c r="E1583">
        <f t="shared" si="59"/>
        <v>-25.102195501577459</v>
      </c>
      <c r="F1583">
        <f t="shared" si="60"/>
        <v>535.78090093188803</v>
      </c>
    </row>
    <row r="1584" spans="1:6" x14ac:dyDescent="0.25">
      <c r="A1584">
        <v>-230.03187361254629</v>
      </c>
      <c r="B1584">
        <v>-51.571451832280182</v>
      </c>
      <c r="C1584">
        <v>898.31718400000011</v>
      </c>
      <c r="E1584">
        <f t="shared" si="59"/>
        <v>-43.512039282626638</v>
      </c>
      <c r="F1584">
        <f t="shared" si="60"/>
        <v>539.22242155954609</v>
      </c>
    </row>
    <row r="1585" spans="1:6" x14ac:dyDescent="0.25">
      <c r="A1585">
        <v>-222.66426401975681</v>
      </c>
      <c r="B1585">
        <v>-70.200253702773381</v>
      </c>
      <c r="C1585">
        <v>898.31718400000011</v>
      </c>
      <c r="E1585">
        <f t="shared" si="59"/>
        <v>-62.386618857042585</v>
      </c>
      <c r="F1585">
        <f t="shared" si="60"/>
        <v>543.53744554949685</v>
      </c>
    </row>
    <row r="1586" spans="1:6" x14ac:dyDescent="0.25">
      <c r="A1586">
        <v>-213.23781000807685</v>
      </c>
      <c r="B1586">
        <v>-88.289352350554651</v>
      </c>
      <c r="C1586">
        <v>898.31718400000011</v>
      </c>
      <c r="E1586">
        <f t="shared" si="59"/>
        <v>-80.793676615375617</v>
      </c>
      <c r="F1586">
        <f t="shared" si="60"/>
        <v>549.18717018585392</v>
      </c>
    </row>
    <row r="1587" spans="1:6" x14ac:dyDescent="0.25">
      <c r="A1587">
        <v>-200.81762573637479</v>
      </c>
      <c r="B1587">
        <v>-108.87473465926577</v>
      </c>
      <c r="C1587">
        <v>898.31718400000011</v>
      </c>
      <c r="E1587">
        <f t="shared" si="59"/>
        <v>-101.79997704541741</v>
      </c>
      <c r="F1587">
        <f t="shared" si="60"/>
        <v>556.70405624693785</v>
      </c>
    </row>
    <row r="1588" spans="1:6" x14ac:dyDescent="0.25">
      <c r="A1588">
        <v>-187.74102921068538</v>
      </c>
      <c r="B1588">
        <v>-127.4301171567886</v>
      </c>
      <c r="C1588">
        <v>898.31718400000011</v>
      </c>
      <c r="E1588">
        <f t="shared" si="59"/>
        <v>-120.80042274260063</v>
      </c>
      <c r="F1588">
        <f t="shared" si="60"/>
        <v>564.68815785395941</v>
      </c>
    </row>
    <row r="1589" spans="1:6" x14ac:dyDescent="0.25">
      <c r="A1589">
        <v>-173.9533688960486</v>
      </c>
      <c r="B1589">
        <v>-144.42488730916605</v>
      </c>
      <c r="C1589">
        <v>898.31718400000011</v>
      </c>
      <c r="E1589">
        <f t="shared" si="59"/>
        <v>-138.26602254587047</v>
      </c>
      <c r="F1589">
        <f t="shared" si="60"/>
        <v>573.16405318444447</v>
      </c>
    </row>
    <row r="1590" spans="1:6" x14ac:dyDescent="0.25">
      <c r="A1590">
        <v>-159.69579781541987</v>
      </c>
      <c r="B1590">
        <v>-159.69579781541992</v>
      </c>
      <c r="C1590">
        <v>898.31718400000011</v>
      </c>
      <c r="E1590">
        <f t="shared" si="59"/>
        <v>-154.02521248096417</v>
      </c>
      <c r="F1590">
        <f t="shared" si="60"/>
        <v>581.98048861204597</v>
      </c>
    </row>
    <row r="1591" spans="1:6" x14ac:dyDescent="0.25">
      <c r="A1591">
        <v>-144.42488730916602</v>
      </c>
      <c r="B1591">
        <v>-173.95336889604854</v>
      </c>
      <c r="C1591">
        <v>898.31718400000011</v>
      </c>
      <c r="E1591">
        <f t="shared" si="59"/>
        <v>-168.80704532537436</v>
      </c>
      <c r="F1591">
        <f t="shared" si="60"/>
        <v>591.47062148161876</v>
      </c>
    </row>
    <row r="1592" spans="1:6" x14ac:dyDescent="0.25">
      <c r="A1592">
        <v>-127.43011715678855</v>
      </c>
      <c r="B1592">
        <v>-187.74102921068547</v>
      </c>
      <c r="C1592">
        <v>898.31718400000011</v>
      </c>
      <c r="E1592">
        <f t="shared" si="59"/>
        <v>-183.17941549477038</v>
      </c>
      <c r="F1592">
        <f t="shared" si="60"/>
        <v>602.07869645415622</v>
      </c>
    </row>
    <row r="1593" spans="1:6" x14ac:dyDescent="0.25">
      <c r="A1593">
        <v>-108.8747346592659</v>
      </c>
      <c r="B1593">
        <v>-200.81762573637479</v>
      </c>
      <c r="C1593">
        <v>898.31718400000011</v>
      </c>
      <c r="E1593">
        <f t="shared" si="59"/>
        <v>-196.89561962146001</v>
      </c>
      <c r="F1593">
        <f t="shared" si="60"/>
        <v>613.70525388692954</v>
      </c>
    </row>
    <row r="1594" spans="1:6" x14ac:dyDescent="0.25">
      <c r="A1594">
        <v>-88.289352350554537</v>
      </c>
      <c r="B1594">
        <v>-213.23781000807693</v>
      </c>
      <c r="C1594">
        <v>898.31718400000011</v>
      </c>
      <c r="E1594">
        <f t="shared" si="59"/>
        <v>-210.02665733448859</v>
      </c>
      <c r="F1594">
        <f t="shared" si="60"/>
        <v>626.65060043382641</v>
      </c>
    </row>
    <row r="1595" spans="1:6" x14ac:dyDescent="0.25">
      <c r="A1595">
        <v>-70.200253702773324</v>
      </c>
      <c r="B1595">
        <v>-222.66426401975693</v>
      </c>
      <c r="C1595">
        <v>898.31718400000011</v>
      </c>
      <c r="E1595">
        <f t="shared" si="59"/>
        <v>-220.0786694436884</v>
      </c>
      <c r="F1595">
        <f t="shared" si="60"/>
        <v>638.05950248346494</v>
      </c>
    </row>
    <row r="1596" spans="1:6" x14ac:dyDescent="0.25">
      <c r="A1596">
        <v>-51.571451832280069</v>
      </c>
      <c r="B1596">
        <v>-230.0318736125466</v>
      </c>
      <c r="C1596">
        <v>898.31718400000011</v>
      </c>
      <c r="E1596">
        <f t="shared" si="59"/>
        <v>-228.09192669723109</v>
      </c>
      <c r="F1596">
        <f t="shared" si="60"/>
        <v>649.86129372946709</v>
      </c>
    </row>
    <row r="1597" spans="1:6" x14ac:dyDescent="0.25">
      <c r="A1597">
        <v>-33.359676677835935</v>
      </c>
      <c r="B1597">
        <v>-236.02516198992095</v>
      </c>
      <c r="C1597">
        <v>898.31718400000011</v>
      </c>
      <c r="E1597">
        <f t="shared" si="59"/>
        <v>-234.71714591220839</v>
      </c>
      <c r="F1597">
        <f t="shared" si="60"/>
        <v>661.42601876259266</v>
      </c>
    </row>
    <row r="1598" spans="1:6" x14ac:dyDescent="0.25">
      <c r="A1598">
        <v>-16.738522324214589</v>
      </c>
      <c r="B1598">
        <v>-238.46337973499129</v>
      </c>
      <c r="C1598">
        <v>898.31718400000011</v>
      </c>
      <c r="E1598">
        <f t="shared" si="59"/>
        <v>-237.73394828246285</v>
      </c>
      <c r="F1598">
        <f t="shared" si="60"/>
        <v>672.04868606253001</v>
      </c>
    </row>
    <row r="1599" spans="1:6" x14ac:dyDescent="0.25">
      <c r="A1599">
        <v>1.4687068414063868E-14</v>
      </c>
      <c r="B1599">
        <v>-239.75981613035344</v>
      </c>
      <c r="C1599">
        <v>898.31718400000011</v>
      </c>
      <c r="E1599">
        <f t="shared" si="59"/>
        <v>-239.61376092846015</v>
      </c>
      <c r="F1599">
        <f t="shared" si="60"/>
        <v>682.772363622086</v>
      </c>
    </row>
    <row r="1600" spans="1:6" x14ac:dyDescent="0.25">
      <c r="A1600">
        <v>16.738522324214586</v>
      </c>
      <c r="B1600">
        <v>-238.46337973499126</v>
      </c>
      <c r="C1600">
        <v>898.31718400000011</v>
      </c>
      <c r="E1600">
        <f t="shared" si="59"/>
        <v>-238.90228029178016</v>
      </c>
      <c r="F1600">
        <f t="shared" si="60"/>
        <v>693.55420700378045</v>
      </c>
    </row>
    <row r="1601" spans="1:6" x14ac:dyDescent="0.25">
      <c r="A1601">
        <v>33.359676677835935</v>
      </c>
      <c r="B1601">
        <v>-236.02516198992109</v>
      </c>
      <c r="C1601">
        <v>898.31718400000011</v>
      </c>
      <c r="E1601">
        <f t="shared" si="59"/>
        <v>-237.04561776463783</v>
      </c>
      <c r="F1601">
        <f t="shared" si="60"/>
        <v>704.2862672058319</v>
      </c>
    </row>
    <row r="1602" spans="1:6" x14ac:dyDescent="0.25">
      <c r="A1602">
        <v>51.571451832280161</v>
      </c>
      <c r="B1602">
        <v>-230.0318736125466</v>
      </c>
      <c r="C1602">
        <v>898.31718400000011</v>
      </c>
      <c r="E1602">
        <f t="shared" si="59"/>
        <v>-231.69156212355881</v>
      </c>
      <c r="F1602">
        <f t="shared" si="60"/>
        <v>716.11988668455501</v>
      </c>
    </row>
    <row r="1603" spans="1:6" x14ac:dyDescent="0.25">
      <c r="A1603">
        <v>70.200253702773281</v>
      </c>
      <c r="B1603">
        <v>-222.66426401975687</v>
      </c>
      <c r="C1603">
        <v>898.31718400000011</v>
      </c>
      <c r="E1603">
        <f t="shared" si="59"/>
        <v>-224.97857648891767</v>
      </c>
      <c r="F1603">
        <f t="shared" si="60"/>
        <v>728.25223257303219</v>
      </c>
    </row>
    <row r="1604" spans="1:6" x14ac:dyDescent="0.25">
      <c r="A1604">
        <v>88.289352350554594</v>
      </c>
      <c r="B1604">
        <v>-213.23781000807682</v>
      </c>
      <c r="C1604">
        <v>898.31718400000011</v>
      </c>
      <c r="E1604">
        <f t="shared" si="59"/>
        <v>-216.18916525693675</v>
      </c>
      <c r="F1604">
        <f t="shared" si="60"/>
        <v>740.0840612308732</v>
      </c>
    </row>
    <row r="1605" spans="1:6" x14ac:dyDescent="0.25">
      <c r="A1605">
        <v>108.87473465926574</v>
      </c>
      <c r="B1605">
        <v>-200.81762573637479</v>
      </c>
      <c r="C1605">
        <v>898.31718400000011</v>
      </c>
      <c r="E1605">
        <f t="shared" si="59"/>
        <v>-204.49496650791349</v>
      </c>
      <c r="F1605">
        <f t="shared" si="60"/>
        <v>753.58665087265706</v>
      </c>
    </row>
    <row r="1606" spans="1:6" x14ac:dyDescent="0.25">
      <c r="A1606">
        <v>127.43011715678848</v>
      </c>
      <c r="B1606">
        <v>-187.74102921068555</v>
      </c>
      <c r="C1606">
        <v>898.31718400000011</v>
      </c>
      <c r="E1606">
        <f t="shared" si="59"/>
        <v>-192.07390940179579</v>
      </c>
      <c r="F1606">
        <f t="shared" si="60"/>
        <v>765.79990194532832</v>
      </c>
    </row>
    <row r="1607" spans="1:6" x14ac:dyDescent="0.25">
      <c r="A1607">
        <v>144.42488730916605</v>
      </c>
      <c r="B1607">
        <v>-173.95336889604863</v>
      </c>
      <c r="C1607">
        <v>898.31718400000011</v>
      </c>
      <c r="E1607">
        <f t="shared" si="59"/>
        <v>-178.88775708218512</v>
      </c>
      <c r="F1607">
        <f t="shared" si="60"/>
        <v>777.02657309461392</v>
      </c>
    </row>
    <row r="1608" spans="1:6" x14ac:dyDescent="0.25">
      <c r="A1608">
        <v>159.69579781541987</v>
      </c>
      <c r="B1608">
        <v>-159.69579781541987</v>
      </c>
      <c r="C1608">
        <v>898.31718400000011</v>
      </c>
      <c r="E1608">
        <f t="shared" si="59"/>
        <v>-165.17181841948917</v>
      </c>
      <c r="F1608">
        <f t="shared" si="60"/>
        <v>787.15638512358896</v>
      </c>
    </row>
    <row r="1609" spans="1:6" x14ac:dyDescent="0.25">
      <c r="A1609">
        <v>173.95336889604854</v>
      </c>
      <c r="B1609">
        <v>-144.42488730916602</v>
      </c>
      <c r="C1609">
        <v>898.31718400000011</v>
      </c>
      <c r="E1609">
        <f t="shared" si="59"/>
        <v>-150.40779259422362</v>
      </c>
      <c r="F1609">
        <f t="shared" si="60"/>
        <v>796.65796412443342</v>
      </c>
    </row>
    <row r="1610" spans="1:6" x14ac:dyDescent="0.25">
      <c r="A1610">
        <v>187.74102921068547</v>
      </c>
      <c r="B1610">
        <v>-127.4301171567886</v>
      </c>
      <c r="C1610">
        <v>898.31718400000011</v>
      </c>
      <c r="E1610">
        <f t="shared" si="59"/>
        <v>-133.90455760232558</v>
      </c>
      <c r="F1610">
        <f t="shared" si="60"/>
        <v>805.89634559114961</v>
      </c>
    </row>
    <row r="1611" spans="1:6" x14ac:dyDescent="0.25">
      <c r="A1611">
        <v>200.81762573637485</v>
      </c>
      <c r="B1611">
        <v>-108.87473465926573</v>
      </c>
      <c r="C1611">
        <v>898.31718400000011</v>
      </c>
      <c r="E1611">
        <f t="shared" si="59"/>
        <v>-115.81684517979878</v>
      </c>
      <c r="F1611">
        <f t="shared" si="60"/>
        <v>814.71295165571712</v>
      </c>
    </row>
    <row r="1612" spans="1:6" x14ac:dyDescent="0.25">
      <c r="A1612">
        <v>213.23781000807691</v>
      </c>
      <c r="B1612">
        <v>-88.289352350554609</v>
      </c>
      <c r="C1612">
        <v>898.31718400000011</v>
      </c>
      <c r="E1612">
        <f t="shared" si="59"/>
        <v>-95.677461109826424</v>
      </c>
      <c r="F1612">
        <f t="shared" si="60"/>
        <v>823.1534199999785</v>
      </c>
    </row>
    <row r="1613" spans="1:6" x14ac:dyDescent="0.25">
      <c r="A1613">
        <v>222.66426401975687</v>
      </c>
      <c r="B1613">
        <v>-70.200253702773267</v>
      </c>
      <c r="C1613">
        <v>898.31718400000011</v>
      </c>
      <c r="E1613">
        <f t="shared" si="59"/>
        <v>-77.928360352887125</v>
      </c>
      <c r="F1613">
        <f t="shared" si="60"/>
        <v>829.61472883619115</v>
      </c>
    </row>
    <row r="1614" spans="1:6" x14ac:dyDescent="0.25">
      <c r="A1614">
        <v>230.03187361254632</v>
      </c>
      <c r="B1614">
        <v>-51.571451832280168</v>
      </c>
      <c r="C1614">
        <v>898.31718400000011</v>
      </c>
      <c r="E1614">
        <f t="shared" si="59"/>
        <v>-59.568032511849033</v>
      </c>
      <c r="F1614">
        <f t="shared" si="60"/>
        <v>834.76555131199905</v>
      </c>
    </row>
    <row r="1615" spans="1:6" x14ac:dyDescent="0.25">
      <c r="A1615">
        <v>236.02516198992106</v>
      </c>
      <c r="B1615">
        <v>-33.359676677836042</v>
      </c>
      <c r="C1615">
        <v>898.31718400000011</v>
      </c>
      <c r="E1615">
        <f t="shared" si="59"/>
        <v>-41.576514226726637</v>
      </c>
      <c r="F1615">
        <f t="shared" si="60"/>
        <v>839.0241601348439</v>
      </c>
    </row>
    <row r="1616" spans="1:6" x14ac:dyDescent="0.25">
      <c r="A1616">
        <v>238.46337973499126</v>
      </c>
      <c r="B1616">
        <v>-16.738522324214539</v>
      </c>
      <c r="C1616">
        <v>898.31718400000011</v>
      </c>
      <c r="E1616">
        <f t="shared" si="59"/>
        <v>-25.050577603402846</v>
      </c>
      <c r="F1616">
        <f t="shared" si="60"/>
        <v>840.96332331931626</v>
      </c>
    </row>
    <row r="1617" spans="1:6" x14ac:dyDescent="0.25">
      <c r="A1617">
        <v>239.75981613035344</v>
      </c>
      <c r="B1617">
        <v>0</v>
      </c>
      <c r="C1617">
        <v>898.31718400000011</v>
      </c>
      <c r="E1617">
        <f t="shared" si="59"/>
        <v>-8.3674969124334257</v>
      </c>
      <c r="F1617">
        <f t="shared" si="60"/>
        <v>842.1716435966955</v>
      </c>
    </row>
    <row r="1618" spans="1:6" x14ac:dyDescent="0.25">
      <c r="A1618">
        <v>238.46337973499126</v>
      </c>
      <c r="B1618">
        <v>16.738522324214568</v>
      </c>
      <c r="C1618">
        <v>898.31718400000011</v>
      </c>
      <c r="E1618">
        <f t="shared" si="59"/>
        <v>8.4060737339459131</v>
      </c>
      <c r="F1618">
        <f t="shared" si="60"/>
        <v>841.71431265890567</v>
      </c>
    </row>
    <row r="1619" spans="1:6" x14ac:dyDescent="0.25">
      <c r="A1619">
        <v>236.02516198992132</v>
      </c>
      <c r="B1619">
        <v>33.359676677835999</v>
      </c>
      <c r="C1619">
        <v>898.31718400000011</v>
      </c>
      <c r="E1619">
        <f t="shared" si="59"/>
        <v>25.102195501577729</v>
      </c>
      <c r="F1619">
        <f t="shared" si="60"/>
        <v>840.52087299108939</v>
      </c>
    </row>
    <row r="1620" spans="1:6" x14ac:dyDescent="0.25">
      <c r="A1620">
        <v>230.03187361254638</v>
      </c>
      <c r="B1620">
        <v>51.571451832280182</v>
      </c>
      <c r="C1620">
        <v>898.31718400000011</v>
      </c>
      <c r="E1620">
        <f t="shared" ref="E1620:E1683" si="61">($I$2*A1620)+($K$2*B1620)+($M$2*C1620)</f>
        <v>43.512039282626851</v>
      </c>
      <c r="F1620">
        <f t="shared" ref="F1620:F1683" si="62">($J$2*A1620)+($L$2*B1620)+($N$2*C1620)</f>
        <v>837.07935236343121</v>
      </c>
    </row>
    <row r="1621" spans="1:6" x14ac:dyDescent="0.25">
      <c r="A1621">
        <v>222.66426401975687</v>
      </c>
      <c r="B1621">
        <v>70.200253702773267</v>
      </c>
      <c r="C1621">
        <v>898.31718400000011</v>
      </c>
      <c r="E1621">
        <f t="shared" si="61"/>
        <v>62.386618857042677</v>
      </c>
      <c r="F1621">
        <f t="shared" si="62"/>
        <v>832.76432837348034</v>
      </c>
    </row>
    <row r="1622" spans="1:6" x14ac:dyDescent="0.25">
      <c r="A1622">
        <v>213.23781000807691</v>
      </c>
      <c r="B1622">
        <v>88.289352350554609</v>
      </c>
      <c r="C1622">
        <v>898.31718400000011</v>
      </c>
      <c r="E1622">
        <f t="shared" si="61"/>
        <v>80.793676615375801</v>
      </c>
      <c r="F1622">
        <f t="shared" si="62"/>
        <v>827.11460373712339</v>
      </c>
    </row>
    <row r="1623" spans="1:6" x14ac:dyDescent="0.25">
      <c r="A1623">
        <v>200.81762573637485</v>
      </c>
      <c r="B1623">
        <v>108.87473465926577</v>
      </c>
      <c r="C1623">
        <v>898.31718400000011</v>
      </c>
      <c r="E1623">
        <f t="shared" si="61"/>
        <v>101.79997704541763</v>
      </c>
      <c r="F1623">
        <f t="shared" si="62"/>
        <v>819.59771767603934</v>
      </c>
    </row>
    <row r="1624" spans="1:6" x14ac:dyDescent="0.25">
      <c r="A1624">
        <v>187.74102921068547</v>
      </c>
      <c r="B1624">
        <v>127.43011715678848</v>
      </c>
      <c r="C1624">
        <v>898.31718400000011</v>
      </c>
      <c r="E1624">
        <f t="shared" si="61"/>
        <v>120.80042274260074</v>
      </c>
      <c r="F1624">
        <f t="shared" si="62"/>
        <v>811.61361606901789</v>
      </c>
    </row>
    <row r="1625" spans="1:6" x14ac:dyDescent="0.25">
      <c r="A1625">
        <v>173.95336889604863</v>
      </c>
      <c r="B1625">
        <v>144.42488730916605</v>
      </c>
      <c r="C1625">
        <v>898.31718400000011</v>
      </c>
      <c r="E1625">
        <f t="shared" si="61"/>
        <v>138.2660225458707</v>
      </c>
      <c r="F1625">
        <f t="shared" si="62"/>
        <v>803.13772073853272</v>
      </c>
    </row>
    <row r="1626" spans="1:6" x14ac:dyDescent="0.25">
      <c r="A1626">
        <v>159.69579781541992</v>
      </c>
      <c r="B1626">
        <v>159.69579781541987</v>
      </c>
      <c r="C1626">
        <v>898.31718400000011</v>
      </c>
      <c r="E1626">
        <f t="shared" si="61"/>
        <v>154.02521248096434</v>
      </c>
      <c r="F1626">
        <f t="shared" si="62"/>
        <v>794.32128531093122</v>
      </c>
    </row>
    <row r="1627" spans="1:6" x14ac:dyDescent="0.25">
      <c r="A1627">
        <v>144.42488730916605</v>
      </c>
      <c r="B1627">
        <v>173.95336889604854</v>
      </c>
      <c r="C1627">
        <v>898.31718400000011</v>
      </c>
      <c r="E1627">
        <f t="shared" si="61"/>
        <v>168.80704532537459</v>
      </c>
      <c r="F1627">
        <f t="shared" si="62"/>
        <v>784.83115244135843</v>
      </c>
    </row>
    <row r="1628" spans="1:6" x14ac:dyDescent="0.25">
      <c r="A1628">
        <v>127.4301171567886</v>
      </c>
      <c r="B1628">
        <v>187.74102921068547</v>
      </c>
      <c r="C1628">
        <v>898.31718400000011</v>
      </c>
      <c r="E1628">
        <f t="shared" si="61"/>
        <v>183.17941549477061</v>
      </c>
      <c r="F1628">
        <f t="shared" si="62"/>
        <v>774.22307746882109</v>
      </c>
    </row>
    <row r="1629" spans="1:6" x14ac:dyDescent="0.25">
      <c r="A1629">
        <v>108.87473465926593</v>
      </c>
      <c r="B1629">
        <v>200.81762573637485</v>
      </c>
      <c r="C1629">
        <v>898.31718400000011</v>
      </c>
      <c r="E1629">
        <f t="shared" si="61"/>
        <v>196.8956196214603</v>
      </c>
      <c r="F1629">
        <f t="shared" si="62"/>
        <v>762.59652003604765</v>
      </c>
    </row>
    <row r="1630" spans="1:6" x14ac:dyDescent="0.25">
      <c r="A1630">
        <v>88.289352350554722</v>
      </c>
      <c r="B1630">
        <v>213.23781000807696</v>
      </c>
      <c r="C1630">
        <v>898.31718400000011</v>
      </c>
      <c r="E1630">
        <f t="shared" si="61"/>
        <v>210.02665733448882</v>
      </c>
      <c r="F1630">
        <f t="shared" si="62"/>
        <v>749.65117348915089</v>
      </c>
    </row>
    <row r="1631" spans="1:6" x14ac:dyDescent="0.25">
      <c r="A1631">
        <v>70.200253702773423</v>
      </c>
      <c r="B1631">
        <v>222.66426401975681</v>
      </c>
      <c r="C1631">
        <v>898.31718400000011</v>
      </c>
      <c r="E1631">
        <f t="shared" si="61"/>
        <v>220.07866944368848</v>
      </c>
      <c r="F1631">
        <f t="shared" si="62"/>
        <v>738.24227143951236</v>
      </c>
    </row>
    <row r="1632" spans="1:6" x14ac:dyDescent="0.25">
      <c r="A1632">
        <v>51.571451832280133</v>
      </c>
      <c r="B1632">
        <v>230.03187361254649</v>
      </c>
      <c r="C1632">
        <v>898.31718400000011</v>
      </c>
      <c r="E1632">
        <f t="shared" si="61"/>
        <v>228.0919266972312</v>
      </c>
      <c r="F1632">
        <f t="shared" si="62"/>
        <v>726.4404801935101</v>
      </c>
    </row>
    <row r="1633" spans="1:6" x14ac:dyDescent="0.25">
      <c r="A1633">
        <v>33.359676677835957</v>
      </c>
      <c r="B1633">
        <v>236.02516198992132</v>
      </c>
      <c r="C1633">
        <v>898.31718400000011</v>
      </c>
      <c r="E1633">
        <f t="shared" si="61"/>
        <v>234.71714591220899</v>
      </c>
      <c r="F1633">
        <f t="shared" si="62"/>
        <v>714.87575516038464</v>
      </c>
    </row>
    <row r="1634" spans="1:6" x14ac:dyDescent="0.25">
      <c r="A1634">
        <v>16.738522324214578</v>
      </c>
      <c r="B1634">
        <v>238.46337973499129</v>
      </c>
      <c r="C1634">
        <v>898.31718400000011</v>
      </c>
      <c r="E1634">
        <f t="shared" si="61"/>
        <v>237.73394828246307</v>
      </c>
      <c r="F1634">
        <f t="shared" si="62"/>
        <v>704.25308786044718</v>
      </c>
    </row>
    <row r="1635" spans="1:6" x14ac:dyDescent="0.25">
      <c r="A1635">
        <v>1.3532436468453703E-14</v>
      </c>
      <c r="B1635">
        <v>239.75981613035344</v>
      </c>
      <c r="C1635">
        <v>898.31718400000011</v>
      </c>
      <c r="E1635">
        <f t="shared" si="61"/>
        <v>239.61376092846038</v>
      </c>
      <c r="F1635">
        <f t="shared" si="62"/>
        <v>693.52941030089119</v>
      </c>
    </row>
    <row r="1636" spans="1:6" x14ac:dyDescent="0.25">
      <c r="A1636">
        <v>-16.738522324214568</v>
      </c>
      <c r="B1636">
        <v>238.46337973499138</v>
      </c>
      <c r="C1636">
        <v>898.31718400000011</v>
      </c>
      <c r="E1636">
        <f t="shared" si="61"/>
        <v>238.9022802917805</v>
      </c>
      <c r="F1636">
        <f t="shared" si="62"/>
        <v>682.74756691919674</v>
      </c>
    </row>
    <row r="1637" spans="1:6" x14ac:dyDescent="0.25">
      <c r="A1637">
        <v>-33.359676677835935</v>
      </c>
      <c r="B1637">
        <v>236.0251619899212</v>
      </c>
      <c r="C1637">
        <v>898.31718400000011</v>
      </c>
      <c r="E1637">
        <f t="shared" si="61"/>
        <v>237.04561776463817</v>
      </c>
      <c r="F1637">
        <f t="shared" si="62"/>
        <v>672.01550671714529</v>
      </c>
    </row>
    <row r="1638" spans="1:6" x14ac:dyDescent="0.25">
      <c r="A1638">
        <v>-51.571451832280054</v>
      </c>
      <c r="B1638">
        <v>230.0318736125466</v>
      </c>
      <c r="C1638">
        <v>898.31718400000011</v>
      </c>
      <c r="E1638">
        <f t="shared" si="61"/>
        <v>231.69156212355904</v>
      </c>
      <c r="F1638">
        <f t="shared" si="62"/>
        <v>660.18188723842218</v>
      </c>
    </row>
    <row r="1639" spans="1:6" x14ac:dyDescent="0.25">
      <c r="A1639">
        <v>-70.200253702773139</v>
      </c>
      <c r="B1639">
        <v>222.66426401975693</v>
      </c>
      <c r="C1639">
        <v>898.31718400000011</v>
      </c>
      <c r="E1639">
        <f t="shared" si="61"/>
        <v>224.97857648891795</v>
      </c>
      <c r="F1639">
        <f t="shared" si="62"/>
        <v>648.04954134994512</v>
      </c>
    </row>
    <row r="1640" spans="1:6" x14ac:dyDescent="0.25">
      <c r="A1640">
        <v>-88.289352350554509</v>
      </c>
      <c r="B1640">
        <v>213.23781000807693</v>
      </c>
      <c r="C1640">
        <v>898.31718400000011</v>
      </c>
      <c r="E1640">
        <f t="shared" si="61"/>
        <v>216.18916525693706</v>
      </c>
      <c r="F1640">
        <f t="shared" si="62"/>
        <v>636.21771269210399</v>
      </c>
    </row>
    <row r="1641" spans="1:6" x14ac:dyDescent="0.25">
      <c r="A1641">
        <v>-108.87473465926591</v>
      </c>
      <c r="B1641">
        <v>200.81762573637479</v>
      </c>
      <c r="C1641">
        <v>898.31718400000011</v>
      </c>
      <c r="E1641">
        <f t="shared" si="61"/>
        <v>204.49496650791372</v>
      </c>
      <c r="F1641">
        <f t="shared" si="62"/>
        <v>622.71512305032002</v>
      </c>
    </row>
    <row r="1642" spans="1:6" x14ac:dyDescent="0.25">
      <c r="A1642">
        <v>-127.43011715678854</v>
      </c>
      <c r="B1642">
        <v>187.74102921068547</v>
      </c>
      <c r="C1642">
        <v>898.31718400000011</v>
      </c>
      <c r="E1642">
        <f t="shared" si="61"/>
        <v>192.07390940179593</v>
      </c>
      <c r="F1642">
        <f t="shared" si="62"/>
        <v>610.50187197764876</v>
      </c>
    </row>
    <row r="1643" spans="1:6" x14ac:dyDescent="0.25">
      <c r="A1643">
        <v>-144.42488730916602</v>
      </c>
      <c r="B1643">
        <v>173.95336889604854</v>
      </c>
      <c r="C1643">
        <v>898.31718400000011</v>
      </c>
      <c r="E1643">
        <f t="shared" si="61"/>
        <v>178.88775708218526</v>
      </c>
      <c r="F1643">
        <f t="shared" si="62"/>
        <v>599.27520082836327</v>
      </c>
    </row>
    <row r="1644" spans="1:6" x14ac:dyDescent="0.25">
      <c r="A1644">
        <v>-159.69579781541987</v>
      </c>
      <c r="B1644">
        <v>159.69579781541992</v>
      </c>
      <c r="C1644">
        <v>898.31718400000011</v>
      </c>
      <c r="E1644">
        <f t="shared" si="61"/>
        <v>165.17181841948945</v>
      </c>
      <c r="F1644">
        <f t="shared" si="62"/>
        <v>589.14538879938823</v>
      </c>
    </row>
    <row r="1645" spans="1:6" x14ac:dyDescent="0.25">
      <c r="A1645">
        <v>-173.95336889604854</v>
      </c>
      <c r="B1645">
        <v>144.42488730916611</v>
      </c>
      <c r="C1645">
        <v>898.31718400000011</v>
      </c>
      <c r="E1645">
        <f t="shared" si="61"/>
        <v>150.40779259422393</v>
      </c>
      <c r="F1645">
        <f t="shared" si="62"/>
        <v>579.64380979854377</v>
      </c>
    </row>
    <row r="1646" spans="1:6" x14ac:dyDescent="0.25">
      <c r="A1646">
        <v>-187.74102921068538</v>
      </c>
      <c r="B1646">
        <v>127.4301171567886</v>
      </c>
      <c r="C1646">
        <v>898.31718400000011</v>
      </c>
      <c r="E1646">
        <f t="shared" si="61"/>
        <v>133.90455760232581</v>
      </c>
      <c r="F1646">
        <f t="shared" si="62"/>
        <v>570.40542833182769</v>
      </c>
    </row>
    <row r="1647" spans="1:6" x14ac:dyDescent="0.25">
      <c r="A1647">
        <v>-200.81762573637494</v>
      </c>
      <c r="B1647">
        <v>108.87473465926597</v>
      </c>
      <c r="C1647">
        <v>898.31718400000011</v>
      </c>
      <c r="E1647">
        <f t="shared" si="61"/>
        <v>115.81684517979926</v>
      </c>
      <c r="F1647">
        <f t="shared" si="62"/>
        <v>561.58882226726007</v>
      </c>
    </row>
    <row r="1648" spans="1:6" x14ac:dyDescent="0.25">
      <c r="A1648">
        <v>-213.23781000807693</v>
      </c>
      <c r="B1648">
        <v>88.289352350554822</v>
      </c>
      <c r="C1648">
        <v>898.31718400000011</v>
      </c>
      <c r="E1648">
        <f t="shared" si="61"/>
        <v>95.677461109826879</v>
      </c>
      <c r="F1648">
        <f t="shared" si="62"/>
        <v>553.14835392299869</v>
      </c>
    </row>
    <row r="1649" spans="1:6" x14ac:dyDescent="0.25">
      <c r="A1649">
        <v>-222.66426401975681</v>
      </c>
      <c r="B1649">
        <v>70.200253702773423</v>
      </c>
      <c r="C1649">
        <v>898.31718400000011</v>
      </c>
      <c r="E1649">
        <f t="shared" si="61"/>
        <v>77.928360352887509</v>
      </c>
      <c r="F1649">
        <f t="shared" si="62"/>
        <v>546.68704508678616</v>
      </c>
    </row>
    <row r="1650" spans="1:6" x14ac:dyDescent="0.25">
      <c r="A1650">
        <v>-230.03187361254649</v>
      </c>
      <c r="B1650">
        <v>51.571451832280133</v>
      </c>
      <c r="C1650">
        <v>898.31718400000011</v>
      </c>
      <c r="E1650">
        <f t="shared" si="61"/>
        <v>59.568032511849218</v>
      </c>
      <c r="F1650">
        <f t="shared" si="62"/>
        <v>541.53622261097803</v>
      </c>
    </row>
    <row r="1651" spans="1:6" x14ac:dyDescent="0.25">
      <c r="A1651">
        <v>-236.02516198992103</v>
      </c>
      <c r="B1651">
        <v>33.359676677835935</v>
      </c>
      <c r="C1651">
        <v>898.31718400000011</v>
      </c>
      <c r="E1651">
        <f t="shared" si="61"/>
        <v>41.576514226726736</v>
      </c>
      <c r="F1651">
        <f t="shared" si="62"/>
        <v>537.27761378813329</v>
      </c>
    </row>
    <row r="1652" spans="1:6" x14ac:dyDescent="0.25">
      <c r="A1652">
        <v>-218.58959793707771</v>
      </c>
      <c r="B1652">
        <v>-2.6395593501967332E-14</v>
      </c>
      <c r="C1652">
        <v>954.61705600000016</v>
      </c>
      <c r="E1652">
        <f t="shared" si="61"/>
        <v>7.6286669524061708</v>
      </c>
      <c r="F1652">
        <f t="shared" si="62"/>
        <v>590.85799877131853</v>
      </c>
    </row>
    <row r="1653" spans="1:6" x14ac:dyDescent="0.25">
      <c r="A1653">
        <v>-217.33953634957047</v>
      </c>
      <c r="B1653">
        <v>-16.560753861869568</v>
      </c>
      <c r="C1653">
        <v>954.61705600000016</v>
      </c>
      <c r="E1653">
        <f t="shared" si="61"/>
        <v>-8.9656250659184451</v>
      </c>
      <c r="F1653">
        <f t="shared" si="62"/>
        <v>591.28952658967512</v>
      </c>
    </row>
    <row r="1654" spans="1:6" x14ac:dyDescent="0.25">
      <c r="A1654">
        <v>-214.93994728293873</v>
      </c>
      <c r="B1654">
        <v>-33.036765950997079</v>
      </c>
      <c r="C1654">
        <v>954.61705600000016</v>
      </c>
      <c r="E1654">
        <f t="shared" si="61"/>
        <v>-25.51534486436648</v>
      </c>
      <c r="F1654">
        <f t="shared" si="62"/>
        <v>592.46140731860328</v>
      </c>
    </row>
    <row r="1655" spans="1:6" x14ac:dyDescent="0.25">
      <c r="A1655">
        <v>-209.60297939026779</v>
      </c>
      <c r="B1655">
        <v>-50.683723182784192</v>
      </c>
      <c r="C1655">
        <v>954.61705600000016</v>
      </c>
      <c r="E1655">
        <f t="shared" si="61"/>
        <v>-43.337809539984448</v>
      </c>
      <c r="F1655">
        <f t="shared" si="62"/>
        <v>595.49398080552612</v>
      </c>
    </row>
    <row r="1656" spans="1:6" x14ac:dyDescent="0.25">
      <c r="A1656">
        <v>-202.57627199686831</v>
      </c>
      <c r="B1656">
        <v>-67.886555622672148</v>
      </c>
      <c r="C1656">
        <v>954.61705600000016</v>
      </c>
      <c r="E1656">
        <f t="shared" si="61"/>
        <v>-60.775391030660387</v>
      </c>
      <c r="F1656">
        <f t="shared" si="62"/>
        <v>599.62199929326846</v>
      </c>
    </row>
    <row r="1657" spans="1:6" x14ac:dyDescent="0.25">
      <c r="A1657">
        <v>-193.13155723898524</v>
      </c>
      <c r="B1657">
        <v>-87.167570005603878</v>
      </c>
      <c r="C1657">
        <v>954.61705600000016</v>
      </c>
      <c r="E1657">
        <f t="shared" si="61"/>
        <v>-80.374275732134407</v>
      </c>
      <c r="F1657">
        <f t="shared" si="62"/>
        <v>605.25671635783442</v>
      </c>
    </row>
    <row r="1658" spans="1:6" x14ac:dyDescent="0.25">
      <c r="A1658">
        <v>-181.40806973672764</v>
      </c>
      <c r="B1658">
        <v>-106.21501913698228</v>
      </c>
      <c r="C1658">
        <v>954.61705600000016</v>
      </c>
      <c r="E1658">
        <f t="shared" si="61"/>
        <v>-99.819265485573681</v>
      </c>
      <c r="F1658">
        <f t="shared" si="62"/>
        <v>612.36054757226066</v>
      </c>
    </row>
    <row r="1659" spans="1:6" x14ac:dyDescent="0.25">
      <c r="A1659">
        <v>-170.00362024414991</v>
      </c>
      <c r="B1659">
        <v>-122.07963302870799</v>
      </c>
      <c r="C1659">
        <v>954.61705600000016</v>
      </c>
      <c r="E1659">
        <f t="shared" si="61"/>
        <v>-116.07222463062412</v>
      </c>
      <c r="F1659">
        <f t="shared" si="62"/>
        <v>619.33083046094532</v>
      </c>
    </row>
    <row r="1660" spans="1:6" x14ac:dyDescent="0.25">
      <c r="A1660">
        <v>-159.26932642882517</v>
      </c>
      <c r="B1660">
        <v>-134.98144105591129</v>
      </c>
      <c r="C1660">
        <v>954.61705600000016</v>
      </c>
      <c r="E1660">
        <f t="shared" si="61"/>
        <v>-129.34079467658404</v>
      </c>
      <c r="F1660">
        <f t="shared" si="62"/>
        <v>625.93707251330397</v>
      </c>
    </row>
    <row r="1661" spans="1:6" x14ac:dyDescent="0.25">
      <c r="A1661">
        <v>-147.50716975775666</v>
      </c>
      <c r="B1661">
        <v>-147.50716975775669</v>
      </c>
      <c r="C1661">
        <v>954.61705600000016</v>
      </c>
      <c r="E1661">
        <f t="shared" si="61"/>
        <v>-142.2693863908944</v>
      </c>
      <c r="F1661">
        <f t="shared" si="62"/>
        <v>633.2120461687125</v>
      </c>
    </row>
    <row r="1662" spans="1:6" x14ac:dyDescent="0.25">
      <c r="A1662">
        <v>-134.9814410559112</v>
      </c>
      <c r="B1662">
        <v>-159.26932642882511</v>
      </c>
      <c r="C1662">
        <v>954.61705600000016</v>
      </c>
      <c r="E1662">
        <f t="shared" si="61"/>
        <v>-154.46151950144812</v>
      </c>
      <c r="F1662">
        <f t="shared" si="62"/>
        <v>640.99466465751732</v>
      </c>
    </row>
    <row r="1663" spans="1:6" x14ac:dyDescent="0.25">
      <c r="A1663">
        <v>-122.07963302870795</v>
      </c>
      <c r="B1663">
        <v>-170.00362024414997</v>
      </c>
      <c r="C1663">
        <v>954.61705600000016</v>
      </c>
      <c r="E1663">
        <f t="shared" si="61"/>
        <v>-165.63954088171329</v>
      </c>
      <c r="F1663">
        <f t="shared" si="62"/>
        <v>649.04193302648082</v>
      </c>
    </row>
    <row r="1664" spans="1:6" x14ac:dyDescent="0.25">
      <c r="A1664">
        <v>-106.21501913698236</v>
      </c>
      <c r="B1664">
        <v>-181.40806973672764</v>
      </c>
      <c r="C1664">
        <v>954.61705600000016</v>
      </c>
      <c r="E1664">
        <f t="shared" si="61"/>
        <v>-177.59071013199872</v>
      </c>
      <c r="F1664">
        <f t="shared" si="62"/>
        <v>658.97746257437211</v>
      </c>
    </row>
    <row r="1665" spans="1:6" x14ac:dyDescent="0.25">
      <c r="A1665">
        <v>-87.167570005603849</v>
      </c>
      <c r="B1665">
        <v>-193.13155723898515</v>
      </c>
      <c r="C1665">
        <v>954.61705600000016</v>
      </c>
      <c r="E1665">
        <f t="shared" si="61"/>
        <v>-189.97180239057948</v>
      </c>
      <c r="F1665">
        <f t="shared" si="62"/>
        <v>670.95047591066327</v>
      </c>
    </row>
    <row r="1666" spans="1:6" x14ac:dyDescent="0.25">
      <c r="A1666">
        <v>-67.886555622672191</v>
      </c>
      <c r="B1666">
        <v>-202.57627199686851</v>
      </c>
      <c r="C1666">
        <v>954.61705600000016</v>
      </c>
      <c r="E1666">
        <f t="shared" si="61"/>
        <v>-200.08366138129799</v>
      </c>
      <c r="F1666">
        <f t="shared" si="62"/>
        <v>683.12465026691666</v>
      </c>
    </row>
    <row r="1667" spans="1:6" x14ac:dyDescent="0.25">
      <c r="A1667">
        <v>-50.683723182784163</v>
      </c>
      <c r="B1667">
        <v>-209.60297939026805</v>
      </c>
      <c r="C1667">
        <v>954.61705600000016</v>
      </c>
      <c r="E1667">
        <f t="shared" si="61"/>
        <v>-207.70645848841832</v>
      </c>
      <c r="F1667">
        <f t="shared" si="62"/>
        <v>694.01805184312445</v>
      </c>
    </row>
    <row r="1668" spans="1:6" x14ac:dyDescent="0.25">
      <c r="A1668">
        <v>-33.036765950997093</v>
      </c>
      <c r="B1668">
        <v>-214.93994728293873</v>
      </c>
      <c r="C1668">
        <v>954.61705600000016</v>
      </c>
      <c r="E1668">
        <f t="shared" si="61"/>
        <v>-213.65604517016874</v>
      </c>
      <c r="F1668">
        <f t="shared" si="62"/>
        <v>705.23466329278654</v>
      </c>
    </row>
    <row r="1669" spans="1:6" x14ac:dyDescent="0.25">
      <c r="A1669">
        <v>-16.560753861869557</v>
      </c>
      <c r="B1669">
        <v>-217.33953634957049</v>
      </c>
      <c r="C1669">
        <v>954.61705600000016</v>
      </c>
      <c r="E1669">
        <f t="shared" si="61"/>
        <v>-216.62917700155072</v>
      </c>
      <c r="F1669">
        <f t="shared" si="62"/>
        <v>715.76495833240961</v>
      </c>
    </row>
    <row r="1670" spans="1:6" x14ac:dyDescent="0.25">
      <c r="A1670">
        <v>1.0311216886958259E-14</v>
      </c>
      <c r="B1670">
        <v>-218.58959793707771</v>
      </c>
      <c r="C1670">
        <v>954.61705600000016</v>
      </c>
      <c r="E1670">
        <f t="shared" si="61"/>
        <v>-218.45643906010761</v>
      </c>
      <c r="F1670">
        <f t="shared" si="62"/>
        <v>726.37547845996653</v>
      </c>
    </row>
    <row r="1671" spans="1:6" x14ac:dyDescent="0.25">
      <c r="A1671">
        <v>16.560753861869554</v>
      </c>
      <c r="B1671">
        <v>-217.33953634957047</v>
      </c>
      <c r="C1671">
        <v>954.61705600000016</v>
      </c>
      <c r="E1671">
        <f t="shared" si="61"/>
        <v>-217.7851009511372</v>
      </c>
      <c r="F1671">
        <f t="shared" si="62"/>
        <v>737.04208376086592</v>
      </c>
    </row>
    <row r="1672" spans="1:6" x14ac:dyDescent="0.25">
      <c r="A1672">
        <v>33.036765950997136</v>
      </c>
      <c r="B1672">
        <v>-214.93994728293882</v>
      </c>
      <c r="C1672">
        <v>954.61705600000016</v>
      </c>
      <c r="E1672">
        <f t="shared" si="61"/>
        <v>-215.96197817890507</v>
      </c>
      <c r="F1672">
        <f t="shared" si="62"/>
        <v>747.68003859109228</v>
      </c>
    </row>
    <row r="1673" spans="1:6" x14ac:dyDescent="0.25">
      <c r="A1673">
        <v>50.683723182784142</v>
      </c>
      <c r="B1673">
        <v>-209.60297939026827</v>
      </c>
      <c r="C1673">
        <v>954.61705600000016</v>
      </c>
      <c r="E1673">
        <f t="shared" si="61"/>
        <v>-211.24413134859464</v>
      </c>
      <c r="F1673">
        <f t="shared" si="62"/>
        <v>759.13609805865553</v>
      </c>
    </row>
    <row r="1674" spans="1:6" x14ac:dyDescent="0.25">
      <c r="A1674">
        <v>67.886555622672205</v>
      </c>
      <c r="B1674">
        <v>-202.57627199686851</v>
      </c>
      <c r="C1674">
        <v>954.61705600000016</v>
      </c>
      <c r="E1674">
        <f t="shared" si="61"/>
        <v>-204.82207462949322</v>
      </c>
      <c r="F1674">
        <f t="shared" si="62"/>
        <v>770.34475938376136</v>
      </c>
    </row>
    <row r="1675" spans="1:6" x14ac:dyDescent="0.25">
      <c r="A1675">
        <v>87.167570005603878</v>
      </c>
      <c r="B1675">
        <v>-193.13155723898524</v>
      </c>
      <c r="C1675">
        <v>954.61705600000016</v>
      </c>
      <c r="E1675">
        <f t="shared" si="61"/>
        <v>-196.0560110345308</v>
      </c>
      <c r="F1675">
        <f t="shared" si="62"/>
        <v>782.94267963354389</v>
      </c>
    </row>
    <row r="1676" spans="1:6" x14ac:dyDescent="0.25">
      <c r="A1676">
        <v>106.21501913698228</v>
      </c>
      <c r="B1676">
        <v>-181.40806973672764</v>
      </c>
      <c r="C1676">
        <v>954.61705600000016</v>
      </c>
      <c r="E1676">
        <f t="shared" si="61"/>
        <v>-185.00441155225315</v>
      </c>
      <c r="F1676">
        <f t="shared" si="62"/>
        <v>795.44167811753641</v>
      </c>
    </row>
    <row r="1677" spans="1:6" x14ac:dyDescent="0.25">
      <c r="A1677">
        <v>122.07963302870795</v>
      </c>
      <c r="B1677">
        <v>-170.00362024415011</v>
      </c>
      <c r="C1677">
        <v>954.61705600000016</v>
      </c>
      <c r="E1677">
        <f t="shared" si="61"/>
        <v>-174.1605763823693</v>
      </c>
      <c r="F1677">
        <f t="shared" si="62"/>
        <v>805.88887887671638</v>
      </c>
    </row>
    <row r="1678" spans="1:6" x14ac:dyDescent="0.25">
      <c r="A1678">
        <v>134.98144105591129</v>
      </c>
      <c r="B1678">
        <v>-159.26932642882517</v>
      </c>
      <c r="C1678">
        <v>954.61705600000016</v>
      </c>
      <c r="E1678">
        <f t="shared" si="61"/>
        <v>-163.8830882155074</v>
      </c>
      <c r="F1678">
        <f t="shared" si="62"/>
        <v>814.41775130051735</v>
      </c>
    </row>
    <row r="1679" spans="1:6" x14ac:dyDescent="0.25">
      <c r="A1679">
        <v>147.50716975775671</v>
      </c>
      <c r="B1679">
        <v>-147.50716975775669</v>
      </c>
      <c r="C1679">
        <v>954.61705600000016</v>
      </c>
      <c r="E1679">
        <f t="shared" si="61"/>
        <v>-152.56523836000659</v>
      </c>
      <c r="F1679">
        <f t="shared" si="62"/>
        <v>822.72808986517214</v>
      </c>
    </row>
    <row r="1680" spans="1:6" x14ac:dyDescent="0.25">
      <c r="A1680">
        <v>159.2693264288252</v>
      </c>
      <c r="B1680">
        <v>-134.98144105591126</v>
      </c>
      <c r="C1680">
        <v>954.61705600000016</v>
      </c>
      <c r="E1680">
        <f t="shared" si="61"/>
        <v>-140.45763334160873</v>
      </c>
      <c r="F1680">
        <f t="shared" si="62"/>
        <v>830.56504196428511</v>
      </c>
    </row>
    <row r="1681" spans="1:6" x14ac:dyDescent="0.25">
      <c r="A1681">
        <v>170.00362024415008</v>
      </c>
      <c r="B1681">
        <v>-122.07963302870805</v>
      </c>
      <c r="C1681">
        <v>954.61705600000016</v>
      </c>
      <c r="E1681">
        <f t="shared" si="61"/>
        <v>-127.9383061988721</v>
      </c>
      <c r="F1681">
        <f t="shared" si="62"/>
        <v>837.75013560833077</v>
      </c>
    </row>
    <row r="1682" spans="1:6" x14ac:dyDescent="0.25">
      <c r="A1682">
        <v>181.4080697367277</v>
      </c>
      <c r="B1682">
        <v>-106.21501913698228</v>
      </c>
      <c r="C1682">
        <v>954.61705600000016</v>
      </c>
      <c r="E1682">
        <f t="shared" si="61"/>
        <v>-112.4813661487417</v>
      </c>
      <c r="F1682">
        <f t="shared" si="62"/>
        <v>845.43219912368102</v>
      </c>
    </row>
    <row r="1683" spans="1:6" x14ac:dyDescent="0.25">
      <c r="A1683">
        <v>193.13155723898512</v>
      </c>
      <c r="B1683">
        <v>-87.167570005603935</v>
      </c>
      <c r="C1683">
        <v>954.61705600000016</v>
      </c>
      <c r="E1683">
        <f t="shared" si="61"/>
        <v>-93.854664022156186</v>
      </c>
      <c r="F1683">
        <f t="shared" si="62"/>
        <v>853.39061182188254</v>
      </c>
    </row>
    <row r="1684" spans="1:6" x14ac:dyDescent="0.25">
      <c r="A1684">
        <v>202.57627199686851</v>
      </c>
      <c r="B1684">
        <v>-67.886555622672148</v>
      </c>
      <c r="C1684">
        <v>954.61705600000016</v>
      </c>
      <c r="E1684">
        <f t="shared" ref="E1684:E1747" si="63">($I$2*A1684)+($K$2*B1684)+($M$2*C1684)</f>
        <v>-74.915010903779731</v>
      </c>
      <c r="F1684">
        <f t="shared" ref="F1684:F1747" si="64">($J$2*A1684)+($L$2*B1684)+($N$2*C1684)</f>
        <v>859.89038949201392</v>
      </c>
    </row>
    <row r="1685" spans="1:6" x14ac:dyDescent="0.25">
      <c r="A1685">
        <v>209.60297939026782</v>
      </c>
      <c r="B1685">
        <v>-50.683723182784199</v>
      </c>
      <c r="C1685">
        <v>954.61705600000016</v>
      </c>
      <c r="E1685">
        <f t="shared" si="63"/>
        <v>-57.967886516114561</v>
      </c>
      <c r="F1685">
        <f t="shared" si="64"/>
        <v>864.7902290236251</v>
      </c>
    </row>
    <row r="1686" spans="1:6" x14ac:dyDescent="0.25">
      <c r="A1686">
        <v>214.93994728293882</v>
      </c>
      <c r="B1686">
        <v>-33.036765950997165</v>
      </c>
      <c r="C1686">
        <v>954.61705600000016</v>
      </c>
      <c r="E1686">
        <f t="shared" si="63"/>
        <v>-40.517936827239922</v>
      </c>
      <c r="F1686">
        <f t="shared" si="64"/>
        <v>868.61454962541052</v>
      </c>
    </row>
    <row r="1687" spans="1:6" x14ac:dyDescent="0.25">
      <c r="A1687">
        <v>217.33953634957049</v>
      </c>
      <c r="B1687">
        <v>-16.560753861869514</v>
      </c>
      <c r="C1687">
        <v>954.61705600000016</v>
      </c>
      <c r="E1687">
        <f t="shared" si="63"/>
        <v>-24.135705930228287</v>
      </c>
      <c r="F1687">
        <f t="shared" si="64"/>
        <v>870.52564192858745</v>
      </c>
    </row>
    <row r="1688" spans="1:6" x14ac:dyDescent="0.25">
      <c r="A1688">
        <v>218.58959793707771</v>
      </c>
      <c r="B1688">
        <v>0</v>
      </c>
      <c r="C1688">
        <v>954.61705600000016</v>
      </c>
      <c r="E1688">
        <f t="shared" si="63"/>
        <v>-7.6286669524059629</v>
      </c>
      <c r="F1688">
        <f t="shared" si="64"/>
        <v>871.70018333947814</v>
      </c>
    </row>
    <row r="1689" spans="1:6" x14ac:dyDescent="0.25">
      <c r="A1689">
        <v>217.33953634957049</v>
      </c>
      <c r="B1689">
        <v>16.560753861869561</v>
      </c>
      <c r="C1689">
        <v>954.61705600000016</v>
      </c>
      <c r="E1689">
        <f t="shared" si="63"/>
        <v>8.9656250659186707</v>
      </c>
      <c r="F1689">
        <f t="shared" si="64"/>
        <v>871.26865552112156</v>
      </c>
    </row>
    <row r="1690" spans="1:6" x14ac:dyDescent="0.25">
      <c r="A1690">
        <v>214.93994728293904</v>
      </c>
      <c r="B1690">
        <v>33.036765950997079</v>
      </c>
      <c r="C1690">
        <v>954.61705600000016</v>
      </c>
      <c r="E1690">
        <f t="shared" si="63"/>
        <v>25.515344864366703</v>
      </c>
      <c r="F1690">
        <f t="shared" si="64"/>
        <v>870.09677479219351</v>
      </c>
    </row>
    <row r="1691" spans="1:6" x14ac:dyDescent="0.25">
      <c r="A1691">
        <v>209.60297939026782</v>
      </c>
      <c r="B1691">
        <v>50.683723182784178</v>
      </c>
      <c r="C1691">
        <v>954.61705600000016</v>
      </c>
      <c r="E1691">
        <f t="shared" si="63"/>
        <v>43.337809539984654</v>
      </c>
      <c r="F1691">
        <f t="shared" si="64"/>
        <v>867.06420130527067</v>
      </c>
    </row>
    <row r="1692" spans="1:6" x14ac:dyDescent="0.25">
      <c r="A1692">
        <v>202.57627199686848</v>
      </c>
      <c r="B1692">
        <v>67.886555622672176</v>
      </c>
      <c r="C1692">
        <v>954.61705600000016</v>
      </c>
      <c r="E1692">
        <f t="shared" si="63"/>
        <v>60.775391030660636</v>
      </c>
      <c r="F1692">
        <f t="shared" si="64"/>
        <v>862.93618281752833</v>
      </c>
    </row>
    <row r="1693" spans="1:6" x14ac:dyDescent="0.25">
      <c r="A1693">
        <v>193.13155723898535</v>
      </c>
      <c r="B1693">
        <v>87.167570005603864</v>
      </c>
      <c r="C1693">
        <v>954.61705600000016</v>
      </c>
      <c r="E1693">
        <f t="shared" si="63"/>
        <v>80.374275732134606</v>
      </c>
      <c r="F1693">
        <f t="shared" si="64"/>
        <v>857.30146575296226</v>
      </c>
    </row>
    <row r="1694" spans="1:6" x14ac:dyDescent="0.25">
      <c r="A1694">
        <v>181.4080697367277</v>
      </c>
      <c r="B1694">
        <v>106.21501913698228</v>
      </c>
      <c r="C1694">
        <v>954.61705600000016</v>
      </c>
      <c r="E1694">
        <f t="shared" si="63"/>
        <v>99.819265485573908</v>
      </c>
      <c r="F1694">
        <f t="shared" si="64"/>
        <v>850.19763453853602</v>
      </c>
    </row>
    <row r="1695" spans="1:6" x14ac:dyDescent="0.25">
      <c r="A1695">
        <v>170.00362024415011</v>
      </c>
      <c r="B1695">
        <v>122.07963302870792</v>
      </c>
      <c r="C1695">
        <v>954.61705600000016</v>
      </c>
      <c r="E1695">
        <f t="shared" si="63"/>
        <v>116.07222463062428</v>
      </c>
      <c r="F1695">
        <f t="shared" si="64"/>
        <v>843.22735164985147</v>
      </c>
    </row>
    <row r="1696" spans="1:6" x14ac:dyDescent="0.25">
      <c r="A1696">
        <v>159.2693264288252</v>
      </c>
      <c r="B1696">
        <v>134.98144105591126</v>
      </c>
      <c r="C1696">
        <v>954.61705600000016</v>
      </c>
      <c r="E1696">
        <f t="shared" si="63"/>
        <v>129.34079467658424</v>
      </c>
      <c r="F1696">
        <f t="shared" si="64"/>
        <v>836.6211095974927</v>
      </c>
    </row>
    <row r="1697" spans="1:6" x14ac:dyDescent="0.25">
      <c r="A1697">
        <v>147.50716975775671</v>
      </c>
      <c r="B1697">
        <v>147.50716975775671</v>
      </c>
      <c r="C1697">
        <v>954.61705600000016</v>
      </c>
      <c r="E1697">
        <f t="shared" si="63"/>
        <v>142.26938639089462</v>
      </c>
      <c r="F1697">
        <f t="shared" si="64"/>
        <v>829.34613594208417</v>
      </c>
    </row>
    <row r="1698" spans="1:6" x14ac:dyDescent="0.25">
      <c r="A1698">
        <v>134.98144105591129</v>
      </c>
      <c r="B1698">
        <v>159.26932642882511</v>
      </c>
      <c r="C1698">
        <v>954.61705600000016</v>
      </c>
      <c r="E1698">
        <f t="shared" si="63"/>
        <v>154.46151950144835</v>
      </c>
      <c r="F1698">
        <f t="shared" si="64"/>
        <v>821.56351745327947</v>
      </c>
    </row>
    <row r="1699" spans="1:6" x14ac:dyDescent="0.25">
      <c r="A1699">
        <v>122.07963302870805</v>
      </c>
      <c r="B1699">
        <v>170.00362024415008</v>
      </c>
      <c r="C1699">
        <v>954.61705600000016</v>
      </c>
      <c r="E1699">
        <f t="shared" si="63"/>
        <v>165.6395408817136</v>
      </c>
      <c r="F1699">
        <f t="shared" si="64"/>
        <v>813.51624908431597</v>
      </c>
    </row>
    <row r="1700" spans="1:6" x14ac:dyDescent="0.25">
      <c r="A1700">
        <v>106.21501913698242</v>
      </c>
      <c r="B1700">
        <v>181.40806973672775</v>
      </c>
      <c r="C1700">
        <v>954.61705600000016</v>
      </c>
      <c r="E1700">
        <f t="shared" si="63"/>
        <v>177.59071013199906</v>
      </c>
      <c r="F1700">
        <f t="shared" si="64"/>
        <v>803.58071953642457</v>
      </c>
    </row>
    <row r="1701" spans="1:6" x14ac:dyDescent="0.25">
      <c r="A1701">
        <v>87.167570005604063</v>
      </c>
      <c r="B1701">
        <v>193.13155723898527</v>
      </c>
      <c r="C1701">
        <v>954.61705600000016</v>
      </c>
      <c r="E1701">
        <f t="shared" si="63"/>
        <v>189.97180239057982</v>
      </c>
      <c r="F1701">
        <f t="shared" si="64"/>
        <v>791.60770620013352</v>
      </c>
    </row>
    <row r="1702" spans="1:6" x14ac:dyDescent="0.25">
      <c r="A1702">
        <v>67.886555622672319</v>
      </c>
      <c r="B1702">
        <v>202.57627199686843</v>
      </c>
      <c r="C1702">
        <v>954.61705600000016</v>
      </c>
      <c r="E1702">
        <f t="shared" si="63"/>
        <v>200.08366138129813</v>
      </c>
      <c r="F1702">
        <f t="shared" si="64"/>
        <v>779.43353184388013</v>
      </c>
    </row>
    <row r="1703" spans="1:6" x14ac:dyDescent="0.25">
      <c r="A1703">
        <v>50.683723182784178</v>
      </c>
      <c r="B1703">
        <v>209.60297939026813</v>
      </c>
      <c r="C1703">
        <v>954.61705600000016</v>
      </c>
      <c r="E1703">
        <f t="shared" si="63"/>
        <v>207.70645848841863</v>
      </c>
      <c r="F1703">
        <f t="shared" si="64"/>
        <v>768.54013026767223</v>
      </c>
    </row>
    <row r="1704" spans="1:6" x14ac:dyDescent="0.25">
      <c r="A1704">
        <v>33.036765950997093</v>
      </c>
      <c r="B1704">
        <v>214.93994728293904</v>
      </c>
      <c r="C1704">
        <v>954.61705600000016</v>
      </c>
      <c r="E1704">
        <f t="shared" si="63"/>
        <v>213.65604517016928</v>
      </c>
      <c r="F1704">
        <f t="shared" si="64"/>
        <v>757.32351881801014</v>
      </c>
    </row>
    <row r="1705" spans="1:6" x14ac:dyDescent="0.25">
      <c r="A1705">
        <v>16.560753861869522</v>
      </c>
      <c r="B1705">
        <v>217.33953634957049</v>
      </c>
      <c r="C1705">
        <v>954.61705600000016</v>
      </c>
      <c r="E1705">
        <f t="shared" si="63"/>
        <v>216.62917700155094</v>
      </c>
      <c r="F1705">
        <f t="shared" si="64"/>
        <v>746.79322377838707</v>
      </c>
    </row>
    <row r="1706" spans="1:6" x14ac:dyDescent="0.25">
      <c r="A1706">
        <v>1.2235603462975198E-14</v>
      </c>
      <c r="B1706">
        <v>218.58959793707771</v>
      </c>
      <c r="C1706">
        <v>954.61705600000016</v>
      </c>
      <c r="E1706">
        <f t="shared" si="63"/>
        <v>218.45643906010784</v>
      </c>
      <c r="F1706">
        <f t="shared" si="64"/>
        <v>736.18270365083015</v>
      </c>
    </row>
    <row r="1707" spans="1:6" x14ac:dyDescent="0.25">
      <c r="A1707">
        <v>-16.560753861869511</v>
      </c>
      <c r="B1707">
        <v>217.33953634957055</v>
      </c>
      <c r="C1707">
        <v>954.61705600000016</v>
      </c>
      <c r="E1707">
        <f t="shared" si="63"/>
        <v>217.78510095113751</v>
      </c>
      <c r="F1707">
        <f t="shared" si="64"/>
        <v>725.51609834993087</v>
      </c>
    </row>
    <row r="1708" spans="1:6" x14ac:dyDescent="0.25">
      <c r="A1708">
        <v>-33.036765950997093</v>
      </c>
      <c r="B1708">
        <v>214.93994728293896</v>
      </c>
      <c r="C1708">
        <v>954.61705600000016</v>
      </c>
      <c r="E1708">
        <f t="shared" si="63"/>
        <v>215.96197817890544</v>
      </c>
      <c r="F1708">
        <f t="shared" si="64"/>
        <v>714.87814351970439</v>
      </c>
    </row>
    <row r="1709" spans="1:6" x14ac:dyDescent="0.25">
      <c r="A1709">
        <v>-50.683723182784142</v>
      </c>
      <c r="B1709">
        <v>209.60297939026827</v>
      </c>
      <c r="C1709">
        <v>954.61705600000016</v>
      </c>
      <c r="E1709">
        <f t="shared" si="63"/>
        <v>211.24413134859486</v>
      </c>
      <c r="F1709">
        <f t="shared" si="64"/>
        <v>703.42208405214114</v>
      </c>
    </row>
    <row r="1710" spans="1:6" x14ac:dyDescent="0.25">
      <c r="A1710">
        <v>-67.886555622672077</v>
      </c>
      <c r="B1710">
        <v>202.57627199686848</v>
      </c>
      <c r="C1710">
        <v>954.61705600000016</v>
      </c>
      <c r="E1710">
        <f t="shared" si="63"/>
        <v>204.82207462949339</v>
      </c>
      <c r="F1710">
        <f t="shared" si="64"/>
        <v>692.21342272703532</v>
      </c>
    </row>
    <row r="1711" spans="1:6" x14ac:dyDescent="0.25">
      <c r="A1711">
        <v>-87.167570005603864</v>
      </c>
      <c r="B1711">
        <v>193.13155723898538</v>
      </c>
      <c r="C1711">
        <v>954.61705600000016</v>
      </c>
      <c r="E1711">
        <f t="shared" si="63"/>
        <v>196.05601103453117</v>
      </c>
      <c r="F1711">
        <f t="shared" si="64"/>
        <v>679.61550247725279</v>
      </c>
    </row>
    <row r="1712" spans="1:6" x14ac:dyDescent="0.25">
      <c r="A1712">
        <v>-106.21501913698242</v>
      </c>
      <c r="B1712">
        <v>181.40806973672761</v>
      </c>
      <c r="C1712">
        <v>954.61705600000016</v>
      </c>
      <c r="E1712">
        <f t="shared" si="63"/>
        <v>185.00441155225334</v>
      </c>
      <c r="F1712">
        <f t="shared" si="64"/>
        <v>667.11650399326015</v>
      </c>
    </row>
    <row r="1713" spans="1:6" x14ac:dyDescent="0.25">
      <c r="A1713">
        <v>-122.07963302870802</v>
      </c>
      <c r="B1713">
        <v>170.00362024415008</v>
      </c>
      <c r="C1713">
        <v>954.61705600000016</v>
      </c>
      <c r="E1713">
        <f t="shared" si="63"/>
        <v>174.1605763823695</v>
      </c>
      <c r="F1713">
        <f t="shared" si="64"/>
        <v>656.6693032340803</v>
      </c>
    </row>
    <row r="1714" spans="1:6" x14ac:dyDescent="0.25">
      <c r="A1714">
        <v>-134.98144105591126</v>
      </c>
      <c r="B1714">
        <v>159.2693264288252</v>
      </c>
      <c r="C1714">
        <v>954.61705600000016</v>
      </c>
      <c r="E1714">
        <f t="shared" si="63"/>
        <v>163.88308821550766</v>
      </c>
      <c r="F1714">
        <f t="shared" si="64"/>
        <v>648.14043081027933</v>
      </c>
    </row>
    <row r="1715" spans="1:6" x14ac:dyDescent="0.25">
      <c r="A1715">
        <v>-147.50716975775671</v>
      </c>
      <c r="B1715">
        <v>147.50716975775671</v>
      </c>
      <c r="C1715">
        <v>954.61705600000016</v>
      </c>
      <c r="E1715">
        <f t="shared" si="63"/>
        <v>152.56523836000684</v>
      </c>
      <c r="F1715">
        <f t="shared" si="64"/>
        <v>639.83009224562454</v>
      </c>
    </row>
    <row r="1716" spans="1:6" x14ac:dyDescent="0.25">
      <c r="A1716">
        <v>-159.26932642882517</v>
      </c>
      <c r="B1716">
        <v>134.98144105591129</v>
      </c>
      <c r="C1716">
        <v>954.61705600000016</v>
      </c>
      <c r="E1716">
        <f t="shared" si="63"/>
        <v>140.45763334160898</v>
      </c>
      <c r="F1716">
        <f t="shared" si="64"/>
        <v>631.99314014651156</v>
      </c>
    </row>
    <row r="1717" spans="1:6" x14ac:dyDescent="0.25">
      <c r="A1717">
        <v>-170.00362024415003</v>
      </c>
      <c r="B1717">
        <v>122.07963302870807</v>
      </c>
      <c r="C1717">
        <v>954.61705600000016</v>
      </c>
      <c r="E1717">
        <f t="shared" si="63"/>
        <v>127.93830619887235</v>
      </c>
      <c r="F1717">
        <f t="shared" si="64"/>
        <v>624.80804650246591</v>
      </c>
    </row>
    <row r="1718" spans="1:6" x14ac:dyDescent="0.25">
      <c r="A1718">
        <v>-181.40806973672775</v>
      </c>
      <c r="B1718">
        <v>106.21501913698242</v>
      </c>
      <c r="C1718">
        <v>954.61705600000016</v>
      </c>
      <c r="E1718">
        <f t="shared" si="63"/>
        <v>112.48136614874207</v>
      </c>
      <c r="F1718">
        <f t="shared" si="64"/>
        <v>617.12598298711566</v>
      </c>
    </row>
    <row r="1719" spans="1:6" x14ac:dyDescent="0.25">
      <c r="A1719">
        <v>-193.13155723898512</v>
      </c>
      <c r="B1719">
        <v>87.167570005604048</v>
      </c>
      <c r="C1719">
        <v>954.61705600000016</v>
      </c>
      <c r="E1719">
        <f t="shared" si="63"/>
        <v>93.854664022156527</v>
      </c>
      <c r="F1719">
        <f t="shared" si="64"/>
        <v>609.16757028891413</v>
      </c>
    </row>
    <row r="1720" spans="1:6" x14ac:dyDescent="0.25">
      <c r="A1720">
        <v>-202.57627199686834</v>
      </c>
      <c r="B1720">
        <v>67.886555622672304</v>
      </c>
      <c r="C1720">
        <v>954.61705600000016</v>
      </c>
      <c r="E1720">
        <f t="shared" si="63"/>
        <v>74.9150109037801</v>
      </c>
      <c r="F1720">
        <f t="shared" si="64"/>
        <v>602.66779261878287</v>
      </c>
    </row>
    <row r="1721" spans="1:6" x14ac:dyDescent="0.25">
      <c r="A1721">
        <v>-209.60297939026813</v>
      </c>
      <c r="B1721">
        <v>50.683723182784178</v>
      </c>
      <c r="C1721">
        <v>954.61705600000016</v>
      </c>
      <c r="E1721">
        <f t="shared" si="63"/>
        <v>57.967886516114774</v>
      </c>
      <c r="F1721">
        <f t="shared" si="64"/>
        <v>597.76795308717135</v>
      </c>
    </row>
    <row r="1722" spans="1:6" x14ac:dyDescent="0.25">
      <c r="A1722">
        <v>-214.93994728293873</v>
      </c>
      <c r="B1722">
        <v>33.036765950997079</v>
      </c>
      <c r="C1722">
        <v>954.61705600000016</v>
      </c>
      <c r="E1722">
        <f t="shared" si="63"/>
        <v>40.517936827240064</v>
      </c>
      <c r="F1722">
        <f t="shared" si="64"/>
        <v>593.94363248538616</v>
      </c>
    </row>
    <row r="1723" spans="1:6" x14ac:dyDescent="0.25">
      <c r="A1723">
        <v>-194.14929476341106</v>
      </c>
      <c r="B1723">
        <v>-2.4555925480505906E-14</v>
      </c>
      <c r="C1723">
        <v>1010.9169280000001</v>
      </c>
      <c r="E1723">
        <f t="shared" si="63"/>
        <v>6.7757126723886731</v>
      </c>
      <c r="F1723">
        <f t="shared" si="64"/>
        <v>649.68655686097622</v>
      </c>
    </row>
    <row r="1724" spans="1:6" x14ac:dyDescent="0.25">
      <c r="A1724">
        <v>-192.87953529832222</v>
      </c>
      <c r="B1724">
        <v>-16.398379973105794</v>
      </c>
      <c r="C1724">
        <v>1010.9169280000001</v>
      </c>
      <c r="E1724">
        <f t="shared" si="63"/>
        <v>-9.6569918169717148</v>
      </c>
      <c r="F1724">
        <f t="shared" si="64"/>
        <v>650.13438104551585</v>
      </c>
    </row>
    <row r="1725" spans="1:6" x14ac:dyDescent="0.25">
      <c r="A1725">
        <v>-190.68817960847133</v>
      </c>
      <c r="B1725">
        <v>-31.47952709463241</v>
      </c>
      <c r="C1725">
        <v>1010.9169280000001</v>
      </c>
      <c r="E1725">
        <f t="shared" si="63"/>
        <v>-24.805429121822815</v>
      </c>
      <c r="F1725">
        <f t="shared" si="64"/>
        <v>651.2037844333222</v>
      </c>
    </row>
    <row r="1726" spans="1:6" x14ac:dyDescent="0.25">
      <c r="A1726">
        <v>-186.00120997354202</v>
      </c>
      <c r="B1726">
        <v>-48.58485835663695</v>
      </c>
      <c r="C1726">
        <v>1010.9169280000001</v>
      </c>
      <c r="E1726">
        <f t="shared" si="63"/>
        <v>-42.063913159512069</v>
      </c>
      <c r="F1726">
        <f t="shared" si="64"/>
        <v>653.83095188883385</v>
      </c>
    </row>
    <row r="1727" spans="1:6" x14ac:dyDescent="0.25">
      <c r="A1727">
        <v>-178.48247160893592</v>
      </c>
      <c r="B1727">
        <v>-66.941369057721772</v>
      </c>
      <c r="C1727">
        <v>1010.9169280000001</v>
      </c>
      <c r="E1727">
        <f t="shared" si="63"/>
        <v>-60.671641755016644</v>
      </c>
      <c r="F1727">
        <f t="shared" si="64"/>
        <v>658.24916870147558</v>
      </c>
    </row>
    <row r="1728" spans="1:6" x14ac:dyDescent="0.25">
      <c r="A1728">
        <v>-169.54879764356963</v>
      </c>
      <c r="B1728">
        <v>-85.386770721296898</v>
      </c>
      <c r="C1728">
        <v>1010.9169280000001</v>
      </c>
      <c r="E1728">
        <f t="shared" si="63"/>
        <v>-79.417587703371922</v>
      </c>
      <c r="F1728">
        <f t="shared" si="64"/>
        <v>663.57434045432524</v>
      </c>
    </row>
    <row r="1729" spans="1:6" x14ac:dyDescent="0.25">
      <c r="A1729">
        <v>-160.18353176238719</v>
      </c>
      <c r="B1729">
        <v>-100.41859496274553</v>
      </c>
      <c r="C1729">
        <v>1010.9169280000001</v>
      </c>
      <c r="E1729">
        <f t="shared" si="63"/>
        <v>-94.767098029377323</v>
      </c>
      <c r="F1729">
        <f t="shared" si="64"/>
        <v>669.25334180479706</v>
      </c>
    </row>
    <row r="1730" spans="1:6" x14ac:dyDescent="0.25">
      <c r="A1730">
        <v>-150.91315660077078</v>
      </c>
      <c r="B1730">
        <v>-112.8550516578948</v>
      </c>
      <c r="C1730">
        <v>1010.9169280000001</v>
      </c>
      <c r="E1730">
        <f t="shared" si="63"/>
        <v>-107.5195101985135</v>
      </c>
      <c r="F1730">
        <f t="shared" si="64"/>
        <v>674.92960751960788</v>
      </c>
    </row>
    <row r="1731" spans="1:6" x14ac:dyDescent="0.25">
      <c r="A1731">
        <v>-141.74203077016878</v>
      </c>
      <c r="B1731">
        <v>-123.71697319390788</v>
      </c>
      <c r="C1731">
        <v>1010.9169280000001</v>
      </c>
      <c r="E1731">
        <f t="shared" si="63"/>
        <v>-118.69488262108945</v>
      </c>
      <c r="F1731">
        <f t="shared" si="64"/>
        <v>680.57743734776216</v>
      </c>
    </row>
    <row r="1732" spans="1:6" x14ac:dyDescent="0.25">
      <c r="A1732">
        <v>-133.00426055612618</v>
      </c>
      <c r="B1732">
        <v>-133.00426055612618</v>
      </c>
      <c r="C1732">
        <v>1010.9169280000001</v>
      </c>
      <c r="E1732">
        <f t="shared" si="63"/>
        <v>-128.28145620155303</v>
      </c>
      <c r="F1732">
        <f t="shared" si="64"/>
        <v>685.98220495539772</v>
      </c>
    </row>
    <row r="1733" spans="1:6" x14ac:dyDescent="0.25">
      <c r="A1733">
        <v>-123.71697319390785</v>
      </c>
      <c r="B1733">
        <v>-141.74203077016872</v>
      </c>
      <c r="C1733">
        <v>1010.9169280000001</v>
      </c>
      <c r="E1733">
        <f t="shared" si="63"/>
        <v>-137.33802525674074</v>
      </c>
      <c r="F1733">
        <f t="shared" si="64"/>
        <v>691.75230750183425</v>
      </c>
    </row>
    <row r="1734" spans="1:6" x14ac:dyDescent="0.25">
      <c r="A1734">
        <v>-112.85505165789476</v>
      </c>
      <c r="B1734">
        <v>-150.91315660077078</v>
      </c>
      <c r="C1734">
        <v>1010.9169280000001</v>
      </c>
      <c r="E1734">
        <f t="shared" si="63"/>
        <v>-146.88263988011121</v>
      </c>
      <c r="F1734">
        <f t="shared" si="64"/>
        <v>698.52422735631785</v>
      </c>
    </row>
    <row r="1735" spans="1:6" x14ac:dyDescent="0.25">
      <c r="A1735">
        <v>-100.41859496274562</v>
      </c>
      <c r="B1735">
        <v>-160.18353176238722</v>
      </c>
      <c r="C1735">
        <v>1010.9169280000001</v>
      </c>
      <c r="E1735">
        <f t="shared" si="63"/>
        <v>-156.58139385907953</v>
      </c>
      <c r="F1735">
        <f t="shared" si="64"/>
        <v>706.30539590652143</v>
      </c>
    </row>
    <row r="1736" spans="1:6" x14ac:dyDescent="0.25">
      <c r="A1736">
        <v>-85.386770721296898</v>
      </c>
      <c r="B1736">
        <v>-169.54879764356963</v>
      </c>
      <c r="C1736">
        <v>1010.9169280000001</v>
      </c>
      <c r="E1736">
        <f t="shared" si="63"/>
        <v>-166.46555777387513</v>
      </c>
      <c r="F1736">
        <f t="shared" si="64"/>
        <v>715.75168961289614</v>
      </c>
    </row>
    <row r="1737" spans="1:6" x14ac:dyDescent="0.25">
      <c r="A1737">
        <v>-66.941369057721701</v>
      </c>
      <c r="B1737">
        <v>-178.48247160893592</v>
      </c>
      <c r="C1737">
        <v>1010.9169280000001</v>
      </c>
      <c r="E1737">
        <f t="shared" si="63"/>
        <v>-176.03752482097576</v>
      </c>
      <c r="F1737">
        <f t="shared" si="64"/>
        <v>727.40053382629151</v>
      </c>
    </row>
    <row r="1738" spans="1:6" x14ac:dyDescent="0.25">
      <c r="A1738">
        <v>-48.5848583566369</v>
      </c>
      <c r="B1738">
        <v>-186.00120997354244</v>
      </c>
      <c r="C1738">
        <v>1010.9169280000001</v>
      </c>
      <c r="E1738">
        <f t="shared" si="63"/>
        <v>-184.19231595800204</v>
      </c>
      <c r="F1738">
        <f t="shared" si="64"/>
        <v>739.02401603680221</v>
      </c>
    </row>
    <row r="1739" spans="1:6" x14ac:dyDescent="0.25">
      <c r="A1739">
        <v>-31.479527094632449</v>
      </c>
      <c r="B1739">
        <v>-190.68817960847147</v>
      </c>
      <c r="C1739">
        <v>1010.9169280000001</v>
      </c>
      <c r="E1739">
        <f t="shared" si="63"/>
        <v>-189.47339786964065</v>
      </c>
      <c r="F1739">
        <f t="shared" si="64"/>
        <v>749.90727049541658</v>
      </c>
    </row>
    <row r="1740" spans="1:6" x14ac:dyDescent="0.25">
      <c r="A1740">
        <v>-16.398379973105818</v>
      </c>
      <c r="B1740">
        <v>-192.87953529832217</v>
      </c>
      <c r="C1740">
        <v>1010.9169280000001</v>
      </c>
      <c r="E1740">
        <f t="shared" si="63"/>
        <v>-192.18974308905118</v>
      </c>
      <c r="F1740">
        <f t="shared" si="64"/>
        <v>759.54618109420164</v>
      </c>
    </row>
    <row r="1741" spans="1:6" x14ac:dyDescent="0.25">
      <c r="A1741">
        <v>1.1893085425049564E-14</v>
      </c>
      <c r="B1741">
        <v>-194.14929476341104</v>
      </c>
      <c r="C1741">
        <v>1010.9169280000001</v>
      </c>
      <c r="E1741">
        <f t="shared" si="63"/>
        <v>-194.03102425877944</v>
      </c>
      <c r="F1741">
        <f t="shared" si="64"/>
        <v>770.05195099670061</v>
      </c>
    </row>
    <row r="1742" spans="1:6" x14ac:dyDescent="0.25">
      <c r="A1742">
        <v>16.398379973105776</v>
      </c>
      <c r="B1742">
        <v>-192.87953529832222</v>
      </c>
      <c r="C1742">
        <v>1010.9169280000001</v>
      </c>
      <c r="E1742">
        <f t="shared" si="63"/>
        <v>-193.33433350464676</v>
      </c>
      <c r="F1742">
        <f t="shared" si="64"/>
        <v>780.61468983610189</v>
      </c>
    </row>
    <row r="1743" spans="1:6" x14ac:dyDescent="0.25">
      <c r="A1743">
        <v>31.479527094632374</v>
      </c>
      <c r="B1743">
        <v>-190.68817960847142</v>
      </c>
      <c r="C1743">
        <v>1010.9169280000001</v>
      </c>
      <c r="E1743">
        <f t="shared" si="63"/>
        <v>-191.67063717371141</v>
      </c>
      <c r="F1743">
        <f t="shared" si="64"/>
        <v>790.35191764177353</v>
      </c>
    </row>
    <row r="1744" spans="1:6" x14ac:dyDescent="0.25">
      <c r="A1744">
        <v>48.584858356636836</v>
      </c>
      <c r="B1744">
        <v>-186.00120997354239</v>
      </c>
      <c r="C1744">
        <v>1010.9169280000001</v>
      </c>
      <c r="E1744">
        <f t="shared" si="63"/>
        <v>-187.58349016601983</v>
      </c>
      <c r="F1744">
        <f t="shared" si="64"/>
        <v>801.44545734317308</v>
      </c>
    </row>
    <row r="1745" spans="1:6" x14ac:dyDescent="0.25">
      <c r="A1745">
        <v>66.941369057721758</v>
      </c>
      <c r="B1745">
        <v>-178.48247160893592</v>
      </c>
      <c r="C1745">
        <v>1010.9169280000001</v>
      </c>
      <c r="E1745">
        <f t="shared" si="63"/>
        <v>-180.70996499835752</v>
      </c>
      <c r="F1745">
        <f t="shared" si="64"/>
        <v>813.40627472877338</v>
      </c>
    </row>
    <row r="1746" spans="1:6" x14ac:dyDescent="0.25">
      <c r="A1746">
        <v>85.386770721296884</v>
      </c>
      <c r="B1746">
        <v>-169.5487976435696</v>
      </c>
      <c r="C1746">
        <v>1010.9169280000001</v>
      </c>
      <c r="E1746">
        <f t="shared" si="63"/>
        <v>-172.42546842032533</v>
      </c>
      <c r="F1746">
        <f t="shared" si="64"/>
        <v>825.45593651622971</v>
      </c>
    </row>
    <row r="1747" spans="1:6" x14ac:dyDescent="0.25">
      <c r="A1747">
        <v>100.41859496274552</v>
      </c>
      <c r="B1747">
        <v>-160.18353176238722</v>
      </c>
      <c r="C1747">
        <v>1010.9169280000001</v>
      </c>
      <c r="E1747">
        <f t="shared" si="63"/>
        <v>-163.59051070662377</v>
      </c>
      <c r="F1747">
        <f t="shared" si="64"/>
        <v>835.32241156854161</v>
      </c>
    </row>
    <row r="1748" spans="1:6" x14ac:dyDescent="0.25">
      <c r="A1748">
        <v>112.85505165789475</v>
      </c>
      <c r="B1748">
        <v>-150.91315660077089</v>
      </c>
      <c r="C1748">
        <v>1010.9169280000001</v>
      </c>
      <c r="E1748">
        <f t="shared" ref="E1748:E1811" si="65">($I$2*A1748)+($K$2*B1748)+($M$2*C1748)</f>
        <v>-154.7598088865019</v>
      </c>
      <c r="F1748">
        <f t="shared" ref="F1748:F1811" si="66">($J$2*A1748)+($L$2*B1748)+($N$2*C1748)</f>
        <v>843.51950410447807</v>
      </c>
    </row>
    <row r="1749" spans="1:6" x14ac:dyDescent="0.25">
      <c r="A1749">
        <v>123.71697319390788</v>
      </c>
      <c r="B1749">
        <v>-141.74203077016878</v>
      </c>
      <c r="C1749">
        <v>1010.9169280000001</v>
      </c>
      <c r="E1749">
        <f t="shared" si="65"/>
        <v>-145.97334545278918</v>
      </c>
      <c r="F1749">
        <f t="shared" si="66"/>
        <v>850.70289503134268</v>
      </c>
    </row>
    <row r="1750" spans="1:6" x14ac:dyDescent="0.25">
      <c r="A1750">
        <v>133.00426055612618</v>
      </c>
      <c r="B1750">
        <v>-133.00426055612618</v>
      </c>
      <c r="C1750">
        <v>1010.9169280000001</v>
      </c>
      <c r="E1750">
        <f t="shared" si="65"/>
        <v>-137.56501970694725</v>
      </c>
      <c r="F1750">
        <f t="shared" si="66"/>
        <v>856.86502574821293</v>
      </c>
    </row>
    <row r="1751" spans="1:6" x14ac:dyDescent="0.25">
      <c r="A1751">
        <v>141.74203077016878</v>
      </c>
      <c r="B1751">
        <v>-123.71697319390786</v>
      </c>
      <c r="C1751">
        <v>1010.9169280000001</v>
      </c>
      <c r="E1751">
        <f t="shared" si="65"/>
        <v>-128.58833369202807</v>
      </c>
      <c r="F1751">
        <f t="shared" si="66"/>
        <v>862.68647612315817</v>
      </c>
    </row>
    <row r="1752" spans="1:6" x14ac:dyDescent="0.25">
      <c r="A1752">
        <v>150.91315660077083</v>
      </c>
      <c r="B1752">
        <v>-112.8550516578948</v>
      </c>
      <c r="C1752">
        <v>1010.9169280000001</v>
      </c>
      <c r="E1752">
        <f t="shared" si="65"/>
        <v>-118.05309662081876</v>
      </c>
      <c r="F1752">
        <f t="shared" si="66"/>
        <v>868.82163614229364</v>
      </c>
    </row>
    <row r="1753" spans="1:6" x14ac:dyDescent="0.25">
      <c r="A1753">
        <v>160.18353176238728</v>
      </c>
      <c r="B1753">
        <v>-100.41859496274552</v>
      </c>
      <c r="C1753">
        <v>1010.9169280000001</v>
      </c>
      <c r="E1753">
        <f t="shared" si="65"/>
        <v>-105.94774730645014</v>
      </c>
      <c r="F1753">
        <f t="shared" si="66"/>
        <v>875.05587502937249</v>
      </c>
    </row>
    <row r="1754" spans="1:6" x14ac:dyDescent="0.25">
      <c r="A1754">
        <v>169.5487976435696</v>
      </c>
      <c r="B1754">
        <v>-85.386770721296912</v>
      </c>
      <c r="C1754">
        <v>1010.9169280000001</v>
      </c>
      <c r="E1754">
        <f t="shared" si="65"/>
        <v>-91.251923111921485</v>
      </c>
      <c r="F1754">
        <f t="shared" si="66"/>
        <v>881.4092931259139</v>
      </c>
    </row>
    <row r="1755" spans="1:6" x14ac:dyDescent="0.25">
      <c r="A1755">
        <v>178.4824716089359</v>
      </c>
      <c r="B1755">
        <v>-66.941369057721715</v>
      </c>
      <c r="C1755">
        <v>1010.9169280000001</v>
      </c>
      <c r="E1755">
        <f t="shared" si="65"/>
        <v>-73.129538613757191</v>
      </c>
      <c r="F1755">
        <f t="shared" si="66"/>
        <v>887.56203494411807</v>
      </c>
    </row>
    <row r="1756" spans="1:6" x14ac:dyDescent="0.25">
      <c r="A1756">
        <v>186.00120997354207</v>
      </c>
      <c r="B1756">
        <v>-48.584858356636879</v>
      </c>
      <c r="C1756">
        <v>1010.9169280000001</v>
      </c>
      <c r="E1756">
        <f t="shared" si="65"/>
        <v>-55.046610387777683</v>
      </c>
      <c r="F1756">
        <f t="shared" si="66"/>
        <v>892.80383364657985</v>
      </c>
    </row>
    <row r="1757" spans="1:6" x14ac:dyDescent="0.25">
      <c r="A1757">
        <v>190.6881796084715</v>
      </c>
      <c r="B1757">
        <v>-31.479527094632477</v>
      </c>
      <c r="C1757">
        <v>1010.9169280000001</v>
      </c>
      <c r="E1757">
        <f t="shared" si="65"/>
        <v>-38.115272112726451</v>
      </c>
      <c r="F1757">
        <f t="shared" si="66"/>
        <v>896.19844766512119</v>
      </c>
    </row>
    <row r="1758" spans="1:6" x14ac:dyDescent="0.25">
      <c r="A1758">
        <v>192.87953529832222</v>
      </c>
      <c r="B1758">
        <v>-16.398379973105786</v>
      </c>
      <c r="C1758">
        <v>1010.9169280000001</v>
      </c>
      <c r="E1758">
        <f t="shared" si="65"/>
        <v>-23.119789229219183</v>
      </c>
      <c r="F1758">
        <f t="shared" si="66"/>
        <v>897.9444807157895</v>
      </c>
    </row>
    <row r="1759" spans="1:6" x14ac:dyDescent="0.25">
      <c r="A1759">
        <v>194.14929476341104</v>
      </c>
      <c r="B1759">
        <v>0</v>
      </c>
      <c r="C1759">
        <v>1010.9169280000001</v>
      </c>
      <c r="E1759">
        <f t="shared" si="65"/>
        <v>-6.7757126723884502</v>
      </c>
      <c r="F1759">
        <f t="shared" si="66"/>
        <v>899.12803343763994</v>
      </c>
    </row>
    <row r="1760" spans="1:6" x14ac:dyDescent="0.25">
      <c r="A1760">
        <v>192.87953529832222</v>
      </c>
      <c r="B1760">
        <v>16.398379973105765</v>
      </c>
      <c r="C1760">
        <v>1010.9169280000001</v>
      </c>
      <c r="E1760">
        <f t="shared" si="65"/>
        <v>9.6569918169719351</v>
      </c>
      <c r="F1760">
        <f t="shared" si="66"/>
        <v>898.68020925310032</v>
      </c>
    </row>
    <row r="1761" spans="1:6" x14ac:dyDescent="0.25">
      <c r="A1761">
        <v>190.68817960847178</v>
      </c>
      <c r="B1761">
        <v>31.47952709463242</v>
      </c>
      <c r="C1761">
        <v>1010.9169280000001</v>
      </c>
      <c r="E1761">
        <f t="shared" si="65"/>
        <v>24.805429121823057</v>
      </c>
      <c r="F1761">
        <f t="shared" si="66"/>
        <v>897.61080586529431</v>
      </c>
    </row>
    <row r="1762" spans="1:6" x14ac:dyDescent="0.25">
      <c r="A1762">
        <v>186.00120997354222</v>
      </c>
      <c r="B1762">
        <v>48.584858356636857</v>
      </c>
      <c r="C1762">
        <v>1010.9169280000001</v>
      </c>
      <c r="E1762">
        <f t="shared" si="65"/>
        <v>42.063913159512211</v>
      </c>
      <c r="F1762">
        <f t="shared" si="66"/>
        <v>894.98363840978243</v>
      </c>
    </row>
    <row r="1763" spans="1:6" x14ac:dyDescent="0.25">
      <c r="A1763">
        <v>178.4824716089359</v>
      </c>
      <c r="B1763">
        <v>66.941369057721744</v>
      </c>
      <c r="C1763">
        <v>1010.9169280000001</v>
      </c>
      <c r="E1763">
        <f t="shared" si="65"/>
        <v>60.671641755016864</v>
      </c>
      <c r="F1763">
        <f t="shared" si="66"/>
        <v>890.56542159714058</v>
      </c>
    </row>
    <row r="1764" spans="1:6" x14ac:dyDescent="0.25">
      <c r="A1764">
        <v>169.54879764356963</v>
      </c>
      <c r="B1764">
        <v>85.386770721296855</v>
      </c>
      <c r="C1764">
        <v>1010.9169280000001</v>
      </c>
      <c r="E1764">
        <f t="shared" si="65"/>
        <v>79.417587703372135</v>
      </c>
      <c r="F1764">
        <f t="shared" si="66"/>
        <v>885.24024984429093</v>
      </c>
    </row>
    <row r="1765" spans="1:6" x14ac:dyDescent="0.25">
      <c r="A1765">
        <v>160.18353176238728</v>
      </c>
      <c r="B1765">
        <v>100.41859496274552</v>
      </c>
      <c r="C1765">
        <v>1010.9169280000001</v>
      </c>
      <c r="E1765">
        <f t="shared" si="65"/>
        <v>94.767098029377564</v>
      </c>
      <c r="F1765">
        <f t="shared" si="66"/>
        <v>879.56124849381911</v>
      </c>
    </row>
    <row r="1766" spans="1:6" x14ac:dyDescent="0.25">
      <c r="A1766">
        <v>150.91315660077078</v>
      </c>
      <c r="B1766">
        <v>112.85505165789469</v>
      </c>
      <c r="C1766">
        <v>1010.9169280000001</v>
      </c>
      <c r="E1766">
        <f t="shared" si="65"/>
        <v>107.51951019851364</v>
      </c>
      <c r="F1766">
        <f t="shared" si="66"/>
        <v>873.88498277900828</v>
      </c>
    </row>
    <row r="1767" spans="1:6" x14ac:dyDescent="0.25">
      <c r="A1767">
        <v>141.74203077016878</v>
      </c>
      <c r="B1767">
        <v>123.71697319390785</v>
      </c>
      <c r="C1767">
        <v>1010.9169280000001</v>
      </c>
      <c r="E1767">
        <f t="shared" si="65"/>
        <v>118.69488262108968</v>
      </c>
      <c r="F1767">
        <f t="shared" si="66"/>
        <v>868.23715295085401</v>
      </c>
    </row>
    <row r="1768" spans="1:6" x14ac:dyDescent="0.25">
      <c r="A1768">
        <v>133.00426055612618</v>
      </c>
      <c r="B1768">
        <v>133.00426055612618</v>
      </c>
      <c r="C1768">
        <v>1010.9169280000001</v>
      </c>
      <c r="E1768">
        <f t="shared" si="65"/>
        <v>128.28145620155325</v>
      </c>
      <c r="F1768">
        <f t="shared" si="66"/>
        <v>862.83238534321845</v>
      </c>
    </row>
    <row r="1769" spans="1:6" x14ac:dyDescent="0.25">
      <c r="A1769">
        <v>123.71697319390792</v>
      </c>
      <c r="B1769">
        <v>141.74203077016878</v>
      </c>
      <c r="C1769">
        <v>1010.9169280000001</v>
      </c>
      <c r="E1769">
        <f t="shared" si="65"/>
        <v>137.33802525674102</v>
      </c>
      <c r="F1769">
        <f t="shared" si="66"/>
        <v>857.06228279678203</v>
      </c>
    </row>
    <row r="1770" spans="1:6" x14ac:dyDescent="0.25">
      <c r="A1770">
        <v>112.8550516578948</v>
      </c>
      <c r="B1770">
        <v>150.91315660077078</v>
      </c>
      <c r="C1770">
        <v>1010.9169280000001</v>
      </c>
      <c r="E1770">
        <f t="shared" si="65"/>
        <v>146.88263988011144</v>
      </c>
      <c r="F1770">
        <f t="shared" si="66"/>
        <v>850.29036294229832</v>
      </c>
    </row>
    <row r="1771" spans="1:6" x14ac:dyDescent="0.25">
      <c r="A1771">
        <v>100.41859496274567</v>
      </c>
      <c r="B1771">
        <v>160.18353176238733</v>
      </c>
      <c r="C1771">
        <v>1010.9169280000001</v>
      </c>
      <c r="E1771">
        <f t="shared" si="65"/>
        <v>156.58139385907987</v>
      </c>
      <c r="F1771">
        <f t="shared" si="66"/>
        <v>842.50919439209486</v>
      </c>
    </row>
    <row r="1772" spans="1:6" x14ac:dyDescent="0.25">
      <c r="A1772">
        <v>85.386770721297069</v>
      </c>
      <c r="B1772">
        <v>169.54879764356974</v>
      </c>
      <c r="C1772">
        <v>1010.9169280000001</v>
      </c>
      <c r="E1772">
        <f t="shared" si="65"/>
        <v>166.46555777387547</v>
      </c>
      <c r="F1772">
        <f t="shared" si="66"/>
        <v>833.06290068572014</v>
      </c>
    </row>
    <row r="1773" spans="1:6" x14ac:dyDescent="0.25">
      <c r="A1773">
        <v>66.941369057721786</v>
      </c>
      <c r="B1773">
        <v>178.48247160893598</v>
      </c>
      <c r="C1773">
        <v>1010.9169280000001</v>
      </c>
      <c r="E1773">
        <f t="shared" si="65"/>
        <v>176.03752482097605</v>
      </c>
      <c r="F1773">
        <f t="shared" si="66"/>
        <v>821.41405647232466</v>
      </c>
    </row>
    <row r="1774" spans="1:6" x14ac:dyDescent="0.25">
      <c r="A1774">
        <v>48.584858356636893</v>
      </c>
      <c r="B1774">
        <v>186.00120997354225</v>
      </c>
      <c r="C1774">
        <v>1010.9169280000001</v>
      </c>
      <c r="E1774">
        <f t="shared" si="65"/>
        <v>184.19231595800207</v>
      </c>
      <c r="F1774">
        <f t="shared" si="66"/>
        <v>809.79057426181396</v>
      </c>
    </row>
    <row r="1775" spans="1:6" x14ac:dyDescent="0.25">
      <c r="A1775">
        <v>31.479527094632392</v>
      </c>
      <c r="B1775">
        <v>190.68817960847178</v>
      </c>
      <c r="C1775">
        <v>1010.9169280000001</v>
      </c>
      <c r="E1775">
        <f t="shared" si="65"/>
        <v>189.47339786964119</v>
      </c>
      <c r="F1775">
        <f t="shared" si="66"/>
        <v>798.90731980319958</v>
      </c>
    </row>
    <row r="1776" spans="1:6" x14ac:dyDescent="0.25">
      <c r="A1776">
        <v>16.39837997310579</v>
      </c>
      <c r="B1776">
        <v>192.87953529832222</v>
      </c>
      <c r="C1776">
        <v>1010.9169280000001</v>
      </c>
      <c r="E1776">
        <f t="shared" si="65"/>
        <v>192.18974308905146</v>
      </c>
      <c r="F1776">
        <f t="shared" si="66"/>
        <v>789.26840920441452</v>
      </c>
    </row>
    <row r="1777" spans="1:6" x14ac:dyDescent="0.25">
      <c r="A1777">
        <v>1.1123330794642786E-14</v>
      </c>
      <c r="B1777">
        <v>194.14929476341104</v>
      </c>
      <c r="C1777">
        <v>1010.9169280000001</v>
      </c>
      <c r="E1777">
        <f t="shared" si="65"/>
        <v>194.03102425877967</v>
      </c>
      <c r="F1777">
        <f t="shared" si="66"/>
        <v>778.76263930191556</v>
      </c>
    </row>
    <row r="1778" spans="1:6" x14ac:dyDescent="0.25">
      <c r="A1778">
        <v>-16.398379973105765</v>
      </c>
      <c r="B1778">
        <v>192.87953529832228</v>
      </c>
      <c r="C1778">
        <v>1010.9169280000001</v>
      </c>
      <c r="E1778">
        <f t="shared" si="65"/>
        <v>193.33433350464705</v>
      </c>
      <c r="F1778">
        <f t="shared" si="66"/>
        <v>768.19990046251428</v>
      </c>
    </row>
    <row r="1779" spans="1:6" x14ac:dyDescent="0.25">
      <c r="A1779">
        <v>-31.479527094632353</v>
      </c>
      <c r="B1779">
        <v>190.6881796084717</v>
      </c>
      <c r="C1779">
        <v>1010.9169280000001</v>
      </c>
      <c r="E1779">
        <f t="shared" si="65"/>
        <v>191.67063717371192</v>
      </c>
      <c r="F1779">
        <f t="shared" si="66"/>
        <v>758.46267265684264</v>
      </c>
    </row>
    <row r="1780" spans="1:6" x14ac:dyDescent="0.25">
      <c r="A1780">
        <v>-48.584858356636836</v>
      </c>
      <c r="B1780">
        <v>186.00120997354247</v>
      </c>
      <c r="C1780">
        <v>1010.9169280000001</v>
      </c>
      <c r="E1780">
        <f t="shared" si="65"/>
        <v>187.58349016602014</v>
      </c>
      <c r="F1780">
        <f t="shared" si="66"/>
        <v>747.36913295544309</v>
      </c>
    </row>
    <row r="1781" spans="1:6" x14ac:dyDescent="0.25">
      <c r="A1781">
        <v>-66.941369057721602</v>
      </c>
      <c r="B1781">
        <v>178.48247160893592</v>
      </c>
      <c r="C1781">
        <v>1010.9169280000001</v>
      </c>
      <c r="E1781">
        <f t="shared" si="65"/>
        <v>180.70996499835772</v>
      </c>
      <c r="F1781">
        <f t="shared" si="66"/>
        <v>735.4083155698429</v>
      </c>
    </row>
    <row r="1782" spans="1:6" x14ac:dyDescent="0.25">
      <c r="A1782">
        <v>-85.386770721296841</v>
      </c>
      <c r="B1782">
        <v>169.54879764356977</v>
      </c>
      <c r="C1782">
        <v>1010.9169280000001</v>
      </c>
      <c r="E1782">
        <f t="shared" si="65"/>
        <v>172.42546842032573</v>
      </c>
      <c r="F1782">
        <f t="shared" si="66"/>
        <v>723.35865378238645</v>
      </c>
    </row>
    <row r="1783" spans="1:6" x14ac:dyDescent="0.25">
      <c r="A1783">
        <v>-100.41859496274562</v>
      </c>
      <c r="B1783">
        <v>160.18353176238722</v>
      </c>
      <c r="C1783">
        <v>1010.9169280000001</v>
      </c>
      <c r="E1783">
        <f t="shared" si="65"/>
        <v>163.590510706624</v>
      </c>
      <c r="F1783">
        <f t="shared" si="66"/>
        <v>713.49217873007456</v>
      </c>
    </row>
    <row r="1784" spans="1:6" x14ac:dyDescent="0.25">
      <c r="A1784">
        <v>-112.85505165789475</v>
      </c>
      <c r="B1784">
        <v>150.91315660077083</v>
      </c>
      <c r="C1784">
        <v>1010.9169280000001</v>
      </c>
      <c r="E1784">
        <f t="shared" si="65"/>
        <v>154.75980888650207</v>
      </c>
      <c r="F1784">
        <f t="shared" si="66"/>
        <v>705.29508619413809</v>
      </c>
    </row>
    <row r="1785" spans="1:6" x14ac:dyDescent="0.25">
      <c r="A1785">
        <v>-123.71697319390786</v>
      </c>
      <c r="B1785">
        <v>141.74203077016878</v>
      </c>
      <c r="C1785">
        <v>1010.9169280000001</v>
      </c>
      <c r="E1785">
        <f t="shared" si="65"/>
        <v>145.9733454527894</v>
      </c>
      <c r="F1785">
        <f t="shared" si="66"/>
        <v>698.11169526727349</v>
      </c>
    </row>
    <row r="1786" spans="1:6" x14ac:dyDescent="0.25">
      <c r="A1786">
        <v>-133.00426055612618</v>
      </c>
      <c r="B1786">
        <v>133.00426055612618</v>
      </c>
      <c r="C1786">
        <v>1010.9169280000001</v>
      </c>
      <c r="E1786">
        <f t="shared" si="65"/>
        <v>137.56501970694748</v>
      </c>
      <c r="F1786">
        <f t="shared" si="66"/>
        <v>691.94956455040324</v>
      </c>
    </row>
    <row r="1787" spans="1:6" x14ac:dyDescent="0.25">
      <c r="A1787">
        <v>-141.74203077016878</v>
      </c>
      <c r="B1787">
        <v>123.71697319390788</v>
      </c>
      <c r="C1787">
        <v>1010.9169280000001</v>
      </c>
      <c r="E1787">
        <f t="shared" si="65"/>
        <v>128.5883336920283</v>
      </c>
      <c r="F1787">
        <f t="shared" si="66"/>
        <v>686.12811417545799</v>
      </c>
    </row>
    <row r="1788" spans="1:6" x14ac:dyDescent="0.25">
      <c r="A1788">
        <v>-150.91315660077078</v>
      </c>
      <c r="B1788">
        <v>112.85505165789482</v>
      </c>
      <c r="C1788">
        <v>1010.9169280000001</v>
      </c>
      <c r="E1788">
        <f t="shared" si="65"/>
        <v>118.05309662081903</v>
      </c>
      <c r="F1788">
        <f t="shared" si="66"/>
        <v>679.99295415632253</v>
      </c>
    </row>
    <row r="1789" spans="1:6" x14ac:dyDescent="0.25">
      <c r="A1789">
        <v>-160.18353176238728</v>
      </c>
      <c r="B1789">
        <v>100.4185949627457</v>
      </c>
      <c r="C1789">
        <v>1010.9169280000001</v>
      </c>
      <c r="E1789">
        <f t="shared" si="65"/>
        <v>105.94774730645057</v>
      </c>
      <c r="F1789">
        <f t="shared" si="66"/>
        <v>673.75871526924368</v>
      </c>
    </row>
    <row r="1790" spans="1:6" x14ac:dyDescent="0.25">
      <c r="A1790">
        <v>-169.54879764356954</v>
      </c>
      <c r="B1790">
        <v>85.386770721297069</v>
      </c>
      <c r="C1790">
        <v>1010.9169280000001</v>
      </c>
      <c r="E1790">
        <f t="shared" si="65"/>
        <v>91.251923111921897</v>
      </c>
      <c r="F1790">
        <f t="shared" si="66"/>
        <v>667.40529717270238</v>
      </c>
    </row>
    <row r="1791" spans="1:6" x14ac:dyDescent="0.25">
      <c r="A1791">
        <v>-178.48247160893592</v>
      </c>
      <c r="B1791">
        <v>66.941369057721786</v>
      </c>
      <c r="C1791">
        <v>1010.9169280000001</v>
      </c>
      <c r="E1791">
        <f t="shared" si="65"/>
        <v>73.129538613757518</v>
      </c>
      <c r="F1791">
        <f t="shared" si="66"/>
        <v>661.2525553544981</v>
      </c>
    </row>
    <row r="1792" spans="1:6" x14ac:dyDescent="0.25">
      <c r="A1792">
        <v>-186.00120997354236</v>
      </c>
      <c r="B1792">
        <v>48.584858356636829</v>
      </c>
      <c r="C1792">
        <v>1010.9169280000001</v>
      </c>
      <c r="E1792">
        <f t="shared" si="65"/>
        <v>55.046610387777882</v>
      </c>
      <c r="F1792">
        <f t="shared" si="66"/>
        <v>656.01075665203609</v>
      </c>
    </row>
    <row r="1793" spans="1:6" x14ac:dyDescent="0.25">
      <c r="A1793">
        <v>-190.68817960847133</v>
      </c>
      <c r="B1793">
        <v>31.47952709463241</v>
      </c>
      <c r="C1793">
        <v>1010.9169280000001</v>
      </c>
      <c r="E1793">
        <f t="shared" si="65"/>
        <v>38.115272112726615</v>
      </c>
      <c r="F1793">
        <f t="shared" si="66"/>
        <v>652.6161426334952</v>
      </c>
    </row>
    <row r="1794" spans="1:6" x14ac:dyDescent="0.25">
      <c r="A1794">
        <v>-15.109810125662744</v>
      </c>
      <c r="B1794">
        <v>-1.8511760529418333E-15</v>
      </c>
      <c r="C1794">
        <v>1067.2168000000001</v>
      </c>
      <c r="E1794">
        <f t="shared" si="65"/>
        <v>0.52732476865611322</v>
      </c>
      <c r="F1794">
        <f t="shared" si="66"/>
        <v>807.82901704061385</v>
      </c>
    </row>
    <row r="1795" spans="1:6" x14ac:dyDescent="0.25">
      <c r="A1795">
        <v>-16.972771080548576</v>
      </c>
      <c r="B1795">
        <v>-1.7723005720579126</v>
      </c>
      <c r="C1795">
        <v>1067.2168000000001</v>
      </c>
      <c r="E1795">
        <f t="shared" si="65"/>
        <v>-1.1788797660773322</v>
      </c>
      <c r="F1795">
        <f t="shared" si="66"/>
        <v>806.59250034390664</v>
      </c>
    </row>
    <row r="1796" spans="1:6" x14ac:dyDescent="0.25">
      <c r="A1796">
        <v>-18.525201283016735</v>
      </c>
      <c r="B1796">
        <v>-3.6730543996385334</v>
      </c>
      <c r="C1796">
        <v>1067.2168000000001</v>
      </c>
      <c r="E1796">
        <f t="shared" si="65"/>
        <v>-3.0242966730509404</v>
      </c>
      <c r="F1796">
        <f t="shared" si="66"/>
        <v>805.55258578584733</v>
      </c>
    </row>
    <row r="1797" spans="1:6" x14ac:dyDescent="0.25">
      <c r="A1797">
        <v>-19.755285801843502</v>
      </c>
      <c r="B1797">
        <v>-5.4746122020784336</v>
      </c>
      <c r="C1797">
        <v>1067.2168000000001</v>
      </c>
      <c r="E1797">
        <f t="shared" si="65"/>
        <v>-4.7818276845454646</v>
      </c>
      <c r="F1797">
        <f t="shared" si="66"/>
        <v>804.72197007960904</v>
      </c>
    </row>
    <row r="1798" spans="1:6" x14ac:dyDescent="0.25">
      <c r="A1798">
        <v>-20.653662951095239</v>
      </c>
      <c r="B1798">
        <v>-7.2345048999992736</v>
      </c>
      <c r="C1798">
        <v>1067.2168000000001</v>
      </c>
      <c r="E1798">
        <f t="shared" si="65"/>
        <v>-6.5092953930275277</v>
      </c>
      <c r="F1798">
        <f t="shared" si="66"/>
        <v>804.10537654609652</v>
      </c>
    </row>
    <row r="1799" spans="1:6" x14ac:dyDescent="0.25">
      <c r="A1799">
        <v>-21.213495538211191</v>
      </c>
      <c r="B1799">
        <v>-8.9393386473176246</v>
      </c>
      <c r="C1799">
        <v>1067.2168000000001</v>
      </c>
      <c r="E1799">
        <f t="shared" si="65"/>
        <v>-8.1935527261620713</v>
      </c>
      <c r="F1799">
        <f t="shared" si="66"/>
        <v>803.70749783440885</v>
      </c>
    </row>
    <row r="1800" spans="1:6" x14ac:dyDescent="0.25">
      <c r="A1800">
        <v>-22.069537233286773</v>
      </c>
      <c r="B1800">
        <v>-12.36601060300616</v>
      </c>
      <c r="C1800">
        <v>1067.2168000000001</v>
      </c>
      <c r="E1800">
        <f t="shared" si="65"/>
        <v>-11.588261821566284</v>
      </c>
      <c r="F1800">
        <f t="shared" si="66"/>
        <v>803.08070962985312</v>
      </c>
    </row>
    <row r="1801" spans="1:6" x14ac:dyDescent="0.25">
      <c r="A1801">
        <v>-23.375796495887162</v>
      </c>
      <c r="B1801">
        <v>-16.802482026570942</v>
      </c>
      <c r="C1801">
        <v>1067.2168000000001</v>
      </c>
      <c r="E1801">
        <f t="shared" si="65"/>
        <v>-15.976442875781546</v>
      </c>
      <c r="F1801">
        <f t="shared" si="66"/>
        <v>802.14205064722637</v>
      </c>
    </row>
    <row r="1802" spans="1:6" x14ac:dyDescent="0.25">
      <c r="A1802">
        <v>-23.867968137239316</v>
      </c>
      <c r="B1802">
        <v>-20.535519515118942</v>
      </c>
      <c r="C1802">
        <v>1067.2168000000001</v>
      </c>
      <c r="E1802">
        <f t="shared" si="65"/>
        <v>-19.690029756180383</v>
      </c>
      <c r="F1802">
        <f t="shared" si="66"/>
        <v>801.74213843757423</v>
      </c>
    </row>
    <row r="1803" spans="1:6" x14ac:dyDescent="0.25">
      <c r="A1803">
        <v>-22.959271749051322</v>
      </c>
      <c r="B1803">
        <v>-22.959271749051329</v>
      </c>
      <c r="C1803">
        <v>1067.2168000000001</v>
      </c>
      <c r="E1803">
        <f t="shared" si="65"/>
        <v>-22.144018552342594</v>
      </c>
      <c r="F1803">
        <f t="shared" si="66"/>
        <v>802.27150945290839</v>
      </c>
    </row>
    <row r="1804" spans="1:6" x14ac:dyDescent="0.25">
      <c r="A1804">
        <v>-20.535519515118903</v>
      </c>
      <c r="B1804">
        <v>-23.867968137239316</v>
      </c>
      <c r="C1804">
        <v>1067.2168000000001</v>
      </c>
      <c r="E1804">
        <f t="shared" si="65"/>
        <v>-23.136749120338859</v>
      </c>
      <c r="F1804">
        <f t="shared" si="66"/>
        <v>803.80813353854728</v>
      </c>
    </row>
    <row r="1805" spans="1:6" x14ac:dyDescent="0.25">
      <c r="A1805">
        <v>-16.802482026570921</v>
      </c>
      <c r="B1805">
        <v>-23.375796495887137</v>
      </c>
      <c r="C1805">
        <v>1067.2168000000001</v>
      </c>
      <c r="E1805">
        <f t="shared" si="65"/>
        <v>-22.77515842617445</v>
      </c>
      <c r="F1805">
        <f t="shared" si="66"/>
        <v>806.21726291025038</v>
      </c>
    </row>
    <row r="1806" spans="1:6" x14ac:dyDescent="0.25">
      <c r="A1806">
        <v>-12.366010603006206</v>
      </c>
      <c r="B1806">
        <v>-22.069537233286788</v>
      </c>
      <c r="C1806">
        <v>1067.2168000000001</v>
      </c>
      <c r="E1806">
        <f t="shared" si="65"/>
        <v>-21.624525521240368</v>
      </c>
      <c r="F1806">
        <f t="shared" si="66"/>
        <v>809.09653785515513</v>
      </c>
    </row>
    <row r="1807" spans="1:6" x14ac:dyDescent="0.25">
      <c r="A1807">
        <v>-8.9393386473176157</v>
      </c>
      <c r="B1807">
        <v>-21.213495538211195</v>
      </c>
      <c r="C1807">
        <v>1067.2168000000001</v>
      </c>
      <c r="E1807">
        <f t="shared" si="65"/>
        <v>-20.888594430254049</v>
      </c>
      <c r="F1807">
        <f t="shared" si="66"/>
        <v>811.31702190533815</v>
      </c>
    </row>
    <row r="1808" spans="1:6" x14ac:dyDescent="0.25">
      <c r="A1808">
        <v>-7.2345048999992709</v>
      </c>
      <c r="B1808">
        <v>-20.653662951095249</v>
      </c>
      <c r="C1808">
        <v>1067.2168000000001</v>
      </c>
      <c r="E1808">
        <f t="shared" si="65"/>
        <v>-20.388600717766856</v>
      </c>
      <c r="F1808">
        <f t="shared" si="66"/>
        <v>812.42475905921879</v>
      </c>
    </row>
    <row r="1809" spans="1:6" x14ac:dyDescent="0.25">
      <c r="A1809">
        <v>-5.4746122020784194</v>
      </c>
      <c r="B1809">
        <v>-19.755285801843506</v>
      </c>
      <c r="C1809">
        <v>1067.2168000000001</v>
      </c>
      <c r="E1809">
        <f t="shared" si="65"/>
        <v>-19.552190205008944</v>
      </c>
      <c r="F1809">
        <f t="shared" si="66"/>
        <v>813.57546042297599</v>
      </c>
    </row>
    <row r="1810" spans="1:6" x14ac:dyDescent="0.25">
      <c r="A1810">
        <v>-3.6730543996385436</v>
      </c>
      <c r="B1810">
        <v>-18.525201283016735</v>
      </c>
      <c r="C1810">
        <v>1067.2168000000001</v>
      </c>
      <c r="E1810">
        <f t="shared" si="65"/>
        <v>-18.385728481020884</v>
      </c>
      <c r="F1810">
        <f t="shared" si="66"/>
        <v>814.76036846441923</v>
      </c>
    </row>
    <row r="1811" spans="1:6" x14ac:dyDescent="0.25">
      <c r="A1811">
        <v>-1.7723005720579184</v>
      </c>
      <c r="B1811">
        <v>-16.972771080548579</v>
      </c>
      <c r="C1811">
        <v>1067.2168000000001</v>
      </c>
      <c r="E1811">
        <f t="shared" si="65"/>
        <v>-16.90057932902473</v>
      </c>
      <c r="F1811">
        <f t="shared" si="66"/>
        <v>816.01623080881768</v>
      </c>
    </row>
    <row r="1812" spans="1:6" x14ac:dyDescent="0.25">
      <c r="A1812">
        <v>7.0836250697251186E-15</v>
      </c>
      <c r="B1812">
        <v>-15.109810125662744</v>
      </c>
      <c r="C1812">
        <v>1067.2168000000001</v>
      </c>
      <c r="E1812">
        <f t="shared" ref="E1812:E1866" si="67">($I$2*A1812)+($K$2*B1812)+($M$2*C1812)</f>
        <v>-15.100605637587465</v>
      </c>
      <c r="F1812">
        <f t="shared" ref="F1812:F1866" si="68">($J$2*A1812)+($L$2*B1812)+($N$2*C1812)</f>
        <v>817.1965414156449</v>
      </c>
    </row>
    <row r="1813" spans="1:6" x14ac:dyDescent="0.25">
      <c r="A1813">
        <v>1.7723005720578908</v>
      </c>
      <c r="B1813">
        <v>-16.972771080548569</v>
      </c>
      <c r="C1813">
        <v>1067.2168000000001</v>
      </c>
      <c r="E1813">
        <f t="shared" si="67"/>
        <v>-17.024284124965472</v>
      </c>
      <c r="F1813">
        <f t="shared" si="68"/>
        <v>818.29326855016257</v>
      </c>
    </row>
    <row r="1814" spans="1:6" x14ac:dyDescent="0.25">
      <c r="A1814">
        <v>3.6730543996385379</v>
      </c>
      <c r="B1814">
        <v>-18.525201283016752</v>
      </c>
      <c r="C1814">
        <v>1067.2168000000001</v>
      </c>
      <c r="E1814">
        <f t="shared" si="67"/>
        <v>-18.642103980837486</v>
      </c>
      <c r="F1814">
        <f t="shared" si="68"/>
        <v>819.47947967267123</v>
      </c>
    </row>
    <row r="1815" spans="1:6" x14ac:dyDescent="0.25">
      <c r="A1815">
        <v>5.47461220207843</v>
      </c>
      <c r="B1815">
        <v>-19.75528580184351</v>
      </c>
      <c r="C1815">
        <v>1067.2168000000001</v>
      </c>
      <c r="E1815">
        <f t="shared" si="67"/>
        <v>-19.934312625996764</v>
      </c>
      <c r="F1815">
        <f t="shared" si="68"/>
        <v>820.60919883049985</v>
      </c>
    </row>
    <row r="1816" spans="1:6" x14ac:dyDescent="0.25">
      <c r="A1816">
        <v>7.2345048999992771</v>
      </c>
      <c r="B1816">
        <v>-20.653662951095249</v>
      </c>
      <c r="C1816">
        <v>1067.2168000000001</v>
      </c>
      <c r="E1816">
        <f t="shared" si="67"/>
        <v>-20.893561877570363</v>
      </c>
      <c r="F1816">
        <f t="shared" si="68"/>
        <v>821.71959366964563</v>
      </c>
    </row>
    <row r="1817" spans="1:6" x14ac:dyDescent="0.25">
      <c r="A1817">
        <v>8.9393386473176157</v>
      </c>
      <c r="B1817">
        <v>-21.213495538211191</v>
      </c>
      <c r="C1817">
        <v>1067.2168000000001</v>
      </c>
      <c r="E1817">
        <f t="shared" si="67"/>
        <v>-21.512551269543248</v>
      </c>
      <c r="F1817">
        <f t="shared" si="68"/>
        <v>822.80221341490824</v>
      </c>
    </row>
    <row r="1818" spans="1:6" x14ac:dyDescent="0.25">
      <c r="A1818">
        <v>12.366010603006163</v>
      </c>
      <c r="B1818">
        <v>-22.069537233286777</v>
      </c>
      <c r="C1818">
        <v>1067.2168000000001</v>
      </c>
      <c r="E1818">
        <f t="shared" si="67"/>
        <v>-22.487660613765772</v>
      </c>
      <c r="F1818">
        <f t="shared" si="68"/>
        <v>824.98429035992433</v>
      </c>
    </row>
    <row r="1819" spans="1:6" x14ac:dyDescent="0.25">
      <c r="A1819">
        <v>16.802482026570885</v>
      </c>
      <c r="B1819">
        <v>-23.375796495887183</v>
      </c>
      <c r="C1819">
        <v>1067.2168000000001</v>
      </c>
      <c r="E1819">
        <f t="shared" si="67"/>
        <v>-23.947954758334784</v>
      </c>
      <c r="F1819">
        <f t="shared" si="68"/>
        <v>827.80495877063504</v>
      </c>
    </row>
    <row r="1820" spans="1:6" x14ac:dyDescent="0.25">
      <c r="A1820">
        <v>20.535519515118956</v>
      </c>
      <c r="B1820">
        <v>-23.867968137239323</v>
      </c>
      <c r="C1820">
        <v>1067.2168000000001</v>
      </c>
      <c r="E1820">
        <f t="shared" si="67"/>
        <v>-24.570107711542946</v>
      </c>
      <c r="F1820">
        <f t="shared" si="68"/>
        <v>830.19200640484996</v>
      </c>
    </row>
    <row r="1821" spans="1:6" x14ac:dyDescent="0.25">
      <c r="A1821">
        <v>22.959271749051325</v>
      </c>
      <c r="B1821">
        <v>-22.959271749051325</v>
      </c>
      <c r="C1821">
        <v>1067.2168000000001</v>
      </c>
      <c r="E1821">
        <f t="shared" si="67"/>
        <v>-23.746552609738277</v>
      </c>
      <c r="F1821">
        <f t="shared" si="68"/>
        <v>831.76939999733258</v>
      </c>
    </row>
    <row r="1822" spans="1:6" x14ac:dyDescent="0.25">
      <c r="A1822">
        <v>23.867968137239327</v>
      </c>
      <c r="B1822">
        <v>-20.535519515118924</v>
      </c>
      <c r="C1822">
        <v>1067.2168000000001</v>
      </c>
      <c r="E1822">
        <f t="shared" si="67"/>
        <v>-21.355989906782334</v>
      </c>
      <c r="F1822">
        <f t="shared" si="68"/>
        <v>832.40751490619766</v>
      </c>
    </row>
    <row r="1823" spans="1:6" x14ac:dyDescent="0.25">
      <c r="A1823">
        <v>23.37579649588719</v>
      </c>
      <c r="B1823">
        <v>-16.802482026570921</v>
      </c>
      <c r="C1823">
        <v>1067.2168000000001</v>
      </c>
      <c r="E1823">
        <f t="shared" si="67"/>
        <v>-17.608049941234626</v>
      </c>
      <c r="F1823">
        <f t="shared" si="68"/>
        <v>832.17508888821089</v>
      </c>
    </row>
    <row r="1824" spans="1:6" x14ac:dyDescent="0.25">
      <c r="A1824">
        <v>22.069537233286823</v>
      </c>
      <c r="B1824">
        <v>-12.36601060300613</v>
      </c>
      <c r="C1824">
        <v>1067.2168000000001</v>
      </c>
      <c r="E1824">
        <f t="shared" si="67"/>
        <v>-13.128693305363889</v>
      </c>
      <c r="F1824">
        <f t="shared" si="68"/>
        <v>831.43547631362162</v>
      </c>
    </row>
    <row r="1825" spans="1:6" x14ac:dyDescent="0.25">
      <c r="A1825">
        <v>21.213495538211188</v>
      </c>
      <c r="B1825">
        <v>-8.9393386473176122</v>
      </c>
      <c r="C1825">
        <v>1067.2168000000001</v>
      </c>
      <c r="E1825">
        <f t="shared" si="67"/>
        <v>-9.674233361330705</v>
      </c>
      <c r="F1825">
        <f t="shared" si="68"/>
        <v>830.96242892675252</v>
      </c>
    </row>
    <row r="1826" spans="1:6" x14ac:dyDescent="0.25">
      <c r="A1826">
        <v>20.653662951095246</v>
      </c>
      <c r="B1826">
        <v>-7.2345048999992692</v>
      </c>
      <c r="C1826">
        <v>1067.2168000000001</v>
      </c>
      <c r="E1826">
        <f t="shared" si="67"/>
        <v>-7.9509002771401578</v>
      </c>
      <c r="F1826">
        <f t="shared" si="68"/>
        <v>830.64103916344447</v>
      </c>
    </row>
    <row r="1827" spans="1:6" x14ac:dyDescent="0.25">
      <c r="A1827">
        <v>19.755285801843506</v>
      </c>
      <c r="B1827">
        <v>-5.4746122020784274</v>
      </c>
      <c r="C1827">
        <v>1067.2168000000001</v>
      </c>
      <c r="E1827">
        <f t="shared" si="67"/>
        <v>-6.1607267479422658</v>
      </c>
      <c r="F1827">
        <f t="shared" si="68"/>
        <v>830.10340484923222</v>
      </c>
    </row>
    <row r="1828" spans="1:6" x14ac:dyDescent="0.25">
      <c r="A1828">
        <v>18.525201283016745</v>
      </c>
      <c r="B1828">
        <v>-3.6730543996385401</v>
      </c>
      <c r="C1828">
        <v>1067.2168000000001</v>
      </c>
      <c r="E1828">
        <f t="shared" si="67"/>
        <v>-4.3173370752305695</v>
      </c>
      <c r="F1828">
        <f t="shared" si="68"/>
        <v>829.35361770587906</v>
      </c>
    </row>
    <row r="1829" spans="1:6" x14ac:dyDescent="0.25">
      <c r="A1829">
        <v>16.972771080548576</v>
      </c>
      <c r="B1829">
        <v>-1.772300572057903</v>
      </c>
      <c r="C1829">
        <v>1067.2168000000001</v>
      </c>
      <c r="E1829">
        <f t="shared" si="67"/>
        <v>-2.3635621027931446</v>
      </c>
      <c r="F1829">
        <f t="shared" si="68"/>
        <v>828.39898223243949</v>
      </c>
    </row>
    <row r="1830" spans="1:6" x14ac:dyDescent="0.25">
      <c r="A1830">
        <v>15.109810125662746</v>
      </c>
      <c r="B1830">
        <v>0</v>
      </c>
      <c r="C1830">
        <v>1067.2168000000001</v>
      </c>
      <c r="E1830">
        <f t="shared" si="67"/>
        <v>-0.52732476865585365</v>
      </c>
      <c r="F1830">
        <f t="shared" si="68"/>
        <v>827.24198144582181</v>
      </c>
    </row>
    <row r="1831" spans="1:6" x14ac:dyDescent="0.25">
      <c r="A1831">
        <v>16.972771080548569</v>
      </c>
      <c r="B1831">
        <v>1.7723005720579028</v>
      </c>
      <c r="C1831">
        <v>1067.2168000000001</v>
      </c>
      <c r="E1831">
        <f t="shared" si="67"/>
        <v>1.1788797660775843</v>
      </c>
      <c r="F1831">
        <f t="shared" si="68"/>
        <v>828.47849814252902</v>
      </c>
    </row>
    <row r="1832" spans="1:6" x14ac:dyDescent="0.25">
      <c r="A1832">
        <v>18.525201283016742</v>
      </c>
      <c r="B1832">
        <v>3.6730543996385348</v>
      </c>
      <c r="C1832">
        <v>1067.2168000000001</v>
      </c>
      <c r="E1832">
        <f t="shared" si="67"/>
        <v>3.0242966730512024</v>
      </c>
      <c r="F1832">
        <f t="shared" si="68"/>
        <v>829.51841270058833</v>
      </c>
    </row>
    <row r="1833" spans="1:6" x14ac:dyDescent="0.25">
      <c r="A1833">
        <v>19.755285801843506</v>
      </c>
      <c r="B1833">
        <v>5.4746122020784309</v>
      </c>
      <c r="C1833">
        <v>1067.2168000000001</v>
      </c>
      <c r="E1833">
        <f t="shared" si="67"/>
        <v>4.7818276845457222</v>
      </c>
      <c r="F1833">
        <f t="shared" si="68"/>
        <v>830.34902840682662</v>
      </c>
    </row>
    <row r="1834" spans="1:6" x14ac:dyDescent="0.25">
      <c r="A1834">
        <v>20.653662951095246</v>
      </c>
      <c r="B1834">
        <v>7.2345048999992665</v>
      </c>
      <c r="C1834">
        <v>1067.2168000000001</v>
      </c>
      <c r="E1834">
        <f t="shared" si="67"/>
        <v>6.5092953930277817</v>
      </c>
      <c r="F1834">
        <f t="shared" si="68"/>
        <v>830.96562194033913</v>
      </c>
    </row>
    <row r="1835" spans="1:6" x14ac:dyDescent="0.25">
      <c r="A1835">
        <v>21.213495538211191</v>
      </c>
      <c r="B1835">
        <v>8.9393386473176157</v>
      </c>
      <c r="C1835">
        <v>1067.2168000000001</v>
      </c>
      <c r="E1835">
        <f t="shared" si="67"/>
        <v>8.1935527261623253</v>
      </c>
      <c r="F1835">
        <f t="shared" si="68"/>
        <v>831.3635006520268</v>
      </c>
    </row>
    <row r="1836" spans="1:6" x14ac:dyDescent="0.25">
      <c r="A1836">
        <v>22.069537233286766</v>
      </c>
      <c r="B1836">
        <v>12.366010603006179</v>
      </c>
      <c r="C1836">
        <v>1067.2168000000001</v>
      </c>
      <c r="E1836">
        <f t="shared" si="67"/>
        <v>11.588261821566567</v>
      </c>
      <c r="F1836">
        <f t="shared" si="68"/>
        <v>831.99028885658254</v>
      </c>
    </row>
    <row r="1837" spans="1:6" x14ac:dyDescent="0.25">
      <c r="A1837">
        <v>23.375796495887197</v>
      </c>
      <c r="B1837">
        <v>16.802482026570956</v>
      </c>
      <c r="C1837">
        <v>1067.2168000000001</v>
      </c>
      <c r="E1837">
        <f t="shared" si="67"/>
        <v>15.976442875781821</v>
      </c>
      <c r="F1837">
        <f t="shared" si="68"/>
        <v>832.92894783920929</v>
      </c>
    </row>
    <row r="1838" spans="1:6" x14ac:dyDescent="0.25">
      <c r="A1838">
        <v>23.867968137239309</v>
      </c>
      <c r="B1838">
        <v>20.535519515118896</v>
      </c>
      <c r="C1838">
        <v>1067.2168000000001</v>
      </c>
      <c r="E1838">
        <f t="shared" si="67"/>
        <v>19.6900297561806</v>
      </c>
      <c r="F1838">
        <f t="shared" si="68"/>
        <v>833.32886004886143</v>
      </c>
    </row>
    <row r="1839" spans="1:6" x14ac:dyDescent="0.25">
      <c r="A1839">
        <v>22.959271749051339</v>
      </c>
      <c r="B1839">
        <v>22.959271749051329</v>
      </c>
      <c r="C1839">
        <v>1067.2168000000001</v>
      </c>
      <c r="E1839">
        <f t="shared" si="67"/>
        <v>22.144018552342857</v>
      </c>
      <c r="F1839">
        <f t="shared" si="68"/>
        <v>832.79948903352727</v>
      </c>
    </row>
    <row r="1840" spans="1:6" x14ac:dyDescent="0.25">
      <c r="A1840">
        <v>20.53551951511897</v>
      </c>
      <c r="B1840">
        <v>23.86796813723932</v>
      </c>
      <c r="C1840">
        <v>1067.2168000000001</v>
      </c>
      <c r="E1840">
        <f t="shared" si="67"/>
        <v>23.136749120339122</v>
      </c>
      <c r="F1840">
        <f t="shared" si="68"/>
        <v>831.26286494788837</v>
      </c>
    </row>
    <row r="1841" spans="1:6" x14ac:dyDescent="0.25">
      <c r="A1841">
        <v>16.802482026570942</v>
      </c>
      <c r="B1841">
        <v>23.375796495887208</v>
      </c>
      <c r="C1841">
        <v>1067.2168000000001</v>
      </c>
      <c r="E1841">
        <f t="shared" si="67"/>
        <v>22.77515842617478</v>
      </c>
      <c r="F1841">
        <f t="shared" si="68"/>
        <v>828.85373557618539</v>
      </c>
    </row>
    <row r="1842" spans="1:6" x14ac:dyDescent="0.25">
      <c r="A1842">
        <v>12.366010603006195</v>
      </c>
      <c r="B1842">
        <v>22.069537233286827</v>
      </c>
      <c r="C1842">
        <v>1067.2168000000001</v>
      </c>
      <c r="E1842">
        <f t="shared" si="67"/>
        <v>21.62452552124067</v>
      </c>
      <c r="F1842">
        <f t="shared" si="68"/>
        <v>825.97446063128052</v>
      </c>
    </row>
    <row r="1843" spans="1:6" x14ac:dyDescent="0.25">
      <c r="A1843">
        <v>8.9393386473176264</v>
      </c>
      <c r="B1843">
        <v>21.213495538211202</v>
      </c>
      <c r="C1843">
        <v>1067.2168000000001</v>
      </c>
      <c r="E1843">
        <f t="shared" si="67"/>
        <v>20.888594430254319</v>
      </c>
      <c r="F1843">
        <f t="shared" si="68"/>
        <v>823.7539765810975</v>
      </c>
    </row>
    <row r="1844" spans="1:6" x14ac:dyDescent="0.25">
      <c r="A1844">
        <v>7.2345048999992771</v>
      </c>
      <c r="B1844">
        <v>20.653662951095246</v>
      </c>
      <c r="C1844">
        <v>1067.2168000000001</v>
      </c>
      <c r="E1844">
        <f t="shared" si="67"/>
        <v>20.388600717767115</v>
      </c>
      <c r="F1844">
        <f t="shared" si="68"/>
        <v>822.64623942721687</v>
      </c>
    </row>
    <row r="1845" spans="1:6" x14ac:dyDescent="0.25">
      <c r="A1845">
        <v>5.4746122020784194</v>
      </c>
      <c r="B1845">
        <v>19.755285801843506</v>
      </c>
      <c r="C1845">
        <v>1067.2168000000001</v>
      </c>
      <c r="E1845">
        <f t="shared" si="67"/>
        <v>19.552190205009207</v>
      </c>
      <c r="F1845">
        <f t="shared" si="68"/>
        <v>821.49553806345966</v>
      </c>
    </row>
    <row r="1846" spans="1:6" x14ac:dyDescent="0.25">
      <c r="A1846">
        <v>3.6730543996385365</v>
      </c>
      <c r="B1846">
        <v>18.525201283016752</v>
      </c>
      <c r="C1846">
        <v>1067.2168000000001</v>
      </c>
      <c r="E1846">
        <f t="shared" si="67"/>
        <v>18.385728481021165</v>
      </c>
      <c r="F1846">
        <f t="shared" si="68"/>
        <v>820.31063002201643</v>
      </c>
    </row>
    <row r="1847" spans="1:6" x14ac:dyDescent="0.25">
      <c r="A1847">
        <v>1.7723005720578999</v>
      </c>
      <c r="B1847">
        <v>16.972771080548569</v>
      </c>
      <c r="C1847">
        <v>1067.2168000000001</v>
      </c>
      <c r="E1847">
        <f t="shared" si="67"/>
        <v>16.900579329024982</v>
      </c>
      <c r="F1847">
        <f t="shared" si="68"/>
        <v>819.05476767761797</v>
      </c>
    </row>
    <row r="1848" spans="1:6" x14ac:dyDescent="0.25">
      <c r="A1848">
        <v>9.2558802647091663E-16</v>
      </c>
      <c r="B1848">
        <v>15.109810125662744</v>
      </c>
      <c r="C1848">
        <v>1067.2168000000001</v>
      </c>
      <c r="E1848">
        <f t="shared" si="67"/>
        <v>15.100605637587728</v>
      </c>
      <c r="F1848">
        <f t="shared" si="68"/>
        <v>817.87445707079075</v>
      </c>
    </row>
    <row r="1849" spans="1:6" x14ac:dyDescent="0.25">
      <c r="A1849">
        <v>-1.7723005720578913</v>
      </c>
      <c r="B1849">
        <v>16.972771080548565</v>
      </c>
      <c r="C1849">
        <v>1067.2168000000001</v>
      </c>
      <c r="E1849">
        <f t="shared" si="67"/>
        <v>17.024284124965732</v>
      </c>
      <c r="F1849">
        <f t="shared" si="68"/>
        <v>816.77772993627309</v>
      </c>
    </row>
    <row r="1850" spans="1:6" x14ac:dyDescent="0.25">
      <c r="A1850">
        <v>-3.6730543996385285</v>
      </c>
      <c r="B1850">
        <v>18.525201283016749</v>
      </c>
      <c r="C1850">
        <v>1067.2168000000001</v>
      </c>
      <c r="E1850">
        <f t="shared" si="67"/>
        <v>18.642103980837746</v>
      </c>
      <c r="F1850">
        <f t="shared" si="68"/>
        <v>815.59151881376442</v>
      </c>
    </row>
    <row r="1851" spans="1:6" x14ac:dyDescent="0.25">
      <c r="A1851">
        <v>-5.4746122020784105</v>
      </c>
      <c r="B1851">
        <v>19.75528580184351</v>
      </c>
      <c r="C1851">
        <v>1067.2168000000001</v>
      </c>
      <c r="E1851">
        <f t="shared" si="67"/>
        <v>19.934312625997023</v>
      </c>
      <c r="F1851">
        <f t="shared" si="68"/>
        <v>814.46179965593581</v>
      </c>
    </row>
    <row r="1852" spans="1:6" x14ac:dyDescent="0.25">
      <c r="A1852">
        <v>-7.2345048999992629</v>
      </c>
      <c r="B1852">
        <v>20.653662951095239</v>
      </c>
      <c r="C1852">
        <v>1067.2168000000001</v>
      </c>
      <c r="E1852">
        <f t="shared" si="67"/>
        <v>20.893561877570615</v>
      </c>
      <c r="F1852">
        <f t="shared" si="68"/>
        <v>813.35140481679002</v>
      </c>
    </row>
    <row r="1853" spans="1:6" x14ac:dyDescent="0.25">
      <c r="A1853">
        <v>-8.9393386473175998</v>
      </c>
      <c r="B1853">
        <v>21.213495538211181</v>
      </c>
      <c r="C1853">
        <v>1067.2168000000001</v>
      </c>
      <c r="E1853">
        <f t="shared" si="67"/>
        <v>21.512551269543501</v>
      </c>
      <c r="F1853">
        <f t="shared" si="68"/>
        <v>812.26878507152742</v>
      </c>
    </row>
    <row r="1854" spans="1:6" x14ac:dyDescent="0.25">
      <c r="A1854">
        <v>-12.366010603006192</v>
      </c>
      <c r="B1854">
        <v>22.069537233286788</v>
      </c>
      <c r="C1854">
        <v>1067.2168000000001</v>
      </c>
      <c r="E1854">
        <f t="shared" si="67"/>
        <v>22.48766061376605</v>
      </c>
      <c r="F1854">
        <f t="shared" si="68"/>
        <v>810.08670812651133</v>
      </c>
    </row>
    <row r="1855" spans="1:6" x14ac:dyDescent="0.25">
      <c r="A1855">
        <v>-16.80248202657091</v>
      </c>
      <c r="B1855">
        <v>23.37579649588719</v>
      </c>
      <c r="C1855">
        <v>1067.2168000000001</v>
      </c>
      <c r="E1855">
        <f t="shared" si="67"/>
        <v>23.947954758335054</v>
      </c>
      <c r="F1855">
        <f t="shared" si="68"/>
        <v>807.26603971580062</v>
      </c>
    </row>
    <row r="1856" spans="1:6" x14ac:dyDescent="0.25">
      <c r="A1856">
        <v>-20.535519515118921</v>
      </c>
      <c r="B1856">
        <v>23.867968137239334</v>
      </c>
      <c r="C1856">
        <v>1067.2168000000001</v>
      </c>
      <c r="E1856">
        <f t="shared" si="67"/>
        <v>24.570107711543216</v>
      </c>
      <c r="F1856">
        <f t="shared" si="68"/>
        <v>804.87899208158569</v>
      </c>
    </row>
    <row r="1857" spans="1:6" x14ac:dyDescent="0.25">
      <c r="A1857">
        <v>-22.959271749051336</v>
      </c>
      <c r="B1857">
        <v>22.959271749051329</v>
      </c>
      <c r="C1857">
        <v>1067.2168000000001</v>
      </c>
      <c r="E1857">
        <f t="shared" si="67"/>
        <v>23.746552609738544</v>
      </c>
      <c r="F1857">
        <f t="shared" si="68"/>
        <v>803.30159848910307</v>
      </c>
    </row>
    <row r="1858" spans="1:6" x14ac:dyDescent="0.25">
      <c r="A1858">
        <v>-23.867968137239323</v>
      </c>
      <c r="B1858">
        <v>20.535519515118949</v>
      </c>
      <c r="C1858">
        <v>1067.2168000000001</v>
      </c>
      <c r="E1858">
        <f t="shared" si="67"/>
        <v>21.355989906782622</v>
      </c>
      <c r="F1858">
        <f t="shared" si="68"/>
        <v>802.66348358023799</v>
      </c>
    </row>
    <row r="1859" spans="1:6" x14ac:dyDescent="0.25">
      <c r="A1859">
        <v>-23.375796495887172</v>
      </c>
      <c r="B1859">
        <v>16.802482026570921</v>
      </c>
      <c r="C1859">
        <v>1067.2168000000001</v>
      </c>
      <c r="E1859">
        <f t="shared" si="67"/>
        <v>17.608049941234889</v>
      </c>
      <c r="F1859">
        <f t="shared" si="68"/>
        <v>802.89590959822476</v>
      </c>
    </row>
    <row r="1860" spans="1:6" x14ac:dyDescent="0.25">
      <c r="A1860">
        <v>-22.06953723328682</v>
      </c>
      <c r="B1860">
        <v>12.366010603006208</v>
      </c>
      <c r="C1860">
        <v>1067.2168000000001</v>
      </c>
      <c r="E1860">
        <f t="shared" si="67"/>
        <v>13.12869330536423</v>
      </c>
      <c r="F1860">
        <f t="shared" si="68"/>
        <v>803.63552217281404</v>
      </c>
    </row>
    <row r="1861" spans="1:6" x14ac:dyDescent="0.25">
      <c r="A1861">
        <v>-21.213495538211188</v>
      </c>
      <c r="B1861">
        <v>8.9393386473176211</v>
      </c>
      <c r="C1861">
        <v>1067.2168000000001</v>
      </c>
      <c r="E1861">
        <f t="shared" si="67"/>
        <v>9.6742333613309768</v>
      </c>
      <c r="F1861">
        <f t="shared" si="68"/>
        <v>804.10856955968313</v>
      </c>
    </row>
    <row r="1862" spans="1:6" x14ac:dyDescent="0.25">
      <c r="A1862">
        <v>-20.653662951095239</v>
      </c>
      <c r="B1862">
        <v>7.2345048999992754</v>
      </c>
      <c r="C1862">
        <v>1067.2168000000001</v>
      </c>
      <c r="E1862">
        <f t="shared" si="67"/>
        <v>7.9509002771404242</v>
      </c>
      <c r="F1862">
        <f t="shared" si="68"/>
        <v>804.42995932299118</v>
      </c>
    </row>
    <row r="1863" spans="1:6" x14ac:dyDescent="0.25">
      <c r="A1863">
        <v>-19.755285801843517</v>
      </c>
      <c r="B1863">
        <v>5.4746122020784238</v>
      </c>
      <c r="C1863">
        <v>1067.2168000000001</v>
      </c>
      <c r="E1863">
        <f t="shared" si="67"/>
        <v>6.1607267479425234</v>
      </c>
      <c r="F1863">
        <f t="shared" si="68"/>
        <v>804.96759363720344</v>
      </c>
    </row>
    <row r="1864" spans="1:6" x14ac:dyDescent="0.25">
      <c r="A1864">
        <v>-18.525201283016749</v>
      </c>
      <c r="B1864">
        <v>3.6730543996385365</v>
      </c>
      <c r="C1864">
        <v>1067.2168000000001</v>
      </c>
      <c r="E1864">
        <f t="shared" si="67"/>
        <v>4.317337075230828</v>
      </c>
      <c r="F1864">
        <f t="shared" si="68"/>
        <v>805.7173807805566</v>
      </c>
    </row>
    <row r="1865" spans="1:6" x14ac:dyDescent="0.25">
      <c r="A1865">
        <v>-16.972771080548569</v>
      </c>
      <c r="B1865">
        <v>1.7723005720579144</v>
      </c>
      <c r="C1865">
        <v>1067.2168000000001</v>
      </c>
      <c r="E1865">
        <f t="shared" si="67"/>
        <v>2.3635621027934164</v>
      </c>
      <c r="F1865">
        <f t="shared" si="68"/>
        <v>806.67201625399616</v>
      </c>
    </row>
    <row r="1866" spans="1:6" x14ac:dyDescent="0.25">
      <c r="A1866">
        <v>-15.109810125662751</v>
      </c>
      <c r="B1866">
        <v>1.851176052941834E-15</v>
      </c>
      <c r="C1866">
        <v>1067.2168000000001</v>
      </c>
      <c r="E1866">
        <f t="shared" si="67"/>
        <v>0.52732476865611733</v>
      </c>
      <c r="F1866">
        <f t="shared" si="68"/>
        <v>807.82901704061385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Scroll Bar 4">
              <controlPr defaultSize="0" autoPict="0">
                <anchor moveWithCells="1">
                  <from>
                    <xdr:col>21</xdr:col>
                    <xdr:colOff>590550</xdr:colOff>
                    <xdr:row>1</xdr:row>
                    <xdr:rowOff>9525</xdr:rowOff>
                  </from>
                  <to>
                    <xdr:col>25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Scroll Bar 6">
              <controlPr defaultSize="0" autoPict="0">
                <anchor mov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25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Scroll Bar 7">
              <controlPr defaultSize="0" autoPict="0">
                <anchor moveWithCells="1">
                  <from>
                    <xdr:col>21</xdr:col>
                    <xdr:colOff>590550</xdr:colOff>
                    <xdr:row>5</xdr:row>
                    <xdr:rowOff>0</xdr:rowOff>
                  </from>
                  <to>
                    <xdr:col>25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U12"/>
  <sheetViews>
    <sheetView workbookViewId="0">
      <selection activeCell="P6" sqref="P6"/>
    </sheetView>
  </sheetViews>
  <sheetFormatPr defaultColWidth="8.85546875" defaultRowHeight="15" x14ac:dyDescent="0.25"/>
  <sheetData>
    <row r="1" spans="1:21" x14ac:dyDescent="0.25">
      <c r="A1">
        <v>0</v>
      </c>
      <c r="B1">
        <v>0</v>
      </c>
      <c r="C1">
        <v>0</v>
      </c>
    </row>
    <row r="2" spans="1:21" x14ac:dyDescent="0.25">
      <c r="A2">
        <v>3</v>
      </c>
      <c r="B2">
        <v>0.375</v>
      </c>
      <c r="C2">
        <v>0.11</v>
      </c>
      <c r="I2">
        <f ca="1">'Cross Section Analysis'!J116-'Cross Section Analysis'!B118</f>
        <v>6.7256848979013739E-9</v>
      </c>
      <c r="K2">
        <v>493.95161180143532</v>
      </c>
      <c r="L2">
        <v>0.5953156470817067</v>
      </c>
      <c r="N2">
        <f t="array" ref="N2:O3">MINVERSE(K2:L3)</f>
        <v>-1.4264894556055576E-3</v>
      </c>
      <c r="O2">
        <v>2.2756663405015292E-2</v>
      </c>
      <c r="Q2">
        <f t="array" aca="1" ref="Q2:Q3" ca="1">MMULT(N2:O3,I2:I3)</f>
        <v>-9.5941185885818512E-12</v>
      </c>
      <c r="S2">
        <f ca="1">'Cross Section Analysis'!B53+Reference!Q2</f>
        <v>0.78539816338785418</v>
      </c>
      <c r="U2">
        <v>1.1715235041500063</v>
      </c>
    </row>
    <row r="3" spans="1:21" x14ac:dyDescent="0.25">
      <c r="A3">
        <v>4</v>
      </c>
      <c r="B3">
        <v>0.5</v>
      </c>
      <c r="C3">
        <v>0.2</v>
      </c>
      <c r="I3">
        <f ca="1">'Cross Section Analysis'!N115-'Cross Section Analysis'!B121</f>
        <v>0</v>
      </c>
      <c r="K3">
        <v>74.906269670378833</v>
      </c>
      <c r="L3">
        <v>3.7317047679841231E-2</v>
      </c>
      <c r="N3">
        <v>2.8633831046946421</v>
      </c>
      <c r="O3">
        <v>-18.881900086505311</v>
      </c>
      <c r="Q3">
        <f ca="1"/>
        <v>1.9258212504150702E-8</v>
      </c>
      <c r="S3">
        <f ca="1">Q3+'Cross Section Analysis'!B78</f>
        <v>10.033871013155306</v>
      </c>
      <c r="U3">
        <v>6.3730114079794804</v>
      </c>
    </row>
    <row r="4" spans="1:21" x14ac:dyDescent="0.25">
      <c r="A4">
        <v>5</v>
      </c>
      <c r="B4">
        <v>0.625</v>
      </c>
      <c r="C4">
        <v>0.31</v>
      </c>
    </row>
    <row r="5" spans="1:21" x14ac:dyDescent="0.25">
      <c r="A5">
        <v>6</v>
      </c>
      <c r="B5">
        <v>0.75</v>
      </c>
      <c r="C5">
        <v>0.44</v>
      </c>
    </row>
    <row r="6" spans="1:21" x14ac:dyDescent="0.25">
      <c r="A6">
        <v>7</v>
      </c>
      <c r="B6">
        <v>0.875</v>
      </c>
      <c r="C6">
        <v>0.6</v>
      </c>
    </row>
    <row r="7" spans="1:21" x14ac:dyDescent="0.25">
      <c r="A7">
        <v>8</v>
      </c>
      <c r="B7">
        <v>1</v>
      </c>
      <c r="C7">
        <v>0.79</v>
      </c>
    </row>
    <row r="8" spans="1:21" x14ac:dyDescent="0.25">
      <c r="A8">
        <v>9</v>
      </c>
      <c r="B8">
        <v>1.1279999999999999</v>
      </c>
      <c r="C8">
        <v>1</v>
      </c>
    </row>
    <row r="9" spans="1:21" x14ac:dyDescent="0.25">
      <c r="A9">
        <v>10</v>
      </c>
      <c r="B9">
        <v>1.27</v>
      </c>
      <c r="C9">
        <v>1.27</v>
      </c>
    </row>
    <row r="10" spans="1:21" x14ac:dyDescent="0.25">
      <c r="A10">
        <v>11</v>
      </c>
      <c r="B10">
        <v>1.41</v>
      </c>
      <c r="C10">
        <v>1.56</v>
      </c>
    </row>
    <row r="11" spans="1:21" x14ac:dyDescent="0.25">
      <c r="A11">
        <v>14</v>
      </c>
      <c r="B11">
        <v>1.6930000000000001</v>
      </c>
      <c r="C11">
        <v>2.25</v>
      </c>
    </row>
    <row r="12" spans="1:21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Cross Section Analysis</vt:lpstr>
      <vt:lpstr>failure_surface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Donald Bockoven III</cp:lastModifiedBy>
  <dcterms:created xsi:type="dcterms:W3CDTF">2020-01-14T22:46:38Z</dcterms:created>
  <dcterms:modified xsi:type="dcterms:W3CDTF">2020-09-28T14:21:46Z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