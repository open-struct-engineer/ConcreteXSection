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1025616" documentId="13_ncr:1_{919F7C75-A13A-459D-89F8-F61B89280548}" xr6:coauthVersionLast="45" xr6:coauthVersionMax="45" xr10:uidLastSave="{BB0339D3-5B31-4F33-8277-01932A2FCA79}"/>
  <bookViews>
    <workbookView xWindow="-120" yWindow="-120" windowWidth="27930" windowHeight="18240" activeTab="1" xr2:uid="{A97B9A5E-BB54-4E55-BD22-158AAF84A460}"/>
  </bookViews>
  <sheets>
    <sheet name="Cross Section Analysis" sheetId="1" r:id="rId1"/>
    <sheet name="failure_surface" sheetId="3" r:id="rId2"/>
    <sheet name="Reference" sheetId="2" r:id="rId3"/>
  </sheets>
  <definedNames>
    <definedName name="solver_adj" localSheetId="0" hidden="1">'Cross Section Analysis'!$B$53,'Cross Section Analysis'!$B$78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'Cross Section Analysis'!$B$53</definedName>
    <definedName name="solver_lhs2" localSheetId="0" hidden="1">'Cross Section Analysis'!$B$53</definedName>
    <definedName name="solver_lhs3" localSheetId="0" hidden="1">'Cross Section Analysis'!$B$78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'Cross Section Analysis'!$M$119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360</definedName>
    <definedName name="solver_rhs2" localSheetId="0" hidden="1">0</definedName>
    <definedName name="solver_rhs3" localSheetId="0" hidden="1">0.0001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" i="2" l="1" a="1"/>
  <c r="N2" i="2" s="1"/>
  <c r="T80" i="1"/>
  <c r="O3" i="2" l="1"/>
  <c r="N3" i="2"/>
  <c r="O2" i="2"/>
  <c r="C14" i="3"/>
  <c r="C13" i="3"/>
  <c r="A4" i="3"/>
  <c r="A3" i="3"/>
  <c r="B8" i="3"/>
  <c r="B9" i="3"/>
  <c r="R3" i="3"/>
  <c r="R2" i="3"/>
  <c r="S2" i="3" l="1" a="1"/>
  <c r="S2" i="3" s="1"/>
  <c r="T2" i="3" s="1"/>
  <c r="I19" i="3"/>
  <c r="H19" i="3"/>
  <c r="K6" i="3"/>
  <c r="J6" i="3"/>
  <c r="I6" i="3"/>
  <c r="U2" i="3" l="1"/>
  <c r="U3" i="3" s="1"/>
  <c r="T3" i="3"/>
  <c r="I2" i="3"/>
  <c r="J2" i="3"/>
  <c r="K2" i="3"/>
  <c r="M2" i="3"/>
  <c r="L2" i="3"/>
  <c r="N2" i="3"/>
  <c r="G262" i="1"/>
  <c r="G261" i="1"/>
  <c r="F262" i="1"/>
  <c r="F261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129" i="1"/>
  <c r="A127" i="1"/>
  <c r="B121" i="1"/>
  <c r="AD39" i="3" l="1"/>
  <c r="AD27" i="3"/>
  <c r="AD35" i="3"/>
  <c r="AD19" i="3"/>
  <c r="AD97" i="3"/>
  <c r="AD117" i="3"/>
  <c r="AD40" i="3"/>
  <c r="AD44" i="3"/>
  <c r="AD48" i="3"/>
  <c r="AD52" i="3"/>
  <c r="AD56" i="3"/>
  <c r="AD60" i="3"/>
  <c r="AD64" i="3"/>
  <c r="AD68" i="3"/>
  <c r="AD72" i="3"/>
  <c r="AD76" i="3"/>
  <c r="AD80" i="3"/>
  <c r="AD84" i="3"/>
  <c r="AD88" i="3"/>
  <c r="AD92" i="3"/>
  <c r="AD96" i="3"/>
  <c r="AD100" i="3"/>
  <c r="AD104" i="3"/>
  <c r="AD108" i="3"/>
  <c r="AD112" i="3"/>
  <c r="AD116" i="3"/>
  <c r="AD20" i="3"/>
  <c r="AD28" i="3"/>
  <c r="AD36" i="3"/>
  <c r="AD85" i="3"/>
  <c r="AD113" i="3"/>
  <c r="AD21" i="3"/>
  <c r="AD29" i="3"/>
  <c r="AD37" i="3"/>
  <c r="AD93" i="3"/>
  <c r="AD109" i="3"/>
  <c r="AD30" i="3"/>
  <c r="AD41" i="3"/>
  <c r="AD45" i="3"/>
  <c r="AD49" i="3"/>
  <c r="AD53" i="3"/>
  <c r="AD57" i="3"/>
  <c r="AD61" i="3"/>
  <c r="AD65" i="3"/>
  <c r="AD69" i="3"/>
  <c r="AD73" i="3"/>
  <c r="AD77" i="3"/>
  <c r="AD81" i="3"/>
  <c r="AD89" i="3"/>
  <c r="AD101" i="3"/>
  <c r="AD105" i="3"/>
  <c r="AD22" i="3"/>
  <c r="AD38" i="3"/>
  <c r="AD23" i="3"/>
  <c r="AD31" i="3"/>
  <c r="AD34" i="3"/>
  <c r="AD42" i="3"/>
  <c r="AD46" i="3"/>
  <c r="AD50" i="3"/>
  <c r="AD54" i="3"/>
  <c r="AD58" i="3"/>
  <c r="AD62" i="3"/>
  <c r="AD66" i="3"/>
  <c r="AD70" i="3"/>
  <c r="AD74" i="3"/>
  <c r="AD78" i="3"/>
  <c r="AD82" i="3"/>
  <c r="AD86" i="3"/>
  <c r="AD90" i="3"/>
  <c r="AD94" i="3"/>
  <c r="AD98" i="3"/>
  <c r="AD102" i="3"/>
  <c r="AD106" i="3"/>
  <c r="AD110" i="3"/>
  <c r="AD114" i="3"/>
  <c r="AD118" i="3"/>
  <c r="AD24" i="3"/>
  <c r="AD32" i="3"/>
  <c r="AD25" i="3"/>
  <c r="AD33" i="3"/>
  <c r="AD26" i="3"/>
  <c r="AD43" i="3"/>
  <c r="AD47" i="3"/>
  <c r="AD51" i="3"/>
  <c r="AD55" i="3"/>
  <c r="AD59" i="3"/>
  <c r="AD63" i="3"/>
  <c r="AD67" i="3"/>
  <c r="AD71" i="3"/>
  <c r="AD75" i="3"/>
  <c r="AD79" i="3"/>
  <c r="AD83" i="3"/>
  <c r="AD87" i="3"/>
  <c r="AD91" i="3"/>
  <c r="AD95" i="3"/>
  <c r="AD99" i="3"/>
  <c r="AD103" i="3"/>
  <c r="AD107" i="3"/>
  <c r="AD111" i="3"/>
  <c r="AD115" i="3"/>
  <c r="AD119" i="3"/>
  <c r="AC40" i="3"/>
  <c r="AC44" i="3"/>
  <c r="AC48" i="3"/>
  <c r="AC52" i="3"/>
  <c r="AC56" i="3"/>
  <c r="AC60" i="3"/>
  <c r="AC64" i="3"/>
  <c r="AC68" i="3"/>
  <c r="AC72" i="3"/>
  <c r="AC76" i="3"/>
  <c r="AC80" i="3"/>
  <c r="AC84" i="3"/>
  <c r="AC88" i="3"/>
  <c r="AC92" i="3"/>
  <c r="AC96" i="3"/>
  <c r="AC100" i="3"/>
  <c r="AC104" i="3"/>
  <c r="AC108" i="3"/>
  <c r="AC112" i="3"/>
  <c r="AC116" i="3"/>
  <c r="AC23" i="3"/>
  <c r="AC31" i="3"/>
  <c r="AC24" i="3"/>
  <c r="AC19" i="3"/>
  <c r="AC33" i="3"/>
  <c r="AC26" i="3"/>
  <c r="AC30" i="3"/>
  <c r="AC32" i="3"/>
  <c r="AC34" i="3"/>
  <c r="AC41" i="3"/>
  <c r="AC45" i="3"/>
  <c r="AC49" i="3"/>
  <c r="AC53" i="3"/>
  <c r="AC57" i="3"/>
  <c r="AC61" i="3"/>
  <c r="AC65" i="3"/>
  <c r="AC69" i="3"/>
  <c r="AC73" i="3"/>
  <c r="AC77" i="3"/>
  <c r="AC81" i="3"/>
  <c r="AC85" i="3"/>
  <c r="AC89" i="3"/>
  <c r="AC93" i="3"/>
  <c r="AC97" i="3"/>
  <c r="AC101" i="3"/>
  <c r="AC105" i="3"/>
  <c r="AC109" i="3"/>
  <c r="AC113" i="3"/>
  <c r="AC117" i="3"/>
  <c r="AC25" i="3"/>
  <c r="AC42" i="3"/>
  <c r="AC46" i="3"/>
  <c r="AC50" i="3"/>
  <c r="AC54" i="3"/>
  <c r="AC58" i="3"/>
  <c r="AC62" i="3"/>
  <c r="AC66" i="3"/>
  <c r="AC70" i="3"/>
  <c r="AC74" i="3"/>
  <c r="AC78" i="3"/>
  <c r="AC82" i="3"/>
  <c r="AC86" i="3"/>
  <c r="AC90" i="3"/>
  <c r="AC94" i="3"/>
  <c r="AC98" i="3"/>
  <c r="AC102" i="3"/>
  <c r="AC106" i="3"/>
  <c r="AC110" i="3"/>
  <c r="AC114" i="3"/>
  <c r="AC118" i="3"/>
  <c r="AC39" i="3"/>
  <c r="AC27" i="3"/>
  <c r="AC35" i="3"/>
  <c r="AC111" i="3"/>
  <c r="AC119" i="3"/>
  <c r="AC21" i="3"/>
  <c r="AC37" i="3"/>
  <c r="AC20" i="3"/>
  <c r="AC28" i="3"/>
  <c r="AC36" i="3"/>
  <c r="AC107" i="3"/>
  <c r="AC115" i="3"/>
  <c r="AC29" i="3"/>
  <c r="AC38" i="3"/>
  <c r="AC43" i="3"/>
  <c r="AC47" i="3"/>
  <c r="AC51" i="3"/>
  <c r="AC55" i="3"/>
  <c r="AC59" i="3"/>
  <c r="AC63" i="3"/>
  <c r="AC67" i="3"/>
  <c r="AC71" i="3"/>
  <c r="AC75" i="3"/>
  <c r="AC79" i="3"/>
  <c r="AC83" i="3"/>
  <c r="AC87" i="3"/>
  <c r="AC91" i="3"/>
  <c r="AC95" i="3"/>
  <c r="AC99" i="3"/>
  <c r="AC103" i="3"/>
  <c r="AC22" i="3"/>
  <c r="E1836" i="3"/>
  <c r="E1817" i="3"/>
  <c r="E1493" i="3"/>
  <c r="E1754" i="3"/>
  <c r="E867" i="3"/>
  <c r="E1202" i="3"/>
  <c r="E917" i="3"/>
  <c r="E429" i="3"/>
  <c r="E1475" i="3"/>
  <c r="E1716" i="3"/>
  <c r="E1012" i="3"/>
  <c r="E1647" i="3"/>
  <c r="E1460" i="3"/>
  <c r="E741" i="3"/>
  <c r="E1337" i="3"/>
  <c r="E439" i="3"/>
  <c r="E1579" i="3"/>
  <c r="E1081" i="3"/>
  <c r="E383" i="3"/>
  <c r="E1358" i="3"/>
  <c r="E1606" i="3"/>
  <c r="E1128" i="3"/>
  <c r="E1765" i="3"/>
  <c r="E1033" i="3"/>
  <c r="E862" i="3"/>
  <c r="E3" i="3"/>
  <c r="E1785" i="3"/>
  <c r="E1623" i="3"/>
  <c r="E1774" i="3"/>
  <c r="E1718" i="3"/>
  <c r="E1574" i="3"/>
  <c r="E1372" i="3"/>
  <c r="E1461" i="3"/>
  <c r="E1684" i="3"/>
  <c r="E1411" i="3"/>
  <c r="E1170" i="3"/>
  <c r="E1305" i="3"/>
  <c r="E1042" i="3"/>
  <c r="E1096" i="3"/>
  <c r="E830" i="3"/>
  <c r="E885" i="3"/>
  <c r="E980" i="3"/>
  <c r="E541" i="3"/>
  <c r="E835" i="3"/>
  <c r="E688" i="3"/>
  <c r="E747" i="3"/>
  <c r="E484" i="3"/>
  <c r="E1797" i="3"/>
  <c r="E1703" i="3"/>
  <c r="E1786" i="3"/>
  <c r="E1429" i="3"/>
  <c r="E1542" i="3"/>
  <c r="E1131" i="3"/>
  <c r="E1408" i="3"/>
  <c r="E1652" i="3"/>
  <c r="E1343" i="3"/>
  <c r="E1138" i="3"/>
  <c r="E1273" i="3"/>
  <c r="E1320" i="3"/>
  <c r="E1064" i="3"/>
  <c r="E798" i="3"/>
  <c r="E853" i="3"/>
  <c r="E948" i="3"/>
  <c r="E569" i="3"/>
  <c r="E803" i="3"/>
  <c r="E656" i="3"/>
  <c r="E691" i="3"/>
  <c r="E215" i="3"/>
  <c r="E1806" i="3"/>
  <c r="E1332" i="3"/>
  <c r="E1510" i="3"/>
  <c r="E1653" i="3"/>
  <c r="E1350" i="3"/>
  <c r="E1620" i="3"/>
  <c r="E1119" i="3"/>
  <c r="E1106" i="3"/>
  <c r="E1241" i="3"/>
  <c r="E1288" i="3"/>
  <c r="E716" i="3"/>
  <c r="E765" i="3"/>
  <c r="E821" i="3"/>
  <c r="E916" i="3"/>
  <c r="E1027" i="3"/>
  <c r="E771" i="3"/>
  <c r="E624" i="3"/>
  <c r="E623" i="3"/>
  <c r="E150" i="3"/>
  <c r="E1535" i="3"/>
  <c r="E1829" i="3"/>
  <c r="E1479" i="3"/>
  <c r="E1818" i="3"/>
  <c r="E1115" i="3"/>
  <c r="E1478" i="3"/>
  <c r="E1621" i="3"/>
  <c r="E1191" i="3"/>
  <c r="E1588" i="3"/>
  <c r="E649" i="3"/>
  <c r="E1074" i="3"/>
  <c r="E1209" i="3"/>
  <c r="E1256" i="3"/>
  <c r="E990" i="3"/>
  <c r="E589" i="3"/>
  <c r="E789" i="3"/>
  <c r="E884" i="3"/>
  <c r="E995" i="3"/>
  <c r="E597" i="3"/>
  <c r="E592" i="3"/>
  <c r="E539" i="3"/>
  <c r="E248" i="3"/>
  <c r="E1670" i="3"/>
  <c r="E1849" i="3"/>
  <c r="E1650" i="3"/>
  <c r="E1838" i="3"/>
  <c r="E1400" i="3"/>
  <c r="E1441" i="3"/>
  <c r="E1589" i="3"/>
  <c r="E1430" i="3"/>
  <c r="E1556" i="3"/>
  <c r="E1298" i="3"/>
  <c r="E752" i="3"/>
  <c r="E1177" i="3"/>
  <c r="E1224" i="3"/>
  <c r="E958" i="3"/>
  <c r="E1013" i="3"/>
  <c r="E744" i="3"/>
  <c r="E852" i="3"/>
  <c r="E963" i="3"/>
  <c r="E689" i="3"/>
  <c r="E560" i="3"/>
  <c r="E746" i="3"/>
  <c r="E1583" i="3"/>
  <c r="E1698" i="3"/>
  <c r="E1861" i="3"/>
  <c r="E1671" i="3"/>
  <c r="E1850" i="3"/>
  <c r="E1203" i="3"/>
  <c r="E1378" i="3"/>
  <c r="E1557" i="3"/>
  <c r="E1283" i="3"/>
  <c r="E1524" i="3"/>
  <c r="E1266" i="3"/>
  <c r="E1401" i="3"/>
  <c r="E1145" i="3"/>
  <c r="E1192" i="3"/>
  <c r="E926" i="3"/>
  <c r="E981" i="3"/>
  <c r="E549" i="3"/>
  <c r="E820" i="3"/>
  <c r="E931" i="3"/>
  <c r="E486" i="3"/>
  <c r="E528" i="3"/>
  <c r="E586" i="3"/>
  <c r="E1711" i="3"/>
  <c r="E1753" i="3"/>
  <c r="E1303" i="3"/>
  <c r="E1722" i="3"/>
  <c r="E1638" i="3"/>
  <c r="E1295" i="3"/>
  <c r="E1525" i="3"/>
  <c r="E1748" i="3"/>
  <c r="E1492" i="3"/>
  <c r="E1234" i="3"/>
  <c r="E1369" i="3"/>
  <c r="E1113" i="3"/>
  <c r="E1160" i="3"/>
  <c r="E894" i="3"/>
  <c r="E949" i="3"/>
  <c r="E609" i="3"/>
  <c r="E788" i="3"/>
  <c r="E899" i="3"/>
  <c r="E291" i="3"/>
  <c r="E387" i="3"/>
  <c r="E353" i="3"/>
  <c r="E1271" i="3"/>
  <c r="E1659" i="3"/>
  <c r="E1739" i="3"/>
  <c r="E1781" i="3"/>
  <c r="E1813" i="3"/>
  <c r="E1845" i="3"/>
  <c r="E1045" i="3"/>
  <c r="E1603" i="3"/>
  <c r="E1749" i="3"/>
  <c r="E1607" i="3"/>
  <c r="E1713" i="3"/>
  <c r="E1770" i="3"/>
  <c r="E1802" i="3"/>
  <c r="E1834" i="3"/>
  <c r="E1866" i="3"/>
  <c r="E1547" i="3"/>
  <c r="E1709" i="3"/>
  <c r="E1438" i="3"/>
  <c r="E1348" i="3"/>
  <c r="E1147" i="3"/>
  <c r="E1405" i="3"/>
  <c r="E1235" i="3"/>
  <c r="E1642" i="3"/>
  <c r="E1610" i="3"/>
  <c r="E1578" i="3"/>
  <c r="E1546" i="3"/>
  <c r="E1514" i="3"/>
  <c r="E1482" i="3"/>
  <c r="E1450" i="3"/>
  <c r="E1383" i="3"/>
  <c r="E1319" i="3"/>
  <c r="E1071" i="3"/>
  <c r="E1388" i="3"/>
  <c r="E1163" i="3"/>
  <c r="E1657" i="3"/>
  <c r="E1625" i="3"/>
  <c r="E1593" i="3"/>
  <c r="E1561" i="3"/>
  <c r="E1529" i="3"/>
  <c r="E1497" i="3"/>
  <c r="E1465" i="3"/>
  <c r="E1417" i="3"/>
  <c r="E1355" i="3"/>
  <c r="E1223" i="3"/>
  <c r="E1439" i="3"/>
  <c r="E1344" i="3"/>
  <c r="E1752" i="3"/>
  <c r="E1720" i="3"/>
  <c r="E1688" i="3"/>
  <c r="E1656" i="3"/>
  <c r="E1624" i="3"/>
  <c r="E1592" i="3"/>
  <c r="E1560" i="3"/>
  <c r="E1528" i="3"/>
  <c r="E1496" i="3"/>
  <c r="E1464" i="3"/>
  <c r="E1416" i="3"/>
  <c r="E1354" i="3"/>
  <c r="E1151" i="3"/>
  <c r="E1002" i="3"/>
  <c r="E1302" i="3"/>
  <c r="E1270" i="3"/>
  <c r="E1238" i="3"/>
  <c r="E1206" i="3"/>
  <c r="E1174" i="3"/>
  <c r="E1142" i="3"/>
  <c r="E1110" i="3"/>
  <c r="E1078" i="3"/>
  <c r="E1022" i="3"/>
  <c r="E585" i="3"/>
  <c r="E1373" i="3"/>
  <c r="E1341" i="3"/>
  <c r="E1309" i="3"/>
  <c r="E1277" i="3"/>
  <c r="E1245" i="3"/>
  <c r="E1213" i="3"/>
  <c r="E1181" i="3"/>
  <c r="E1149" i="3"/>
  <c r="E1117" i="3"/>
  <c r="E1085" i="3"/>
  <c r="E1047" i="3"/>
  <c r="E1324" i="3"/>
  <c r="E1292" i="3"/>
  <c r="E1260" i="3"/>
  <c r="E1228" i="3"/>
  <c r="E1196" i="3"/>
  <c r="E1164" i="3"/>
  <c r="E1132" i="3"/>
  <c r="E1100" i="3"/>
  <c r="E1068" i="3"/>
  <c r="E1006" i="3"/>
  <c r="E994" i="3"/>
  <c r="E962" i="3"/>
  <c r="E930" i="3"/>
  <c r="E898" i="3"/>
  <c r="E866" i="3"/>
  <c r="E834" i="3"/>
  <c r="E802" i="3"/>
  <c r="E770" i="3"/>
  <c r="E621" i="3"/>
  <c r="E1017" i="3"/>
  <c r="E985" i="3"/>
  <c r="E953" i="3"/>
  <c r="E921" i="3"/>
  <c r="E889" i="3"/>
  <c r="E857" i="3"/>
  <c r="E825" i="3"/>
  <c r="E793" i="3"/>
  <c r="E757" i="3"/>
  <c r="E581" i="3"/>
  <c r="E641" i="3"/>
  <c r="E1016" i="3"/>
  <c r="E984" i="3"/>
  <c r="E952" i="3"/>
  <c r="E920" i="3"/>
  <c r="E888" i="3"/>
  <c r="E856" i="3"/>
  <c r="E824" i="3"/>
  <c r="E792" i="3"/>
  <c r="E749" i="3"/>
  <c r="E573" i="3"/>
  <c r="E601" i="3"/>
  <c r="E1031" i="3"/>
  <c r="E999" i="3"/>
  <c r="E967" i="3"/>
  <c r="E935" i="3"/>
  <c r="E903" i="3"/>
  <c r="E871" i="3"/>
  <c r="E839" i="3"/>
  <c r="E807" i="3"/>
  <c r="E775" i="3"/>
  <c r="E629" i="3"/>
  <c r="E708" i="3"/>
  <c r="E511" i="3"/>
  <c r="E367" i="3"/>
  <c r="E446" i="3"/>
  <c r="E692" i="3"/>
  <c r="E660" i="3"/>
  <c r="E628" i="3"/>
  <c r="E596" i="3"/>
  <c r="E564" i="3"/>
  <c r="E532" i="3"/>
  <c r="E419" i="3"/>
  <c r="E430" i="3"/>
  <c r="E751" i="3"/>
  <c r="E699" i="3"/>
  <c r="E635" i="3"/>
  <c r="E547" i="3"/>
  <c r="E754" i="3"/>
  <c r="E618" i="3"/>
  <c r="E386" i="3"/>
  <c r="E461" i="3"/>
  <c r="E95" i="3"/>
  <c r="E323" i="3"/>
  <c r="E182" i="3"/>
  <c r="E280" i="3"/>
  <c r="E24" i="3"/>
  <c r="E1701" i="3"/>
  <c r="E1471" i="3"/>
  <c r="E1675" i="3"/>
  <c r="E1789" i="3"/>
  <c r="E1821" i="3"/>
  <c r="E1853" i="3"/>
  <c r="E1363" i="3"/>
  <c r="E1685" i="3"/>
  <c r="E1079" i="3"/>
  <c r="E1655" i="3"/>
  <c r="E1731" i="3"/>
  <c r="E1778" i="3"/>
  <c r="E1810" i="3"/>
  <c r="E1842" i="3"/>
  <c r="E1111" i="3"/>
  <c r="E1611" i="3"/>
  <c r="E1727" i="3"/>
  <c r="E1420" i="3"/>
  <c r="E1323" i="3"/>
  <c r="E1083" i="3"/>
  <c r="E1384" i="3"/>
  <c r="E1171" i="3"/>
  <c r="E1634" i="3"/>
  <c r="E1602" i="3"/>
  <c r="E1570" i="3"/>
  <c r="E1538" i="3"/>
  <c r="E1506" i="3"/>
  <c r="E1474" i="3"/>
  <c r="E1432" i="3"/>
  <c r="E1367" i="3"/>
  <c r="E1263" i="3"/>
  <c r="E1445" i="3"/>
  <c r="E1356" i="3"/>
  <c r="E1099" i="3"/>
  <c r="E1649" i="3"/>
  <c r="E1617" i="3"/>
  <c r="E1585" i="3"/>
  <c r="E1553" i="3"/>
  <c r="E1521" i="3"/>
  <c r="E1489" i="3"/>
  <c r="E1457" i="3"/>
  <c r="E1403" i="3"/>
  <c r="E1339" i="3"/>
  <c r="E1159" i="3"/>
  <c r="E1421" i="3"/>
  <c r="E1251" i="3"/>
  <c r="E1744" i="3"/>
  <c r="E1712" i="3"/>
  <c r="E1680" i="3"/>
  <c r="E1648" i="3"/>
  <c r="E1616" i="3"/>
  <c r="E1584" i="3"/>
  <c r="E1552" i="3"/>
  <c r="E1520" i="3"/>
  <c r="E1488" i="3"/>
  <c r="E1456" i="3"/>
  <c r="E1402" i="3"/>
  <c r="E1338" i="3"/>
  <c r="E1087" i="3"/>
  <c r="E1326" i="3"/>
  <c r="E1294" i="3"/>
  <c r="E1262" i="3"/>
  <c r="E1230" i="3"/>
  <c r="E1198" i="3"/>
  <c r="E1166" i="3"/>
  <c r="E1134" i="3"/>
  <c r="E1102" i="3"/>
  <c r="E1070" i="3"/>
  <c r="E617" i="3"/>
  <c r="E1397" i="3"/>
  <c r="E1365" i="3"/>
  <c r="E1333" i="3"/>
  <c r="E1301" i="3"/>
  <c r="E1269" i="3"/>
  <c r="E1237" i="3"/>
  <c r="E1205" i="3"/>
  <c r="E1173" i="3"/>
  <c r="E1141" i="3"/>
  <c r="E1109" i="3"/>
  <c r="E1077" i="3"/>
  <c r="E553" i="3"/>
  <c r="E1316" i="3"/>
  <c r="E1284" i="3"/>
  <c r="E1252" i="3"/>
  <c r="E1220" i="3"/>
  <c r="E1188" i="3"/>
  <c r="E1156" i="3"/>
  <c r="E1124" i="3"/>
  <c r="E1092" i="3"/>
  <c r="E1060" i="3"/>
  <c r="E1059" i="3"/>
  <c r="E986" i="3"/>
  <c r="E954" i="3"/>
  <c r="E922" i="3"/>
  <c r="E890" i="3"/>
  <c r="E858" i="3"/>
  <c r="E826" i="3"/>
  <c r="E794" i="3"/>
  <c r="E745" i="3"/>
  <c r="E557" i="3"/>
  <c r="E1009" i="3"/>
  <c r="E977" i="3"/>
  <c r="E945" i="3"/>
  <c r="E913" i="3"/>
  <c r="E881" i="3"/>
  <c r="E849" i="3"/>
  <c r="E817" i="3"/>
  <c r="E785" i="3"/>
  <c r="E736" i="3"/>
  <c r="E516" i="3"/>
  <c r="E577" i="3"/>
  <c r="E1008" i="3"/>
  <c r="E976" i="3"/>
  <c r="E944" i="3"/>
  <c r="E912" i="3"/>
  <c r="E880" i="3"/>
  <c r="E848" i="3"/>
  <c r="E816" i="3"/>
  <c r="E784" i="3"/>
  <c r="E733" i="3"/>
  <c r="E761" i="3"/>
  <c r="E537" i="3"/>
  <c r="E1023" i="3"/>
  <c r="E991" i="3"/>
  <c r="E959" i="3"/>
  <c r="E927" i="3"/>
  <c r="E895" i="3"/>
  <c r="E863" i="3"/>
  <c r="E831" i="3"/>
  <c r="E799" i="3"/>
  <c r="E748" i="3"/>
  <c r="E565" i="3"/>
  <c r="E657" i="3"/>
  <c r="E479" i="3"/>
  <c r="E137" i="3"/>
  <c r="E431" i="3"/>
  <c r="E684" i="3"/>
  <c r="E652" i="3"/>
  <c r="E620" i="3"/>
  <c r="E588" i="3"/>
  <c r="E556" i="3"/>
  <c r="E524" i="3"/>
  <c r="E318" i="3"/>
  <c r="E350" i="3"/>
  <c r="E739" i="3"/>
  <c r="E687" i="3"/>
  <c r="E611" i="3"/>
  <c r="E507" i="3"/>
  <c r="E722" i="3"/>
  <c r="E554" i="3"/>
  <c r="E257" i="3"/>
  <c r="E397" i="3"/>
  <c r="E452" i="3"/>
  <c r="E91" i="3"/>
  <c r="E118" i="3"/>
  <c r="E216" i="3"/>
  <c r="E1705" i="3"/>
  <c r="E1591" i="3"/>
  <c r="E1757" i="3"/>
  <c r="E1503" i="3"/>
  <c r="E1689" i="3"/>
  <c r="E1761" i="3"/>
  <c r="E1793" i="3"/>
  <c r="E1825" i="3"/>
  <c r="E1857" i="3"/>
  <c r="E1442" i="3"/>
  <c r="E1694" i="3"/>
  <c r="E1410" i="3"/>
  <c r="E1666" i="3"/>
  <c r="E1745" i="3"/>
  <c r="E1782" i="3"/>
  <c r="E1814" i="3"/>
  <c r="E1846" i="3"/>
  <c r="E1331" i="3"/>
  <c r="E1635" i="3"/>
  <c r="E1741" i="3"/>
  <c r="E1415" i="3"/>
  <c r="E1307" i="3"/>
  <c r="E1446" i="3"/>
  <c r="E1368" i="3"/>
  <c r="E1139" i="3"/>
  <c r="E1630" i="3"/>
  <c r="E1598" i="3"/>
  <c r="E1566" i="3"/>
  <c r="E1534" i="3"/>
  <c r="E1502" i="3"/>
  <c r="E1470" i="3"/>
  <c r="E1427" i="3"/>
  <c r="E1362" i="3"/>
  <c r="E1231" i="3"/>
  <c r="E1436" i="3"/>
  <c r="E1340" i="3"/>
  <c r="E1067" i="3"/>
  <c r="E1645" i="3"/>
  <c r="E1613" i="3"/>
  <c r="E1581" i="3"/>
  <c r="E1549" i="3"/>
  <c r="E1517" i="3"/>
  <c r="E1485" i="3"/>
  <c r="E1453" i="3"/>
  <c r="E1398" i="3"/>
  <c r="E1334" i="3"/>
  <c r="E1127" i="3"/>
  <c r="E1412" i="3"/>
  <c r="E1219" i="3"/>
  <c r="E1740" i="3"/>
  <c r="E1708" i="3"/>
  <c r="E1676" i="3"/>
  <c r="E1644" i="3"/>
  <c r="E1612" i="3"/>
  <c r="E1580" i="3"/>
  <c r="E1548" i="3"/>
  <c r="E1516" i="3"/>
  <c r="E1484" i="3"/>
  <c r="E1452" i="3"/>
  <c r="E1391" i="3"/>
  <c r="E1311" i="3"/>
  <c r="E1054" i="3"/>
  <c r="E1322" i="3"/>
  <c r="E1290" i="3"/>
  <c r="E1258" i="3"/>
  <c r="E1226" i="3"/>
  <c r="E1194" i="3"/>
  <c r="E1162" i="3"/>
  <c r="E1130" i="3"/>
  <c r="E1098" i="3"/>
  <c r="E1066" i="3"/>
  <c r="E1057" i="3"/>
  <c r="E1393" i="3"/>
  <c r="E1361" i="3"/>
  <c r="E1329" i="3"/>
  <c r="E1297" i="3"/>
  <c r="E1265" i="3"/>
  <c r="E1233" i="3"/>
  <c r="E1201" i="3"/>
  <c r="E1169" i="3"/>
  <c r="E1137" i="3"/>
  <c r="E1105" i="3"/>
  <c r="E1073" i="3"/>
  <c r="E1056" i="3"/>
  <c r="E1312" i="3"/>
  <c r="E1280" i="3"/>
  <c r="E1248" i="3"/>
  <c r="E1216" i="3"/>
  <c r="E1184" i="3"/>
  <c r="E1152" i="3"/>
  <c r="E1120" i="3"/>
  <c r="E1088" i="3"/>
  <c r="E1055" i="3"/>
  <c r="E1050" i="3"/>
  <c r="E982" i="3"/>
  <c r="E950" i="3"/>
  <c r="E918" i="3"/>
  <c r="E886" i="3"/>
  <c r="E854" i="3"/>
  <c r="E822" i="3"/>
  <c r="E790" i="3"/>
  <c r="E737" i="3"/>
  <c r="E525" i="3"/>
  <c r="E1005" i="3"/>
  <c r="E973" i="3"/>
  <c r="E941" i="3"/>
  <c r="E909" i="3"/>
  <c r="E877" i="3"/>
  <c r="E845" i="3"/>
  <c r="E813" i="3"/>
  <c r="E781" i="3"/>
  <c r="E725" i="3"/>
  <c r="E466" i="3"/>
  <c r="E545" i="3"/>
  <c r="E1004" i="3"/>
  <c r="E972" i="3"/>
  <c r="E940" i="3"/>
  <c r="E908" i="3"/>
  <c r="E876" i="3"/>
  <c r="E844" i="3"/>
  <c r="E812" i="3"/>
  <c r="E780" i="3"/>
  <c r="E712" i="3"/>
  <c r="E732" i="3"/>
  <c r="E498" i="3"/>
  <c r="E1019" i="3"/>
  <c r="E987" i="3"/>
  <c r="E955" i="3"/>
  <c r="E923" i="3"/>
  <c r="E891" i="3"/>
  <c r="E859" i="3"/>
  <c r="E827" i="3"/>
  <c r="E795" i="3"/>
  <c r="E740" i="3"/>
  <c r="E533" i="3"/>
  <c r="E625" i="3"/>
  <c r="E454" i="3"/>
  <c r="E520" i="3"/>
  <c r="E391" i="3"/>
  <c r="E680" i="3"/>
  <c r="E648" i="3"/>
  <c r="E616" i="3"/>
  <c r="E584" i="3"/>
  <c r="E552" i="3"/>
  <c r="E515" i="3"/>
  <c r="E519" i="3"/>
  <c r="E313" i="3"/>
  <c r="E735" i="3"/>
  <c r="E675" i="3"/>
  <c r="E603" i="3"/>
  <c r="E475" i="3"/>
  <c r="E714" i="3"/>
  <c r="E522" i="3"/>
  <c r="E129" i="3"/>
  <c r="E365" i="3"/>
  <c r="E420" i="3"/>
  <c r="E59" i="3"/>
  <c r="E86" i="3"/>
  <c r="E184" i="3"/>
  <c r="E1767" i="3"/>
  <c r="E1715" i="3"/>
  <c r="E1374" i="3"/>
  <c r="E1643" i="3"/>
  <c r="E1750" i="3"/>
  <c r="E1406" i="3"/>
  <c r="E1275" i="3"/>
  <c r="E1437" i="3"/>
  <c r="E1352" i="3"/>
  <c r="E1107" i="3"/>
  <c r="E1626" i="3"/>
  <c r="E1594" i="3"/>
  <c r="E1562" i="3"/>
  <c r="E1530" i="3"/>
  <c r="E1498" i="3"/>
  <c r="E1466" i="3"/>
  <c r="E1418" i="3"/>
  <c r="E1351" i="3"/>
  <c r="E1199" i="3"/>
  <c r="E1431" i="3"/>
  <c r="E1291" i="3"/>
  <c r="E1673" i="3"/>
  <c r="E1641" i="3"/>
  <c r="E1609" i="3"/>
  <c r="E1577" i="3"/>
  <c r="E1545" i="3"/>
  <c r="E1513" i="3"/>
  <c r="E1481" i="3"/>
  <c r="E1449" i="3"/>
  <c r="E1387" i="3"/>
  <c r="E1327" i="3"/>
  <c r="E1095" i="3"/>
  <c r="E1407" i="3"/>
  <c r="E1187" i="3"/>
  <c r="E1736" i="3"/>
  <c r="E1704" i="3"/>
  <c r="E1672" i="3"/>
  <c r="E1640" i="3"/>
  <c r="E1608" i="3"/>
  <c r="E1576" i="3"/>
  <c r="E1544" i="3"/>
  <c r="E1512" i="3"/>
  <c r="E1480" i="3"/>
  <c r="E1448" i="3"/>
  <c r="E1386" i="3"/>
  <c r="E1279" i="3"/>
  <c r="E681" i="3"/>
  <c r="E1318" i="3"/>
  <c r="E1286" i="3"/>
  <c r="E1254" i="3"/>
  <c r="E1222" i="3"/>
  <c r="E1190" i="3"/>
  <c r="E1158" i="3"/>
  <c r="E1126" i="3"/>
  <c r="E1094" i="3"/>
  <c r="E1062" i="3"/>
  <c r="E1048" i="3"/>
  <c r="E1389" i="3"/>
  <c r="E1357" i="3"/>
  <c r="E1325" i="3"/>
  <c r="E1293" i="3"/>
  <c r="E1261" i="3"/>
  <c r="E1229" i="3"/>
  <c r="E1197" i="3"/>
  <c r="E1165" i="3"/>
  <c r="E1133" i="3"/>
  <c r="E1101" i="3"/>
  <c r="E1069" i="3"/>
  <c r="E1051" i="3"/>
  <c r="E1308" i="3"/>
  <c r="E1276" i="3"/>
  <c r="E1244" i="3"/>
  <c r="E1212" i="3"/>
  <c r="E1180" i="3"/>
  <c r="E1148" i="3"/>
  <c r="E1116" i="3"/>
  <c r="E1084" i="3"/>
  <c r="E1046" i="3"/>
  <c r="E1026" i="3"/>
  <c r="E978" i="3"/>
  <c r="E946" i="3"/>
  <c r="E914" i="3"/>
  <c r="E882" i="3"/>
  <c r="E850" i="3"/>
  <c r="E818" i="3"/>
  <c r="E786" i="3"/>
  <c r="E728" i="3"/>
  <c r="E423" i="3"/>
  <c r="E1001" i="3"/>
  <c r="E969" i="3"/>
  <c r="E937" i="3"/>
  <c r="E905" i="3"/>
  <c r="E873" i="3"/>
  <c r="E841" i="3"/>
  <c r="E809" i="3"/>
  <c r="E777" i="3"/>
  <c r="E704" i="3"/>
  <c r="E363" i="3"/>
  <c r="E459" i="3"/>
  <c r="E1000" i="3"/>
  <c r="E968" i="3"/>
  <c r="E936" i="3"/>
  <c r="E904" i="3"/>
  <c r="E872" i="3"/>
  <c r="E840" i="3"/>
  <c r="E808" i="3"/>
  <c r="E776" i="3"/>
  <c r="E701" i="3"/>
  <c r="E721" i="3"/>
  <c r="E233" i="3"/>
  <c r="E1015" i="3"/>
  <c r="E983" i="3"/>
  <c r="E951" i="3"/>
  <c r="E919" i="3"/>
  <c r="E887" i="3"/>
  <c r="E855" i="3"/>
  <c r="E823" i="3"/>
  <c r="E791" i="3"/>
  <c r="E720" i="3"/>
  <c r="E491" i="3"/>
  <c r="E593" i="3"/>
  <c r="E447" i="3"/>
  <c r="E510" i="3"/>
  <c r="E359" i="3"/>
  <c r="E676" i="3"/>
  <c r="E644" i="3"/>
  <c r="E612" i="3"/>
  <c r="E580" i="3"/>
  <c r="E548" i="3"/>
  <c r="E490" i="3"/>
  <c r="E502" i="3"/>
  <c r="E163" i="3"/>
  <c r="E731" i="3"/>
  <c r="E667" i="3"/>
  <c r="E591" i="3"/>
  <c r="E259" i="3"/>
  <c r="E690" i="3"/>
  <c r="E336" i="3"/>
  <c r="E325" i="3"/>
  <c r="E281" i="3"/>
  <c r="E388" i="3"/>
  <c r="E27" i="3"/>
  <c r="E54" i="3"/>
  <c r="E152" i="3"/>
  <c r="E1799" i="3"/>
  <c r="E1772" i="3"/>
  <c r="F20" i="3"/>
  <c r="F24" i="3"/>
  <c r="F28" i="3"/>
  <c r="F32" i="3"/>
  <c r="F36" i="3"/>
  <c r="F40" i="3"/>
  <c r="F44" i="3"/>
  <c r="F48" i="3"/>
  <c r="F52" i="3"/>
  <c r="F56" i="3"/>
  <c r="F60" i="3"/>
  <c r="F64" i="3"/>
  <c r="F68" i="3"/>
  <c r="F72" i="3"/>
  <c r="F76" i="3"/>
  <c r="F80" i="3"/>
  <c r="F84" i="3"/>
  <c r="F88" i="3"/>
  <c r="F21" i="3"/>
  <c r="F25" i="3"/>
  <c r="F29" i="3"/>
  <c r="F33" i="3"/>
  <c r="F37" i="3"/>
  <c r="F41" i="3"/>
  <c r="F45" i="3"/>
  <c r="F49" i="3"/>
  <c r="F53" i="3"/>
  <c r="F57" i="3"/>
  <c r="F61" i="3"/>
  <c r="F65" i="3"/>
  <c r="F69" i="3"/>
  <c r="F73" i="3"/>
  <c r="F77" i="3"/>
  <c r="F81" i="3"/>
  <c r="F85" i="3"/>
  <c r="F89" i="3"/>
  <c r="F93" i="3"/>
  <c r="F97" i="3"/>
  <c r="F101" i="3"/>
  <c r="F105" i="3"/>
  <c r="F109" i="3"/>
  <c r="F113" i="3"/>
  <c r="F117" i="3"/>
  <c r="F121" i="3"/>
  <c r="F125" i="3"/>
  <c r="F129" i="3"/>
  <c r="F133" i="3"/>
  <c r="F137" i="3"/>
  <c r="F141" i="3"/>
  <c r="F145" i="3"/>
  <c r="F149" i="3"/>
  <c r="F153" i="3"/>
  <c r="F157" i="3"/>
  <c r="F161" i="3"/>
  <c r="F165" i="3"/>
  <c r="F169" i="3"/>
  <c r="F173" i="3"/>
  <c r="F177" i="3"/>
  <c r="F181" i="3"/>
  <c r="F185" i="3"/>
  <c r="F189" i="3"/>
  <c r="F193" i="3"/>
  <c r="F197" i="3"/>
  <c r="F201" i="3"/>
  <c r="F205" i="3"/>
  <c r="F209" i="3"/>
  <c r="F213" i="3"/>
  <c r="F217" i="3"/>
  <c r="F221" i="3"/>
  <c r="F225" i="3"/>
  <c r="F229" i="3"/>
  <c r="F233" i="3"/>
  <c r="F237" i="3"/>
  <c r="F241" i="3"/>
  <c r="F245" i="3"/>
  <c r="F249" i="3"/>
  <c r="F253" i="3"/>
  <c r="F257" i="3"/>
  <c r="F261" i="3"/>
  <c r="F265" i="3"/>
  <c r="F269" i="3"/>
  <c r="F273" i="3"/>
  <c r="F277" i="3"/>
  <c r="F281" i="3"/>
  <c r="F285" i="3"/>
  <c r="F289" i="3"/>
  <c r="F293" i="3"/>
  <c r="F297" i="3"/>
  <c r="F301" i="3"/>
  <c r="F305" i="3"/>
  <c r="F309" i="3"/>
  <c r="F313" i="3"/>
  <c r="F317" i="3"/>
  <c r="F321" i="3"/>
  <c r="F325" i="3"/>
  <c r="F329" i="3"/>
  <c r="F333" i="3"/>
  <c r="F337" i="3"/>
  <c r="F341" i="3"/>
  <c r="F345" i="3"/>
  <c r="F349" i="3"/>
  <c r="F353" i="3"/>
  <c r="F357" i="3"/>
  <c r="F22" i="3"/>
  <c r="F26" i="3"/>
  <c r="F30" i="3"/>
  <c r="F34" i="3"/>
  <c r="F38" i="3"/>
  <c r="F42" i="3"/>
  <c r="F46" i="3"/>
  <c r="F50" i="3"/>
  <c r="F54" i="3"/>
  <c r="F58" i="3"/>
  <c r="F62" i="3"/>
  <c r="F66" i="3"/>
  <c r="F70" i="3"/>
  <c r="F74" i="3"/>
  <c r="F78" i="3"/>
  <c r="F82" i="3"/>
  <c r="F86" i="3"/>
  <c r="F90" i="3"/>
  <c r="F23" i="3"/>
  <c r="F27" i="3"/>
  <c r="F31" i="3"/>
  <c r="F35" i="3"/>
  <c r="F39" i="3"/>
  <c r="F43" i="3"/>
  <c r="F47" i="3"/>
  <c r="F51" i="3"/>
  <c r="F55" i="3"/>
  <c r="F59" i="3"/>
  <c r="F63" i="3"/>
  <c r="F67" i="3"/>
  <c r="F71" i="3"/>
  <c r="F99" i="3"/>
  <c r="F106" i="3"/>
  <c r="F112" i="3"/>
  <c r="F131" i="3"/>
  <c r="F138" i="3"/>
  <c r="F144" i="3"/>
  <c r="F163" i="3"/>
  <c r="F170" i="3"/>
  <c r="F176" i="3"/>
  <c r="F195" i="3"/>
  <c r="F202" i="3"/>
  <c r="F208" i="3"/>
  <c r="F227" i="3"/>
  <c r="F234" i="3"/>
  <c r="F240" i="3"/>
  <c r="F259" i="3"/>
  <c r="F266" i="3"/>
  <c r="F272" i="3"/>
  <c r="F291" i="3"/>
  <c r="F298" i="3"/>
  <c r="F304" i="3"/>
  <c r="F318" i="3"/>
  <c r="F327" i="3"/>
  <c r="F336" i="3"/>
  <c r="F350" i="3"/>
  <c r="F359" i="3"/>
  <c r="F363" i="3"/>
  <c r="F367" i="3"/>
  <c r="F371" i="3"/>
  <c r="F375" i="3"/>
  <c r="F379" i="3"/>
  <c r="F383" i="3"/>
  <c r="F387" i="3"/>
  <c r="F391" i="3"/>
  <c r="F395" i="3"/>
  <c r="F399" i="3"/>
  <c r="F403" i="3"/>
  <c r="F407" i="3"/>
  <c r="F411" i="3"/>
  <c r="F415" i="3"/>
  <c r="F419" i="3"/>
  <c r="F423" i="3"/>
  <c r="F427" i="3"/>
  <c r="F431" i="3"/>
  <c r="F435" i="3"/>
  <c r="F75" i="3"/>
  <c r="F94" i="3"/>
  <c r="F100" i="3"/>
  <c r="F119" i="3"/>
  <c r="F126" i="3"/>
  <c r="F132" i="3"/>
  <c r="F151" i="3"/>
  <c r="F158" i="3"/>
  <c r="F164" i="3"/>
  <c r="F183" i="3"/>
  <c r="F190" i="3"/>
  <c r="F196" i="3"/>
  <c r="F215" i="3"/>
  <c r="F222" i="3"/>
  <c r="F228" i="3"/>
  <c r="F247" i="3"/>
  <c r="F254" i="3"/>
  <c r="F260" i="3"/>
  <c r="F279" i="3"/>
  <c r="F286" i="3"/>
  <c r="F292" i="3"/>
  <c r="F314" i="3"/>
  <c r="F323" i="3"/>
  <c r="F332" i="3"/>
  <c r="F346" i="3"/>
  <c r="F355" i="3"/>
  <c r="F79" i="3"/>
  <c r="F107" i="3"/>
  <c r="F114" i="3"/>
  <c r="F120" i="3"/>
  <c r="F139" i="3"/>
  <c r="F146" i="3"/>
  <c r="F152" i="3"/>
  <c r="F171" i="3"/>
  <c r="F178" i="3"/>
  <c r="F184" i="3"/>
  <c r="F203" i="3"/>
  <c r="F210" i="3"/>
  <c r="F216" i="3"/>
  <c r="F235" i="3"/>
  <c r="F242" i="3"/>
  <c r="F248" i="3"/>
  <c r="F267" i="3"/>
  <c r="F274" i="3"/>
  <c r="F280" i="3"/>
  <c r="F299" i="3"/>
  <c r="F310" i="3"/>
  <c r="F319" i="3"/>
  <c r="F328" i="3"/>
  <c r="F342" i="3"/>
  <c r="F351" i="3"/>
  <c r="F360" i="3"/>
  <c r="F364" i="3"/>
  <c r="F368" i="3"/>
  <c r="F372" i="3"/>
  <c r="F376" i="3"/>
  <c r="F380" i="3"/>
  <c r="F384" i="3"/>
  <c r="F388" i="3"/>
  <c r="F392" i="3"/>
  <c r="F396" i="3"/>
  <c r="F400" i="3"/>
  <c r="F404" i="3"/>
  <c r="F408" i="3"/>
  <c r="F412" i="3"/>
  <c r="F416" i="3"/>
  <c r="F420" i="3"/>
  <c r="F424" i="3"/>
  <c r="F428" i="3"/>
  <c r="F432" i="3"/>
  <c r="F436" i="3"/>
  <c r="F440" i="3"/>
  <c r="F444" i="3"/>
  <c r="F448" i="3"/>
  <c r="F452" i="3"/>
  <c r="F456" i="3"/>
  <c r="F460" i="3"/>
  <c r="F464" i="3"/>
  <c r="F468" i="3"/>
  <c r="F472" i="3"/>
  <c r="F476" i="3"/>
  <c r="F480" i="3"/>
  <c r="F484" i="3"/>
  <c r="F488" i="3"/>
  <c r="F492" i="3"/>
  <c r="F496" i="3"/>
  <c r="F500" i="3"/>
  <c r="F504" i="3"/>
  <c r="F508" i="3"/>
  <c r="F512" i="3"/>
  <c r="F83" i="3"/>
  <c r="F95" i="3"/>
  <c r="F102" i="3"/>
  <c r="F108" i="3"/>
  <c r="F127" i="3"/>
  <c r="F134" i="3"/>
  <c r="F140" i="3"/>
  <c r="F159" i="3"/>
  <c r="F166" i="3"/>
  <c r="F172" i="3"/>
  <c r="F191" i="3"/>
  <c r="F198" i="3"/>
  <c r="F204" i="3"/>
  <c r="F223" i="3"/>
  <c r="F230" i="3"/>
  <c r="F236" i="3"/>
  <c r="F255" i="3"/>
  <c r="F262" i="3"/>
  <c r="F268" i="3"/>
  <c r="F287" i="3"/>
  <c r="F294" i="3"/>
  <c r="F300" i="3"/>
  <c r="F306" i="3"/>
  <c r="F315" i="3"/>
  <c r="F324" i="3"/>
  <c r="F338" i="3"/>
  <c r="F347" i="3"/>
  <c r="F356" i="3"/>
  <c r="F87" i="3"/>
  <c r="F96" i="3"/>
  <c r="F115" i="3"/>
  <c r="F122" i="3"/>
  <c r="F128" i="3"/>
  <c r="F147" i="3"/>
  <c r="F154" i="3"/>
  <c r="F160" i="3"/>
  <c r="F179" i="3"/>
  <c r="F186" i="3"/>
  <c r="F192" i="3"/>
  <c r="F211" i="3"/>
  <c r="F218" i="3"/>
  <c r="F224" i="3"/>
  <c r="F243" i="3"/>
  <c r="F250" i="3"/>
  <c r="F256" i="3"/>
  <c r="F275" i="3"/>
  <c r="F282" i="3"/>
  <c r="F288" i="3"/>
  <c r="F311" i="3"/>
  <c r="F320" i="3"/>
  <c r="F334" i="3"/>
  <c r="F343" i="3"/>
  <c r="F352" i="3"/>
  <c r="F361" i="3"/>
  <c r="F365" i="3"/>
  <c r="F369" i="3"/>
  <c r="F373" i="3"/>
  <c r="F377" i="3"/>
  <c r="F381" i="3"/>
  <c r="F385" i="3"/>
  <c r="F389" i="3"/>
  <c r="F393" i="3"/>
  <c r="F397" i="3"/>
  <c r="F401" i="3"/>
  <c r="F405" i="3"/>
  <c r="F409" i="3"/>
  <c r="F413" i="3"/>
  <c r="F417" i="3"/>
  <c r="F421" i="3"/>
  <c r="F425" i="3"/>
  <c r="F103" i="3"/>
  <c r="F110" i="3"/>
  <c r="F116" i="3"/>
  <c r="F135" i="3"/>
  <c r="F142" i="3"/>
  <c r="F148" i="3"/>
  <c r="F167" i="3"/>
  <c r="F174" i="3"/>
  <c r="F180" i="3"/>
  <c r="F199" i="3"/>
  <c r="F206" i="3"/>
  <c r="F212" i="3"/>
  <c r="F231" i="3"/>
  <c r="F238" i="3"/>
  <c r="F244" i="3"/>
  <c r="F263" i="3"/>
  <c r="F270" i="3"/>
  <c r="F276" i="3"/>
  <c r="F295" i="3"/>
  <c r="F302" i="3"/>
  <c r="F307" i="3"/>
  <c r="F316" i="3"/>
  <c r="F330" i="3"/>
  <c r="F339" i="3"/>
  <c r="F348" i="3"/>
  <c r="F91" i="3"/>
  <c r="F98" i="3"/>
  <c r="F104" i="3"/>
  <c r="F123" i="3"/>
  <c r="F130" i="3"/>
  <c r="F136" i="3"/>
  <c r="F155" i="3"/>
  <c r="F162" i="3"/>
  <c r="F168" i="3"/>
  <c r="F187" i="3"/>
  <c r="F194" i="3"/>
  <c r="F200" i="3"/>
  <c r="F219" i="3"/>
  <c r="F226" i="3"/>
  <c r="F232" i="3"/>
  <c r="F251" i="3"/>
  <c r="F258" i="3"/>
  <c r="F264" i="3"/>
  <c r="F283" i="3"/>
  <c r="F290" i="3"/>
  <c r="F296" i="3"/>
  <c r="F312" i="3"/>
  <c r="F326" i="3"/>
  <c r="F335" i="3"/>
  <c r="F344" i="3"/>
  <c r="F358" i="3"/>
  <c r="F362" i="3"/>
  <c r="F366" i="3"/>
  <c r="F370" i="3"/>
  <c r="F374" i="3"/>
  <c r="F378" i="3"/>
  <c r="F382" i="3"/>
  <c r="F386" i="3"/>
  <c r="F390" i="3"/>
  <c r="F394" i="3"/>
  <c r="F398" i="3"/>
  <c r="F402" i="3"/>
  <c r="F406" i="3"/>
  <c r="F410" i="3"/>
  <c r="F414" i="3"/>
  <c r="F418" i="3"/>
  <c r="F92" i="3"/>
  <c r="F143" i="3"/>
  <c r="F246" i="3"/>
  <c r="F426" i="3"/>
  <c r="F434" i="3"/>
  <c r="F447" i="3"/>
  <c r="F454" i="3"/>
  <c r="F461" i="3"/>
  <c r="F479" i="3"/>
  <c r="F486" i="3"/>
  <c r="F493" i="3"/>
  <c r="F511" i="3"/>
  <c r="F517" i="3"/>
  <c r="F150" i="3"/>
  <c r="F252" i="3"/>
  <c r="F303" i="3"/>
  <c r="F340" i="3"/>
  <c r="F442" i="3"/>
  <c r="F449" i="3"/>
  <c r="F467" i="3"/>
  <c r="F474" i="3"/>
  <c r="F481" i="3"/>
  <c r="F499" i="3"/>
  <c r="F506" i="3"/>
  <c r="F513" i="3"/>
  <c r="F522" i="3"/>
  <c r="F526" i="3"/>
  <c r="F530" i="3"/>
  <c r="F534" i="3"/>
  <c r="F538" i="3"/>
  <c r="F542" i="3"/>
  <c r="F546" i="3"/>
  <c r="F550" i="3"/>
  <c r="F554" i="3"/>
  <c r="F558" i="3"/>
  <c r="F562" i="3"/>
  <c r="F566" i="3"/>
  <c r="F570" i="3"/>
  <c r="F574" i="3"/>
  <c r="F578" i="3"/>
  <c r="F582" i="3"/>
  <c r="F586" i="3"/>
  <c r="F590" i="3"/>
  <c r="F594" i="3"/>
  <c r="F598" i="3"/>
  <c r="F602" i="3"/>
  <c r="F606" i="3"/>
  <c r="F610" i="3"/>
  <c r="F614" i="3"/>
  <c r="F618" i="3"/>
  <c r="F622" i="3"/>
  <c r="F626" i="3"/>
  <c r="F630" i="3"/>
  <c r="F634" i="3"/>
  <c r="F638" i="3"/>
  <c r="F642" i="3"/>
  <c r="F646" i="3"/>
  <c r="F650" i="3"/>
  <c r="F654" i="3"/>
  <c r="F658" i="3"/>
  <c r="F662" i="3"/>
  <c r="F666" i="3"/>
  <c r="F670" i="3"/>
  <c r="F674" i="3"/>
  <c r="F678" i="3"/>
  <c r="F682" i="3"/>
  <c r="F686" i="3"/>
  <c r="F690" i="3"/>
  <c r="F694" i="3"/>
  <c r="F698" i="3"/>
  <c r="F702" i="3"/>
  <c r="F706" i="3"/>
  <c r="F710" i="3"/>
  <c r="F714" i="3"/>
  <c r="F718" i="3"/>
  <c r="F722" i="3"/>
  <c r="F726" i="3"/>
  <c r="F730" i="3"/>
  <c r="F734" i="3"/>
  <c r="F738" i="3"/>
  <c r="F742" i="3"/>
  <c r="F746" i="3"/>
  <c r="F750" i="3"/>
  <c r="F754" i="3"/>
  <c r="F758" i="3"/>
  <c r="F762" i="3"/>
  <c r="F156" i="3"/>
  <c r="F207" i="3"/>
  <c r="F308" i="3"/>
  <c r="F429" i="3"/>
  <c r="F437" i="3"/>
  <c r="F455" i="3"/>
  <c r="F462" i="3"/>
  <c r="F469" i="3"/>
  <c r="F487" i="3"/>
  <c r="F494" i="3"/>
  <c r="F501" i="3"/>
  <c r="F518" i="3"/>
  <c r="F111" i="3"/>
  <c r="F214" i="3"/>
  <c r="F443" i="3"/>
  <c r="F450" i="3"/>
  <c r="F457" i="3"/>
  <c r="F475" i="3"/>
  <c r="F482" i="3"/>
  <c r="F489" i="3"/>
  <c r="F507" i="3"/>
  <c r="F514" i="3"/>
  <c r="F523" i="3"/>
  <c r="F527" i="3"/>
  <c r="F531" i="3"/>
  <c r="F535" i="3"/>
  <c r="F539" i="3"/>
  <c r="F543" i="3"/>
  <c r="F547" i="3"/>
  <c r="F551" i="3"/>
  <c r="F555" i="3"/>
  <c r="F559" i="3"/>
  <c r="F563" i="3"/>
  <c r="F567" i="3"/>
  <c r="F571" i="3"/>
  <c r="F575" i="3"/>
  <c r="F579" i="3"/>
  <c r="F583" i="3"/>
  <c r="F587" i="3"/>
  <c r="F591" i="3"/>
  <c r="F595" i="3"/>
  <c r="F599" i="3"/>
  <c r="F603" i="3"/>
  <c r="F607" i="3"/>
  <c r="F611" i="3"/>
  <c r="F615" i="3"/>
  <c r="F619" i="3"/>
  <c r="F623" i="3"/>
  <c r="F627" i="3"/>
  <c r="F631" i="3"/>
  <c r="F635" i="3"/>
  <c r="F639" i="3"/>
  <c r="F643" i="3"/>
  <c r="F647" i="3"/>
  <c r="F651" i="3"/>
  <c r="F655" i="3"/>
  <c r="F659" i="3"/>
  <c r="F663" i="3"/>
  <c r="F667" i="3"/>
  <c r="F671" i="3"/>
  <c r="F675" i="3"/>
  <c r="F679" i="3"/>
  <c r="F683" i="3"/>
  <c r="F687" i="3"/>
  <c r="F691" i="3"/>
  <c r="F695" i="3"/>
  <c r="F699" i="3"/>
  <c r="F703" i="3"/>
  <c r="F707" i="3"/>
  <c r="F711" i="3"/>
  <c r="F715" i="3"/>
  <c r="F719" i="3"/>
  <c r="F723" i="3"/>
  <c r="F727" i="3"/>
  <c r="F731" i="3"/>
  <c r="F735" i="3"/>
  <c r="F739" i="3"/>
  <c r="F743" i="3"/>
  <c r="F747" i="3"/>
  <c r="F118" i="3"/>
  <c r="F220" i="3"/>
  <c r="F271" i="3"/>
  <c r="F354" i="3"/>
  <c r="F430" i="3"/>
  <c r="F438" i="3"/>
  <c r="F445" i="3"/>
  <c r="F463" i="3"/>
  <c r="F470" i="3"/>
  <c r="F477" i="3"/>
  <c r="F495" i="3"/>
  <c r="F502" i="3"/>
  <c r="F509" i="3"/>
  <c r="F519" i="3"/>
  <c r="F124" i="3"/>
  <c r="F175" i="3"/>
  <c r="F278" i="3"/>
  <c r="F322" i="3"/>
  <c r="F422" i="3"/>
  <c r="F451" i="3"/>
  <c r="F458" i="3"/>
  <c r="F465" i="3"/>
  <c r="F483" i="3"/>
  <c r="F490" i="3"/>
  <c r="F497" i="3"/>
  <c r="F515" i="3"/>
  <c r="F524" i="3"/>
  <c r="F528" i="3"/>
  <c r="F532" i="3"/>
  <c r="F536" i="3"/>
  <c r="F540" i="3"/>
  <c r="F544" i="3"/>
  <c r="F548" i="3"/>
  <c r="F552" i="3"/>
  <c r="F556" i="3"/>
  <c r="F560" i="3"/>
  <c r="F564" i="3"/>
  <c r="F568" i="3"/>
  <c r="F572" i="3"/>
  <c r="F576" i="3"/>
  <c r="F580" i="3"/>
  <c r="F584" i="3"/>
  <c r="F588" i="3"/>
  <c r="F592" i="3"/>
  <c r="F596" i="3"/>
  <c r="F600" i="3"/>
  <c r="F604" i="3"/>
  <c r="F608" i="3"/>
  <c r="F612" i="3"/>
  <c r="F616" i="3"/>
  <c r="F620" i="3"/>
  <c r="F624" i="3"/>
  <c r="F628" i="3"/>
  <c r="F632" i="3"/>
  <c r="F636" i="3"/>
  <c r="F640" i="3"/>
  <c r="F644" i="3"/>
  <c r="F648" i="3"/>
  <c r="F652" i="3"/>
  <c r="F656" i="3"/>
  <c r="F660" i="3"/>
  <c r="F664" i="3"/>
  <c r="F668" i="3"/>
  <c r="F672" i="3"/>
  <c r="F676" i="3"/>
  <c r="F680" i="3"/>
  <c r="F684" i="3"/>
  <c r="F688" i="3"/>
  <c r="F692" i="3"/>
  <c r="F696" i="3"/>
  <c r="F700" i="3"/>
  <c r="F704" i="3"/>
  <c r="F708" i="3"/>
  <c r="F712" i="3"/>
  <c r="F716" i="3"/>
  <c r="F720" i="3"/>
  <c r="F724" i="3"/>
  <c r="F728" i="3"/>
  <c r="F732" i="3"/>
  <c r="F188" i="3"/>
  <c r="F239" i="3"/>
  <c r="F331" i="3"/>
  <c r="F441" i="3"/>
  <c r="F459" i="3"/>
  <c r="F466" i="3"/>
  <c r="F473" i="3"/>
  <c r="F491" i="3"/>
  <c r="F498" i="3"/>
  <c r="F505" i="3"/>
  <c r="F516" i="3"/>
  <c r="F521" i="3"/>
  <c r="F525" i="3"/>
  <c r="F529" i="3"/>
  <c r="F533" i="3"/>
  <c r="F537" i="3"/>
  <c r="F541" i="3"/>
  <c r="F545" i="3"/>
  <c r="F549" i="3"/>
  <c r="F553" i="3"/>
  <c r="F557" i="3"/>
  <c r="F561" i="3"/>
  <c r="F565" i="3"/>
  <c r="F569" i="3"/>
  <c r="F573" i="3"/>
  <c r="F577" i="3"/>
  <c r="F581" i="3"/>
  <c r="F585" i="3"/>
  <c r="F589" i="3"/>
  <c r="F593" i="3"/>
  <c r="F597" i="3"/>
  <c r="F601" i="3"/>
  <c r="F605" i="3"/>
  <c r="F609" i="3"/>
  <c r="F613" i="3"/>
  <c r="F617" i="3"/>
  <c r="F621" i="3"/>
  <c r="F625" i="3"/>
  <c r="F629" i="3"/>
  <c r="F633" i="3"/>
  <c r="F637" i="3"/>
  <c r="F641" i="3"/>
  <c r="F645" i="3"/>
  <c r="F649" i="3"/>
  <c r="F653" i="3"/>
  <c r="F657" i="3"/>
  <c r="F661" i="3"/>
  <c r="F665" i="3"/>
  <c r="F669" i="3"/>
  <c r="F673" i="3"/>
  <c r="F677" i="3"/>
  <c r="F681" i="3"/>
  <c r="F685" i="3"/>
  <c r="F689" i="3"/>
  <c r="F693" i="3"/>
  <c r="F697" i="3"/>
  <c r="F433" i="3"/>
  <c r="F485" i="3"/>
  <c r="F717" i="3"/>
  <c r="F737" i="3"/>
  <c r="F745" i="3"/>
  <c r="F765" i="3"/>
  <c r="F770" i="3"/>
  <c r="F774" i="3"/>
  <c r="F778" i="3"/>
  <c r="F782" i="3"/>
  <c r="F786" i="3"/>
  <c r="F790" i="3"/>
  <c r="F794" i="3"/>
  <c r="F798" i="3"/>
  <c r="F802" i="3"/>
  <c r="F806" i="3"/>
  <c r="F810" i="3"/>
  <c r="F814" i="3"/>
  <c r="F818" i="3"/>
  <c r="F822" i="3"/>
  <c r="F826" i="3"/>
  <c r="F830" i="3"/>
  <c r="F834" i="3"/>
  <c r="F838" i="3"/>
  <c r="F842" i="3"/>
  <c r="F846" i="3"/>
  <c r="F850" i="3"/>
  <c r="F854" i="3"/>
  <c r="F858" i="3"/>
  <c r="F862" i="3"/>
  <c r="F866" i="3"/>
  <c r="F870" i="3"/>
  <c r="F874" i="3"/>
  <c r="F878" i="3"/>
  <c r="F882" i="3"/>
  <c r="F886" i="3"/>
  <c r="F890" i="3"/>
  <c r="F894" i="3"/>
  <c r="F898" i="3"/>
  <c r="F902" i="3"/>
  <c r="F906" i="3"/>
  <c r="F910" i="3"/>
  <c r="F914" i="3"/>
  <c r="F918" i="3"/>
  <c r="F922" i="3"/>
  <c r="F926" i="3"/>
  <c r="F930" i="3"/>
  <c r="F934" i="3"/>
  <c r="F938" i="3"/>
  <c r="F942" i="3"/>
  <c r="F946" i="3"/>
  <c r="F950" i="3"/>
  <c r="F954" i="3"/>
  <c r="F958" i="3"/>
  <c r="F962" i="3"/>
  <c r="F966" i="3"/>
  <c r="F970" i="3"/>
  <c r="F974" i="3"/>
  <c r="F978" i="3"/>
  <c r="F982" i="3"/>
  <c r="F986" i="3"/>
  <c r="F990" i="3"/>
  <c r="F994" i="3"/>
  <c r="F998" i="3"/>
  <c r="F1002" i="3"/>
  <c r="F1006" i="3"/>
  <c r="F1010" i="3"/>
  <c r="F1014" i="3"/>
  <c r="F1018" i="3"/>
  <c r="F1022" i="3"/>
  <c r="F1026" i="3"/>
  <c r="F1030" i="3"/>
  <c r="F1034" i="3"/>
  <c r="F1038" i="3"/>
  <c r="F182" i="3"/>
  <c r="F439" i="3"/>
  <c r="F729" i="3"/>
  <c r="F753" i="3"/>
  <c r="F760" i="3"/>
  <c r="F766" i="3"/>
  <c r="F446" i="3"/>
  <c r="F709" i="3"/>
  <c r="F740" i="3"/>
  <c r="F748" i="3"/>
  <c r="F755" i="3"/>
  <c r="F767" i="3"/>
  <c r="F771" i="3"/>
  <c r="F775" i="3"/>
  <c r="F779" i="3"/>
  <c r="F783" i="3"/>
  <c r="F787" i="3"/>
  <c r="F791" i="3"/>
  <c r="F795" i="3"/>
  <c r="F799" i="3"/>
  <c r="F803" i="3"/>
  <c r="F807" i="3"/>
  <c r="F811" i="3"/>
  <c r="F815" i="3"/>
  <c r="F819" i="3"/>
  <c r="F823" i="3"/>
  <c r="F827" i="3"/>
  <c r="F831" i="3"/>
  <c r="F835" i="3"/>
  <c r="F839" i="3"/>
  <c r="F843" i="3"/>
  <c r="F847" i="3"/>
  <c r="F851" i="3"/>
  <c r="F855" i="3"/>
  <c r="F859" i="3"/>
  <c r="F863" i="3"/>
  <c r="F867" i="3"/>
  <c r="F871" i="3"/>
  <c r="F875" i="3"/>
  <c r="F879" i="3"/>
  <c r="F883" i="3"/>
  <c r="F887" i="3"/>
  <c r="F891" i="3"/>
  <c r="F895" i="3"/>
  <c r="F899" i="3"/>
  <c r="F903" i="3"/>
  <c r="F907" i="3"/>
  <c r="F911" i="3"/>
  <c r="F915" i="3"/>
  <c r="F919" i="3"/>
  <c r="F923" i="3"/>
  <c r="F927" i="3"/>
  <c r="F931" i="3"/>
  <c r="F935" i="3"/>
  <c r="F939" i="3"/>
  <c r="F943" i="3"/>
  <c r="F947" i="3"/>
  <c r="F951" i="3"/>
  <c r="F955" i="3"/>
  <c r="F959" i="3"/>
  <c r="F963" i="3"/>
  <c r="F967" i="3"/>
  <c r="F971" i="3"/>
  <c r="F975" i="3"/>
  <c r="F979" i="3"/>
  <c r="F983" i="3"/>
  <c r="F987" i="3"/>
  <c r="F991" i="3"/>
  <c r="F995" i="3"/>
  <c r="F999" i="3"/>
  <c r="F1003" i="3"/>
  <c r="F1007" i="3"/>
  <c r="F1011" i="3"/>
  <c r="F1015" i="3"/>
  <c r="F1019" i="3"/>
  <c r="F1023" i="3"/>
  <c r="F1027" i="3"/>
  <c r="F1031" i="3"/>
  <c r="F1035" i="3"/>
  <c r="F1039" i="3"/>
  <c r="F1043" i="3"/>
  <c r="F1047" i="3"/>
  <c r="F1051" i="3"/>
  <c r="F1055" i="3"/>
  <c r="F1059" i="3"/>
  <c r="F284" i="3"/>
  <c r="F453" i="3"/>
  <c r="F503" i="3"/>
  <c r="F721" i="3"/>
  <c r="F761" i="3"/>
  <c r="F510" i="3"/>
  <c r="F701" i="3"/>
  <c r="F733" i="3"/>
  <c r="F741" i="3"/>
  <c r="F749" i="3"/>
  <c r="F756" i="3"/>
  <c r="F763" i="3"/>
  <c r="F768" i="3"/>
  <c r="F772" i="3"/>
  <c r="F776" i="3"/>
  <c r="F780" i="3"/>
  <c r="F784" i="3"/>
  <c r="F788" i="3"/>
  <c r="F792" i="3"/>
  <c r="F796" i="3"/>
  <c r="F800" i="3"/>
  <c r="F804" i="3"/>
  <c r="F808" i="3"/>
  <c r="F812" i="3"/>
  <c r="F816" i="3"/>
  <c r="F820" i="3"/>
  <c r="F824" i="3"/>
  <c r="F828" i="3"/>
  <c r="F832" i="3"/>
  <c r="F836" i="3"/>
  <c r="F840" i="3"/>
  <c r="F844" i="3"/>
  <c r="F848" i="3"/>
  <c r="F852" i="3"/>
  <c r="F856" i="3"/>
  <c r="F860" i="3"/>
  <c r="F864" i="3"/>
  <c r="F868" i="3"/>
  <c r="F872" i="3"/>
  <c r="F876" i="3"/>
  <c r="F880" i="3"/>
  <c r="F884" i="3"/>
  <c r="F888" i="3"/>
  <c r="F892" i="3"/>
  <c r="F896" i="3"/>
  <c r="F900" i="3"/>
  <c r="F904" i="3"/>
  <c r="F908" i="3"/>
  <c r="F912" i="3"/>
  <c r="F916" i="3"/>
  <c r="F920" i="3"/>
  <c r="F924" i="3"/>
  <c r="F928" i="3"/>
  <c r="F932" i="3"/>
  <c r="F936" i="3"/>
  <c r="F940" i="3"/>
  <c r="F944" i="3"/>
  <c r="F948" i="3"/>
  <c r="F952" i="3"/>
  <c r="F956" i="3"/>
  <c r="F960" i="3"/>
  <c r="F964" i="3"/>
  <c r="F968" i="3"/>
  <c r="F972" i="3"/>
  <c r="F976" i="3"/>
  <c r="F980" i="3"/>
  <c r="F984" i="3"/>
  <c r="F988" i="3"/>
  <c r="F713" i="3"/>
  <c r="F751" i="3"/>
  <c r="F478" i="3"/>
  <c r="F705" i="3"/>
  <c r="F752" i="3"/>
  <c r="F759" i="3"/>
  <c r="F769" i="3"/>
  <c r="F801" i="3"/>
  <c r="F833" i="3"/>
  <c r="F865" i="3"/>
  <c r="F897" i="3"/>
  <c r="F929" i="3"/>
  <c r="F961" i="3"/>
  <c r="F992" i="3"/>
  <c r="F1005" i="3"/>
  <c r="F1016" i="3"/>
  <c r="F1033" i="3"/>
  <c r="F1040" i="3"/>
  <c r="F1045" i="3"/>
  <c r="F1054" i="3"/>
  <c r="F1063" i="3"/>
  <c r="F1067" i="3"/>
  <c r="F1071" i="3"/>
  <c r="F1075" i="3"/>
  <c r="F1079" i="3"/>
  <c r="F1083" i="3"/>
  <c r="F1087" i="3"/>
  <c r="F1091" i="3"/>
  <c r="F1095" i="3"/>
  <c r="F1099" i="3"/>
  <c r="F1103" i="3"/>
  <c r="F1107" i="3"/>
  <c r="F1111" i="3"/>
  <c r="F1115" i="3"/>
  <c r="F1119" i="3"/>
  <c r="F1123" i="3"/>
  <c r="F1127" i="3"/>
  <c r="F1131" i="3"/>
  <c r="F1135" i="3"/>
  <c r="F1139" i="3"/>
  <c r="F1143" i="3"/>
  <c r="F1147" i="3"/>
  <c r="F1151" i="3"/>
  <c r="F1155" i="3"/>
  <c r="F1159" i="3"/>
  <c r="F1163" i="3"/>
  <c r="F1167" i="3"/>
  <c r="F1171" i="3"/>
  <c r="F1175" i="3"/>
  <c r="F1179" i="3"/>
  <c r="F1183" i="3"/>
  <c r="F1187" i="3"/>
  <c r="F1191" i="3"/>
  <c r="F1195" i="3"/>
  <c r="F1199" i="3"/>
  <c r="F1203" i="3"/>
  <c r="F1207" i="3"/>
  <c r="F1211" i="3"/>
  <c r="F1215" i="3"/>
  <c r="F1219" i="3"/>
  <c r="F1223" i="3"/>
  <c r="F1227" i="3"/>
  <c r="F1231" i="3"/>
  <c r="F1235" i="3"/>
  <c r="F1239" i="3"/>
  <c r="F1243" i="3"/>
  <c r="F1247" i="3"/>
  <c r="F1251" i="3"/>
  <c r="F1255" i="3"/>
  <c r="F1259" i="3"/>
  <c r="F1263" i="3"/>
  <c r="F1267" i="3"/>
  <c r="F1271" i="3"/>
  <c r="F1275" i="3"/>
  <c r="F1279" i="3"/>
  <c r="F1283" i="3"/>
  <c r="F1287" i="3"/>
  <c r="F1291" i="3"/>
  <c r="F1295" i="3"/>
  <c r="F1299" i="3"/>
  <c r="F1303" i="3"/>
  <c r="F1307" i="3"/>
  <c r="F1311" i="3"/>
  <c r="F1315" i="3"/>
  <c r="F1319" i="3"/>
  <c r="F1323" i="3"/>
  <c r="F1327" i="3"/>
  <c r="F1331" i="3"/>
  <c r="F1335" i="3"/>
  <c r="F1339" i="3"/>
  <c r="F1343" i="3"/>
  <c r="F1347" i="3"/>
  <c r="F1351" i="3"/>
  <c r="F1355" i="3"/>
  <c r="F1359" i="3"/>
  <c r="F1363" i="3"/>
  <c r="F1367" i="3"/>
  <c r="F1371" i="3"/>
  <c r="F1375" i="3"/>
  <c r="F1379" i="3"/>
  <c r="F1383" i="3"/>
  <c r="F1387" i="3"/>
  <c r="F1391" i="3"/>
  <c r="F1395" i="3"/>
  <c r="F1399" i="3"/>
  <c r="F1403" i="3"/>
  <c r="F1407" i="3"/>
  <c r="F1411" i="3"/>
  <c r="F1415" i="3"/>
  <c r="F1419" i="3"/>
  <c r="F1423" i="3"/>
  <c r="F1427" i="3"/>
  <c r="F1431" i="3"/>
  <c r="F1435" i="3"/>
  <c r="F1439" i="3"/>
  <c r="F1443" i="3"/>
  <c r="F1447" i="3"/>
  <c r="F471" i="3"/>
  <c r="F773" i="3"/>
  <c r="F805" i="3"/>
  <c r="F837" i="3"/>
  <c r="F869" i="3"/>
  <c r="F901" i="3"/>
  <c r="F933" i="3"/>
  <c r="F965" i="3"/>
  <c r="F993" i="3"/>
  <c r="F1017" i="3"/>
  <c r="F1050" i="3"/>
  <c r="F520" i="3"/>
  <c r="F725" i="3"/>
  <c r="F777" i="3"/>
  <c r="F809" i="3"/>
  <c r="F841" i="3"/>
  <c r="F873" i="3"/>
  <c r="F905" i="3"/>
  <c r="F937" i="3"/>
  <c r="F969" i="3"/>
  <c r="F996" i="3"/>
  <c r="F1008" i="3"/>
  <c r="F1028" i="3"/>
  <c r="F1041" i="3"/>
  <c r="F1046" i="3"/>
  <c r="F1060" i="3"/>
  <c r="F1064" i="3"/>
  <c r="F1068" i="3"/>
  <c r="F1072" i="3"/>
  <c r="F1076" i="3"/>
  <c r="F1080" i="3"/>
  <c r="F1084" i="3"/>
  <c r="F1088" i="3"/>
  <c r="F1092" i="3"/>
  <c r="F1096" i="3"/>
  <c r="F1100" i="3"/>
  <c r="F1104" i="3"/>
  <c r="F1108" i="3"/>
  <c r="F1112" i="3"/>
  <c r="F1116" i="3"/>
  <c r="F1120" i="3"/>
  <c r="F1124" i="3"/>
  <c r="F1128" i="3"/>
  <c r="F1132" i="3"/>
  <c r="F1136" i="3"/>
  <c r="F1140" i="3"/>
  <c r="F1144" i="3"/>
  <c r="F1148" i="3"/>
  <c r="F1152" i="3"/>
  <c r="F1156" i="3"/>
  <c r="F1160" i="3"/>
  <c r="F1164" i="3"/>
  <c r="F1168" i="3"/>
  <c r="F1172" i="3"/>
  <c r="F1176" i="3"/>
  <c r="F1180" i="3"/>
  <c r="F1184" i="3"/>
  <c r="F1188" i="3"/>
  <c r="F1192" i="3"/>
  <c r="F1196" i="3"/>
  <c r="F1200" i="3"/>
  <c r="F1204" i="3"/>
  <c r="F1208" i="3"/>
  <c r="F1212" i="3"/>
  <c r="F1216" i="3"/>
  <c r="F1220" i="3"/>
  <c r="F1224" i="3"/>
  <c r="F1228" i="3"/>
  <c r="F1232" i="3"/>
  <c r="F1236" i="3"/>
  <c r="F1240" i="3"/>
  <c r="F1244" i="3"/>
  <c r="F1248" i="3"/>
  <c r="F1252" i="3"/>
  <c r="F1256" i="3"/>
  <c r="F1260" i="3"/>
  <c r="F1264" i="3"/>
  <c r="F1268" i="3"/>
  <c r="F1272" i="3"/>
  <c r="F1276" i="3"/>
  <c r="F1280" i="3"/>
  <c r="F1284" i="3"/>
  <c r="F1288" i="3"/>
  <c r="F1292" i="3"/>
  <c r="F1296" i="3"/>
  <c r="F1300" i="3"/>
  <c r="F1304" i="3"/>
  <c r="F1308" i="3"/>
  <c r="F1312" i="3"/>
  <c r="F1316" i="3"/>
  <c r="F1320" i="3"/>
  <c r="F1324" i="3"/>
  <c r="F1328" i="3"/>
  <c r="F736" i="3"/>
  <c r="F781" i="3"/>
  <c r="F813" i="3"/>
  <c r="F845" i="3"/>
  <c r="F877" i="3"/>
  <c r="F909" i="3"/>
  <c r="F941" i="3"/>
  <c r="F973" i="3"/>
  <c r="F997" i="3"/>
  <c r="F1009" i="3"/>
  <c r="F1020" i="3"/>
  <c r="F1029" i="3"/>
  <c r="F1036" i="3"/>
  <c r="F1056" i="3"/>
  <c r="F744" i="3"/>
  <c r="F785" i="3"/>
  <c r="F817" i="3"/>
  <c r="F849" i="3"/>
  <c r="F881" i="3"/>
  <c r="F913" i="3"/>
  <c r="F945" i="3"/>
  <c r="F977" i="3"/>
  <c r="F1000" i="3"/>
  <c r="F1021" i="3"/>
  <c r="F1042" i="3"/>
  <c r="F1052" i="3"/>
  <c r="F1061" i="3"/>
  <c r="F1065" i="3"/>
  <c r="F1069" i="3"/>
  <c r="F1073" i="3"/>
  <c r="F1077" i="3"/>
  <c r="F1081" i="3"/>
  <c r="F1085" i="3"/>
  <c r="F1089" i="3"/>
  <c r="F1093" i="3"/>
  <c r="F1097" i="3"/>
  <c r="F1101" i="3"/>
  <c r="F1105" i="3"/>
  <c r="F1109" i="3"/>
  <c r="F1113" i="3"/>
  <c r="F1117" i="3"/>
  <c r="F1121" i="3"/>
  <c r="F1125" i="3"/>
  <c r="F1129" i="3"/>
  <c r="F1133" i="3"/>
  <c r="F1137" i="3"/>
  <c r="F1141" i="3"/>
  <c r="F1145" i="3"/>
  <c r="F1149" i="3"/>
  <c r="F1153" i="3"/>
  <c r="F1157" i="3"/>
  <c r="F1161" i="3"/>
  <c r="F1165" i="3"/>
  <c r="F1169" i="3"/>
  <c r="F1173" i="3"/>
  <c r="F1177" i="3"/>
  <c r="F1181" i="3"/>
  <c r="F1185" i="3"/>
  <c r="F1189" i="3"/>
  <c r="F1193" i="3"/>
  <c r="F1197" i="3"/>
  <c r="F1201" i="3"/>
  <c r="F1205" i="3"/>
  <c r="F1209" i="3"/>
  <c r="F1213" i="3"/>
  <c r="F1217" i="3"/>
  <c r="F1221" i="3"/>
  <c r="F1225" i="3"/>
  <c r="F1229" i="3"/>
  <c r="F1233" i="3"/>
  <c r="F1237" i="3"/>
  <c r="F1241" i="3"/>
  <c r="F1245" i="3"/>
  <c r="F1249" i="3"/>
  <c r="F1253" i="3"/>
  <c r="F1257" i="3"/>
  <c r="F1261" i="3"/>
  <c r="F1265" i="3"/>
  <c r="F1269" i="3"/>
  <c r="F1273" i="3"/>
  <c r="F1277" i="3"/>
  <c r="F1281" i="3"/>
  <c r="F1285" i="3"/>
  <c r="F1289" i="3"/>
  <c r="F1293" i="3"/>
  <c r="F1297" i="3"/>
  <c r="F1301" i="3"/>
  <c r="F1305" i="3"/>
  <c r="F1309" i="3"/>
  <c r="F789" i="3"/>
  <c r="F821" i="3"/>
  <c r="F853" i="3"/>
  <c r="F885" i="3"/>
  <c r="F917" i="3"/>
  <c r="F949" i="3"/>
  <c r="F981" i="3"/>
  <c r="F1001" i="3"/>
  <c r="F1012" i="3"/>
  <c r="F1037" i="3"/>
  <c r="F1048" i="3"/>
  <c r="F1057" i="3"/>
  <c r="F757" i="3"/>
  <c r="F793" i="3"/>
  <c r="F825" i="3"/>
  <c r="F857" i="3"/>
  <c r="F889" i="3"/>
  <c r="F921" i="3"/>
  <c r="F953" i="3"/>
  <c r="F985" i="3"/>
  <c r="F1013" i="3"/>
  <c r="F1024" i="3"/>
  <c r="F1032" i="3"/>
  <c r="F1044" i="3"/>
  <c r="F1053" i="3"/>
  <c r="F1062" i="3"/>
  <c r="F1066" i="3"/>
  <c r="F1070" i="3"/>
  <c r="F1074" i="3"/>
  <c r="F1078" i="3"/>
  <c r="F1082" i="3"/>
  <c r="F1086" i="3"/>
  <c r="F1090" i="3"/>
  <c r="F1094" i="3"/>
  <c r="F1098" i="3"/>
  <c r="F1102" i="3"/>
  <c r="F1106" i="3"/>
  <c r="F1110" i="3"/>
  <c r="F1114" i="3"/>
  <c r="F1118" i="3"/>
  <c r="F1122" i="3"/>
  <c r="F1126" i="3"/>
  <c r="F1130" i="3"/>
  <c r="F1134" i="3"/>
  <c r="F1138" i="3"/>
  <c r="F1142" i="3"/>
  <c r="F1146" i="3"/>
  <c r="F1150" i="3"/>
  <c r="F1154" i="3"/>
  <c r="F1158" i="3"/>
  <c r="F1162" i="3"/>
  <c r="F1166" i="3"/>
  <c r="F1170" i="3"/>
  <c r="F1174" i="3"/>
  <c r="F1178" i="3"/>
  <c r="F1182" i="3"/>
  <c r="F1186" i="3"/>
  <c r="F1190" i="3"/>
  <c r="F1194" i="3"/>
  <c r="F1198" i="3"/>
  <c r="F1202" i="3"/>
  <c r="F1206" i="3"/>
  <c r="F1210" i="3"/>
  <c r="F1214" i="3"/>
  <c r="F1218" i="3"/>
  <c r="F1222" i="3"/>
  <c r="F1226" i="3"/>
  <c r="F1230" i="3"/>
  <c r="F1234" i="3"/>
  <c r="F1238" i="3"/>
  <c r="F1242" i="3"/>
  <c r="F1246" i="3"/>
  <c r="F1250" i="3"/>
  <c r="F1254" i="3"/>
  <c r="F1258" i="3"/>
  <c r="F1262" i="3"/>
  <c r="F1266" i="3"/>
  <c r="F1270" i="3"/>
  <c r="F1274" i="3"/>
  <c r="F1278" i="3"/>
  <c r="F1282" i="3"/>
  <c r="F1286" i="3"/>
  <c r="F1290" i="3"/>
  <c r="F1294" i="3"/>
  <c r="F1298" i="3"/>
  <c r="F1302" i="3"/>
  <c r="F1306" i="3"/>
  <c r="F1310" i="3"/>
  <c r="F1314" i="3"/>
  <c r="F1318" i="3"/>
  <c r="F989" i="3"/>
  <c r="F1325" i="3"/>
  <c r="F1332" i="3"/>
  <c r="F1348" i="3"/>
  <c r="F1364" i="3"/>
  <c r="F1380" i="3"/>
  <c r="F1396" i="3"/>
  <c r="F1406" i="3"/>
  <c r="F1420" i="3"/>
  <c r="F1429" i="3"/>
  <c r="F1438" i="3"/>
  <c r="F764" i="3"/>
  <c r="F1004" i="3"/>
  <c r="F1058" i="3"/>
  <c r="F1313" i="3"/>
  <c r="F1326" i="3"/>
  <c r="F1333" i="3"/>
  <c r="F1338" i="3"/>
  <c r="F1349" i="3"/>
  <c r="F1354" i="3"/>
  <c r="F1365" i="3"/>
  <c r="F1370" i="3"/>
  <c r="F1381" i="3"/>
  <c r="F1386" i="3"/>
  <c r="F1397" i="3"/>
  <c r="F1402" i="3"/>
  <c r="F1416" i="3"/>
  <c r="F1425" i="3"/>
  <c r="F1434" i="3"/>
  <c r="F1448" i="3"/>
  <c r="F1452" i="3"/>
  <c r="F1456" i="3"/>
  <c r="F1460" i="3"/>
  <c r="F1464" i="3"/>
  <c r="F1468" i="3"/>
  <c r="F1472" i="3"/>
  <c r="F1476" i="3"/>
  <c r="F1480" i="3"/>
  <c r="F1484" i="3"/>
  <c r="F1488" i="3"/>
  <c r="F1492" i="3"/>
  <c r="F1496" i="3"/>
  <c r="F1500" i="3"/>
  <c r="F1504" i="3"/>
  <c r="F1508" i="3"/>
  <c r="F1512" i="3"/>
  <c r="F1516" i="3"/>
  <c r="F1520" i="3"/>
  <c r="F1524" i="3"/>
  <c r="F1528" i="3"/>
  <c r="F1532" i="3"/>
  <c r="F1536" i="3"/>
  <c r="F1540" i="3"/>
  <c r="F1544" i="3"/>
  <c r="F1548" i="3"/>
  <c r="F1552" i="3"/>
  <c r="F1556" i="3"/>
  <c r="F1560" i="3"/>
  <c r="F1564" i="3"/>
  <c r="F1568" i="3"/>
  <c r="F1572" i="3"/>
  <c r="F1576" i="3"/>
  <c r="F1580" i="3"/>
  <c r="F1584" i="3"/>
  <c r="F1588" i="3"/>
  <c r="F1592" i="3"/>
  <c r="F1596" i="3"/>
  <c r="F1600" i="3"/>
  <c r="F1604" i="3"/>
  <c r="F1608" i="3"/>
  <c r="F1612" i="3"/>
  <c r="F1616" i="3"/>
  <c r="F1620" i="3"/>
  <c r="F1624" i="3"/>
  <c r="F1628" i="3"/>
  <c r="F1632" i="3"/>
  <c r="F1636" i="3"/>
  <c r="F1640" i="3"/>
  <c r="F1644" i="3"/>
  <c r="F1648" i="3"/>
  <c r="F797" i="3"/>
  <c r="F1344" i="3"/>
  <c r="F1360" i="3"/>
  <c r="F1376" i="3"/>
  <c r="F1392" i="3"/>
  <c r="F1412" i="3"/>
  <c r="F1421" i="3"/>
  <c r="F1430" i="3"/>
  <c r="F1444" i="3"/>
  <c r="F829" i="3"/>
  <c r="F1025" i="3"/>
  <c r="F1317" i="3"/>
  <c r="F1329" i="3"/>
  <c r="F1334" i="3"/>
  <c r="F1345" i="3"/>
  <c r="F1350" i="3"/>
  <c r="F1361" i="3"/>
  <c r="F1366" i="3"/>
  <c r="F1377" i="3"/>
  <c r="F1382" i="3"/>
  <c r="F1393" i="3"/>
  <c r="F1398" i="3"/>
  <c r="F1408" i="3"/>
  <c r="F1417" i="3"/>
  <c r="F1426" i="3"/>
  <c r="F1440" i="3"/>
  <c r="F1449" i="3"/>
  <c r="F1453" i="3"/>
  <c r="F1457" i="3"/>
  <c r="F1461" i="3"/>
  <c r="F1465" i="3"/>
  <c r="F1469" i="3"/>
  <c r="F1473" i="3"/>
  <c r="F1477" i="3"/>
  <c r="F1481" i="3"/>
  <c r="F1485" i="3"/>
  <c r="F1489" i="3"/>
  <c r="F1493" i="3"/>
  <c r="F1497" i="3"/>
  <c r="F1501" i="3"/>
  <c r="F1505" i="3"/>
  <c r="F1509" i="3"/>
  <c r="F1513" i="3"/>
  <c r="F1517" i="3"/>
  <c r="F1521" i="3"/>
  <c r="F1525" i="3"/>
  <c r="F1529" i="3"/>
  <c r="F1533" i="3"/>
  <c r="F1537" i="3"/>
  <c r="F1541" i="3"/>
  <c r="F1545" i="3"/>
  <c r="F1549" i="3"/>
  <c r="F1553" i="3"/>
  <c r="F1557" i="3"/>
  <c r="F1561" i="3"/>
  <c r="F1565" i="3"/>
  <c r="F1569" i="3"/>
  <c r="F1573" i="3"/>
  <c r="F1577" i="3"/>
  <c r="F1581" i="3"/>
  <c r="F1585" i="3"/>
  <c r="F1589" i="3"/>
  <c r="F1593" i="3"/>
  <c r="F1597" i="3"/>
  <c r="F1601" i="3"/>
  <c r="F1605" i="3"/>
  <c r="F1609" i="3"/>
  <c r="F1613" i="3"/>
  <c r="F1617" i="3"/>
  <c r="F1621" i="3"/>
  <c r="F1625" i="3"/>
  <c r="F1629" i="3"/>
  <c r="F861" i="3"/>
  <c r="F1340" i="3"/>
  <c r="F1356" i="3"/>
  <c r="F1372" i="3"/>
  <c r="F1388" i="3"/>
  <c r="F1404" i="3"/>
  <c r="F1413" i="3"/>
  <c r="F1422" i="3"/>
  <c r="F1436" i="3"/>
  <c r="F1445" i="3"/>
  <c r="F893" i="3"/>
  <c r="F1321" i="3"/>
  <c r="F1330" i="3"/>
  <c r="F1341" i="3"/>
  <c r="F1346" i="3"/>
  <c r="F1357" i="3"/>
  <c r="F1362" i="3"/>
  <c r="F1373" i="3"/>
  <c r="F1378" i="3"/>
  <c r="F1389" i="3"/>
  <c r="F1394" i="3"/>
  <c r="F1409" i="3"/>
  <c r="F1418" i="3"/>
  <c r="F1432" i="3"/>
  <c r="F1441" i="3"/>
  <c r="F1450" i="3"/>
  <c r="F1454" i="3"/>
  <c r="F1458" i="3"/>
  <c r="F1462" i="3"/>
  <c r="F1466" i="3"/>
  <c r="F1470" i="3"/>
  <c r="F1474" i="3"/>
  <c r="F1478" i="3"/>
  <c r="F1482" i="3"/>
  <c r="F1486" i="3"/>
  <c r="F1490" i="3"/>
  <c r="F1494" i="3"/>
  <c r="F1498" i="3"/>
  <c r="F1502" i="3"/>
  <c r="F1506" i="3"/>
  <c r="F1510" i="3"/>
  <c r="F1514" i="3"/>
  <c r="F1518" i="3"/>
  <c r="F1522" i="3"/>
  <c r="F1526" i="3"/>
  <c r="F1530" i="3"/>
  <c r="F1534" i="3"/>
  <c r="F1538" i="3"/>
  <c r="F1542" i="3"/>
  <c r="F1546" i="3"/>
  <c r="F1550" i="3"/>
  <c r="F1554" i="3"/>
  <c r="F1558" i="3"/>
  <c r="F1562" i="3"/>
  <c r="F1566" i="3"/>
  <c r="F1570" i="3"/>
  <c r="F1574" i="3"/>
  <c r="F1578" i="3"/>
  <c r="F1582" i="3"/>
  <c r="F1586" i="3"/>
  <c r="F1590" i="3"/>
  <c r="F1594" i="3"/>
  <c r="F1598" i="3"/>
  <c r="F1602" i="3"/>
  <c r="F1606" i="3"/>
  <c r="F1610" i="3"/>
  <c r="F1614" i="3"/>
  <c r="F957" i="3"/>
  <c r="F1049" i="3"/>
  <c r="F1337" i="3"/>
  <c r="F1342" i="3"/>
  <c r="F1353" i="3"/>
  <c r="F1358" i="3"/>
  <c r="F1369" i="3"/>
  <c r="F1374" i="3"/>
  <c r="F1385" i="3"/>
  <c r="F1390" i="3"/>
  <c r="F1401" i="3"/>
  <c r="F1410" i="3"/>
  <c r="F1424" i="3"/>
  <c r="F1433" i="3"/>
  <c r="F1442" i="3"/>
  <c r="F1451" i="3"/>
  <c r="F1455" i="3"/>
  <c r="F1459" i="3"/>
  <c r="F1463" i="3"/>
  <c r="F1467" i="3"/>
  <c r="F1471" i="3"/>
  <c r="F1475" i="3"/>
  <c r="F1479" i="3"/>
  <c r="F1483" i="3"/>
  <c r="F1487" i="3"/>
  <c r="F1491" i="3"/>
  <c r="F1495" i="3"/>
  <c r="F1499" i="3"/>
  <c r="F1503" i="3"/>
  <c r="F1507" i="3"/>
  <c r="F1511" i="3"/>
  <c r="F1515" i="3"/>
  <c r="F1519" i="3"/>
  <c r="F1523" i="3"/>
  <c r="F1527" i="3"/>
  <c r="F1531" i="3"/>
  <c r="F1535" i="3"/>
  <c r="F1539" i="3"/>
  <c r="F1543" i="3"/>
  <c r="F1547" i="3"/>
  <c r="F1551" i="3"/>
  <c r="F1555" i="3"/>
  <c r="F1559" i="3"/>
  <c r="F1563" i="3"/>
  <c r="F1567" i="3"/>
  <c r="F1571" i="3"/>
  <c r="F1575" i="3"/>
  <c r="F1579" i="3"/>
  <c r="F1583" i="3"/>
  <c r="F1587" i="3"/>
  <c r="F1591" i="3"/>
  <c r="F1595" i="3"/>
  <c r="F1599" i="3"/>
  <c r="F1603" i="3"/>
  <c r="F1607" i="3"/>
  <c r="F1611" i="3"/>
  <c r="F1615" i="3"/>
  <c r="F925" i="3"/>
  <c r="F1400" i="3"/>
  <c r="F1437" i="3"/>
  <c r="F1622" i="3"/>
  <c r="F1631" i="3"/>
  <c r="F1639" i="3"/>
  <c r="F1647" i="3"/>
  <c r="F1664" i="3"/>
  <c r="F1679" i="3"/>
  <c r="F1684" i="3"/>
  <c r="F1693" i="3"/>
  <c r="F1702" i="3"/>
  <c r="F1711" i="3"/>
  <c r="F1716" i="3"/>
  <c r="F1725" i="3"/>
  <c r="F1734" i="3"/>
  <c r="F1743" i="3"/>
  <c r="F1748" i="3"/>
  <c r="F1797" i="3"/>
  <c r="F1801" i="3"/>
  <c r="F1805" i="3"/>
  <c r="F1809" i="3"/>
  <c r="F1813" i="3"/>
  <c r="F1817" i="3"/>
  <c r="F1821" i="3"/>
  <c r="F1825" i="3"/>
  <c r="F1829" i="3"/>
  <c r="F1833" i="3"/>
  <c r="F1837" i="3"/>
  <c r="F1841" i="3"/>
  <c r="F1845" i="3"/>
  <c r="F1849" i="3"/>
  <c r="F1853" i="3"/>
  <c r="F1857" i="3"/>
  <c r="F1861" i="3"/>
  <c r="F1865" i="3"/>
  <c r="F1669" i="3"/>
  <c r="F1697" i="3"/>
  <c r="F1752" i="3"/>
  <c r="F1776" i="3"/>
  <c r="F1788" i="3"/>
  <c r="F1816" i="3"/>
  <c r="F1828" i="3"/>
  <c r="F1852" i="3"/>
  <c r="F1860" i="3"/>
  <c r="F1405" i="3"/>
  <c r="F1633" i="3"/>
  <c r="F1641" i="3"/>
  <c r="F1649" i="3"/>
  <c r="F1654" i="3"/>
  <c r="F1659" i="3"/>
  <c r="F1665" i="3"/>
  <c r="F1670" i="3"/>
  <c r="F1675" i="3"/>
  <c r="F1680" i="3"/>
  <c r="F1689" i="3"/>
  <c r="F1698" i="3"/>
  <c r="F1707" i="3"/>
  <c r="F1712" i="3"/>
  <c r="F1721" i="3"/>
  <c r="F1730" i="3"/>
  <c r="F1739" i="3"/>
  <c r="F1744" i="3"/>
  <c r="F1753" i="3"/>
  <c r="F1757" i="3"/>
  <c r="F1761" i="3"/>
  <c r="F1765" i="3"/>
  <c r="F1769" i="3"/>
  <c r="F1773" i="3"/>
  <c r="F1777" i="3"/>
  <c r="F1781" i="3"/>
  <c r="F1785" i="3"/>
  <c r="F1789" i="3"/>
  <c r="F1793" i="3"/>
  <c r="F1720" i="3"/>
  <c r="F1764" i="3"/>
  <c r="F1804" i="3"/>
  <c r="F1836" i="3"/>
  <c r="F1322" i="3"/>
  <c r="F1368" i="3"/>
  <c r="F1446" i="3"/>
  <c r="F1623" i="3"/>
  <c r="F1634" i="3"/>
  <c r="F1642" i="3"/>
  <c r="F1660" i="3"/>
  <c r="F1676" i="3"/>
  <c r="F1685" i="3"/>
  <c r="F1694" i="3"/>
  <c r="F1703" i="3"/>
  <c r="F1708" i="3"/>
  <c r="F1717" i="3"/>
  <c r="F1726" i="3"/>
  <c r="F1735" i="3"/>
  <c r="F1740" i="3"/>
  <c r="F1749" i="3"/>
  <c r="F1810" i="3"/>
  <c r="F1822" i="3"/>
  <c r="F1830" i="3"/>
  <c r="F1838" i="3"/>
  <c r="F1846" i="3"/>
  <c r="F1854" i="3"/>
  <c r="F1858" i="3"/>
  <c r="F1866" i="3"/>
  <c r="F1688" i="3"/>
  <c r="F1800" i="3"/>
  <c r="F1856" i="3"/>
  <c r="F1414" i="3"/>
  <c r="F1626" i="3"/>
  <c r="F1650" i="3"/>
  <c r="F1655" i="3"/>
  <c r="F1661" i="3"/>
  <c r="F1666" i="3"/>
  <c r="F1671" i="3"/>
  <c r="F1681" i="3"/>
  <c r="F1690" i="3"/>
  <c r="F1699" i="3"/>
  <c r="F1704" i="3"/>
  <c r="F1713" i="3"/>
  <c r="F1722" i="3"/>
  <c r="F1731" i="3"/>
  <c r="F1736" i="3"/>
  <c r="F1745" i="3"/>
  <c r="F1754" i="3"/>
  <c r="F1758" i="3"/>
  <c r="F1762" i="3"/>
  <c r="F1766" i="3"/>
  <c r="F1770" i="3"/>
  <c r="F1774" i="3"/>
  <c r="F1778" i="3"/>
  <c r="F1782" i="3"/>
  <c r="F1786" i="3"/>
  <c r="F1790" i="3"/>
  <c r="F1794" i="3"/>
  <c r="F1798" i="3"/>
  <c r="F1802" i="3"/>
  <c r="F1806" i="3"/>
  <c r="F1814" i="3"/>
  <c r="F1818" i="3"/>
  <c r="F1826" i="3"/>
  <c r="F1834" i="3"/>
  <c r="F1842" i="3"/>
  <c r="F1850" i="3"/>
  <c r="F1862" i="3"/>
  <c r="F1756" i="3"/>
  <c r="F1784" i="3"/>
  <c r="F1812" i="3"/>
  <c r="F1840" i="3"/>
  <c r="F1336" i="3"/>
  <c r="F1635" i="3"/>
  <c r="F1643" i="3"/>
  <c r="F1656" i="3"/>
  <c r="F1672" i="3"/>
  <c r="F1677" i="3"/>
  <c r="F1686" i="3"/>
  <c r="F1695" i="3"/>
  <c r="F1700" i="3"/>
  <c r="F1709" i="3"/>
  <c r="F1718" i="3"/>
  <c r="F1727" i="3"/>
  <c r="F1732" i="3"/>
  <c r="F1741" i="3"/>
  <c r="F1750" i="3"/>
  <c r="F19" i="3"/>
  <c r="F1823" i="3"/>
  <c r="F1835" i="3"/>
  <c r="F1843" i="3"/>
  <c r="F1851" i="3"/>
  <c r="F1859" i="3"/>
  <c r="F1863" i="3"/>
  <c r="F1706" i="3"/>
  <c r="F1768" i="3"/>
  <c r="F1792" i="3"/>
  <c r="F1820" i="3"/>
  <c r="F1824" i="3"/>
  <c r="F1848" i="3"/>
  <c r="F1864" i="3"/>
  <c r="F1384" i="3"/>
  <c r="F1618" i="3"/>
  <c r="F1627" i="3"/>
  <c r="F1637" i="3"/>
  <c r="F1645" i="3"/>
  <c r="F1651" i="3"/>
  <c r="F1657" i="3"/>
  <c r="F1662" i="3"/>
  <c r="F1667" i="3"/>
  <c r="F1673" i="3"/>
  <c r="F1682" i="3"/>
  <c r="F1691" i="3"/>
  <c r="F1696" i="3"/>
  <c r="F1705" i="3"/>
  <c r="F1714" i="3"/>
  <c r="F1723" i="3"/>
  <c r="F1728" i="3"/>
  <c r="F1737" i="3"/>
  <c r="F1746" i="3"/>
  <c r="F1755" i="3"/>
  <c r="F1759" i="3"/>
  <c r="F1763" i="3"/>
  <c r="F1767" i="3"/>
  <c r="F1771" i="3"/>
  <c r="F1775" i="3"/>
  <c r="F1779" i="3"/>
  <c r="F1783" i="3"/>
  <c r="F1787" i="3"/>
  <c r="F1791" i="3"/>
  <c r="F1795" i="3"/>
  <c r="F1799" i="3"/>
  <c r="F1803" i="3"/>
  <c r="F1807" i="3"/>
  <c r="F1811" i="3"/>
  <c r="F1815" i="3"/>
  <c r="F1819" i="3"/>
  <c r="F1827" i="3"/>
  <c r="F1831" i="3"/>
  <c r="F1839" i="3"/>
  <c r="F1847" i="3"/>
  <c r="F1855" i="3"/>
  <c r="F1674" i="3"/>
  <c r="F1738" i="3"/>
  <c r="F1760" i="3"/>
  <c r="F1780" i="3"/>
  <c r="F1808" i="3"/>
  <c r="F1844" i="3"/>
  <c r="F1428" i="3"/>
  <c r="F1630" i="3"/>
  <c r="F1638" i="3"/>
  <c r="F1646" i="3"/>
  <c r="F1652" i="3"/>
  <c r="F1668" i="3"/>
  <c r="F1678" i="3"/>
  <c r="F1687" i="3"/>
  <c r="F1692" i="3"/>
  <c r="F1701" i="3"/>
  <c r="F1710" i="3"/>
  <c r="F1719" i="3"/>
  <c r="F1724" i="3"/>
  <c r="F1733" i="3"/>
  <c r="F1742" i="3"/>
  <c r="F1751" i="3"/>
  <c r="F1352" i="3"/>
  <c r="F1619" i="3"/>
  <c r="F1653" i="3"/>
  <c r="F1658" i="3"/>
  <c r="F1663" i="3"/>
  <c r="F1683" i="3"/>
  <c r="F1715" i="3"/>
  <c r="F1729" i="3"/>
  <c r="F1747" i="3"/>
  <c r="F1772" i="3"/>
  <c r="F1796" i="3"/>
  <c r="F1832" i="3"/>
  <c r="F4" i="3"/>
  <c r="E1567" i="3"/>
  <c r="E1707" i="3"/>
  <c r="E1769" i="3"/>
  <c r="E1801" i="3"/>
  <c r="E1833" i="3"/>
  <c r="E1865" i="3"/>
  <c r="E1507" i="3"/>
  <c r="E1717" i="3"/>
  <c r="E1511" i="3"/>
  <c r="E1681" i="3"/>
  <c r="E1758" i="3"/>
  <c r="E1790" i="3"/>
  <c r="E1822" i="3"/>
  <c r="E1854" i="3"/>
  <c r="E1451" i="3"/>
  <c r="E1677" i="3"/>
  <c r="E1239" i="3"/>
  <c r="E1396" i="3"/>
  <c r="E1243" i="3"/>
  <c r="E1428" i="3"/>
  <c r="E1336" i="3"/>
  <c r="E1075" i="3"/>
  <c r="E1622" i="3"/>
  <c r="E1590" i="3"/>
  <c r="E1558" i="3"/>
  <c r="E1526" i="3"/>
  <c r="E1494" i="3"/>
  <c r="E1462" i="3"/>
  <c r="E1409" i="3"/>
  <c r="E1346" i="3"/>
  <c r="E1167" i="3"/>
  <c r="E1422" i="3"/>
  <c r="E1259" i="3"/>
  <c r="E1669" i="3"/>
  <c r="E1637" i="3"/>
  <c r="E1605" i="3"/>
  <c r="E1573" i="3"/>
  <c r="E1541" i="3"/>
  <c r="E1509" i="3"/>
  <c r="E1477" i="3"/>
  <c r="E1440" i="3"/>
  <c r="E1382" i="3"/>
  <c r="E1315" i="3"/>
  <c r="E1063" i="3"/>
  <c r="E1392" i="3"/>
  <c r="E1155" i="3"/>
  <c r="E1732" i="3"/>
  <c r="E1700" i="3"/>
  <c r="E1668" i="3"/>
  <c r="E1636" i="3"/>
  <c r="E1604" i="3"/>
  <c r="E1572" i="3"/>
  <c r="E1540" i="3"/>
  <c r="E1508" i="3"/>
  <c r="E1476" i="3"/>
  <c r="E1443" i="3"/>
  <c r="E1375" i="3"/>
  <c r="E1247" i="3"/>
  <c r="E1058" i="3"/>
  <c r="E1314" i="3"/>
  <c r="E1282" i="3"/>
  <c r="E1250" i="3"/>
  <c r="E1218" i="3"/>
  <c r="E1186" i="3"/>
  <c r="E1154" i="3"/>
  <c r="E1122" i="3"/>
  <c r="E1090" i="3"/>
  <c r="E1053" i="3"/>
  <c r="E1037" i="3"/>
  <c r="E1385" i="3"/>
  <c r="E1353" i="3"/>
  <c r="E1321" i="3"/>
  <c r="E1289" i="3"/>
  <c r="E1257" i="3"/>
  <c r="E1225" i="3"/>
  <c r="E1193" i="3"/>
  <c r="E1161" i="3"/>
  <c r="E1129" i="3"/>
  <c r="E1097" i="3"/>
  <c r="E1065" i="3"/>
  <c r="E1036" i="3"/>
  <c r="E1304" i="3"/>
  <c r="E1272" i="3"/>
  <c r="E1240" i="3"/>
  <c r="E1208" i="3"/>
  <c r="E1176" i="3"/>
  <c r="E1144" i="3"/>
  <c r="E1112" i="3"/>
  <c r="E1080" i="3"/>
  <c r="E1041" i="3"/>
  <c r="E705" i="3"/>
  <c r="E974" i="3"/>
  <c r="E942" i="3"/>
  <c r="E910" i="3"/>
  <c r="E878" i="3"/>
  <c r="E846" i="3"/>
  <c r="E814" i="3"/>
  <c r="E782" i="3"/>
  <c r="E717" i="3"/>
  <c r="E1029" i="3"/>
  <c r="E997" i="3"/>
  <c r="E965" i="3"/>
  <c r="E933" i="3"/>
  <c r="E901" i="3"/>
  <c r="E869" i="3"/>
  <c r="E837" i="3"/>
  <c r="E805" i="3"/>
  <c r="E773" i="3"/>
  <c r="E677" i="3"/>
  <c r="E724" i="3"/>
  <c r="E327" i="3"/>
  <c r="E996" i="3"/>
  <c r="E964" i="3"/>
  <c r="E932" i="3"/>
  <c r="E900" i="3"/>
  <c r="E868" i="3"/>
  <c r="E836" i="3"/>
  <c r="E804" i="3"/>
  <c r="E772" i="3"/>
  <c r="E669" i="3"/>
  <c r="E697" i="3"/>
  <c r="E1043" i="3"/>
  <c r="E1011" i="3"/>
  <c r="E979" i="3"/>
  <c r="E947" i="3"/>
  <c r="E915" i="3"/>
  <c r="E883" i="3"/>
  <c r="E851" i="3"/>
  <c r="E819" i="3"/>
  <c r="E787" i="3"/>
  <c r="E709" i="3"/>
  <c r="E760" i="3"/>
  <c r="E561" i="3"/>
  <c r="E434" i="3"/>
  <c r="E503" i="3"/>
  <c r="E227" i="3"/>
  <c r="E672" i="3"/>
  <c r="E640" i="3"/>
  <c r="E608" i="3"/>
  <c r="E576" i="3"/>
  <c r="E544" i="3"/>
  <c r="E483" i="3"/>
  <c r="E495" i="3"/>
  <c r="E767" i="3"/>
  <c r="E723" i="3"/>
  <c r="E659" i="3"/>
  <c r="E579" i="3"/>
  <c r="E518" i="3"/>
  <c r="E682" i="3"/>
  <c r="E317" i="3"/>
  <c r="E231" i="3"/>
  <c r="E153" i="3"/>
  <c r="E351" i="3"/>
  <c r="E278" i="3"/>
  <c r="E22" i="3"/>
  <c r="E120" i="3"/>
  <c r="E1831" i="3"/>
  <c r="E1804" i="3"/>
  <c r="E1721" i="3"/>
  <c r="E1773" i="3"/>
  <c r="E1805" i="3"/>
  <c r="E1467" i="3"/>
  <c r="E1539" i="3"/>
  <c r="E1726" i="3"/>
  <c r="E1543" i="3"/>
  <c r="E1690" i="3"/>
  <c r="E1762" i="3"/>
  <c r="E1794" i="3"/>
  <c r="E1826" i="3"/>
  <c r="E1858" i="3"/>
  <c r="E1483" i="3"/>
  <c r="E1686" i="3"/>
  <c r="E1702" i="3"/>
  <c r="E1380" i="3"/>
  <c r="E1211" i="3"/>
  <c r="E1423" i="3"/>
  <c r="E1299" i="3"/>
  <c r="E1040" i="3"/>
  <c r="E1618" i="3"/>
  <c r="E1586" i="3"/>
  <c r="E1554" i="3"/>
  <c r="E1522" i="3"/>
  <c r="E1490" i="3"/>
  <c r="E1458" i="3"/>
  <c r="E1399" i="3"/>
  <c r="E1335" i="3"/>
  <c r="E1135" i="3"/>
  <c r="E1413" i="3"/>
  <c r="E1227" i="3"/>
  <c r="E1665" i="3"/>
  <c r="E1633" i="3"/>
  <c r="E1601" i="3"/>
  <c r="E1569" i="3"/>
  <c r="E1537" i="3"/>
  <c r="E1505" i="3"/>
  <c r="E1473" i="3"/>
  <c r="E1435" i="3"/>
  <c r="E1371" i="3"/>
  <c r="E1287" i="3"/>
  <c r="E1014" i="3"/>
  <c r="E1376" i="3"/>
  <c r="E1123" i="3"/>
  <c r="E1728" i="3"/>
  <c r="E1696" i="3"/>
  <c r="E1664" i="3"/>
  <c r="E1632" i="3"/>
  <c r="E1600" i="3"/>
  <c r="E1568" i="3"/>
  <c r="E1536" i="3"/>
  <c r="E1504" i="3"/>
  <c r="E1472" i="3"/>
  <c r="E1434" i="3"/>
  <c r="E1370" i="3"/>
  <c r="E1215" i="3"/>
  <c r="E1049" i="3"/>
  <c r="E1310" i="3"/>
  <c r="E1278" i="3"/>
  <c r="E1246" i="3"/>
  <c r="E1214" i="3"/>
  <c r="E1182" i="3"/>
  <c r="E1150" i="3"/>
  <c r="E1118" i="3"/>
  <c r="E1086" i="3"/>
  <c r="E1044" i="3"/>
  <c r="E1030" i="3"/>
  <c r="E1381" i="3"/>
  <c r="E1349" i="3"/>
  <c r="E1317" i="3"/>
  <c r="E1285" i="3"/>
  <c r="E1253" i="3"/>
  <c r="E1221" i="3"/>
  <c r="E1189" i="3"/>
  <c r="E1157" i="3"/>
  <c r="E1125" i="3"/>
  <c r="E1093" i="3"/>
  <c r="E1061" i="3"/>
  <c r="E1018" i="3"/>
  <c r="E1300" i="3"/>
  <c r="E1268" i="3"/>
  <c r="E1236" i="3"/>
  <c r="E1204" i="3"/>
  <c r="E1172" i="3"/>
  <c r="E1140" i="3"/>
  <c r="E1108" i="3"/>
  <c r="E1076" i="3"/>
  <c r="E1034" i="3"/>
  <c r="E395" i="3"/>
  <c r="E970" i="3"/>
  <c r="E938" i="3"/>
  <c r="E906" i="3"/>
  <c r="E874" i="3"/>
  <c r="E842" i="3"/>
  <c r="E810" i="3"/>
  <c r="E778" i="3"/>
  <c r="E685" i="3"/>
  <c r="E1025" i="3"/>
  <c r="E993" i="3"/>
  <c r="E961" i="3"/>
  <c r="E929" i="3"/>
  <c r="E897" i="3"/>
  <c r="E865" i="3"/>
  <c r="E833" i="3"/>
  <c r="E801" i="3"/>
  <c r="E769" i="3"/>
  <c r="E645" i="3"/>
  <c r="E713" i="3"/>
  <c r="E1024" i="3"/>
  <c r="E992" i="3"/>
  <c r="E960" i="3"/>
  <c r="E928" i="3"/>
  <c r="E896" i="3"/>
  <c r="E864" i="3"/>
  <c r="E832" i="3"/>
  <c r="E800" i="3"/>
  <c r="E768" i="3"/>
  <c r="E637" i="3"/>
  <c r="E665" i="3"/>
  <c r="E1039" i="3"/>
  <c r="E1007" i="3"/>
  <c r="E975" i="3"/>
  <c r="E943" i="3"/>
  <c r="E911" i="3"/>
  <c r="E879" i="3"/>
  <c r="E847" i="3"/>
  <c r="E815" i="3"/>
  <c r="E783" i="3"/>
  <c r="E693" i="3"/>
  <c r="E753" i="3"/>
  <c r="E529" i="3"/>
  <c r="E426" i="3"/>
  <c r="E478" i="3"/>
  <c r="E700" i="3"/>
  <c r="E668" i="3"/>
  <c r="E636" i="3"/>
  <c r="E604" i="3"/>
  <c r="E572" i="3"/>
  <c r="E540" i="3"/>
  <c r="E458" i="3"/>
  <c r="E463" i="3"/>
  <c r="E763" i="3"/>
  <c r="E719" i="3"/>
  <c r="E655" i="3"/>
  <c r="E571" i="3"/>
  <c r="E427" i="3"/>
  <c r="E658" i="3"/>
  <c r="E207" i="3"/>
  <c r="E103" i="3"/>
  <c r="E324" i="3"/>
  <c r="E273" i="3"/>
  <c r="E246" i="3"/>
  <c r="E57" i="3"/>
  <c r="E88" i="3"/>
  <c r="E1863" i="3"/>
  <c r="E1599" i="3"/>
  <c r="E1837" i="3"/>
  <c r="E14" i="3"/>
  <c r="E1143" i="3"/>
  <c r="E1864" i="3"/>
  <c r="E1828" i="3"/>
  <c r="E1796" i="3"/>
  <c r="E1764" i="3"/>
  <c r="E1697" i="3"/>
  <c r="E1527" i="3"/>
  <c r="E19" i="3"/>
  <c r="E1678" i="3"/>
  <c r="E1175" i="3"/>
  <c r="E1855" i="3"/>
  <c r="E1823" i="3"/>
  <c r="E1791" i="3"/>
  <c r="E1759" i="3"/>
  <c r="E1682" i="3"/>
  <c r="E1519" i="3"/>
  <c r="E32" i="3"/>
  <c r="E64" i="3"/>
  <c r="E96" i="3"/>
  <c r="E128" i="3"/>
  <c r="E160" i="3"/>
  <c r="E192" i="3"/>
  <c r="E224" i="3"/>
  <c r="E256" i="3"/>
  <c r="E288" i="3"/>
  <c r="E33" i="3"/>
  <c r="E65" i="3"/>
  <c r="E30" i="3"/>
  <c r="E62" i="3"/>
  <c r="E94" i="3"/>
  <c r="E126" i="3"/>
  <c r="E158" i="3"/>
  <c r="E190" i="3"/>
  <c r="E222" i="3"/>
  <c r="E254" i="3"/>
  <c r="E286" i="3"/>
  <c r="E35" i="3"/>
  <c r="E67" i="3"/>
  <c r="E119" i="3"/>
  <c r="E247" i="3"/>
  <c r="E341" i="3"/>
  <c r="E177" i="3"/>
  <c r="E305" i="3"/>
  <c r="E364" i="3"/>
  <c r="E396" i="3"/>
  <c r="E428" i="3"/>
  <c r="E460" i="3"/>
  <c r="E492" i="3"/>
  <c r="E127" i="3"/>
  <c r="E255" i="3"/>
  <c r="E338" i="3"/>
  <c r="E185" i="3"/>
  <c r="E320" i="3"/>
  <c r="E373" i="3"/>
  <c r="E405" i="3"/>
  <c r="E437" i="3"/>
  <c r="E469" i="3"/>
  <c r="E501" i="3"/>
  <c r="E135" i="3"/>
  <c r="E263" i="3"/>
  <c r="E339" i="3"/>
  <c r="E161" i="3"/>
  <c r="E289" i="3"/>
  <c r="E362" i="3"/>
  <c r="E394" i="3"/>
  <c r="E111" i="3"/>
  <c r="E239" i="3"/>
  <c r="E331" i="3"/>
  <c r="E403" i="3"/>
  <c r="E530" i="3"/>
  <c r="E562" i="3"/>
  <c r="E594" i="3"/>
  <c r="E626" i="3"/>
  <c r="E1693" i="3"/>
  <c r="E1856" i="3"/>
  <c r="E1824" i="3"/>
  <c r="E1792" i="3"/>
  <c r="E1760" i="3"/>
  <c r="E1683" i="3"/>
  <c r="E1495" i="3"/>
  <c r="E1751" i="3"/>
  <c r="E1587" i="3"/>
  <c r="E1743" i="3"/>
  <c r="E1851" i="3"/>
  <c r="E1819" i="3"/>
  <c r="E1787" i="3"/>
  <c r="E1755" i="3"/>
  <c r="E1667" i="3"/>
  <c r="E1487" i="3"/>
  <c r="E36" i="3"/>
  <c r="E68" i="3"/>
  <c r="E100" i="3"/>
  <c r="E132" i="3"/>
  <c r="E164" i="3"/>
  <c r="E196" i="3"/>
  <c r="E228" i="3"/>
  <c r="E260" i="3"/>
  <c r="E292" i="3"/>
  <c r="E37" i="3"/>
  <c r="E69" i="3"/>
  <c r="E34" i="3"/>
  <c r="E66" i="3"/>
  <c r="E98" i="3"/>
  <c r="E130" i="3"/>
  <c r="E162" i="3"/>
  <c r="E194" i="3"/>
  <c r="E226" i="3"/>
  <c r="E258" i="3"/>
  <c r="E290" i="3"/>
  <c r="E39" i="3"/>
  <c r="E71" i="3"/>
  <c r="E125" i="3"/>
  <c r="E253" i="3"/>
  <c r="E346" i="3"/>
  <c r="E203" i="3"/>
  <c r="E310" i="3"/>
  <c r="E368" i="3"/>
  <c r="E400" i="3"/>
  <c r="E432" i="3"/>
  <c r="E464" i="3"/>
  <c r="E496" i="3"/>
  <c r="E133" i="3"/>
  <c r="E261" i="3"/>
  <c r="E347" i="3"/>
  <c r="E211" i="3"/>
  <c r="E329" i="3"/>
  <c r="E377" i="3"/>
  <c r="E409" i="3"/>
  <c r="E441" i="3"/>
  <c r="E473" i="3"/>
  <c r="E505" i="3"/>
  <c r="E141" i="3"/>
  <c r="E269" i="3"/>
  <c r="E348" i="3"/>
  <c r="E187" i="3"/>
  <c r="E312" i="3"/>
  <c r="E366" i="3"/>
  <c r="E398" i="3"/>
  <c r="E117" i="3"/>
  <c r="E245" i="3"/>
  <c r="E340" i="3"/>
  <c r="E442" i="3"/>
  <c r="E534" i="3"/>
  <c r="E566" i="3"/>
  <c r="E598" i="3"/>
  <c r="E630" i="3"/>
  <c r="E662" i="3"/>
  <c r="E694" i="3"/>
  <c r="E726" i="3"/>
  <c r="E758" i="3"/>
  <c r="E435" i="3"/>
  <c r="E345" i="3"/>
  <c r="E514" i="3"/>
  <c r="E551" i="3"/>
  <c r="E583" i="3"/>
  <c r="E615" i="3"/>
  <c r="E647" i="3"/>
  <c r="E679" i="3"/>
  <c r="E711" i="3"/>
  <c r="E743" i="3"/>
  <c r="E265" i="3"/>
  <c r="E470" i="3"/>
  <c r="E1639" i="3"/>
  <c r="E1852" i="3"/>
  <c r="E1820" i="3"/>
  <c r="E1788" i="3"/>
  <c r="E1756" i="3"/>
  <c r="E1674" i="3"/>
  <c r="E1463" i="3"/>
  <c r="E1742" i="3"/>
  <c r="E1555" i="3"/>
  <c r="E1725" i="3"/>
  <c r="E1847" i="3"/>
  <c r="E1815" i="3"/>
  <c r="E1783" i="3"/>
  <c r="E1746" i="3"/>
  <c r="E1662" i="3"/>
  <c r="E1455" i="3"/>
  <c r="E40" i="3"/>
  <c r="E72" i="3"/>
  <c r="E104" i="3"/>
  <c r="E136" i="3"/>
  <c r="E168" i="3"/>
  <c r="E200" i="3"/>
  <c r="E232" i="3"/>
  <c r="E264" i="3"/>
  <c r="E296" i="3"/>
  <c r="E41" i="3"/>
  <c r="E73" i="3"/>
  <c r="E38" i="3"/>
  <c r="E70" i="3"/>
  <c r="E102" i="3"/>
  <c r="E134" i="3"/>
  <c r="E166" i="3"/>
  <c r="E198" i="3"/>
  <c r="E230" i="3"/>
  <c r="E262" i="3"/>
  <c r="E294" i="3"/>
  <c r="E43" i="3"/>
  <c r="E75" i="3"/>
  <c r="E151" i="3"/>
  <c r="E279" i="3"/>
  <c r="E355" i="3"/>
  <c r="E209" i="3"/>
  <c r="E319" i="3"/>
  <c r="E372" i="3"/>
  <c r="E404" i="3"/>
  <c r="E436" i="3"/>
  <c r="E468" i="3"/>
  <c r="E500" i="3"/>
  <c r="E159" i="3"/>
  <c r="E287" i="3"/>
  <c r="E356" i="3"/>
  <c r="E217" i="3"/>
  <c r="E334" i="3"/>
  <c r="E381" i="3"/>
  <c r="E413" i="3"/>
  <c r="E445" i="3"/>
  <c r="E477" i="3"/>
  <c r="E509" i="3"/>
  <c r="E167" i="3"/>
  <c r="E295" i="3"/>
  <c r="E357" i="3"/>
  <c r="E193" i="3"/>
  <c r="E321" i="3"/>
  <c r="E370" i="3"/>
  <c r="E402" i="3"/>
  <c r="E143" i="3"/>
  <c r="E271" i="3"/>
  <c r="E349" i="3"/>
  <c r="E467" i="3"/>
  <c r="E538" i="3"/>
  <c r="E570" i="3"/>
  <c r="E602" i="3"/>
  <c r="E634" i="3"/>
  <c r="E666" i="3"/>
  <c r="E698" i="3"/>
  <c r="E730" i="3"/>
  <c r="E762" i="3"/>
  <c r="E455" i="3"/>
  <c r="E379" i="3"/>
  <c r="E523" i="3"/>
  <c r="E555" i="3"/>
  <c r="E587" i="3"/>
  <c r="E619" i="3"/>
  <c r="E651" i="3"/>
  <c r="E683" i="3"/>
  <c r="E715" i="3"/>
  <c r="E1631" i="3"/>
  <c r="E1848" i="3"/>
  <c r="E1816" i="3"/>
  <c r="E1784" i="3"/>
  <c r="E1747" i="3"/>
  <c r="E1663" i="3"/>
  <c r="E1390" i="3"/>
  <c r="E1733" i="3"/>
  <c r="E1523" i="3"/>
  <c r="E1679" i="3"/>
  <c r="E1843" i="3"/>
  <c r="E1811" i="3"/>
  <c r="E1779" i="3"/>
  <c r="E1737" i="3"/>
  <c r="E1651" i="3"/>
  <c r="E1419" i="3"/>
  <c r="E44" i="3"/>
  <c r="E76" i="3"/>
  <c r="E108" i="3"/>
  <c r="E140" i="3"/>
  <c r="E172" i="3"/>
  <c r="E204" i="3"/>
  <c r="E236" i="3"/>
  <c r="E268" i="3"/>
  <c r="E300" i="3"/>
  <c r="E45" i="3"/>
  <c r="E77" i="3"/>
  <c r="E42" i="3"/>
  <c r="E74" i="3"/>
  <c r="E106" i="3"/>
  <c r="E138" i="3"/>
  <c r="E170" i="3"/>
  <c r="E202" i="3"/>
  <c r="E234" i="3"/>
  <c r="E266" i="3"/>
  <c r="E298" i="3"/>
  <c r="E47" i="3"/>
  <c r="E79" i="3"/>
  <c r="E157" i="3"/>
  <c r="E285" i="3"/>
  <c r="E107" i="3"/>
  <c r="E235" i="3"/>
  <c r="E328" i="3"/>
  <c r="E376" i="3"/>
  <c r="E408" i="3"/>
  <c r="E440" i="3"/>
  <c r="E472" i="3"/>
  <c r="E504" i="3"/>
  <c r="E165" i="3"/>
  <c r="E293" i="3"/>
  <c r="E115" i="3"/>
  <c r="E243" i="3"/>
  <c r="E343" i="3"/>
  <c r="E385" i="3"/>
  <c r="E417" i="3"/>
  <c r="E449" i="3"/>
  <c r="E481" i="3"/>
  <c r="E513" i="3"/>
  <c r="E173" i="3"/>
  <c r="E301" i="3"/>
  <c r="E89" i="3"/>
  <c r="E219" i="3"/>
  <c r="E326" i="3"/>
  <c r="E374" i="3"/>
  <c r="E406" i="3"/>
  <c r="E149" i="3"/>
  <c r="E277" i="3"/>
  <c r="E354" i="3"/>
  <c r="E474" i="3"/>
  <c r="E542" i="3"/>
  <c r="E574" i="3"/>
  <c r="E606" i="3"/>
  <c r="E638" i="3"/>
  <c r="E670" i="3"/>
  <c r="E702" i="3"/>
  <c r="E734" i="3"/>
  <c r="E766" i="3"/>
  <c r="E462" i="3"/>
  <c r="E411" i="3"/>
  <c r="E527" i="3"/>
  <c r="E1595" i="3"/>
  <c r="E1844" i="3"/>
  <c r="E1812" i="3"/>
  <c r="E1780" i="3"/>
  <c r="E1738" i="3"/>
  <c r="E1658" i="3"/>
  <c r="E1347" i="3"/>
  <c r="E1719" i="3"/>
  <c r="E1491" i="3"/>
  <c r="E1395" i="3"/>
  <c r="E1839" i="3"/>
  <c r="E1807" i="3"/>
  <c r="E1775" i="3"/>
  <c r="E1723" i="3"/>
  <c r="E1627" i="3"/>
  <c r="E1379" i="3"/>
  <c r="E48" i="3"/>
  <c r="E80" i="3"/>
  <c r="E112" i="3"/>
  <c r="E144" i="3"/>
  <c r="E176" i="3"/>
  <c r="E208" i="3"/>
  <c r="E240" i="3"/>
  <c r="E272" i="3"/>
  <c r="E304" i="3"/>
  <c r="E49" i="3"/>
  <c r="E81" i="3"/>
  <c r="E46" i="3"/>
  <c r="E78" i="3"/>
  <c r="E110" i="3"/>
  <c r="E142" i="3"/>
  <c r="E174" i="3"/>
  <c r="E206" i="3"/>
  <c r="E238" i="3"/>
  <c r="E270" i="3"/>
  <c r="E302" i="3"/>
  <c r="E51" i="3"/>
  <c r="E83" i="3"/>
  <c r="E183" i="3"/>
  <c r="E309" i="3"/>
  <c r="E113" i="3"/>
  <c r="E241" i="3"/>
  <c r="E337" i="3"/>
  <c r="E380" i="3"/>
  <c r="E412" i="3"/>
  <c r="E444" i="3"/>
  <c r="E476" i="3"/>
  <c r="E508" i="3"/>
  <c r="E191" i="3"/>
  <c r="E306" i="3"/>
  <c r="E121" i="3"/>
  <c r="E249" i="3"/>
  <c r="E352" i="3"/>
  <c r="E389" i="3"/>
  <c r="E421" i="3"/>
  <c r="E453" i="3"/>
  <c r="E485" i="3"/>
  <c r="E517" i="3"/>
  <c r="E199" i="3"/>
  <c r="E307" i="3"/>
  <c r="E97" i="3"/>
  <c r="E225" i="3"/>
  <c r="E335" i="3"/>
  <c r="E378" i="3"/>
  <c r="E410" i="3"/>
  <c r="E175" i="3"/>
  <c r="E303" i="3"/>
  <c r="E195" i="3"/>
  <c r="E499" i="3"/>
  <c r="E546" i="3"/>
  <c r="E578" i="3"/>
  <c r="E610" i="3"/>
  <c r="E642" i="3"/>
  <c r="E674" i="3"/>
  <c r="E706" i="3"/>
  <c r="E738" i="3"/>
  <c r="E99" i="3"/>
  <c r="E487" i="3"/>
  <c r="E443" i="3"/>
  <c r="E531" i="3"/>
  <c r="E563" i="3"/>
  <c r="E595" i="3"/>
  <c r="E627" i="3"/>
  <c r="E1563" i="3"/>
  <c r="E1840" i="3"/>
  <c r="E1808" i="3"/>
  <c r="E1776" i="3"/>
  <c r="E1729" i="3"/>
  <c r="E1619" i="3"/>
  <c r="E1207" i="3"/>
  <c r="E1710" i="3"/>
  <c r="E1459" i="3"/>
  <c r="E1860" i="3"/>
  <c r="E1835" i="3"/>
  <c r="E1803" i="3"/>
  <c r="E1771" i="3"/>
  <c r="E1714" i="3"/>
  <c r="E1615" i="3"/>
  <c r="E20" i="3"/>
  <c r="E52" i="3"/>
  <c r="E84" i="3"/>
  <c r="E116" i="3"/>
  <c r="E148" i="3"/>
  <c r="E180" i="3"/>
  <c r="E212" i="3"/>
  <c r="E244" i="3"/>
  <c r="E276" i="3"/>
  <c r="E21" i="3"/>
  <c r="E53" i="3"/>
  <c r="E85" i="3"/>
  <c r="E50" i="3"/>
  <c r="E82" i="3"/>
  <c r="E114" i="3"/>
  <c r="E146" i="3"/>
  <c r="E178" i="3"/>
  <c r="E210" i="3"/>
  <c r="E242" i="3"/>
  <c r="E274" i="3"/>
  <c r="E23" i="3"/>
  <c r="E55" i="3"/>
  <c r="E87" i="3"/>
  <c r="E189" i="3"/>
  <c r="E314" i="3"/>
  <c r="E139" i="3"/>
  <c r="E267" i="3"/>
  <c r="E342" i="3"/>
  <c r="E384" i="3"/>
  <c r="E416" i="3"/>
  <c r="E448" i="3"/>
  <c r="E480" i="3"/>
  <c r="E512" i="3"/>
  <c r="E197" i="3"/>
  <c r="E315" i="3"/>
  <c r="E147" i="3"/>
  <c r="E275" i="3"/>
  <c r="E361" i="3"/>
  <c r="E393" i="3"/>
  <c r="E425" i="3"/>
  <c r="E457" i="3"/>
  <c r="E489" i="3"/>
  <c r="E521" i="3"/>
  <c r="E205" i="3"/>
  <c r="E316" i="3"/>
  <c r="E123" i="3"/>
  <c r="E251" i="3"/>
  <c r="E344" i="3"/>
  <c r="E382" i="3"/>
  <c r="E414" i="3"/>
  <c r="E181" i="3"/>
  <c r="E308" i="3"/>
  <c r="E297" i="3"/>
  <c r="E506" i="3"/>
  <c r="E550" i="3"/>
  <c r="E582" i="3"/>
  <c r="E614" i="3"/>
  <c r="E646" i="3"/>
  <c r="E678" i="3"/>
  <c r="E710" i="3"/>
  <c r="E742" i="3"/>
  <c r="E201" i="3"/>
  <c r="E494" i="3"/>
  <c r="E450" i="3"/>
  <c r="E535" i="3"/>
  <c r="E567" i="3"/>
  <c r="E599" i="3"/>
  <c r="E631" i="3"/>
  <c r="E663" i="3"/>
  <c r="E695" i="3"/>
  <c r="E727" i="3"/>
  <c r="E759" i="3"/>
  <c r="E415" i="3"/>
  <c r="E169" i="3"/>
  <c r="E1499" i="3"/>
  <c r="E1832" i="3"/>
  <c r="E1800" i="3"/>
  <c r="E1768" i="3"/>
  <c r="E1706" i="3"/>
  <c r="E1559" i="3"/>
  <c r="E1433" i="3"/>
  <c r="E1687" i="3"/>
  <c r="E1342" i="3"/>
  <c r="E1859" i="3"/>
  <c r="E1827" i="3"/>
  <c r="E1795" i="3"/>
  <c r="E1763" i="3"/>
  <c r="E1691" i="3"/>
  <c r="E1551" i="3"/>
  <c r="E28" i="3"/>
  <c r="E60" i="3"/>
  <c r="E92" i="3"/>
  <c r="E124" i="3"/>
  <c r="E156" i="3"/>
  <c r="E188" i="3"/>
  <c r="E220" i="3"/>
  <c r="E252" i="3"/>
  <c r="E284" i="3"/>
  <c r="E29" i="3"/>
  <c r="E61" i="3"/>
  <c r="E26" i="3"/>
  <c r="E58" i="3"/>
  <c r="E90" i="3"/>
  <c r="E122" i="3"/>
  <c r="E154" i="3"/>
  <c r="E186" i="3"/>
  <c r="E218" i="3"/>
  <c r="E250" i="3"/>
  <c r="E282" i="3"/>
  <c r="E31" i="3"/>
  <c r="E63" i="3"/>
  <c r="E93" i="3"/>
  <c r="E221" i="3"/>
  <c r="E332" i="3"/>
  <c r="E171" i="3"/>
  <c r="E299" i="3"/>
  <c r="E360" i="3"/>
  <c r="E392" i="3"/>
  <c r="E424" i="3"/>
  <c r="E456" i="3"/>
  <c r="E488" i="3"/>
  <c r="E101" i="3"/>
  <c r="E229" i="3"/>
  <c r="E333" i="3"/>
  <c r="E179" i="3"/>
  <c r="E311" i="3"/>
  <c r="E369" i="3"/>
  <c r="E401" i="3"/>
  <c r="E433" i="3"/>
  <c r="E465" i="3"/>
  <c r="E497" i="3"/>
  <c r="E109" i="3"/>
  <c r="E237" i="3"/>
  <c r="E330" i="3"/>
  <c r="E155" i="3"/>
  <c r="E283" i="3"/>
  <c r="E358" i="3"/>
  <c r="E390" i="3"/>
  <c r="E422" i="3"/>
  <c r="E213" i="3"/>
  <c r="E322" i="3"/>
  <c r="E371" i="3"/>
  <c r="E526" i="3"/>
  <c r="E558" i="3"/>
  <c r="E590" i="3"/>
  <c r="E622" i="3"/>
  <c r="E654" i="3"/>
  <c r="E686" i="3"/>
  <c r="E718" i="3"/>
  <c r="E750" i="3"/>
  <c r="E407" i="3"/>
  <c r="E105" i="3"/>
  <c r="E482" i="3"/>
  <c r="E543" i="3"/>
  <c r="E575" i="3"/>
  <c r="E607" i="3"/>
  <c r="E639" i="3"/>
  <c r="E671" i="3"/>
  <c r="E703" i="3"/>
  <c r="E1654" i="3"/>
  <c r="E1730" i="3"/>
  <c r="E1777" i="3"/>
  <c r="E1809" i="3"/>
  <c r="E1841" i="3"/>
  <c r="E1734" i="3"/>
  <c r="E1571" i="3"/>
  <c r="E1735" i="3"/>
  <c r="E1575" i="3"/>
  <c r="E1699" i="3"/>
  <c r="E1766" i="3"/>
  <c r="E1798" i="3"/>
  <c r="E1830" i="3"/>
  <c r="E1862" i="3"/>
  <c r="E1515" i="3"/>
  <c r="E1695" i="3"/>
  <c r="E1447" i="3"/>
  <c r="E1364" i="3"/>
  <c r="E1179" i="3"/>
  <c r="E1414" i="3"/>
  <c r="E1267" i="3"/>
  <c r="E1646" i="3"/>
  <c r="E1614" i="3"/>
  <c r="E1582" i="3"/>
  <c r="E1550" i="3"/>
  <c r="E1518" i="3"/>
  <c r="E1486" i="3"/>
  <c r="E1454" i="3"/>
  <c r="E1394" i="3"/>
  <c r="E1330" i="3"/>
  <c r="E1103" i="3"/>
  <c r="E1404" i="3"/>
  <c r="E1195" i="3"/>
  <c r="E1661" i="3"/>
  <c r="E1629" i="3"/>
  <c r="E1597" i="3"/>
  <c r="E1565" i="3"/>
  <c r="E1533" i="3"/>
  <c r="E1501" i="3"/>
  <c r="E1469" i="3"/>
  <c r="E1426" i="3"/>
  <c r="E1366" i="3"/>
  <c r="E1255" i="3"/>
  <c r="E1444" i="3"/>
  <c r="E1360" i="3"/>
  <c r="E1091" i="3"/>
  <c r="E1724" i="3"/>
  <c r="E1692" i="3"/>
  <c r="E1660" i="3"/>
  <c r="E1628" i="3"/>
  <c r="E1596" i="3"/>
  <c r="E1564" i="3"/>
  <c r="E1532" i="3"/>
  <c r="E1500" i="3"/>
  <c r="E1468" i="3"/>
  <c r="E1425" i="3"/>
  <c r="E1359" i="3"/>
  <c r="E1183" i="3"/>
  <c r="E1038" i="3"/>
  <c r="E1306" i="3"/>
  <c r="E1274" i="3"/>
  <c r="E1242" i="3"/>
  <c r="E1210" i="3"/>
  <c r="E1178" i="3"/>
  <c r="E1146" i="3"/>
  <c r="E1114" i="3"/>
  <c r="E1082" i="3"/>
  <c r="E1032" i="3"/>
  <c r="E1010" i="3"/>
  <c r="E1377" i="3"/>
  <c r="E1345" i="3"/>
  <c r="E1313" i="3"/>
  <c r="E1281" i="3"/>
  <c r="E1249" i="3"/>
  <c r="E1217" i="3"/>
  <c r="E1185" i="3"/>
  <c r="E1153" i="3"/>
  <c r="E1121" i="3"/>
  <c r="E1089" i="3"/>
  <c r="E1052" i="3"/>
  <c r="E1328" i="3"/>
  <c r="E1296" i="3"/>
  <c r="E1264" i="3"/>
  <c r="E1232" i="3"/>
  <c r="E1200" i="3"/>
  <c r="E1168" i="3"/>
  <c r="E1136" i="3"/>
  <c r="E1104" i="3"/>
  <c r="E1072" i="3"/>
  <c r="E1028" i="3"/>
  <c r="E998" i="3"/>
  <c r="E966" i="3"/>
  <c r="E934" i="3"/>
  <c r="E902" i="3"/>
  <c r="E870" i="3"/>
  <c r="E838" i="3"/>
  <c r="E806" i="3"/>
  <c r="E774" i="3"/>
  <c r="E653" i="3"/>
  <c r="E1021" i="3"/>
  <c r="E989" i="3"/>
  <c r="E957" i="3"/>
  <c r="E925" i="3"/>
  <c r="E893" i="3"/>
  <c r="E861" i="3"/>
  <c r="E829" i="3"/>
  <c r="E797" i="3"/>
  <c r="E764" i="3"/>
  <c r="E613" i="3"/>
  <c r="E673" i="3"/>
  <c r="E1020" i="3"/>
  <c r="E988" i="3"/>
  <c r="E956" i="3"/>
  <c r="E924" i="3"/>
  <c r="E892" i="3"/>
  <c r="E860" i="3"/>
  <c r="E828" i="3"/>
  <c r="E796" i="3"/>
  <c r="E756" i="3"/>
  <c r="E605" i="3"/>
  <c r="E633" i="3"/>
  <c r="E1035" i="3"/>
  <c r="E1003" i="3"/>
  <c r="E971" i="3"/>
  <c r="E939" i="3"/>
  <c r="E907" i="3"/>
  <c r="E875" i="3"/>
  <c r="E843" i="3"/>
  <c r="E811" i="3"/>
  <c r="E779" i="3"/>
  <c r="E661" i="3"/>
  <c r="E729" i="3"/>
  <c r="E131" i="3"/>
  <c r="E399" i="3"/>
  <c r="E471" i="3"/>
  <c r="E696" i="3"/>
  <c r="E664" i="3"/>
  <c r="E632" i="3"/>
  <c r="E600" i="3"/>
  <c r="E568" i="3"/>
  <c r="E536" i="3"/>
  <c r="E451" i="3"/>
  <c r="E438" i="3"/>
  <c r="E755" i="3"/>
  <c r="E707" i="3"/>
  <c r="E643" i="3"/>
  <c r="E559" i="3"/>
  <c r="E375" i="3"/>
  <c r="E650" i="3"/>
  <c r="E418" i="3"/>
  <c r="E493" i="3"/>
  <c r="E223" i="3"/>
  <c r="E145" i="3"/>
  <c r="E214" i="3"/>
  <c r="E25" i="3"/>
  <c r="E56" i="3"/>
  <c r="E1424" i="3"/>
  <c r="E1531" i="3"/>
  <c r="F13" i="3"/>
  <c r="E8" i="3"/>
  <c r="F9" i="3"/>
  <c r="E9" i="3"/>
  <c r="F14" i="3"/>
  <c r="F8" i="3"/>
  <c r="E4" i="3"/>
  <c r="F3" i="3"/>
  <c r="E13" i="3"/>
  <c r="C35" i="1"/>
  <c r="C36" i="1"/>
  <c r="C37" i="1"/>
  <c r="C38" i="1"/>
  <c r="C39" i="1"/>
  <c r="C40" i="1"/>
  <c r="C41" i="1"/>
  <c r="C42" i="1"/>
  <c r="C43" i="1"/>
  <c r="C44" i="1"/>
  <c r="C45" i="1"/>
  <c r="C34" i="1"/>
  <c r="S99" i="1" l="1"/>
  <c r="R99" i="1"/>
  <c r="Q99" i="1"/>
  <c r="P100" i="1"/>
  <c r="S100" i="1" s="1"/>
  <c r="P99" i="1"/>
  <c r="Q100" i="1" l="1"/>
  <c r="R100" i="1"/>
  <c r="E25" i="1" l="1"/>
  <c r="S6" i="1"/>
  <c r="S13" i="1" s="1"/>
  <c r="S4" i="1"/>
  <c r="S14" i="1" s="1"/>
  <c r="S11" i="1"/>
  <c r="S15" i="1" l="1"/>
  <c r="S16" i="1" s="1"/>
  <c r="S19" i="1" l="1"/>
  <c r="S20" i="1"/>
  <c r="S17" i="1"/>
  <c r="S18" i="1"/>
  <c r="F53" i="1"/>
  <c r="E120" i="1" l="1"/>
  <c r="W131" i="1" l="1"/>
  <c r="O119" i="1"/>
  <c r="O120" i="1" s="1"/>
  <c r="P119" i="1"/>
  <c r="P120" i="1" s="1"/>
  <c r="C490" i="1"/>
  <c r="B490" i="1"/>
  <c r="D490" i="1" s="1"/>
  <c r="Q120" i="1" l="1"/>
  <c r="C14" i="1"/>
  <c r="C15" i="1"/>
  <c r="C16" i="1"/>
  <c r="C17" i="1"/>
  <c r="C18" i="1"/>
  <c r="C19" i="1"/>
  <c r="C20" i="1"/>
  <c r="C21" i="1"/>
  <c r="C22" i="1"/>
  <c r="C23" i="1"/>
  <c r="C24" i="1"/>
  <c r="C13" i="1"/>
  <c r="G115" i="1"/>
  <c r="G114" i="1"/>
  <c r="D97" i="1"/>
  <c r="C97" i="1"/>
  <c r="B85" i="1"/>
  <c r="B3" i="1"/>
  <c r="C25" i="1" l="1"/>
  <c r="D25" i="1" s="1"/>
  <c r="J117" i="1"/>
  <c r="J118" i="1"/>
  <c r="Q129" i="1" s="1"/>
  <c r="B98" i="1"/>
  <c r="B4" i="1"/>
  <c r="A75" i="1"/>
  <c r="A109" i="1" s="1"/>
  <c r="B75" i="1"/>
  <c r="A65" i="1"/>
  <c r="A99" i="1" s="1"/>
  <c r="B65" i="1"/>
  <c r="A66" i="1"/>
  <c r="A100" i="1" s="1"/>
  <c r="B66" i="1"/>
  <c r="A67" i="1"/>
  <c r="A101" i="1" s="1"/>
  <c r="B67" i="1"/>
  <c r="A68" i="1"/>
  <c r="A102" i="1" s="1"/>
  <c r="B68" i="1"/>
  <c r="A69" i="1"/>
  <c r="A103" i="1" s="1"/>
  <c r="B69" i="1"/>
  <c r="A70" i="1"/>
  <c r="A104" i="1" s="1"/>
  <c r="B70" i="1"/>
  <c r="A71" i="1"/>
  <c r="A105" i="1" s="1"/>
  <c r="B71" i="1"/>
  <c r="A72" i="1"/>
  <c r="A106" i="1" s="1"/>
  <c r="B72" i="1"/>
  <c r="A73" i="1"/>
  <c r="A107" i="1" s="1"/>
  <c r="B73" i="1"/>
  <c r="A74" i="1"/>
  <c r="A108" i="1" s="1"/>
  <c r="B74" i="1"/>
  <c r="B64" i="1"/>
  <c r="A64" i="1"/>
  <c r="A98" i="1" s="1"/>
  <c r="H7" i="1"/>
  <c r="G7" i="1"/>
  <c r="A35" i="1"/>
  <c r="A36" i="1"/>
  <c r="A37" i="1"/>
  <c r="A38" i="1"/>
  <c r="A39" i="1"/>
  <c r="A40" i="1"/>
  <c r="A41" i="1"/>
  <c r="A42" i="1"/>
  <c r="A43" i="1"/>
  <c r="A44" i="1"/>
  <c r="A45" i="1"/>
  <c r="A34" i="1"/>
  <c r="B28" i="1"/>
  <c r="B29" i="1" s="1"/>
  <c r="B103" i="1"/>
  <c r="B104" i="1"/>
  <c r="B105" i="1"/>
  <c r="C72" i="1"/>
  <c r="B107" i="1"/>
  <c r="C74" i="1"/>
  <c r="C75" i="1"/>
  <c r="B34" i="1"/>
  <c r="T34" i="1" s="1"/>
  <c r="F25" i="1" l="1"/>
  <c r="U34" i="1"/>
  <c r="V34" i="1"/>
  <c r="J19" i="3"/>
  <c r="S111" i="1"/>
  <c r="V111" i="1" s="1"/>
  <c r="D120" i="1"/>
  <c r="V131" i="1" s="1"/>
  <c r="F75" i="1"/>
  <c r="G75" i="1"/>
  <c r="B30" i="1"/>
  <c r="B43" i="1"/>
  <c r="T43" i="1" s="1"/>
  <c r="C70" i="1"/>
  <c r="B38" i="1"/>
  <c r="B102" i="1"/>
  <c r="C69" i="1"/>
  <c r="B37" i="1"/>
  <c r="B101" i="1"/>
  <c r="B44" i="1"/>
  <c r="B108" i="1"/>
  <c r="F108" i="1" s="1"/>
  <c r="B35" i="1"/>
  <c r="B99" i="1"/>
  <c r="B40" i="1"/>
  <c r="B45" i="1"/>
  <c r="B109" i="1"/>
  <c r="F109" i="1" s="1"/>
  <c r="B36" i="1"/>
  <c r="B100" i="1"/>
  <c r="B41" i="1"/>
  <c r="C71" i="1"/>
  <c r="B42" i="1"/>
  <c r="B106" i="1"/>
  <c r="B39" i="1"/>
  <c r="C73" i="1"/>
  <c r="C68" i="1"/>
  <c r="C67" i="1"/>
  <c r="C66" i="1"/>
  <c r="C65" i="1"/>
  <c r="C64" i="1"/>
  <c r="D34" i="1"/>
  <c r="E34" i="1" s="1"/>
  <c r="E6" i="1"/>
  <c r="E5" i="1"/>
  <c r="D5" i="1"/>
  <c r="D4" i="1"/>
  <c r="D45" i="1" l="1"/>
  <c r="E45" i="1" s="1"/>
  <c r="T45" i="1"/>
  <c r="D37" i="1"/>
  <c r="E37" i="1" s="1"/>
  <c r="T37" i="1"/>
  <c r="D42" i="1"/>
  <c r="E42" i="1" s="1"/>
  <c r="T42" i="1"/>
  <c r="D35" i="1"/>
  <c r="F35" i="1" s="1"/>
  <c r="T35" i="1"/>
  <c r="D39" i="1"/>
  <c r="E39" i="1" s="1"/>
  <c r="T39" i="1"/>
  <c r="D40" i="1"/>
  <c r="E40" i="1" s="1"/>
  <c r="T40" i="1"/>
  <c r="D38" i="1"/>
  <c r="E38" i="1" s="1"/>
  <c r="T38" i="1"/>
  <c r="D41" i="1"/>
  <c r="F41" i="1" s="1"/>
  <c r="T41" i="1"/>
  <c r="V43" i="1"/>
  <c r="U43" i="1"/>
  <c r="D44" i="1"/>
  <c r="F44" i="1" s="1"/>
  <c r="T44" i="1"/>
  <c r="D36" i="1"/>
  <c r="F36" i="1" s="1"/>
  <c r="T36" i="1"/>
  <c r="U111" i="1"/>
  <c r="T111" i="1"/>
  <c r="M19" i="3"/>
  <c r="L19" i="3"/>
  <c r="B31" i="1"/>
  <c r="G3" i="1"/>
  <c r="H3" i="1" s="1"/>
  <c r="F34" i="1"/>
  <c r="D43" i="1"/>
  <c r="E43" i="1" s="1"/>
  <c r="F40" i="1" l="1"/>
  <c r="F37" i="1"/>
  <c r="T46" i="1"/>
  <c r="E44" i="1"/>
  <c r="F45" i="1"/>
  <c r="F39" i="1"/>
  <c r="F38" i="1"/>
  <c r="F42" i="1"/>
  <c r="U35" i="1"/>
  <c r="V35" i="1"/>
  <c r="U38" i="1"/>
  <c r="V38" i="1"/>
  <c r="V36" i="1"/>
  <c r="U36" i="1"/>
  <c r="E41" i="1"/>
  <c r="U44" i="1"/>
  <c r="V44" i="1"/>
  <c r="U40" i="1"/>
  <c r="V40" i="1"/>
  <c r="V37" i="1"/>
  <c r="U37" i="1"/>
  <c r="E36" i="1"/>
  <c r="U41" i="1"/>
  <c r="V41" i="1"/>
  <c r="U39" i="1"/>
  <c r="V39" i="1"/>
  <c r="V45" i="1"/>
  <c r="U45" i="1"/>
  <c r="U42" i="1"/>
  <c r="V42" i="1"/>
  <c r="E35" i="1"/>
  <c r="W111" i="1"/>
  <c r="D46" i="1"/>
  <c r="B48" i="1" s="1"/>
  <c r="H117" i="1" s="1"/>
  <c r="F43" i="1"/>
  <c r="F46" i="1" l="1"/>
  <c r="B50" i="1" s="1"/>
  <c r="D49" i="1" s="1"/>
  <c r="A60" i="1" s="1"/>
  <c r="V46" i="1"/>
  <c r="U46" i="1"/>
  <c r="V48" i="1" s="1"/>
  <c r="E46" i="1"/>
  <c r="B49" i="1" s="1"/>
  <c r="E49" i="1" s="1"/>
  <c r="B60" i="1" s="1"/>
  <c r="U48" i="1" l="1"/>
  <c r="C60" i="1"/>
  <c r="B91" i="1" s="1"/>
  <c r="D60" i="1"/>
  <c r="C91" i="1" s="1"/>
  <c r="B57" i="1"/>
  <c r="B58" i="1"/>
  <c r="B61" i="1"/>
  <c r="E67" i="1"/>
  <c r="A59" i="1"/>
  <c r="E74" i="1"/>
  <c r="D65" i="1"/>
  <c r="E75" i="1"/>
  <c r="D73" i="1"/>
  <c r="B59" i="1"/>
  <c r="E69" i="1"/>
  <c r="E68" i="1"/>
  <c r="E65" i="1"/>
  <c r="E72" i="1"/>
  <c r="A61" i="1"/>
  <c r="D72" i="1"/>
  <c r="D70" i="1"/>
  <c r="D71" i="1"/>
  <c r="D69" i="1"/>
  <c r="D66" i="1"/>
  <c r="A57" i="1"/>
  <c r="A58" i="1"/>
  <c r="D64" i="1"/>
  <c r="D68" i="1"/>
  <c r="D67" i="1"/>
  <c r="D74" i="1"/>
  <c r="D75" i="1"/>
  <c r="E64" i="1"/>
  <c r="E73" i="1"/>
  <c r="E70" i="1"/>
  <c r="E66" i="1"/>
  <c r="E71" i="1"/>
  <c r="F64" i="1" l="1"/>
  <c r="C98" i="1" s="1"/>
  <c r="F74" i="1"/>
  <c r="C108" i="1" s="1"/>
  <c r="G74" i="1"/>
  <c r="D108" i="1" s="1"/>
  <c r="F73" i="1"/>
  <c r="C107" i="1" s="1"/>
  <c r="G73" i="1"/>
  <c r="D107" i="1" s="1"/>
  <c r="F72" i="1"/>
  <c r="C106" i="1" s="1"/>
  <c r="G72" i="1"/>
  <c r="D106" i="1" s="1"/>
  <c r="F71" i="1"/>
  <c r="C105" i="1" s="1"/>
  <c r="G71" i="1"/>
  <c r="D105" i="1" s="1"/>
  <c r="F70" i="1"/>
  <c r="C104" i="1" s="1"/>
  <c r="G70" i="1"/>
  <c r="D104" i="1" s="1"/>
  <c r="F66" i="1"/>
  <c r="C100" i="1" s="1"/>
  <c r="G66" i="1"/>
  <c r="D100" i="1" s="1"/>
  <c r="F69" i="1"/>
  <c r="C103" i="1" s="1"/>
  <c r="G69" i="1"/>
  <c r="D103" i="1" s="1"/>
  <c r="G67" i="1"/>
  <c r="D101" i="1" s="1"/>
  <c r="G68" i="1"/>
  <c r="D102" i="1" s="1"/>
  <c r="G65" i="1"/>
  <c r="D99" i="1" s="1"/>
  <c r="F67" i="1"/>
  <c r="C101" i="1" s="1"/>
  <c r="G64" i="1"/>
  <c r="F68" i="1"/>
  <c r="C102" i="1" s="1"/>
  <c r="F65" i="1"/>
  <c r="C99" i="1" s="1"/>
  <c r="D61" i="1"/>
  <c r="E91" i="1" s="1"/>
  <c r="C58" i="1"/>
  <c r="D58" i="1"/>
  <c r="C57" i="1"/>
  <c r="C59" i="1"/>
  <c r="D89" i="1" s="1"/>
  <c r="D59" i="1"/>
  <c r="C61" i="1"/>
  <c r="D91" i="1" s="1"/>
  <c r="D57" i="1"/>
  <c r="C109" i="1"/>
  <c r="D109" i="1"/>
  <c r="D90" i="1"/>
  <c r="E90" i="1"/>
  <c r="S80" i="1" l="1"/>
  <c r="S81" i="1" s="1"/>
  <c r="S79" i="1"/>
  <c r="S78" i="1" s="1"/>
  <c r="C88" i="1"/>
  <c r="G76" i="1"/>
  <c r="D98" i="1"/>
  <c r="T59" i="1"/>
  <c r="D83" i="1"/>
  <c r="B90" i="1"/>
  <c r="B88" i="1"/>
  <c r="G91" i="1"/>
  <c r="G58" i="1"/>
  <c r="E88" i="1"/>
  <c r="C89" i="1"/>
  <c r="D79" i="1"/>
  <c r="G57" i="1"/>
  <c r="E89" i="1"/>
  <c r="C90" i="1"/>
  <c r="D88" i="1"/>
  <c r="B89" i="1"/>
  <c r="D78" i="1"/>
  <c r="D82" i="1"/>
  <c r="T67" i="1" l="1"/>
  <c r="G78" i="1"/>
  <c r="E98" i="1"/>
  <c r="F98" i="1" s="1"/>
  <c r="E103" i="1"/>
  <c r="F103" i="1" s="1"/>
  <c r="U59" i="1"/>
  <c r="U60" i="1" s="1"/>
  <c r="T60" i="1"/>
  <c r="G88" i="1"/>
  <c r="G90" i="1"/>
  <c r="E108" i="1"/>
  <c r="E106" i="1"/>
  <c r="F106" i="1" s="1"/>
  <c r="E100" i="1"/>
  <c r="F100" i="1" s="1"/>
  <c r="E105" i="1"/>
  <c r="F105" i="1" s="1"/>
  <c r="E102" i="1"/>
  <c r="F102" i="1" s="1"/>
  <c r="E104" i="1"/>
  <c r="F104" i="1" s="1"/>
  <c r="E107" i="1"/>
  <c r="F107" i="1" s="1"/>
  <c r="E109" i="1"/>
  <c r="E99" i="1"/>
  <c r="F99" i="1" s="1"/>
  <c r="E101" i="1"/>
  <c r="F101" i="1" s="1"/>
  <c r="G89" i="1"/>
  <c r="T71" i="1" l="1"/>
  <c r="T70" i="1"/>
  <c r="T65" i="1"/>
  <c r="T66" i="1"/>
  <c r="T69" i="1"/>
  <c r="T68" i="1"/>
  <c r="P115" i="1"/>
  <c r="T79" i="1" l="1"/>
  <c r="E78" i="1" l="1"/>
  <c r="E79" i="1" s="1"/>
  <c r="B81" i="1"/>
  <c r="G108" i="1" s="1"/>
  <c r="H108" i="1" s="1"/>
  <c r="G103" i="1" l="1"/>
  <c r="H103" i="1" s="1"/>
  <c r="I103" i="1" s="1"/>
  <c r="G98" i="1"/>
  <c r="H98" i="1" s="1"/>
  <c r="I98" i="1" s="1"/>
  <c r="G99" i="1"/>
  <c r="H99" i="1" s="1"/>
  <c r="J99" i="1" s="1"/>
  <c r="G100" i="1"/>
  <c r="H100" i="1" s="1"/>
  <c r="I100" i="1" s="1"/>
  <c r="G104" i="1"/>
  <c r="H104" i="1" s="1"/>
  <c r="I104" i="1" s="1"/>
  <c r="G106" i="1"/>
  <c r="H106" i="1" s="1"/>
  <c r="I106" i="1" s="1"/>
  <c r="G105" i="1"/>
  <c r="H105" i="1" s="1"/>
  <c r="I105" i="1" s="1"/>
  <c r="G109" i="1"/>
  <c r="H109" i="1" s="1"/>
  <c r="I109" i="1" s="1"/>
  <c r="E82" i="1"/>
  <c r="E83" i="1" s="1"/>
  <c r="G102" i="1"/>
  <c r="H102" i="1" s="1"/>
  <c r="J102" i="1" s="1"/>
  <c r="G101" i="1"/>
  <c r="H101" i="1" s="1"/>
  <c r="I101" i="1" s="1"/>
  <c r="F110" i="1"/>
  <c r="J113" i="1" s="1"/>
  <c r="G107" i="1"/>
  <c r="H107" i="1" s="1"/>
  <c r="J107" i="1" s="1"/>
  <c r="J108" i="1"/>
  <c r="I108" i="1"/>
  <c r="J98" i="1" l="1"/>
  <c r="I99" i="1"/>
  <c r="J103" i="1"/>
  <c r="J109" i="1"/>
  <c r="J100" i="1"/>
  <c r="J104" i="1"/>
  <c r="J105" i="1"/>
  <c r="J106" i="1"/>
  <c r="F88" i="1"/>
  <c r="I88" i="1" s="1"/>
  <c r="F89" i="1"/>
  <c r="H89" i="1" s="1"/>
  <c r="F90" i="1"/>
  <c r="H90" i="1" s="1"/>
  <c r="J101" i="1"/>
  <c r="F91" i="1"/>
  <c r="I102" i="1"/>
  <c r="I107" i="1"/>
  <c r="H110" i="1"/>
  <c r="H91" i="1" l="1"/>
  <c r="I89" i="1"/>
  <c r="K89" i="1" s="1"/>
  <c r="J110" i="1"/>
  <c r="H88" i="1"/>
  <c r="K88" i="1" s="1"/>
  <c r="I90" i="1"/>
  <c r="J90" i="1" s="1"/>
  <c r="I91" i="1"/>
  <c r="I110" i="1"/>
  <c r="J91" i="1" l="1"/>
  <c r="L91" i="1"/>
  <c r="L88" i="1"/>
  <c r="L90" i="1"/>
  <c r="K90" i="1"/>
  <c r="J88" i="1"/>
  <c r="L89" i="1"/>
  <c r="J89" i="1"/>
  <c r="K91" i="1"/>
  <c r="L92" i="1" l="1"/>
  <c r="J92" i="1"/>
  <c r="B113" i="1" s="1"/>
  <c r="J116" i="1" s="1"/>
  <c r="K92" i="1"/>
  <c r="M92" i="1" l="1"/>
  <c r="N92" i="1"/>
  <c r="U117" i="1"/>
  <c r="V117" i="1" s="1"/>
  <c r="B115" i="1"/>
  <c r="D114" i="1"/>
  <c r="D115" i="1"/>
  <c r="B114" i="1"/>
  <c r="L119" i="1" l="1"/>
  <c r="I2" i="2"/>
  <c r="V132" i="1"/>
  <c r="J20" i="3"/>
  <c r="F115" i="1"/>
  <c r="H115" i="1" s="1"/>
  <c r="J115" i="1" s="1"/>
  <c r="I20" i="3" s="1"/>
  <c r="F114" i="1"/>
  <c r="H114" i="1" s="1"/>
  <c r="J114" i="1" s="1"/>
  <c r="H125" i="1" s="1"/>
  <c r="H20" i="3" l="1"/>
  <c r="L20" i="3" s="1"/>
  <c r="M111" i="1"/>
  <c r="P111" i="1" s="1"/>
  <c r="AA111" i="1" s="1"/>
  <c r="I125" i="1"/>
  <c r="M117" i="1"/>
  <c r="O117" i="1" s="1"/>
  <c r="O118" i="1" s="1"/>
  <c r="W132" i="1"/>
  <c r="N115" i="1"/>
  <c r="M20" i="3" l="1"/>
  <c r="U118" i="1"/>
  <c r="I3" i="2"/>
  <c r="Q2" i="2" s="1" a="1"/>
  <c r="N111" i="1"/>
  <c r="Y111" i="1" s="1"/>
  <c r="O111" i="1"/>
  <c r="Z111" i="1" s="1"/>
  <c r="O121" i="1"/>
  <c r="P117" i="1"/>
  <c r="P121" i="1" s="1"/>
  <c r="M119" i="1"/>
  <c r="Q2" i="2" l="1"/>
  <c r="S2" i="2" s="1"/>
  <c r="Q3" i="2"/>
  <c r="S3" i="2" s="1"/>
  <c r="Q111" i="1"/>
  <c r="AB111" i="1"/>
  <c r="P118" i="1"/>
  <c r="Q11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<sst xmlns="http://schemas.openxmlformats.org/spreadsheetml/2006/main" count="257" uniqueCount="174">
  <si>
    <t>x</t>
  </si>
  <si>
    <t>y</t>
  </si>
  <si>
    <t xml:space="preserve">B = </t>
  </si>
  <si>
    <t xml:space="preserve">H = </t>
  </si>
  <si>
    <t xml:space="preserve">F'c = </t>
  </si>
  <si>
    <t>ksi</t>
  </si>
  <si>
    <t>in</t>
  </si>
  <si>
    <t>Section Coordinates</t>
  </si>
  <si>
    <t>Reinf Steel:</t>
  </si>
  <si>
    <t xml:space="preserve">Fy = </t>
  </si>
  <si>
    <t>Bar #</t>
  </si>
  <si>
    <t>As (in^2)</t>
  </si>
  <si>
    <t xml:space="preserve">Es = </t>
  </si>
  <si>
    <t xml:space="preserve">Ec = </t>
  </si>
  <si>
    <t>plot_scale</t>
  </si>
  <si>
    <t>Plastic Center</t>
  </si>
  <si>
    <t>Concrete:</t>
  </si>
  <si>
    <t xml:space="preserve">Area = </t>
  </si>
  <si>
    <t>in^2</t>
  </si>
  <si>
    <t xml:space="preserve">CC = </t>
  </si>
  <si>
    <t>kips</t>
  </si>
  <si>
    <t xml:space="preserve">CC_Mx = </t>
  </si>
  <si>
    <t xml:space="preserve">CC_My = </t>
  </si>
  <si>
    <t>in-kips</t>
  </si>
  <si>
    <t>Steel:</t>
  </si>
  <si>
    <t>CS (kips)</t>
  </si>
  <si>
    <t>CS_Mx</t>
  </si>
  <si>
    <t>CS_My</t>
  </si>
  <si>
    <t>C =</t>
  </si>
  <si>
    <t>Mx =</t>
  </si>
  <si>
    <t xml:space="preserve">My = </t>
  </si>
  <si>
    <t>Xp:</t>
  </si>
  <si>
    <t>Yp:</t>
  </si>
  <si>
    <t>Geometric Center</t>
  </si>
  <si>
    <t>Coordinate Transformation to make plastic center = 0,0</t>
  </si>
  <si>
    <t xml:space="preserve">Beta1 = </t>
  </si>
  <si>
    <t>NA Angle:</t>
  </si>
  <si>
    <t>x'</t>
  </si>
  <si>
    <t>y'</t>
  </si>
  <si>
    <t>Transformed H:</t>
  </si>
  <si>
    <t>NA Depth:</t>
  </si>
  <si>
    <t>Beta1*NA=</t>
  </si>
  <si>
    <t>X1</t>
  </si>
  <si>
    <t>Y1</t>
  </si>
  <si>
    <t>X2</t>
  </si>
  <si>
    <t>Y2</t>
  </si>
  <si>
    <t>Forces From Compression Block</t>
  </si>
  <si>
    <t>Edge Segment</t>
  </si>
  <si>
    <t>M</t>
  </si>
  <si>
    <t>Xna</t>
  </si>
  <si>
    <t>Yna</t>
  </si>
  <si>
    <t>Cc</t>
  </si>
  <si>
    <t>Cc_Mx</t>
  </si>
  <si>
    <t>Cc_My</t>
  </si>
  <si>
    <t xml:space="preserve">0.85*F'c = </t>
  </si>
  <si>
    <t>Forces from Steel</t>
  </si>
  <si>
    <t>Bar</t>
  </si>
  <si>
    <t xml:space="preserve">eu = </t>
  </si>
  <si>
    <t>Strain</t>
  </si>
  <si>
    <t>As</t>
  </si>
  <si>
    <t>depth:</t>
  </si>
  <si>
    <t>peak:</t>
  </si>
  <si>
    <t>Stress</t>
  </si>
  <si>
    <t>Ps</t>
  </si>
  <si>
    <t>Ps_Mx</t>
  </si>
  <si>
    <t>Ps_My</t>
  </si>
  <si>
    <t xml:space="preserve">Pn = </t>
  </si>
  <si>
    <t>Pn * ecc. From PC to GC</t>
  </si>
  <si>
    <t xml:space="preserve">Mnx,pc = </t>
  </si>
  <si>
    <t xml:space="preserve">Mny,pc = </t>
  </si>
  <si>
    <t xml:space="preserve">Fy -F'c </t>
  </si>
  <si>
    <t>ft-kips</t>
  </si>
  <si>
    <t xml:space="preserve">phi = </t>
  </si>
  <si>
    <t>Goal:</t>
  </si>
  <si>
    <t>P</t>
  </si>
  <si>
    <t>Mx</t>
  </si>
  <si>
    <t>My</t>
  </si>
  <si>
    <t>Iterations to try:</t>
  </si>
  <si>
    <t>Iterations Used:</t>
  </si>
  <si>
    <t>scale</t>
  </si>
  <si>
    <t>max phiPn</t>
  </si>
  <si>
    <t>min phiPn</t>
  </si>
  <si>
    <t>Alpha</t>
  </si>
  <si>
    <t>points:</t>
  </si>
  <si>
    <t>Depth for all bars yield in compression:</t>
  </si>
  <si>
    <t>Sign Convention Note:</t>
  </si>
  <si>
    <t>Right hand rule with compression positive</t>
  </si>
  <si>
    <t>this means that +Mx puts compression on the top</t>
  </si>
  <si>
    <t>of the cross-section and +My puts compression on</t>
  </si>
  <si>
    <t>the left of the cross section</t>
  </si>
  <si>
    <t>(See Sign Convention Note Above)</t>
  </si>
  <si>
    <t>Unit Vector:</t>
  </si>
  <si>
    <r>
      <t>Tan</t>
    </r>
    <r>
      <rPr>
        <vertAlign val="superscript"/>
        <sz val="11"/>
        <rFont val="Calibri"/>
        <family val="2"/>
        <scheme val="minor"/>
      </rPr>
      <t>-1</t>
    </r>
    <r>
      <rPr>
        <sz val="11"/>
        <rFont val="Calibri"/>
        <family val="2"/>
        <scheme val="minor"/>
      </rPr>
      <t>(Mx/My)</t>
    </r>
  </si>
  <si>
    <t>P-phiPn</t>
  </si>
  <si>
    <t>Coord. To plot goal</t>
  </si>
  <si>
    <t>phiTheta-theta</t>
  </si>
  <si>
    <t>Bar Layout Generator:</t>
  </si>
  <si>
    <t>XH:XB</t>
  </si>
  <si>
    <t>H</t>
  </si>
  <si>
    <t>B (inclusive of H bars)</t>
  </si>
  <si>
    <t>Bar Size</t>
  </si>
  <si>
    <t>Tie Bar</t>
  </si>
  <si>
    <t>1/2 Bar Ø</t>
  </si>
  <si>
    <t>Bar Ø (in)</t>
  </si>
  <si>
    <t>Total Bar Count (&lt;= 12)</t>
  </si>
  <si>
    <t>Tie Bar Ø (in) = C</t>
  </si>
  <si>
    <t>Cover to tie (in) = D</t>
  </si>
  <si>
    <t>E = max of two above</t>
  </si>
  <si>
    <t>XJ = B - X0 = End X coord</t>
  </si>
  <si>
    <t>X0, Y0= C+D+E= Bar Start X,Y coord</t>
  </si>
  <si>
    <t>YJ = H - Y0 = End Y Coord</t>
  </si>
  <si>
    <t>X Spacing</t>
  </si>
  <si>
    <t>Y Spacing</t>
  </si>
  <si>
    <t>Layout Calcs:</t>
  </si>
  <si>
    <t>Table A-3 in ACI SP-17(14)</t>
  </si>
  <si>
    <t>Pattern: (2:2 Min - 12 Total Bars Max)</t>
  </si>
  <si>
    <t>I.P. Total Iterations:</t>
  </si>
  <si>
    <t>I.P. Found:</t>
  </si>
  <si>
    <t>Global Tolerance</t>
  </si>
  <si>
    <t>NA_depth</t>
  </si>
  <si>
    <t>2*tie Ø  -Tie Bend Radius</t>
  </si>
  <si>
    <t>3D Unit Vector of Result:</t>
  </si>
  <si>
    <t>3D Unit Vector of applied Load:</t>
  </si>
  <si>
    <t>3D Difference Vector</t>
  </si>
  <si>
    <t>Pn</t>
  </si>
  <si>
    <t>Mxn</t>
  </si>
  <si>
    <t>Myn</t>
  </si>
  <si>
    <t>i</t>
  </si>
  <si>
    <t>k</t>
  </si>
  <si>
    <t>j</t>
  </si>
  <si>
    <t>Mcalc:</t>
  </si>
  <si>
    <t>: Mgoal</t>
  </si>
  <si>
    <t xml:space="preserve">theta,calc = </t>
  </si>
  <si>
    <t xml:space="preserve">Theta,goal = </t>
  </si>
  <si>
    <t>3D Unit Vector of max/min Pn:</t>
  </si>
  <si>
    <t>||V||</t>
  </si>
  <si>
    <t>radians</t>
  </si>
  <si>
    <t>Pnom</t>
  </si>
  <si>
    <t>Mnom</t>
  </si>
  <si>
    <t>max Pn</t>
  </si>
  <si>
    <t>x-axis</t>
  </si>
  <si>
    <t>p1</t>
  </si>
  <si>
    <t>p2</t>
  </si>
  <si>
    <t>q1</t>
  </si>
  <si>
    <t>q2</t>
  </si>
  <si>
    <t>r1</t>
  </si>
  <si>
    <t>z</t>
  </si>
  <si>
    <t>α</t>
  </si>
  <si>
    <t>β</t>
  </si>
  <si>
    <t>ϒ</t>
  </si>
  <si>
    <t>degrees</t>
  </si>
  <si>
    <t>y-axis</t>
  </si>
  <si>
    <t>z-axis</t>
  </si>
  <si>
    <t>Surface Coordinates</t>
  </si>
  <si>
    <t>Surface Projection Rotations</t>
  </si>
  <si>
    <t>na for -0.002</t>
  </si>
  <si>
    <t>na for 0.000</t>
  </si>
  <si>
    <t>na for -0.005</t>
  </si>
  <si>
    <t>P-M</t>
  </si>
  <si>
    <t>na for all -0.002</t>
  </si>
  <si>
    <t>na for 0.002</t>
  </si>
  <si>
    <t>na for 0.002 top</t>
  </si>
  <si>
    <t>na for all fy=60</t>
  </si>
  <si>
    <t>NA Angle</t>
  </si>
  <si>
    <t>NA Depth</t>
  </si>
  <si>
    <t>% of depth:</t>
  </si>
  <si>
    <t>P-M NA Range:</t>
  </si>
  <si>
    <t>min</t>
  </si>
  <si>
    <t>max</t>
  </si>
  <si>
    <t>Broyden</t>
  </si>
  <si>
    <t>ex</t>
  </si>
  <si>
    <t>ey</t>
  </si>
  <si>
    <t>xp,t</t>
  </si>
  <si>
    <t>yp,t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</si>
</sst>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0"/>
    <numFmt numFmtId="166" formatCode="0.00000"/>
    <numFmt numFmtId="167" formatCode="0.0000"/>
    <numFmt numFmtId="168" formatCode="0.00000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vertAlign val="superscript"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0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7" fontId="0" fillId="0" borderId="0" xfId="0" applyNumberFormat="1"/>
    <xf numFmtId="165" fontId="0" fillId="0" borderId="0" xfId="0" applyNumberFormat="1" applyAlignment="1">
      <alignment horizontal="center"/>
    </xf>
    <xf numFmtId="0" fontId="0" fillId="0" borderId="0" xfId="0" applyFill="1"/>
    <xf numFmtId="0" fontId="2" fillId="0" borderId="0" xfId="0" applyFont="1" applyFill="1" applyAlignment="1">
      <alignment horizontal="left"/>
    </xf>
    <xf numFmtId="0" fontId="3" fillId="0" borderId="0" xfId="0" applyFont="1" applyFill="1"/>
    <xf numFmtId="0" fontId="3" fillId="0" borderId="0" xfId="0" applyFont="1" applyFill="1" applyAlignment="1">
      <alignment horizontal="right"/>
    </xf>
    <xf numFmtId="0" fontId="3" fillId="0" borderId="0" xfId="0" applyFont="1" applyFill="1" applyAlignment="1">
      <alignment horizontal="center"/>
    </xf>
    <xf numFmtId="166" fontId="3" fillId="0" borderId="0" xfId="0" applyNumberFormat="1" applyFont="1" applyFill="1" applyAlignment="1">
      <alignment horizontal="center"/>
    </xf>
    <xf numFmtId="164" fontId="3" fillId="0" borderId="0" xfId="0" applyNumberFormat="1" applyFont="1" applyFill="1" applyAlignment="1">
      <alignment horizontal="center"/>
    </xf>
    <xf numFmtId="2" fontId="3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right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/>
    <xf numFmtId="0" fontId="4" fillId="0" borderId="0" xfId="0" applyFont="1"/>
    <xf numFmtId="0" fontId="4" fillId="0" borderId="0" xfId="0" applyFont="1" applyAlignment="1">
      <alignment horizontal="left"/>
    </xf>
    <xf numFmtId="2" fontId="0" fillId="0" borderId="0" xfId="0" applyNumberFormat="1" applyAlignment="1">
      <alignment horizontal="right"/>
    </xf>
    <xf numFmtId="2" fontId="0" fillId="3" borderId="2" xfId="0" applyNumberForma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166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2" fontId="0" fillId="2" borderId="0" xfId="0" applyNumberFormat="1" applyFill="1" applyAlignment="1" applyProtection="1">
      <alignment horizontal="center"/>
      <protection locked="0"/>
    </xf>
    <xf numFmtId="0" fontId="3" fillId="0" borderId="0" xfId="0" applyFont="1" applyFill="1" applyProtection="1">
      <protection locked="0"/>
    </xf>
    <xf numFmtId="0" fontId="3" fillId="0" borderId="0" xfId="0" applyFont="1" applyFill="1" applyAlignment="1" applyProtection="1">
      <alignment horizontal="right"/>
      <protection locked="0"/>
    </xf>
    <xf numFmtId="0" fontId="0" fillId="0" borderId="0" xfId="0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66" fontId="0" fillId="0" borderId="0" xfId="0" applyNumberFormat="1"/>
    <xf numFmtId="0" fontId="0" fillId="0" borderId="8" xfId="0" applyBorder="1"/>
    <xf numFmtId="0" fontId="0" fillId="0" borderId="7" xfId="0" applyBorder="1"/>
    <xf numFmtId="0" fontId="0" fillId="0" borderId="0" xfId="0" applyBorder="1"/>
    <xf numFmtId="0" fontId="0" fillId="0" borderId="2" xfId="0" applyBorder="1"/>
    <xf numFmtId="164" fontId="3" fillId="0" borderId="0" xfId="0" applyNumberFormat="1" applyFont="1" applyFill="1" applyAlignment="1" applyProtection="1">
      <alignment horizontal="center" vertical="center"/>
      <protection locked="0"/>
    </xf>
    <xf numFmtId="164" fontId="3" fillId="0" borderId="0" xfId="0" applyNumberFormat="1" applyFont="1" applyFill="1" applyAlignment="1">
      <alignment horizontal="center" vertical="center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9" xfId="0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66" fontId="0" fillId="0" borderId="9" xfId="0" applyNumberFormat="1" applyBorder="1"/>
    <xf numFmtId="0" fontId="0" fillId="2" borderId="0" xfId="0" applyFill="1" applyAlignment="1">
      <alignment horizontal="center"/>
    </xf>
    <xf numFmtId="0" fontId="8" fillId="0" borderId="3" xfId="0" applyFont="1" applyBorder="1" applyAlignment="1">
      <alignment horizontal="left"/>
    </xf>
    <xf numFmtId="0" fontId="0" fillId="2" borderId="7" xfId="0" applyFill="1" applyBorder="1"/>
    <xf numFmtId="0" fontId="0" fillId="0" borderId="0" xfId="0" applyFill="1" applyBorder="1"/>
    <xf numFmtId="0" fontId="0" fillId="0" borderId="10" xfId="0" applyBorder="1"/>
    <xf numFmtId="0" fontId="0" fillId="2" borderId="7" xfId="0" applyFill="1" applyBorder="1" applyProtection="1">
      <protection locked="0"/>
    </xf>
    <xf numFmtId="0" fontId="0" fillId="0" borderId="11" xfId="0" applyBorder="1"/>
    <xf numFmtId="0" fontId="0" fillId="0" borderId="2" xfId="0" applyBorder="1" applyAlignment="1">
      <alignment horizontal="center"/>
    </xf>
    <xf numFmtId="11" fontId="0" fillId="0" borderId="9" xfId="0" applyNumberFormat="1" applyBorder="1"/>
    <xf numFmtId="167" fontId="0" fillId="0" borderId="7" xfId="0" applyNumberFormat="1" applyBorder="1"/>
    <xf numFmtId="164" fontId="0" fillId="5" borderId="2" xfId="0" applyNumberFormat="1" applyFill="1" applyBorder="1" applyAlignment="1">
      <alignment horizontal="center"/>
    </xf>
    <xf numFmtId="0" fontId="0" fillId="5" borderId="2" xfId="0" applyFill="1" applyBorder="1"/>
    <xf numFmtId="0" fontId="1" fillId="0" borderId="0" xfId="0" applyFont="1"/>
    <xf numFmtId="165" fontId="0" fillId="0" borderId="0" xfId="0" applyNumberFormat="1" applyBorder="1" applyAlignment="1">
      <alignment horizontal="center"/>
    </xf>
    <xf numFmtId="165" fontId="0" fillId="0" borderId="0" xfId="0" applyNumberFormat="1"/>
    <xf numFmtId="165" fontId="0" fillId="0" borderId="0" xfId="0" applyNumberFormat="1" applyBorder="1"/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right"/>
    </xf>
    <xf numFmtId="0" fontId="0" fillId="0" borderId="13" xfId="0" applyBorder="1"/>
    <xf numFmtId="0" fontId="0" fillId="0" borderId="12" xfId="0" applyBorder="1"/>
    <xf numFmtId="166" fontId="0" fillId="0" borderId="13" xfId="0" applyNumberFormat="1" applyBorder="1" applyAlignment="1">
      <alignment horizontal="left"/>
    </xf>
    <xf numFmtId="166" fontId="0" fillId="0" borderId="13" xfId="0" applyNumberFormat="1" applyBorder="1" applyAlignment="1">
      <alignment horizontal="center"/>
    </xf>
    <xf numFmtId="167" fontId="0" fillId="0" borderId="0" xfId="0" applyNumberFormat="1" applyAlignment="1">
      <alignment horizontal="center"/>
    </xf>
    <xf numFmtId="167" fontId="0" fillId="0" borderId="0" xfId="0" applyNumberFormat="1" applyBorder="1" applyAlignment="1">
      <alignment horizontal="center"/>
    </xf>
    <xf numFmtId="0" fontId="9" fillId="0" borderId="0" xfId="0" applyFont="1"/>
    <xf numFmtId="164" fontId="0" fillId="2" borderId="0" xfId="0" applyNumberFormat="1" applyFill="1" applyAlignment="1" applyProtection="1">
      <alignment horizontal="center"/>
      <protection locked="0"/>
    </xf>
    <xf numFmtId="168" fontId="3" fillId="0" borderId="0" xfId="0" applyNumberFormat="1" applyFont="1" applyFill="1" applyAlignment="1">
      <alignment horizontal="center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Cross</a:t>
            </a:r>
            <a:r>
              <a:rPr lang="en-US" baseline="0"/>
              <a:t> Section and Reinforcement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'Cross Section Analysis'!$D$3:$D$7</c:f>
              <c:numCache>
                <c:formatCode>0.00</c:formatCode>
                <c:ptCount val="5"/>
                <c:pt idx="0">
                  <c:v>0</c:v>
                </c:pt>
                <c:pt idx="1">
                  <c:v>16</c:v>
                </c:pt>
                <c:pt idx="2">
                  <c:v>16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'Cross Section Analysis'!$E$3:$E$7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24</c:v>
                </c:pt>
                <c:pt idx="3">
                  <c:v>24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042-49CA-9FFE-7F61A1310FE6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Analysis'!$D$13:$D$24</c:f>
              <c:numCache>
                <c:formatCode>0.00</c:formatCode>
                <c:ptCount val="12"/>
                <c:pt idx="0">
                  <c:v>3.125</c:v>
                </c:pt>
                <c:pt idx="1">
                  <c:v>8</c:v>
                </c:pt>
                <c:pt idx="2">
                  <c:v>12.875</c:v>
                </c:pt>
                <c:pt idx="3">
                  <c:v>3.125</c:v>
                </c:pt>
                <c:pt idx="4">
                  <c:v>12.875</c:v>
                </c:pt>
                <c:pt idx="5">
                  <c:v>3.125</c:v>
                </c:pt>
                <c:pt idx="6">
                  <c:v>12.875</c:v>
                </c:pt>
                <c:pt idx="7">
                  <c:v>3.125</c:v>
                </c:pt>
                <c:pt idx="8">
                  <c:v>8</c:v>
                </c:pt>
                <c:pt idx="9">
                  <c:v>12.875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'Cross Section Analysis'!$E$13:$E$24</c:f>
              <c:numCache>
                <c:formatCode>0.00</c:formatCode>
                <c:ptCount val="12"/>
                <c:pt idx="0">
                  <c:v>3.125</c:v>
                </c:pt>
                <c:pt idx="1">
                  <c:v>3.125</c:v>
                </c:pt>
                <c:pt idx="2">
                  <c:v>3.125</c:v>
                </c:pt>
                <c:pt idx="3">
                  <c:v>9.0416666666666679</c:v>
                </c:pt>
                <c:pt idx="4">
                  <c:v>9.0416666666666679</c:v>
                </c:pt>
                <c:pt idx="5">
                  <c:v>14.958333333333334</c:v>
                </c:pt>
                <c:pt idx="6">
                  <c:v>14.958333333333334</c:v>
                </c:pt>
                <c:pt idx="7">
                  <c:v>20.875</c:v>
                </c:pt>
                <c:pt idx="8">
                  <c:v>20.875</c:v>
                </c:pt>
                <c:pt idx="9">
                  <c:v>20.875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042-49CA-9FFE-7F61A1310FE6}"/>
            </c:ext>
          </c:extLst>
        </c:ser>
        <c:ser>
          <c:idx val="2"/>
          <c:order val="2"/>
          <c:tx>
            <c:v>_scale_point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'Cross Section Analysis'!$G$3:$G$4</c:f>
              <c:numCache>
                <c:formatCode>General</c:formatCode>
                <c:ptCount val="2"/>
                <c:pt idx="0" formatCode="0.00">
                  <c:v>25</c:v>
                </c:pt>
                <c:pt idx="1">
                  <c:v>-1</c:v>
                </c:pt>
              </c:numCache>
            </c:numRef>
          </c:xVal>
          <c:yVal>
            <c:numRef>
              <c:f>'Cross Section Analysis'!$H$3:$H$4</c:f>
              <c:numCache>
                <c:formatCode>General</c:formatCode>
                <c:ptCount val="2"/>
                <c:pt idx="0" formatCode="0.00">
                  <c:v>25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042-49CA-9FFE-7F61A1310FE6}"/>
            </c:ext>
          </c:extLst>
        </c:ser>
        <c:ser>
          <c:idx val="3"/>
          <c:order val="3"/>
          <c:tx>
            <c:v>PLASTIC CENTER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'Cross Section Analysis'!$D$49</c:f>
              <c:numCache>
                <c:formatCode>General</c:formatCode>
                <c:ptCount val="1"/>
                <c:pt idx="0">
                  <c:v>7.9999999999999991</c:v>
                </c:pt>
              </c:numCache>
            </c:numRef>
          </c:xVal>
          <c:yVal>
            <c:numRef>
              <c:f>'Cross Section Analysis'!$E$49</c:f>
              <c:numCache>
                <c:formatCode>0.000</c:formatCode>
                <c:ptCount val="1"/>
                <c:pt idx="0">
                  <c:v>11.999999999999998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42-49CA-9FFE-7F61A1310FE6}"/>
            </c:ext>
          </c:extLst>
        </c:ser>
        <c:ser>
          <c:idx val="4"/>
          <c:order val="4"/>
          <c:tx>
            <c:v>GEOMETRIC CENTER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0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'Cross Section Analysis'!$G$7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Ref>
              <c:f>'Cross Section Analysis'!$H$7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042-49CA-9FFE-7F61A1310FE6}"/>
            </c:ext>
          </c:extLst>
        </c:ser>
        <c:ser>
          <c:idx val="5"/>
          <c:order val="5"/>
          <c:tx>
            <c:v>PLASTIC CENTER (TENSION)</c:v>
          </c:tx>
          <c:spPr>
            <a:ln w="19050" cap="rnd">
              <a:noFill/>
              <a:round/>
            </a:ln>
            <a:effectLst/>
          </c:spPr>
          <c:marker>
            <c:symbol val="star"/>
            <c:size val="15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'Cross Section Analysis'!$U$48</c:f>
              <c:numCache>
                <c:formatCode>0.000</c:formatCode>
                <c:ptCount val="1"/>
                <c:pt idx="0">
                  <c:v>8.0000000000000018</c:v>
                </c:pt>
              </c:numCache>
            </c:numRef>
          </c:xVal>
          <c:yVal>
            <c:numRef>
              <c:f>'Cross Section Analysis'!$V$48</c:f>
              <c:numCache>
                <c:formatCode>0.000</c:formatCode>
                <c:ptCount val="1"/>
                <c:pt idx="0">
                  <c:v>12.000000000000004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3D-4E64-B0F0-F62C58248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Transformed</a:t>
            </a:r>
            <a:r>
              <a:rPr lang="en-US" baseline="0"/>
              <a:t> Cross Section with Compression block</a:t>
            </a:r>
          </a:p>
          <a:p>
            <a:pPr>
              <a:defRPr/>
            </a:pPr>
            <a:r>
              <a:rPr lang="en-US" baseline="0"/>
              <a:t>(Translated so P.C. is 0,0 and rotated so NA is horizontal)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TRANSFORMED X 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'Cross Section Analysis'!$C$57:$C$61</c:f>
              <c:numCache>
                <c:formatCode>0.000</c:formatCode>
                <c:ptCount val="5"/>
                <c:pt idx="0">
                  <c:v>-14.266985415868973</c:v>
                </c:pt>
                <c:pt idx="1">
                  <c:v>-7.435219053674528</c:v>
                </c:pt>
                <c:pt idx="2">
                  <c:v>14.266985415868977</c:v>
                </c:pt>
                <c:pt idx="3">
                  <c:v>7.4352190536745306</c:v>
                </c:pt>
                <c:pt idx="4">
                  <c:v>-14.266985415868973</c:v>
                </c:pt>
              </c:numCache>
            </c:numRef>
          </c:xVal>
          <c:yVal>
            <c:numRef>
              <c:f>'Cross Section Analysis'!$D$57:$D$61</c:f>
              <c:numCache>
                <c:formatCode>0.000</c:formatCode>
                <c:ptCount val="5"/>
                <c:pt idx="0">
                  <c:v>2.1102433848686672</c:v>
                </c:pt>
                <c:pt idx="1">
                  <c:v>-12.357892928160336</c:v>
                </c:pt>
                <c:pt idx="2">
                  <c:v>-2.1102433848686664</c:v>
                </c:pt>
                <c:pt idx="3">
                  <c:v>12.357892928160336</c:v>
                </c:pt>
                <c:pt idx="4">
                  <c:v>2.1102433848686672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F1-4499-A626-F3141CCA3A28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Analysis'!$F$64:$F$75</c:f>
              <c:numCache>
                <c:formatCode>0.000</c:formatCode>
                <c:ptCount val="12"/>
                <c:pt idx="0">
                  <c:v>-10.106848174614393</c:v>
                </c:pt>
                <c:pt idx="1">
                  <c:v>-8.0252943611332732</c:v>
                </c:pt>
                <c:pt idx="2">
                  <c:v>-5.943740547652153</c:v>
                </c:pt>
                <c:pt idx="3">
                  <c:v>-4.7566519338588753</c:v>
                </c:pt>
                <c:pt idx="4">
                  <c:v>-0.59354430689663484</c:v>
                </c:pt>
                <c:pt idx="5">
                  <c:v>0.59354430689664062</c:v>
                </c:pt>
                <c:pt idx="6">
                  <c:v>4.7566519338588815</c:v>
                </c:pt>
                <c:pt idx="7">
                  <c:v>5.9437405476521565</c:v>
                </c:pt>
                <c:pt idx="8">
                  <c:v>8.0252943611332768</c:v>
                </c:pt>
                <c:pt idx="9">
                  <c:v>10.106848174614397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'Cross Section Analysis'!$G$64:$G$75</c:f>
              <c:numCache>
                <c:formatCode>0.000</c:formatCode>
                <c:ptCount val="12"/>
                <c:pt idx="0">
                  <c:v>0.61876487884629228</c:v>
                </c:pt>
                <c:pt idx="1">
                  <c:v>-3.7894954040297311</c:v>
                </c:pt>
                <c:pt idx="2">
                  <c:v>-8.1977556869057562</c:v>
                </c:pt>
                <c:pt idx="3">
                  <c:v>3.1450951481994474</c:v>
                </c:pt>
                <c:pt idx="4">
                  <c:v>-5.6714254175526015</c:v>
                </c:pt>
                <c:pt idx="5">
                  <c:v>5.6714254175526015</c:v>
                </c:pt>
                <c:pt idx="6">
                  <c:v>-3.1450951481994469</c:v>
                </c:pt>
                <c:pt idx="7">
                  <c:v>8.1977556869057562</c:v>
                </c:pt>
                <c:pt idx="8">
                  <c:v>3.7894954040297324</c:v>
                </c:pt>
                <c:pt idx="9">
                  <c:v>-0.61876487884629272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F1-4499-A626-F3141CCA3A28}"/>
            </c:ext>
          </c:extLst>
        </c:ser>
        <c:ser>
          <c:idx val="2"/>
          <c:order val="2"/>
          <c:tx>
            <c:v>NA</c:v>
          </c:tx>
          <c:spPr>
            <a:ln w="12700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Analysis'!$D$78:$D$79</c:f>
              <c:numCache>
                <c:formatCode>0.000</c:formatCode>
                <c:ptCount val="2"/>
                <c:pt idx="0">
                  <c:v>-14.266985415868973</c:v>
                </c:pt>
                <c:pt idx="1">
                  <c:v>14.266985415868977</c:v>
                </c:pt>
              </c:numCache>
            </c:numRef>
          </c:xVal>
          <c:yVal>
            <c:numRef>
              <c:f>'Cross Section Analysis'!$E$78:$E$79</c:f>
              <c:numCache>
                <c:formatCode>0.000</c:formatCode>
                <c:ptCount val="2"/>
                <c:pt idx="0">
                  <c:v>-0.5578252698862336</c:v>
                </c:pt>
                <c:pt idx="1">
                  <c:v>-0.5578252698862336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F1-4499-A626-F3141CCA3A28}"/>
            </c:ext>
          </c:extLst>
        </c:ser>
        <c:ser>
          <c:idx val="3"/>
          <c:order val="3"/>
          <c:tx>
            <c:v>Compression Block Base</c:v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Analysis'!$D$82:$D$83</c:f>
              <c:numCache>
                <c:formatCode>0.000</c:formatCode>
                <c:ptCount val="2"/>
                <c:pt idx="0">
                  <c:v>-14.266985415868973</c:v>
                </c:pt>
                <c:pt idx="1">
                  <c:v>14.266985415868977</c:v>
                </c:pt>
              </c:numCache>
            </c:numRef>
          </c:xVal>
          <c:yVal>
            <c:numRef>
              <c:f>'Cross Section Analysis'!$E$82:$E$83</c:f>
              <c:numCache>
                <c:formatCode>0.000</c:formatCode>
                <c:ptCount val="2"/>
                <c:pt idx="0">
                  <c:v>1.3795324598207515</c:v>
                </c:pt>
                <c:pt idx="1">
                  <c:v>1.3795324598207515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3F1-4499-A626-F3141CCA3A28}"/>
            </c:ext>
          </c:extLst>
        </c:ser>
        <c:ser>
          <c:idx val="4"/>
          <c:order val="4"/>
          <c:tx>
            <c:v>cbloc_points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Analysis'!$H$88:$H$91</c:f>
              <c:numCache>
                <c:formatCode>0.000</c:formatCode>
                <c:ptCount val="4"/>
                <c:pt idx="0">
                  <c:v>-13.92194814152875</c:v>
                </c:pt>
                <c:pt idx="1">
                  <c:v>#N/A</c:v>
                </c:pt>
                <c:pt idx="2">
                  <c:v>12.619134392660271</c:v>
                </c:pt>
                <c:pt idx="3">
                  <c:v>#N/A</c:v>
                </c:pt>
              </c:numCache>
            </c:numRef>
          </c:xVal>
          <c:yVal>
            <c:numRef>
              <c:f>'Cross Section Analysis'!$I$88:$I$91</c:f>
              <c:numCache>
                <c:formatCode>0.000</c:formatCode>
                <c:ptCount val="4"/>
                <c:pt idx="0">
                  <c:v>1.3795324598207515</c:v>
                </c:pt>
                <c:pt idx="1">
                  <c:v>#N/A</c:v>
                </c:pt>
                <c:pt idx="2">
                  <c:v>1.3795324598207515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A5-4190-9AC0-CF117630758C}"/>
            </c:ext>
          </c:extLst>
        </c:ser>
        <c:ser>
          <c:idx val="5"/>
          <c:order val="5"/>
          <c:tx>
            <c:v>_scale</c:v>
          </c:tx>
          <c:spPr>
            <a:ln w="19050" cap="rnd">
              <a:noFill/>
              <a:round/>
            </a:ln>
            <a:effectLst/>
          </c:spPr>
          <c:marker>
            <c:symbol val="dot"/>
            <c:size val="2"/>
            <c:spPr>
              <a:solidFill>
                <a:schemeClr val="accent6"/>
              </a:solidFill>
              <a:ln w="9525">
                <a:solidFill>
                  <a:schemeClr val="bg1">
                    <a:lumMod val="85000"/>
                  </a:schemeClr>
                </a:solidFill>
              </a:ln>
              <a:effectLst/>
            </c:spPr>
          </c:marker>
          <c:xVal>
            <c:numRef>
              <c:f>'Cross Section Analysis'!$T$59:$T$60</c:f>
              <c:numCache>
                <c:formatCode>General</c:formatCode>
                <c:ptCount val="2"/>
                <c:pt idx="0">
                  <c:v>14.266985415868977</c:v>
                </c:pt>
                <c:pt idx="1">
                  <c:v>-14.266985415868977</c:v>
                </c:pt>
              </c:numCache>
            </c:numRef>
          </c:xVal>
          <c:yVal>
            <c:numRef>
              <c:f>'Cross Section Analysis'!$U$59:$U$60</c:f>
              <c:numCache>
                <c:formatCode>General</c:formatCode>
                <c:ptCount val="2"/>
                <c:pt idx="0">
                  <c:v>14.266985415868977</c:v>
                </c:pt>
                <c:pt idx="1">
                  <c:v>-14.266985415868977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27-4C63-A03A-DC06FDF14511}"/>
            </c:ext>
          </c:extLst>
        </c:ser>
        <c:ser>
          <c:idx val="6"/>
          <c:order val="6"/>
          <c:tx>
            <c:v>Cc*e</c:v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'Cross Section Analysis'!$M$92</c:f>
              <c:numCache>
                <c:formatCode>0.0000</c:formatCode>
                <c:ptCount val="1"/>
                <c:pt idx="0">
                  <c:v>1.4848541584712005</c:v>
                </c:pt>
              </c:numCache>
            </c:numRef>
          </c:xVal>
          <c:yVal>
            <c:numRef>
              <c:f>'Cross Section Analysis'!$N$92</c:f>
              <c:numCache>
                <c:formatCode>0.0000</c:formatCode>
                <c:ptCount val="1"/>
                <c:pt idx="0">
                  <c:v>5.0541860859261654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25-4AD2-BEDC-7F58BEF1C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Mx vs My @ Goal P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'Cross Section Analysis'!$B$129:$B$490</c:f>
              <c:numCache>
                <c:formatCode>0.000</c:formatCode>
                <c:ptCount val="362"/>
                <c:pt idx="0">
                  <c:v>-378.87891389934816</c:v>
                </c:pt>
                <c:pt idx="1">
                  <c:v>-378.0467155906137</c:v>
                </c:pt>
                <c:pt idx="2">
                  <c:v>-377.22702787653554</c:v>
                </c:pt>
                <c:pt idx="3">
                  <c:v>-376.41657769376206</c:v>
                </c:pt>
                <c:pt idx="4">
                  <c:v>-375.61235469045027</c:v>
                </c:pt>
                <c:pt idx="5">
                  <c:v>-374.81156880951181</c:v>
                </c:pt>
                <c:pt idx="6">
                  <c:v>-374.01161362396556</c:v>
                </c:pt>
                <c:pt idx="7">
                  <c:v>-373.21003449170894</c:v>
                </c:pt>
                <c:pt idx="8">
                  <c:v>-372.40450061630008</c:v>
                </c:pt>
                <c:pt idx="9">
                  <c:v>-371.59278024018175</c:v>
                </c:pt>
                <c:pt idx="10">
                  <c:v>-370.77271852826919</c:v>
                </c:pt>
                <c:pt idx="11">
                  <c:v>-369.94221752952973</c:v>
                </c:pt>
                <c:pt idx="12">
                  <c:v>-369.09921784903776</c:v>
                </c:pt>
                <c:pt idx="13">
                  <c:v>-368.24168168013551</c:v>
                </c:pt>
                <c:pt idx="14">
                  <c:v>-367.36757721816616</c:v>
                </c:pt>
                <c:pt idx="15">
                  <c:v>-366.47486178179679</c:v>
                </c:pt>
                <c:pt idx="16">
                  <c:v>-364.92034514077869</c:v>
                </c:pt>
                <c:pt idx="17">
                  <c:v>-361.5236675790344</c:v>
                </c:pt>
                <c:pt idx="18">
                  <c:v>-357.71535882563165</c:v>
                </c:pt>
                <c:pt idx="19">
                  <c:v>-353.95873140795737</c:v>
                </c:pt>
                <c:pt idx="20">
                  <c:v>-350.2479650475687</c:v>
                </c:pt>
                <c:pt idx="21">
                  <c:v>-346.57742668830264</c:v>
                </c:pt>
                <c:pt idx="22">
                  <c:v>-342.94163809579106</c:v>
                </c:pt>
                <c:pt idx="23">
                  <c:v>-339.33524485121086</c:v>
                </c:pt>
                <c:pt idx="24">
                  <c:v>-335.75298638161411</c:v>
                </c:pt>
                <c:pt idx="25">
                  <c:v>-332.18966668556106</c:v>
                </c:pt>
                <c:pt idx="26">
                  <c:v>-330.0269788068195</c:v>
                </c:pt>
                <c:pt idx="27">
                  <c:v>-326.45888399141961</c:v>
                </c:pt>
                <c:pt idx="28">
                  <c:v>-322.89467497292054</c:v>
                </c:pt>
                <c:pt idx="29">
                  <c:v>-319.32909682749664</c:v>
                </c:pt>
                <c:pt idx="30">
                  <c:v>-315.75681280111809</c:v>
                </c:pt>
                <c:pt idx="31">
                  <c:v>-312.17237202738033</c:v>
                </c:pt>
                <c:pt idx="32">
                  <c:v>-308.5701754678031</c:v>
                </c:pt>
                <c:pt idx="33">
                  <c:v>-304.94443962283765</c:v>
                </c:pt>
                <c:pt idx="34">
                  <c:v>-301.28952974597979</c:v>
                </c:pt>
                <c:pt idx="35">
                  <c:v>-297.68158716982026</c:v>
                </c:pt>
                <c:pt idx="36">
                  <c:v>-294.17412919994638</c:v>
                </c:pt>
                <c:pt idx="37">
                  <c:v>-290.75734640899498</c:v>
                </c:pt>
                <c:pt idx="38">
                  <c:v>-287.30554673998768</c:v>
                </c:pt>
                <c:pt idx="39">
                  <c:v>-283.76016842258554</c:v>
                </c:pt>
                <c:pt idx="40">
                  <c:v>-279.52816175015965</c:v>
                </c:pt>
                <c:pt idx="41">
                  <c:v>-275.38298195719159</c:v>
                </c:pt>
                <c:pt idx="42">
                  <c:v>-271.31553794697822</c:v>
                </c:pt>
                <c:pt idx="43">
                  <c:v>-267.31721739647583</c:v>
                </c:pt>
                <c:pt idx="44">
                  <c:v>-263.37980466092068</c:v>
                </c:pt>
                <c:pt idx="45">
                  <c:v>-259.49540378684242</c:v>
                </c:pt>
                <c:pt idx="46">
                  <c:v>-255.65636682932441</c:v>
                </c:pt>
                <c:pt idx="47">
                  <c:v>-251.85522495561278</c:v>
                </c:pt>
                <c:pt idx="48">
                  <c:v>-248.0846203002402</c:v>
                </c:pt>
                <c:pt idx="49">
                  <c:v>-244.33723878301379</c:v>
                </c:pt>
                <c:pt idx="50">
                  <c:v>-240.60574132598956</c:v>
                </c:pt>
                <c:pt idx="51">
                  <c:v>-236.88269202907142</c:v>
                </c:pt>
                <c:pt idx="52">
                  <c:v>-233.16048270379466</c:v>
                </c:pt>
                <c:pt idx="53">
                  <c:v>-229.431250068179</c:v>
                </c:pt>
                <c:pt idx="54">
                  <c:v>-225.68678534314773</c:v>
                </c:pt>
                <c:pt idx="55">
                  <c:v>-221.91843241397621</c:v>
                </c:pt>
                <c:pt idx="56">
                  <c:v>-218.11697209960693</c:v>
                </c:pt>
                <c:pt idx="57">
                  <c:v>-214.27248851557476</c:v>
                </c:pt>
                <c:pt idx="58">
                  <c:v>-210.37421291072766</c:v>
                </c:pt>
                <c:pt idx="59">
                  <c:v>-206.41033906749396</c:v>
                </c:pt>
                <c:pt idx="60">
                  <c:v>-202.36780276607161</c:v>
                </c:pt>
                <c:pt idx="61">
                  <c:v>-199.62773520311518</c:v>
                </c:pt>
                <c:pt idx="62">
                  <c:v>-195.38760521680962</c:v>
                </c:pt>
                <c:pt idx="63">
                  <c:v>-191.02002966513408</c:v>
                </c:pt>
                <c:pt idx="64">
                  <c:v>-186.50368902078486</c:v>
                </c:pt>
                <c:pt idx="65">
                  <c:v>-181.68662100168396</c:v>
                </c:pt>
                <c:pt idx="66">
                  <c:v>-176.52030326196029</c:v>
                </c:pt>
                <c:pt idx="67">
                  <c:v>-171.13388440808833</c:v>
                </c:pt>
                <c:pt idx="68">
                  <c:v>-165.48869226828074</c:v>
                </c:pt>
                <c:pt idx="69">
                  <c:v>-159.66423553374619</c:v>
                </c:pt>
                <c:pt idx="70">
                  <c:v>-153.72260413509039</c:v>
                </c:pt>
                <c:pt idx="71">
                  <c:v>-147.39339547791863</c:v>
                </c:pt>
                <c:pt idx="72">
                  <c:v>-140.60005787922427</c:v>
                </c:pt>
                <c:pt idx="73">
                  <c:v>-133.25336389615376</c:v>
                </c:pt>
                <c:pt idx="74">
                  <c:v>-125.58440545128255</c:v>
                </c:pt>
                <c:pt idx="75">
                  <c:v>-117.74009588822616</c:v>
                </c:pt>
                <c:pt idx="76">
                  <c:v>-110.79920209789947</c:v>
                </c:pt>
                <c:pt idx="77">
                  <c:v>-104.70813097677014</c:v>
                </c:pt>
                <c:pt idx="78">
                  <c:v>-98.632146206719938</c:v>
                </c:pt>
                <c:pt idx="79">
                  <c:v>-92.226260149352342</c:v>
                </c:pt>
                <c:pt idx="80">
                  <c:v>-85.616553471360334</c:v>
                </c:pt>
                <c:pt idx="81">
                  <c:v>-78.772195777410914</c:v>
                </c:pt>
                <c:pt idx="82">
                  <c:v>-71.657711591182974</c:v>
                </c:pt>
                <c:pt idx="83">
                  <c:v>-64.228475833218909</c:v>
                </c:pt>
                <c:pt idx="84">
                  <c:v>-56.165008352824671</c:v>
                </c:pt>
                <c:pt idx="85">
                  <c:v>-47.649970770016282</c:v>
                </c:pt>
                <c:pt idx="86">
                  <c:v>-40.477832217827796</c:v>
                </c:pt>
                <c:pt idx="87">
                  <c:v>-30.910517566593224</c:v>
                </c:pt>
                <c:pt idx="88">
                  <c:v>-20.584873973422162</c:v>
                </c:pt>
                <c:pt idx="89">
                  <c:v>-9.5905511978408455</c:v>
                </c:pt>
                <c:pt idx="90">
                  <c:v>4.9046546096188972E-14</c:v>
                </c:pt>
                <c:pt idx="91">
                  <c:v>9.5905511978408899</c:v>
                </c:pt>
                <c:pt idx="92">
                  <c:v>20.58487397342218</c:v>
                </c:pt>
                <c:pt idx="93">
                  <c:v>30.910517566593263</c:v>
                </c:pt>
                <c:pt idx="94">
                  <c:v>40.477832217827952</c:v>
                </c:pt>
                <c:pt idx="95">
                  <c:v>47.649970770016431</c:v>
                </c:pt>
                <c:pt idx="96">
                  <c:v>56.165008352824806</c:v>
                </c:pt>
                <c:pt idx="97">
                  <c:v>64.228475833218923</c:v>
                </c:pt>
                <c:pt idx="98">
                  <c:v>71.657711591182959</c:v>
                </c:pt>
                <c:pt idx="99">
                  <c:v>78.772195777410957</c:v>
                </c:pt>
                <c:pt idx="100">
                  <c:v>85.616553471360319</c:v>
                </c:pt>
                <c:pt idx="101">
                  <c:v>92.226260149352314</c:v>
                </c:pt>
                <c:pt idx="102">
                  <c:v>98.632146206719909</c:v>
                </c:pt>
                <c:pt idx="103">
                  <c:v>104.70813097677031</c:v>
                </c:pt>
                <c:pt idx="104">
                  <c:v>110.79920209789964</c:v>
                </c:pt>
                <c:pt idx="105">
                  <c:v>117.74009588822622</c:v>
                </c:pt>
                <c:pt idx="106">
                  <c:v>125.58440545128262</c:v>
                </c:pt>
                <c:pt idx="107">
                  <c:v>133.25336389615373</c:v>
                </c:pt>
                <c:pt idx="108">
                  <c:v>140.60005787922427</c:v>
                </c:pt>
                <c:pt idx="109">
                  <c:v>147.3933954779186</c:v>
                </c:pt>
                <c:pt idx="110">
                  <c:v>153.72260413509034</c:v>
                </c:pt>
                <c:pt idx="111">
                  <c:v>159.66423553374617</c:v>
                </c:pt>
                <c:pt idx="112">
                  <c:v>165.48869226828086</c:v>
                </c:pt>
                <c:pt idx="113">
                  <c:v>171.13388440808836</c:v>
                </c:pt>
                <c:pt idx="114">
                  <c:v>176.52030326196035</c:v>
                </c:pt>
                <c:pt idx="115">
                  <c:v>181.68662100168399</c:v>
                </c:pt>
                <c:pt idx="116">
                  <c:v>186.50368902078489</c:v>
                </c:pt>
                <c:pt idx="117">
                  <c:v>191.02002966513399</c:v>
                </c:pt>
                <c:pt idx="118">
                  <c:v>195.38760521680973</c:v>
                </c:pt>
                <c:pt idx="119">
                  <c:v>199.62773520311518</c:v>
                </c:pt>
                <c:pt idx="120">
                  <c:v>202.36780276607149</c:v>
                </c:pt>
                <c:pt idx="121">
                  <c:v>206.41033906749394</c:v>
                </c:pt>
                <c:pt idx="122">
                  <c:v>210.37421291072764</c:v>
                </c:pt>
                <c:pt idx="123">
                  <c:v>214.27248851557479</c:v>
                </c:pt>
                <c:pt idx="124">
                  <c:v>218.11697209960695</c:v>
                </c:pt>
                <c:pt idx="125">
                  <c:v>221.91843241397621</c:v>
                </c:pt>
                <c:pt idx="126">
                  <c:v>225.68678534314779</c:v>
                </c:pt>
                <c:pt idx="127">
                  <c:v>229.43125006817911</c:v>
                </c:pt>
                <c:pt idx="128">
                  <c:v>233.16048270379457</c:v>
                </c:pt>
                <c:pt idx="129">
                  <c:v>236.88269202907131</c:v>
                </c:pt>
                <c:pt idx="130">
                  <c:v>240.60574132598958</c:v>
                </c:pt>
                <c:pt idx="131">
                  <c:v>244.33723878301373</c:v>
                </c:pt>
                <c:pt idx="132">
                  <c:v>248.08462030024023</c:v>
                </c:pt>
                <c:pt idx="133">
                  <c:v>251.85522495561275</c:v>
                </c:pt>
                <c:pt idx="134">
                  <c:v>255.65636682932447</c:v>
                </c:pt>
                <c:pt idx="135">
                  <c:v>259.49540378684253</c:v>
                </c:pt>
                <c:pt idx="136">
                  <c:v>263.3798046609208</c:v>
                </c:pt>
                <c:pt idx="137">
                  <c:v>267.31721739647594</c:v>
                </c:pt>
                <c:pt idx="138">
                  <c:v>271.31553794697822</c:v>
                </c:pt>
                <c:pt idx="139">
                  <c:v>275.38298195719159</c:v>
                </c:pt>
                <c:pt idx="140">
                  <c:v>279.52816175015977</c:v>
                </c:pt>
                <c:pt idx="141">
                  <c:v>283.76016842258565</c:v>
                </c:pt>
                <c:pt idx="142">
                  <c:v>287.30554673998768</c:v>
                </c:pt>
                <c:pt idx="143">
                  <c:v>290.75734640899498</c:v>
                </c:pt>
                <c:pt idx="144">
                  <c:v>294.17412919994632</c:v>
                </c:pt>
                <c:pt idx="145">
                  <c:v>297.68158716982026</c:v>
                </c:pt>
                <c:pt idx="146">
                  <c:v>301.28952974597979</c:v>
                </c:pt>
                <c:pt idx="147">
                  <c:v>304.94443962283759</c:v>
                </c:pt>
                <c:pt idx="148">
                  <c:v>308.57017546780321</c:v>
                </c:pt>
                <c:pt idx="149">
                  <c:v>312.17237202738028</c:v>
                </c:pt>
                <c:pt idx="150">
                  <c:v>315.75681280111803</c:v>
                </c:pt>
                <c:pt idx="151">
                  <c:v>319.3290968274967</c:v>
                </c:pt>
                <c:pt idx="152">
                  <c:v>322.89467497292054</c:v>
                </c:pt>
                <c:pt idx="153">
                  <c:v>326.45888399141967</c:v>
                </c:pt>
                <c:pt idx="154">
                  <c:v>330.02697880681967</c:v>
                </c:pt>
                <c:pt idx="155">
                  <c:v>332.18966668556112</c:v>
                </c:pt>
                <c:pt idx="156">
                  <c:v>335.75298638161416</c:v>
                </c:pt>
                <c:pt idx="157">
                  <c:v>339.33524485121092</c:v>
                </c:pt>
                <c:pt idx="158">
                  <c:v>342.94163809579129</c:v>
                </c:pt>
                <c:pt idx="159">
                  <c:v>346.57742668830286</c:v>
                </c:pt>
                <c:pt idx="160">
                  <c:v>350.2479650475687</c:v>
                </c:pt>
                <c:pt idx="161">
                  <c:v>353.95873140795754</c:v>
                </c:pt>
                <c:pt idx="162">
                  <c:v>357.7153588256316</c:v>
                </c:pt>
                <c:pt idx="163">
                  <c:v>361.52366757903451</c:v>
                </c:pt>
                <c:pt idx="164">
                  <c:v>364.92034514077869</c:v>
                </c:pt>
                <c:pt idx="165">
                  <c:v>366.47486178179673</c:v>
                </c:pt>
                <c:pt idx="166">
                  <c:v>367.3675772181661</c:v>
                </c:pt>
                <c:pt idx="167">
                  <c:v>368.24168168013563</c:v>
                </c:pt>
                <c:pt idx="168">
                  <c:v>369.09921784903776</c:v>
                </c:pt>
                <c:pt idx="169">
                  <c:v>369.94221752952973</c:v>
                </c:pt>
                <c:pt idx="170">
                  <c:v>370.77271852826919</c:v>
                </c:pt>
                <c:pt idx="171">
                  <c:v>371.59278024018187</c:v>
                </c:pt>
                <c:pt idx="172">
                  <c:v>372.40450061630031</c:v>
                </c:pt>
                <c:pt idx="173">
                  <c:v>373.21003449170917</c:v>
                </c:pt>
                <c:pt idx="174">
                  <c:v>374.01161362396556</c:v>
                </c:pt>
                <c:pt idx="175">
                  <c:v>374.81156880951175</c:v>
                </c:pt>
                <c:pt idx="176">
                  <c:v>375.6123546904501</c:v>
                </c:pt>
                <c:pt idx="177">
                  <c:v>376.41657769376206</c:v>
                </c:pt>
                <c:pt idx="178">
                  <c:v>377.22702787653554</c:v>
                </c:pt>
                <c:pt idx="179">
                  <c:v>378.0467155906137</c:v>
                </c:pt>
                <c:pt idx="180">
                  <c:v>378.87891389934822</c:v>
                </c:pt>
                <c:pt idx="181">
                  <c:v>378.04671559061353</c:v>
                </c:pt>
                <c:pt idx="182">
                  <c:v>377.2270278765356</c:v>
                </c:pt>
                <c:pt idx="183">
                  <c:v>376.41657769376218</c:v>
                </c:pt>
                <c:pt idx="184">
                  <c:v>375.6123546904501</c:v>
                </c:pt>
                <c:pt idx="185">
                  <c:v>374.81156880951175</c:v>
                </c:pt>
                <c:pt idx="186">
                  <c:v>374.01161362396556</c:v>
                </c:pt>
                <c:pt idx="187">
                  <c:v>373.21003449170928</c:v>
                </c:pt>
                <c:pt idx="188">
                  <c:v>372.4045006163002</c:v>
                </c:pt>
                <c:pt idx="189">
                  <c:v>371.59278024018181</c:v>
                </c:pt>
                <c:pt idx="190">
                  <c:v>370.77271852826919</c:v>
                </c:pt>
                <c:pt idx="191">
                  <c:v>369.94221752952978</c:v>
                </c:pt>
                <c:pt idx="192">
                  <c:v>369.09921784903759</c:v>
                </c:pt>
                <c:pt idx="193">
                  <c:v>368.24168168013574</c:v>
                </c:pt>
                <c:pt idx="194">
                  <c:v>367.3675772181661</c:v>
                </c:pt>
                <c:pt idx="195">
                  <c:v>366.47486178179685</c:v>
                </c:pt>
                <c:pt idx="196">
                  <c:v>364.92034514077869</c:v>
                </c:pt>
                <c:pt idx="197">
                  <c:v>361.5236675790344</c:v>
                </c:pt>
                <c:pt idx="198">
                  <c:v>357.71535882563171</c:v>
                </c:pt>
                <c:pt idx="199">
                  <c:v>353.95873140795743</c:v>
                </c:pt>
                <c:pt idx="200">
                  <c:v>350.24796504756875</c:v>
                </c:pt>
                <c:pt idx="201">
                  <c:v>346.57742668830275</c:v>
                </c:pt>
                <c:pt idx="202">
                  <c:v>342.94163809579129</c:v>
                </c:pt>
                <c:pt idx="203">
                  <c:v>339.33524485121092</c:v>
                </c:pt>
                <c:pt idx="204">
                  <c:v>335.75298638161416</c:v>
                </c:pt>
                <c:pt idx="205">
                  <c:v>332.18966668556106</c:v>
                </c:pt>
                <c:pt idx="206">
                  <c:v>330.02697880681961</c:v>
                </c:pt>
                <c:pt idx="207">
                  <c:v>326.45888399141967</c:v>
                </c:pt>
                <c:pt idx="208">
                  <c:v>322.89467497292048</c:v>
                </c:pt>
                <c:pt idx="209">
                  <c:v>319.3290968274967</c:v>
                </c:pt>
                <c:pt idx="210">
                  <c:v>315.75681280111809</c:v>
                </c:pt>
                <c:pt idx="211">
                  <c:v>312.17237202738028</c:v>
                </c:pt>
                <c:pt idx="212">
                  <c:v>308.57017546780321</c:v>
                </c:pt>
                <c:pt idx="213">
                  <c:v>304.94443962283765</c:v>
                </c:pt>
                <c:pt idx="214">
                  <c:v>301.28952974597985</c:v>
                </c:pt>
                <c:pt idx="215">
                  <c:v>297.68158716982032</c:v>
                </c:pt>
                <c:pt idx="216">
                  <c:v>294.17412919994644</c:v>
                </c:pt>
                <c:pt idx="217">
                  <c:v>290.75734640899486</c:v>
                </c:pt>
                <c:pt idx="218">
                  <c:v>287.30554673998773</c:v>
                </c:pt>
                <c:pt idx="219">
                  <c:v>283.76016842258537</c:v>
                </c:pt>
                <c:pt idx="220">
                  <c:v>279.52816175015977</c:v>
                </c:pt>
                <c:pt idx="221">
                  <c:v>275.38298195719159</c:v>
                </c:pt>
                <c:pt idx="222">
                  <c:v>271.31553794697828</c:v>
                </c:pt>
                <c:pt idx="223">
                  <c:v>267.31721739647594</c:v>
                </c:pt>
                <c:pt idx="224">
                  <c:v>263.37980466092057</c:v>
                </c:pt>
                <c:pt idx="225">
                  <c:v>259.49540378684253</c:v>
                </c:pt>
                <c:pt idx="226">
                  <c:v>255.65636682932436</c:v>
                </c:pt>
                <c:pt idx="227">
                  <c:v>251.85522495561284</c:v>
                </c:pt>
                <c:pt idx="228">
                  <c:v>248.08462030024023</c:v>
                </c:pt>
                <c:pt idx="229">
                  <c:v>244.33723878301365</c:v>
                </c:pt>
                <c:pt idx="230">
                  <c:v>240.60574132598958</c:v>
                </c:pt>
                <c:pt idx="231">
                  <c:v>236.88269202907153</c:v>
                </c:pt>
                <c:pt idx="232">
                  <c:v>233.16048270379446</c:v>
                </c:pt>
                <c:pt idx="233">
                  <c:v>229.43125006817903</c:v>
                </c:pt>
                <c:pt idx="234">
                  <c:v>225.6867853431477</c:v>
                </c:pt>
                <c:pt idx="235">
                  <c:v>221.91843241397621</c:v>
                </c:pt>
                <c:pt idx="236">
                  <c:v>218.11697209960687</c:v>
                </c:pt>
                <c:pt idx="237">
                  <c:v>214.27248851557476</c:v>
                </c:pt>
                <c:pt idx="238">
                  <c:v>210.37421291072766</c:v>
                </c:pt>
                <c:pt idx="239">
                  <c:v>206.41033906749396</c:v>
                </c:pt>
                <c:pt idx="240">
                  <c:v>202.36780276607166</c:v>
                </c:pt>
                <c:pt idx="241">
                  <c:v>199.62773520311504</c:v>
                </c:pt>
                <c:pt idx="242">
                  <c:v>195.38760521680962</c:v>
                </c:pt>
                <c:pt idx="243">
                  <c:v>191.02002966513408</c:v>
                </c:pt>
                <c:pt idx="244">
                  <c:v>186.50368902078489</c:v>
                </c:pt>
                <c:pt idx="245">
                  <c:v>181.68662100168387</c:v>
                </c:pt>
                <c:pt idx="246">
                  <c:v>176.52030326196015</c:v>
                </c:pt>
                <c:pt idx="247">
                  <c:v>171.13388440808836</c:v>
                </c:pt>
                <c:pt idx="248">
                  <c:v>165.4886922682808</c:v>
                </c:pt>
                <c:pt idx="249">
                  <c:v>159.66423553374631</c:v>
                </c:pt>
                <c:pt idx="250">
                  <c:v>153.72260413509028</c:v>
                </c:pt>
                <c:pt idx="251">
                  <c:v>147.3933954779186</c:v>
                </c:pt>
                <c:pt idx="252">
                  <c:v>140.60005787922418</c:v>
                </c:pt>
                <c:pt idx="253">
                  <c:v>133.25336389615384</c:v>
                </c:pt>
                <c:pt idx="254">
                  <c:v>125.58440545128241</c:v>
                </c:pt>
                <c:pt idx="255">
                  <c:v>117.74009588822604</c:v>
                </c:pt>
                <c:pt idx="256">
                  <c:v>110.79920209789948</c:v>
                </c:pt>
                <c:pt idx="257">
                  <c:v>104.70813097677031</c:v>
                </c:pt>
                <c:pt idx="258">
                  <c:v>98.632146206720037</c:v>
                </c:pt>
                <c:pt idx="259">
                  <c:v>92.226260149352157</c:v>
                </c:pt>
                <c:pt idx="260">
                  <c:v>85.616553471360277</c:v>
                </c:pt>
                <c:pt idx="261">
                  <c:v>78.772195777410971</c:v>
                </c:pt>
                <c:pt idx="262">
                  <c:v>71.657711591183059</c:v>
                </c:pt>
                <c:pt idx="263">
                  <c:v>64.228475833218766</c:v>
                </c:pt>
                <c:pt idx="264">
                  <c:v>56.1650083528246</c:v>
                </c:pt>
                <c:pt idx="265">
                  <c:v>47.649970770016267</c:v>
                </c:pt>
                <c:pt idx="266">
                  <c:v>40.477832217827945</c:v>
                </c:pt>
                <c:pt idx="267">
                  <c:v>30.910517566593402</c:v>
                </c:pt>
                <c:pt idx="268">
                  <c:v>20.584873973421971</c:v>
                </c:pt>
                <c:pt idx="269">
                  <c:v>9.5905511978407905</c:v>
                </c:pt>
                <c:pt idx="270">
                  <c:v>7.4412921762824563E-14</c:v>
                </c:pt>
                <c:pt idx="271">
                  <c:v>-9.590551197840723</c:v>
                </c:pt>
                <c:pt idx="272">
                  <c:v>-20.584873973422457</c:v>
                </c:pt>
                <c:pt idx="273">
                  <c:v>-30.910517566593349</c:v>
                </c:pt>
                <c:pt idx="274">
                  <c:v>-40.477832217827931</c:v>
                </c:pt>
                <c:pt idx="275">
                  <c:v>-47.649970770016274</c:v>
                </c:pt>
                <c:pt idx="276">
                  <c:v>-56.165008352824593</c:v>
                </c:pt>
                <c:pt idx="277">
                  <c:v>-64.228475833219093</c:v>
                </c:pt>
                <c:pt idx="278">
                  <c:v>-71.65771159118303</c:v>
                </c:pt>
                <c:pt idx="279">
                  <c:v>-78.772195777410928</c:v>
                </c:pt>
                <c:pt idx="280">
                  <c:v>-85.616553471360263</c:v>
                </c:pt>
                <c:pt idx="281">
                  <c:v>-92.226260149352484</c:v>
                </c:pt>
                <c:pt idx="282">
                  <c:v>-98.632146206719952</c:v>
                </c:pt>
                <c:pt idx="283">
                  <c:v>-104.70813097677021</c:v>
                </c:pt>
                <c:pt idx="284">
                  <c:v>-110.79920209789944</c:v>
                </c:pt>
                <c:pt idx="285">
                  <c:v>-117.74009588822601</c:v>
                </c:pt>
                <c:pt idx="286">
                  <c:v>-125.58440545128272</c:v>
                </c:pt>
                <c:pt idx="287">
                  <c:v>-133.2533638961537</c:v>
                </c:pt>
                <c:pt idx="288">
                  <c:v>-140.60005787922427</c:v>
                </c:pt>
                <c:pt idx="289">
                  <c:v>-147.39339547791852</c:v>
                </c:pt>
                <c:pt idx="290">
                  <c:v>-153.72260413509051</c:v>
                </c:pt>
                <c:pt idx="291">
                  <c:v>-159.66423553374625</c:v>
                </c:pt>
                <c:pt idx="292">
                  <c:v>-165.48869226828086</c:v>
                </c:pt>
                <c:pt idx="293">
                  <c:v>-171.13388440808831</c:v>
                </c:pt>
                <c:pt idx="294">
                  <c:v>-176.52030326196021</c:v>
                </c:pt>
                <c:pt idx="295">
                  <c:v>-181.68662100168405</c:v>
                </c:pt>
                <c:pt idx="296">
                  <c:v>-186.50368902078486</c:v>
                </c:pt>
                <c:pt idx="297">
                  <c:v>-191.02002966513408</c:v>
                </c:pt>
                <c:pt idx="298">
                  <c:v>-195.38760521680965</c:v>
                </c:pt>
                <c:pt idx="299">
                  <c:v>-199.62773520311526</c:v>
                </c:pt>
                <c:pt idx="300">
                  <c:v>-202.36780276607163</c:v>
                </c:pt>
                <c:pt idx="301">
                  <c:v>-206.41033906749396</c:v>
                </c:pt>
                <c:pt idx="302">
                  <c:v>-210.37421291072769</c:v>
                </c:pt>
                <c:pt idx="303">
                  <c:v>-214.27248851557479</c:v>
                </c:pt>
                <c:pt idx="304">
                  <c:v>-218.1169720996071</c:v>
                </c:pt>
                <c:pt idx="305">
                  <c:v>-221.91843241397621</c:v>
                </c:pt>
                <c:pt idx="306">
                  <c:v>-225.68678534314779</c:v>
                </c:pt>
                <c:pt idx="307">
                  <c:v>-229.431250068179</c:v>
                </c:pt>
                <c:pt idx="308">
                  <c:v>-233.1604827037948</c:v>
                </c:pt>
                <c:pt idx="309">
                  <c:v>-236.88269202907153</c:v>
                </c:pt>
                <c:pt idx="310">
                  <c:v>-240.60574132598956</c:v>
                </c:pt>
                <c:pt idx="311">
                  <c:v>-244.33723878301379</c:v>
                </c:pt>
                <c:pt idx="312">
                  <c:v>-248.08462030024018</c:v>
                </c:pt>
                <c:pt idx="313">
                  <c:v>-251.85522495561281</c:v>
                </c:pt>
                <c:pt idx="314">
                  <c:v>-255.65636682932444</c:v>
                </c:pt>
                <c:pt idx="315">
                  <c:v>-259.49540378684253</c:v>
                </c:pt>
                <c:pt idx="316">
                  <c:v>-263.37980466092068</c:v>
                </c:pt>
                <c:pt idx="317">
                  <c:v>-267.31721739647594</c:v>
                </c:pt>
                <c:pt idx="318">
                  <c:v>-271.31553794697834</c:v>
                </c:pt>
                <c:pt idx="319">
                  <c:v>-275.38298195719153</c:v>
                </c:pt>
                <c:pt idx="320">
                  <c:v>-279.52816175015965</c:v>
                </c:pt>
                <c:pt idx="321">
                  <c:v>-283.76016842258554</c:v>
                </c:pt>
                <c:pt idx="322">
                  <c:v>-287.30554673998779</c:v>
                </c:pt>
                <c:pt idx="323">
                  <c:v>-290.75734640899498</c:v>
                </c:pt>
                <c:pt idx="324">
                  <c:v>-294.17412919994626</c:v>
                </c:pt>
                <c:pt idx="325">
                  <c:v>-297.68158716982026</c:v>
                </c:pt>
                <c:pt idx="326">
                  <c:v>-301.28952974597991</c:v>
                </c:pt>
                <c:pt idx="327">
                  <c:v>-304.94443962283776</c:v>
                </c:pt>
                <c:pt idx="328">
                  <c:v>-308.5701754678031</c:v>
                </c:pt>
                <c:pt idx="329">
                  <c:v>-312.17237202738028</c:v>
                </c:pt>
                <c:pt idx="330">
                  <c:v>-315.75681280111797</c:v>
                </c:pt>
                <c:pt idx="331">
                  <c:v>-319.3290968274967</c:v>
                </c:pt>
                <c:pt idx="332">
                  <c:v>-322.89467497292054</c:v>
                </c:pt>
                <c:pt idx="333">
                  <c:v>-326.45888399141955</c:v>
                </c:pt>
                <c:pt idx="334">
                  <c:v>-330.0269788068195</c:v>
                </c:pt>
                <c:pt idx="335">
                  <c:v>-332.18966668556124</c:v>
                </c:pt>
                <c:pt idx="336">
                  <c:v>-335.75298638161422</c:v>
                </c:pt>
                <c:pt idx="337">
                  <c:v>-339.33524485121092</c:v>
                </c:pt>
                <c:pt idx="338">
                  <c:v>-342.94163809579106</c:v>
                </c:pt>
                <c:pt idx="339">
                  <c:v>-346.57742668830275</c:v>
                </c:pt>
                <c:pt idx="340">
                  <c:v>-350.2479650475687</c:v>
                </c:pt>
                <c:pt idx="341">
                  <c:v>-353.95873140795737</c:v>
                </c:pt>
                <c:pt idx="342">
                  <c:v>-357.7153588256316</c:v>
                </c:pt>
                <c:pt idx="343">
                  <c:v>-361.52366757903445</c:v>
                </c:pt>
                <c:pt idx="344">
                  <c:v>-364.92034514077875</c:v>
                </c:pt>
                <c:pt idx="345">
                  <c:v>-366.47486178179673</c:v>
                </c:pt>
                <c:pt idx="346">
                  <c:v>-367.3675772181661</c:v>
                </c:pt>
                <c:pt idx="347">
                  <c:v>-368.24168168013551</c:v>
                </c:pt>
                <c:pt idx="348">
                  <c:v>-369.09921784903776</c:v>
                </c:pt>
                <c:pt idx="349">
                  <c:v>-369.94221752952973</c:v>
                </c:pt>
                <c:pt idx="350">
                  <c:v>-370.77271852826919</c:v>
                </c:pt>
                <c:pt idx="351">
                  <c:v>-371.59278024018175</c:v>
                </c:pt>
                <c:pt idx="352">
                  <c:v>-372.40450061630008</c:v>
                </c:pt>
                <c:pt idx="353">
                  <c:v>-373.21003449170911</c:v>
                </c:pt>
                <c:pt idx="354">
                  <c:v>-374.01161362396556</c:v>
                </c:pt>
                <c:pt idx="355">
                  <c:v>-374.81156880951181</c:v>
                </c:pt>
                <c:pt idx="356">
                  <c:v>-375.61235469045027</c:v>
                </c:pt>
                <c:pt idx="357">
                  <c:v>-376.41657769376206</c:v>
                </c:pt>
                <c:pt idx="358">
                  <c:v>-377.2270278765356</c:v>
                </c:pt>
                <c:pt idx="359">
                  <c:v>-378.0467155906137</c:v>
                </c:pt>
                <c:pt idx="360">
                  <c:v>-378.87891389934822</c:v>
                </c:pt>
                <c:pt idx="361">
                  <c:v>-378.87891389934816</c:v>
                </c:pt>
              </c:numCache>
            </c:numRef>
          </c:xVal>
          <c:yVal>
            <c:numRef>
              <c:f>'Cross Section Analysis'!$C$129:$C$490</c:f>
              <c:numCache>
                <c:formatCode>0.000</c:formatCode>
                <c:ptCount val="362"/>
                <c:pt idx="0">
                  <c:v>-9.17400986209147E-15</c:v>
                </c:pt>
                <c:pt idx="1">
                  <c:v>-2.7977428591448019</c:v>
                </c:pt>
                <c:pt idx="2">
                  <c:v>-5.5355741585416887</c:v>
                </c:pt>
                <c:pt idx="3">
                  <c:v>-8.219365197991074</c:v>
                </c:pt>
                <c:pt idx="4">
                  <c:v>-10.854481565430223</c:v>
                </c:pt>
                <c:pt idx="5">
                  <c:v>-13.445850101993248</c:v>
                </c:pt>
                <c:pt idx="6">
                  <c:v>-15.998016324615813</c:v>
                </c:pt>
                <c:pt idx="7">
                  <c:v>-18.515193933313654</c:v>
                </c:pt>
                <c:pt idx="8">
                  <c:v>-21.001307728417906</c:v>
                </c:pt>
                <c:pt idx="9">
                  <c:v>-23.460031024103614</c:v>
                </c:pt>
                <c:pt idx="10">
                  <c:v>-25.894818446490198</c:v>
                </c:pt>
                <c:pt idx="11">
                  <c:v>-28.308934857996228</c:v>
                </c:pt>
                <c:pt idx="12">
                  <c:v>-30.705481021765486</c:v>
                </c:pt>
                <c:pt idx="13">
                  <c:v>-33.087416521010802</c:v>
                </c:pt>
                <c:pt idx="14">
                  <c:v>-35.457580353045223</c:v>
                </c:pt>
                <c:pt idx="15">
                  <c:v>-37.818709671374037</c:v>
                </c:pt>
                <c:pt idx="16">
                  <c:v>-40.086969160018803</c:v>
                </c:pt>
                <c:pt idx="17">
                  <c:v>-42.131585515485732</c:v>
                </c:pt>
                <c:pt idx="18">
                  <c:v>-44.803123682657002</c:v>
                </c:pt>
                <c:pt idx="19">
                  <c:v>-47.435771781423526</c:v>
                </c:pt>
                <c:pt idx="20">
                  <c:v>-50.033312790317872</c:v>
                </c:pt>
                <c:pt idx="21">
                  <c:v>-52.599364333530374</c:v>
                </c:pt>
                <c:pt idx="22">
                  <c:v>-55.137399291422582</c:v>
                </c:pt>
                <c:pt idx="23">
                  <c:v>-57.650764969261246</c:v>
                </c:pt>
                <c:pt idx="24">
                  <c:v>-60.142701046318905</c:v>
                </c:pt>
                <c:pt idx="25">
                  <c:v>-62.616356507001662</c:v>
                </c:pt>
                <c:pt idx="26">
                  <c:v>-64.252566086588757</c:v>
                </c:pt>
                <c:pt idx="27">
                  <c:v>-66.71168840212718</c:v>
                </c:pt>
                <c:pt idx="28">
                  <c:v>-69.161218917319516</c:v>
                </c:pt>
                <c:pt idx="29">
                  <c:v>-71.604116258746586</c:v>
                </c:pt>
                <c:pt idx="30">
                  <c:v>-74.043322733457643</c:v>
                </c:pt>
                <c:pt idx="31">
                  <c:v>-76.481778757616112</c:v>
                </c:pt>
                <c:pt idx="32">
                  <c:v>-78.922437380241263</c:v>
                </c:pt>
                <c:pt idx="33">
                  <c:v>-81.368279054567793</c:v>
                </c:pt>
                <c:pt idx="34">
                  <c:v>-83.822050733875372</c:v>
                </c:pt>
                <c:pt idx="35">
                  <c:v>-86.226724850589179</c:v>
                </c:pt>
                <c:pt idx="36">
                  <c:v>-88.545278417142171</c:v>
                </c:pt>
                <c:pt idx="37">
                  <c:v>-90.787903174000633</c:v>
                </c:pt>
                <c:pt idx="38">
                  <c:v>-91.970460205542125</c:v>
                </c:pt>
                <c:pt idx="39">
                  <c:v>-94.237805197855991</c:v>
                </c:pt>
                <c:pt idx="40">
                  <c:v>-96.820282000966316</c:v>
                </c:pt>
                <c:pt idx="41">
                  <c:v>-99.338365353222599</c:v>
                </c:pt>
                <c:pt idx="42">
                  <c:v>-101.80033967110836</c:v>
                </c:pt>
                <c:pt idx="43">
                  <c:v>-104.21388944984146</c:v>
                </c:pt>
                <c:pt idx="44">
                  <c:v>-106.58619588592683</c:v>
                </c:pt>
                <c:pt idx="45">
                  <c:v>-108.92402246984152</c:v>
                </c:pt>
                <c:pt idx="46">
                  <c:v>-111.23379193882175</c:v>
                </c:pt>
                <c:pt idx="47">
                  <c:v>-113.52165634963654</c:v>
                </c:pt>
                <c:pt idx="48">
                  <c:v>-115.79356168532703</c:v>
                </c:pt>
                <c:pt idx="49">
                  <c:v>-118.05530875394199</c:v>
                </c:pt>
                <c:pt idx="50">
                  <c:v>-120.31261146907207</c:v>
                </c:pt>
                <c:pt idx="51">
                  <c:v>-122.57115371287227</c:v>
                </c:pt>
                <c:pt idx="52">
                  <c:v>-124.83664630271576</c:v>
                </c:pt>
                <c:pt idx="53">
                  <c:v>-127.11488471957512</c:v>
                </c:pt>
                <c:pt idx="54">
                  <c:v>-129.41180944292751</c:v>
                </c:pt>
                <c:pt idx="55">
                  <c:v>-131.73356987063755</c:v>
                </c:pt>
                <c:pt idx="56">
                  <c:v>-134.08659356363069</c:v>
                </c:pt>
                <c:pt idx="57">
                  <c:v>-136.47766250440722</c:v>
                </c:pt>
                <c:pt idx="58">
                  <c:v>-138.91399847649691</c:v>
                </c:pt>
                <c:pt idx="59">
                  <c:v>-141.40336006099042</c:v>
                </c:pt>
                <c:pt idx="60">
                  <c:v>-143.95415430191213</c:v>
                </c:pt>
                <c:pt idx="61">
                  <c:v>-146.50160945972758</c:v>
                </c:pt>
                <c:pt idx="62">
                  <c:v>-149.20235205717253</c:v>
                </c:pt>
                <c:pt idx="63">
                  <c:v>-151.99514594158831</c:v>
                </c:pt>
                <c:pt idx="64">
                  <c:v>-154.8925491184205</c:v>
                </c:pt>
                <c:pt idx="65">
                  <c:v>-157.90256781443719</c:v>
                </c:pt>
                <c:pt idx="66">
                  <c:v>-161.03998872856627</c:v>
                </c:pt>
                <c:pt idx="67">
                  <c:v>-164.33101469948431</c:v>
                </c:pt>
                <c:pt idx="68">
                  <c:v>-167.79701765396752</c:v>
                </c:pt>
                <c:pt idx="69">
                  <c:v>-171.27192902007499</c:v>
                </c:pt>
                <c:pt idx="70">
                  <c:v>-174.61662402599222</c:v>
                </c:pt>
                <c:pt idx="71">
                  <c:v>-178.18087999926092</c:v>
                </c:pt>
                <c:pt idx="72">
                  <c:v>-181.99975740613294</c:v>
                </c:pt>
                <c:pt idx="73">
                  <c:v>-186.11117143185882</c:v>
                </c:pt>
                <c:pt idx="74">
                  <c:v>-190.34824946182653</c:v>
                </c:pt>
                <c:pt idx="75">
                  <c:v>-194.61332638244212</c:v>
                </c:pt>
                <c:pt idx="76">
                  <c:v>-198.28999493641558</c:v>
                </c:pt>
                <c:pt idx="77">
                  <c:v>-201.42621224569174</c:v>
                </c:pt>
                <c:pt idx="78">
                  <c:v>-203.94356383182</c:v>
                </c:pt>
                <c:pt idx="79">
                  <c:v>-207.14929916295847</c:v>
                </c:pt>
                <c:pt idx="80">
                  <c:v>-210.4234560175353</c:v>
                </c:pt>
                <c:pt idx="81">
                  <c:v>-213.78325922367046</c:v>
                </c:pt>
                <c:pt idx="82">
                  <c:v>-217.24800824509407</c:v>
                </c:pt>
                <c:pt idx="83">
                  <c:v>-220.83918696235577</c:v>
                </c:pt>
                <c:pt idx="84">
                  <c:v>-224.56130051457245</c:v>
                </c:pt>
                <c:pt idx="85">
                  <c:v>-228.47182836726466</c:v>
                </c:pt>
                <c:pt idx="86">
                  <c:v>-231.71770798465656</c:v>
                </c:pt>
                <c:pt idx="87">
                  <c:v>-236.07018356862653</c:v>
                </c:pt>
                <c:pt idx="88">
                  <c:v>-239.58877957126325</c:v>
                </c:pt>
                <c:pt idx="89">
                  <c:v>-241.23309983812666</c:v>
                </c:pt>
                <c:pt idx="90">
                  <c:v>-241.96367274341708</c:v>
                </c:pt>
                <c:pt idx="91">
                  <c:v>-241.23309983812666</c:v>
                </c:pt>
                <c:pt idx="92">
                  <c:v>-239.5887795712633</c:v>
                </c:pt>
                <c:pt idx="93">
                  <c:v>-236.07018356862653</c:v>
                </c:pt>
                <c:pt idx="94">
                  <c:v>-231.71770798465641</c:v>
                </c:pt>
                <c:pt idx="95">
                  <c:v>-228.47182836726452</c:v>
                </c:pt>
                <c:pt idx="96">
                  <c:v>-224.56130051457239</c:v>
                </c:pt>
                <c:pt idx="97">
                  <c:v>-220.83918696235571</c:v>
                </c:pt>
                <c:pt idx="98">
                  <c:v>-217.24800824509404</c:v>
                </c:pt>
                <c:pt idx="99">
                  <c:v>-213.78325922367046</c:v>
                </c:pt>
                <c:pt idx="100">
                  <c:v>-210.4234560175353</c:v>
                </c:pt>
                <c:pt idx="101">
                  <c:v>-207.14929916295844</c:v>
                </c:pt>
                <c:pt idx="102">
                  <c:v>-203.94356383181989</c:v>
                </c:pt>
                <c:pt idx="103">
                  <c:v>-201.42621224569174</c:v>
                </c:pt>
                <c:pt idx="104">
                  <c:v>-198.28999493641552</c:v>
                </c:pt>
                <c:pt idx="105">
                  <c:v>-194.61332638244204</c:v>
                </c:pt>
                <c:pt idx="106">
                  <c:v>-190.34824946182655</c:v>
                </c:pt>
                <c:pt idx="107">
                  <c:v>-186.11117143185879</c:v>
                </c:pt>
                <c:pt idx="108">
                  <c:v>-181.99975740613294</c:v>
                </c:pt>
                <c:pt idx="109">
                  <c:v>-178.1808799992609</c:v>
                </c:pt>
                <c:pt idx="110">
                  <c:v>-174.61662402599214</c:v>
                </c:pt>
                <c:pt idx="111">
                  <c:v>-171.27192902007488</c:v>
                </c:pt>
                <c:pt idx="112">
                  <c:v>-167.7970176539674</c:v>
                </c:pt>
                <c:pt idx="113">
                  <c:v>-164.3310146994842</c:v>
                </c:pt>
                <c:pt idx="114">
                  <c:v>-161.03998872856627</c:v>
                </c:pt>
                <c:pt idx="115">
                  <c:v>-157.90256781443716</c:v>
                </c:pt>
                <c:pt idx="116">
                  <c:v>-154.89254911842053</c:v>
                </c:pt>
                <c:pt idx="117">
                  <c:v>-151.99514594158822</c:v>
                </c:pt>
                <c:pt idx="118">
                  <c:v>-149.20235205717242</c:v>
                </c:pt>
                <c:pt idx="119">
                  <c:v>-146.5016094597276</c:v>
                </c:pt>
                <c:pt idx="120">
                  <c:v>-143.95415430191224</c:v>
                </c:pt>
                <c:pt idx="121">
                  <c:v>-141.40336006099045</c:v>
                </c:pt>
                <c:pt idx="122">
                  <c:v>-138.91399847649683</c:v>
                </c:pt>
                <c:pt idx="123">
                  <c:v>-136.47766250440714</c:v>
                </c:pt>
                <c:pt idx="124">
                  <c:v>-134.08659356363069</c:v>
                </c:pt>
                <c:pt idx="125">
                  <c:v>-131.73356987063758</c:v>
                </c:pt>
                <c:pt idx="126">
                  <c:v>-129.41180944292748</c:v>
                </c:pt>
                <c:pt idx="127">
                  <c:v>-127.11488471957504</c:v>
                </c:pt>
                <c:pt idx="128">
                  <c:v>-124.83664630271575</c:v>
                </c:pt>
                <c:pt idx="129">
                  <c:v>-122.57115371287215</c:v>
                </c:pt>
                <c:pt idx="130">
                  <c:v>-120.31261146907204</c:v>
                </c:pt>
                <c:pt idx="131">
                  <c:v>-118.05530875394192</c:v>
                </c:pt>
                <c:pt idx="132">
                  <c:v>-115.79356168532699</c:v>
                </c:pt>
                <c:pt idx="133">
                  <c:v>-113.5216563496365</c:v>
                </c:pt>
                <c:pt idx="134">
                  <c:v>-111.23379193882174</c:v>
                </c:pt>
                <c:pt idx="135">
                  <c:v>-108.92402246984156</c:v>
                </c:pt>
                <c:pt idx="136">
                  <c:v>-106.5861958859268</c:v>
                </c:pt>
                <c:pt idx="137">
                  <c:v>-104.2138894498414</c:v>
                </c:pt>
                <c:pt idx="138">
                  <c:v>-101.80033967110833</c:v>
                </c:pt>
                <c:pt idx="139">
                  <c:v>-99.338365353222557</c:v>
                </c:pt>
                <c:pt idx="140">
                  <c:v>-96.820282000966316</c:v>
                </c:pt>
                <c:pt idx="141">
                  <c:v>-94.237805197855934</c:v>
                </c:pt>
                <c:pt idx="142">
                  <c:v>-91.970460205542125</c:v>
                </c:pt>
                <c:pt idx="143">
                  <c:v>-90.787903174000633</c:v>
                </c:pt>
                <c:pt idx="144">
                  <c:v>-88.545278417142157</c:v>
                </c:pt>
                <c:pt idx="145">
                  <c:v>-86.226724850589036</c:v>
                </c:pt>
                <c:pt idx="146">
                  <c:v>-83.8220507338754</c:v>
                </c:pt>
                <c:pt idx="147">
                  <c:v>-81.368279054567779</c:v>
                </c:pt>
                <c:pt idx="148">
                  <c:v>-78.922437380241348</c:v>
                </c:pt>
                <c:pt idx="149">
                  <c:v>-76.481778757616041</c:v>
                </c:pt>
                <c:pt idx="150">
                  <c:v>-74.0433227334576</c:v>
                </c:pt>
                <c:pt idx="151">
                  <c:v>-71.6041162587466</c:v>
                </c:pt>
                <c:pt idx="152">
                  <c:v>-69.161218917319516</c:v>
                </c:pt>
                <c:pt idx="153">
                  <c:v>-66.711688402127209</c:v>
                </c:pt>
                <c:pt idx="154">
                  <c:v>-64.252566086588672</c:v>
                </c:pt>
                <c:pt idx="155">
                  <c:v>-62.616356507001633</c:v>
                </c:pt>
                <c:pt idx="156">
                  <c:v>-60.142701046318912</c:v>
                </c:pt>
                <c:pt idx="157">
                  <c:v>-57.650764969261225</c:v>
                </c:pt>
                <c:pt idx="158">
                  <c:v>-55.137399291422575</c:v>
                </c:pt>
                <c:pt idx="159">
                  <c:v>-52.599364333530403</c:v>
                </c:pt>
                <c:pt idx="160">
                  <c:v>-50.033312790317837</c:v>
                </c:pt>
                <c:pt idx="161">
                  <c:v>-47.435771781423519</c:v>
                </c:pt>
                <c:pt idx="162">
                  <c:v>-44.803123682656974</c:v>
                </c:pt>
                <c:pt idx="163">
                  <c:v>-42.131585515485661</c:v>
                </c:pt>
                <c:pt idx="164">
                  <c:v>-40.086969160018818</c:v>
                </c:pt>
                <c:pt idx="165">
                  <c:v>-37.818709671373995</c:v>
                </c:pt>
                <c:pt idx="166">
                  <c:v>-35.457580353045202</c:v>
                </c:pt>
                <c:pt idx="167">
                  <c:v>-33.087416521010802</c:v>
                </c:pt>
                <c:pt idx="168">
                  <c:v>-30.705481021765447</c:v>
                </c:pt>
                <c:pt idx="169">
                  <c:v>-28.308934857996203</c:v>
                </c:pt>
                <c:pt idx="170">
                  <c:v>-25.894818446490177</c:v>
                </c:pt>
                <c:pt idx="171">
                  <c:v>-23.460031024103614</c:v>
                </c:pt>
                <c:pt idx="172">
                  <c:v>-21.001307728417842</c:v>
                </c:pt>
                <c:pt idx="173">
                  <c:v>-18.515193933313643</c:v>
                </c:pt>
                <c:pt idx="174">
                  <c:v>-15.998016324615813</c:v>
                </c:pt>
                <c:pt idx="175">
                  <c:v>-13.445850101993225</c:v>
                </c:pt>
                <c:pt idx="176">
                  <c:v>-10.854481565430209</c:v>
                </c:pt>
                <c:pt idx="177">
                  <c:v>-8.2193651979910687</c:v>
                </c:pt>
                <c:pt idx="178">
                  <c:v>-5.5355741585416531</c:v>
                </c:pt>
                <c:pt idx="179">
                  <c:v>-2.7977428591447793</c:v>
                </c:pt>
                <c:pt idx="180">
                  <c:v>2.0191256075790378E-14</c:v>
                </c:pt>
                <c:pt idx="181">
                  <c:v>2.7977428591449183</c:v>
                </c:pt>
                <c:pt idx="182">
                  <c:v>5.53557415854167</c:v>
                </c:pt>
                <c:pt idx="183">
                  <c:v>8.2193651979910918</c:v>
                </c:pt>
                <c:pt idx="184">
                  <c:v>10.854481565430218</c:v>
                </c:pt>
                <c:pt idx="185">
                  <c:v>13.445850101993221</c:v>
                </c:pt>
                <c:pt idx="186">
                  <c:v>15.99801632461582</c:v>
                </c:pt>
                <c:pt idx="187">
                  <c:v>18.51519393331365</c:v>
                </c:pt>
                <c:pt idx="188">
                  <c:v>21.001307728417917</c:v>
                </c:pt>
                <c:pt idx="189">
                  <c:v>23.460031024103642</c:v>
                </c:pt>
                <c:pt idx="190">
                  <c:v>25.894818446490277</c:v>
                </c:pt>
                <c:pt idx="191">
                  <c:v>28.308934857996249</c:v>
                </c:pt>
                <c:pt idx="192">
                  <c:v>30.705481021765525</c:v>
                </c:pt>
                <c:pt idx="193">
                  <c:v>33.087416521010844</c:v>
                </c:pt>
                <c:pt idx="194">
                  <c:v>35.457580353045202</c:v>
                </c:pt>
                <c:pt idx="195">
                  <c:v>37.818709671374037</c:v>
                </c:pt>
                <c:pt idx="196">
                  <c:v>40.086969160018825</c:v>
                </c:pt>
                <c:pt idx="197">
                  <c:v>42.131585515485725</c:v>
                </c:pt>
                <c:pt idx="198">
                  <c:v>44.803123682657002</c:v>
                </c:pt>
                <c:pt idx="199">
                  <c:v>47.435771781423604</c:v>
                </c:pt>
                <c:pt idx="200">
                  <c:v>50.033312790317844</c:v>
                </c:pt>
                <c:pt idx="201">
                  <c:v>52.599364333530538</c:v>
                </c:pt>
                <c:pt idx="202">
                  <c:v>55.137399291422575</c:v>
                </c:pt>
                <c:pt idx="203">
                  <c:v>57.650764969261232</c:v>
                </c:pt>
                <c:pt idx="204">
                  <c:v>60.142701046318926</c:v>
                </c:pt>
                <c:pt idx="205">
                  <c:v>62.616356507001655</c:v>
                </c:pt>
                <c:pt idx="206">
                  <c:v>64.252566086588757</c:v>
                </c:pt>
                <c:pt idx="207">
                  <c:v>66.711688402127223</c:v>
                </c:pt>
                <c:pt idx="208">
                  <c:v>69.161218917319601</c:v>
                </c:pt>
                <c:pt idx="209">
                  <c:v>71.604116258746586</c:v>
                </c:pt>
                <c:pt idx="210">
                  <c:v>74.043322733457714</c:v>
                </c:pt>
                <c:pt idx="211">
                  <c:v>76.481778757616041</c:v>
                </c:pt>
                <c:pt idx="212">
                  <c:v>78.922437380241348</c:v>
                </c:pt>
                <c:pt idx="213">
                  <c:v>81.368279054567779</c:v>
                </c:pt>
                <c:pt idx="214">
                  <c:v>83.822050733875358</c:v>
                </c:pt>
                <c:pt idx="215">
                  <c:v>86.226724850589179</c:v>
                </c:pt>
                <c:pt idx="216">
                  <c:v>88.545278417142129</c:v>
                </c:pt>
                <c:pt idx="217">
                  <c:v>90.787903174000618</c:v>
                </c:pt>
                <c:pt idx="218">
                  <c:v>91.970460205542125</c:v>
                </c:pt>
                <c:pt idx="219">
                  <c:v>94.237805197855963</c:v>
                </c:pt>
                <c:pt idx="220">
                  <c:v>96.820282000966344</c:v>
                </c:pt>
                <c:pt idx="221">
                  <c:v>99.338365353222585</c:v>
                </c:pt>
                <c:pt idx="222">
                  <c:v>101.80033967110833</c:v>
                </c:pt>
                <c:pt idx="223">
                  <c:v>104.21388944984146</c:v>
                </c:pt>
                <c:pt idx="224">
                  <c:v>106.58619588592678</c:v>
                </c:pt>
                <c:pt idx="225">
                  <c:v>108.92402246984156</c:v>
                </c:pt>
                <c:pt idx="226">
                  <c:v>111.23379193882174</c:v>
                </c:pt>
                <c:pt idx="227">
                  <c:v>113.52165634963654</c:v>
                </c:pt>
                <c:pt idx="228">
                  <c:v>115.79356168532708</c:v>
                </c:pt>
                <c:pt idx="229">
                  <c:v>118.05530875394192</c:v>
                </c:pt>
                <c:pt idx="230">
                  <c:v>120.31261146907204</c:v>
                </c:pt>
                <c:pt idx="231">
                  <c:v>122.57115371287223</c:v>
                </c:pt>
                <c:pt idx="232">
                  <c:v>124.83664630271582</c:v>
                </c:pt>
                <c:pt idx="233">
                  <c:v>127.1148847195751</c:v>
                </c:pt>
                <c:pt idx="234">
                  <c:v>129.41180944292751</c:v>
                </c:pt>
                <c:pt idx="235">
                  <c:v>131.73356987063755</c:v>
                </c:pt>
                <c:pt idx="236">
                  <c:v>134.08659356363077</c:v>
                </c:pt>
                <c:pt idx="237">
                  <c:v>136.47766250440722</c:v>
                </c:pt>
                <c:pt idx="238">
                  <c:v>138.91399847649686</c:v>
                </c:pt>
                <c:pt idx="239">
                  <c:v>141.40336006099042</c:v>
                </c:pt>
                <c:pt idx="240">
                  <c:v>143.95415430191213</c:v>
                </c:pt>
                <c:pt idx="241">
                  <c:v>146.50160945972763</c:v>
                </c:pt>
                <c:pt idx="242">
                  <c:v>149.2023520571725</c:v>
                </c:pt>
                <c:pt idx="243">
                  <c:v>151.99514594158831</c:v>
                </c:pt>
                <c:pt idx="244">
                  <c:v>154.89254911842053</c:v>
                </c:pt>
                <c:pt idx="245">
                  <c:v>157.90256781443725</c:v>
                </c:pt>
                <c:pt idx="246">
                  <c:v>161.03998872856627</c:v>
                </c:pt>
                <c:pt idx="247">
                  <c:v>164.33101469948429</c:v>
                </c:pt>
                <c:pt idx="248">
                  <c:v>167.79701765396743</c:v>
                </c:pt>
                <c:pt idx="249">
                  <c:v>171.27192902007485</c:v>
                </c:pt>
                <c:pt idx="250">
                  <c:v>174.61662402599219</c:v>
                </c:pt>
                <c:pt idx="251">
                  <c:v>178.18087999926101</c:v>
                </c:pt>
                <c:pt idx="252">
                  <c:v>181.99975740613283</c:v>
                </c:pt>
                <c:pt idx="253">
                  <c:v>186.11117143185871</c:v>
                </c:pt>
                <c:pt idx="254">
                  <c:v>190.34824946182661</c:v>
                </c:pt>
                <c:pt idx="255">
                  <c:v>194.61332638244215</c:v>
                </c:pt>
                <c:pt idx="256">
                  <c:v>198.28999493641555</c:v>
                </c:pt>
                <c:pt idx="257">
                  <c:v>201.42621224569169</c:v>
                </c:pt>
                <c:pt idx="258">
                  <c:v>203.94356383181992</c:v>
                </c:pt>
                <c:pt idx="259">
                  <c:v>207.14929916295853</c:v>
                </c:pt>
                <c:pt idx="260">
                  <c:v>210.42345601753544</c:v>
                </c:pt>
                <c:pt idx="261">
                  <c:v>213.78325922367046</c:v>
                </c:pt>
                <c:pt idx="262">
                  <c:v>217.24800824509398</c:v>
                </c:pt>
                <c:pt idx="263">
                  <c:v>220.83918696235583</c:v>
                </c:pt>
                <c:pt idx="264">
                  <c:v>224.56130051457251</c:v>
                </c:pt>
                <c:pt idx="265">
                  <c:v>228.47182836726455</c:v>
                </c:pt>
                <c:pt idx="266">
                  <c:v>231.71770798465639</c:v>
                </c:pt>
                <c:pt idx="267">
                  <c:v>236.07018356862642</c:v>
                </c:pt>
                <c:pt idx="268">
                  <c:v>239.5887795712633</c:v>
                </c:pt>
                <c:pt idx="269">
                  <c:v>241.23309983812666</c:v>
                </c:pt>
                <c:pt idx="270">
                  <c:v>241.96367274341705</c:v>
                </c:pt>
                <c:pt idx="271">
                  <c:v>241.23309983812666</c:v>
                </c:pt>
                <c:pt idx="272">
                  <c:v>239.5887795712633</c:v>
                </c:pt>
                <c:pt idx="273">
                  <c:v>236.0701835686265</c:v>
                </c:pt>
                <c:pt idx="274">
                  <c:v>231.71770798465644</c:v>
                </c:pt>
                <c:pt idx="275">
                  <c:v>228.47182836726464</c:v>
                </c:pt>
                <c:pt idx="276">
                  <c:v>224.56130051457248</c:v>
                </c:pt>
                <c:pt idx="277">
                  <c:v>220.83918696235563</c:v>
                </c:pt>
                <c:pt idx="278">
                  <c:v>217.24800824509398</c:v>
                </c:pt>
                <c:pt idx="279">
                  <c:v>213.78325922367046</c:v>
                </c:pt>
                <c:pt idx="280">
                  <c:v>210.42345601753539</c:v>
                </c:pt>
                <c:pt idx="281">
                  <c:v>207.14929916295839</c:v>
                </c:pt>
                <c:pt idx="282">
                  <c:v>203.94356383181989</c:v>
                </c:pt>
                <c:pt idx="283">
                  <c:v>201.42621224569174</c:v>
                </c:pt>
                <c:pt idx="284">
                  <c:v>198.28999493641555</c:v>
                </c:pt>
                <c:pt idx="285">
                  <c:v>194.61332638244218</c:v>
                </c:pt>
                <c:pt idx="286">
                  <c:v>190.34824946182641</c:v>
                </c:pt>
                <c:pt idx="287">
                  <c:v>186.11117143185871</c:v>
                </c:pt>
                <c:pt idx="288">
                  <c:v>181.99975740613297</c:v>
                </c:pt>
                <c:pt idx="289">
                  <c:v>178.18087999926095</c:v>
                </c:pt>
                <c:pt idx="290">
                  <c:v>174.616624025992</c:v>
                </c:pt>
                <c:pt idx="291">
                  <c:v>171.27192902007485</c:v>
                </c:pt>
                <c:pt idx="292">
                  <c:v>167.79701765396752</c:v>
                </c:pt>
                <c:pt idx="293">
                  <c:v>164.33101469948429</c:v>
                </c:pt>
                <c:pt idx="294">
                  <c:v>161.03998872856633</c:v>
                </c:pt>
                <c:pt idx="295">
                  <c:v>157.90256781443702</c:v>
                </c:pt>
                <c:pt idx="296">
                  <c:v>154.89254911842056</c:v>
                </c:pt>
                <c:pt idx="297">
                  <c:v>151.99514594158828</c:v>
                </c:pt>
                <c:pt idx="298">
                  <c:v>149.20235205717256</c:v>
                </c:pt>
                <c:pt idx="299">
                  <c:v>146.5016094597276</c:v>
                </c:pt>
                <c:pt idx="300">
                  <c:v>143.95415430191213</c:v>
                </c:pt>
                <c:pt idx="301">
                  <c:v>141.40336006099042</c:v>
                </c:pt>
                <c:pt idx="302">
                  <c:v>138.91399847649686</c:v>
                </c:pt>
                <c:pt idx="303">
                  <c:v>136.47766250440725</c:v>
                </c:pt>
                <c:pt idx="304">
                  <c:v>134.0865935636306</c:v>
                </c:pt>
                <c:pt idx="305">
                  <c:v>131.73356987063752</c:v>
                </c:pt>
                <c:pt idx="306">
                  <c:v>129.41180944292753</c:v>
                </c:pt>
                <c:pt idx="307">
                  <c:v>127.11488471957513</c:v>
                </c:pt>
                <c:pt idx="308">
                  <c:v>124.83664630271581</c:v>
                </c:pt>
                <c:pt idx="309">
                  <c:v>122.57115371287223</c:v>
                </c:pt>
                <c:pt idx="310">
                  <c:v>120.31261146907211</c:v>
                </c:pt>
                <c:pt idx="311">
                  <c:v>118.05530875394199</c:v>
                </c:pt>
                <c:pt idx="312">
                  <c:v>115.79356168532703</c:v>
                </c:pt>
                <c:pt idx="313">
                  <c:v>113.52165634963647</c:v>
                </c:pt>
                <c:pt idx="314">
                  <c:v>111.23379193882177</c:v>
                </c:pt>
                <c:pt idx="315">
                  <c:v>108.92402246984157</c:v>
                </c:pt>
                <c:pt idx="316">
                  <c:v>106.58619588592684</c:v>
                </c:pt>
                <c:pt idx="317">
                  <c:v>104.2138894498414</c:v>
                </c:pt>
                <c:pt idx="318">
                  <c:v>101.80033967110822</c:v>
                </c:pt>
                <c:pt idx="319">
                  <c:v>99.338365353222599</c:v>
                </c:pt>
                <c:pt idx="320">
                  <c:v>96.820282000966316</c:v>
                </c:pt>
                <c:pt idx="321">
                  <c:v>94.237805197856062</c:v>
                </c:pt>
                <c:pt idx="322">
                  <c:v>91.970460205542125</c:v>
                </c:pt>
                <c:pt idx="323">
                  <c:v>90.787903174000604</c:v>
                </c:pt>
                <c:pt idx="324">
                  <c:v>88.5452784171421</c:v>
                </c:pt>
                <c:pt idx="325">
                  <c:v>86.226724850589179</c:v>
                </c:pt>
                <c:pt idx="326">
                  <c:v>83.822050733875287</c:v>
                </c:pt>
                <c:pt idx="327">
                  <c:v>81.368279054567722</c:v>
                </c:pt>
                <c:pt idx="328">
                  <c:v>78.922437380241291</c:v>
                </c:pt>
                <c:pt idx="329">
                  <c:v>76.48177875761607</c:v>
                </c:pt>
                <c:pt idx="330">
                  <c:v>74.043322733457714</c:v>
                </c:pt>
                <c:pt idx="331">
                  <c:v>71.604116258746529</c:v>
                </c:pt>
                <c:pt idx="332">
                  <c:v>69.16121891731953</c:v>
                </c:pt>
                <c:pt idx="333">
                  <c:v>66.711688402127209</c:v>
                </c:pt>
                <c:pt idx="334">
                  <c:v>64.252566086588814</c:v>
                </c:pt>
                <c:pt idx="335">
                  <c:v>62.616356507001598</c:v>
                </c:pt>
                <c:pt idx="336">
                  <c:v>60.142701046318876</c:v>
                </c:pt>
                <c:pt idx="337">
                  <c:v>57.65076496926131</c:v>
                </c:pt>
                <c:pt idx="338">
                  <c:v>55.137399291422568</c:v>
                </c:pt>
                <c:pt idx="339">
                  <c:v>52.599364333530509</c:v>
                </c:pt>
                <c:pt idx="340">
                  <c:v>50.033312790317801</c:v>
                </c:pt>
                <c:pt idx="341">
                  <c:v>47.435771781423519</c:v>
                </c:pt>
                <c:pt idx="342">
                  <c:v>44.803123682656995</c:v>
                </c:pt>
                <c:pt idx="343">
                  <c:v>42.131585515485803</c:v>
                </c:pt>
                <c:pt idx="344">
                  <c:v>40.086969160018825</c:v>
                </c:pt>
                <c:pt idx="345">
                  <c:v>37.818709671373988</c:v>
                </c:pt>
                <c:pt idx="346">
                  <c:v>35.457580353045238</c:v>
                </c:pt>
                <c:pt idx="347">
                  <c:v>33.087416521010844</c:v>
                </c:pt>
                <c:pt idx="348">
                  <c:v>30.705481021765564</c:v>
                </c:pt>
                <c:pt idx="349">
                  <c:v>28.308934857996213</c:v>
                </c:pt>
                <c:pt idx="350">
                  <c:v>25.894818446490227</c:v>
                </c:pt>
                <c:pt idx="351">
                  <c:v>23.460031024103639</c:v>
                </c:pt>
                <c:pt idx="352">
                  <c:v>21.001307728417917</c:v>
                </c:pt>
                <c:pt idx="353">
                  <c:v>18.515193933313604</c:v>
                </c:pt>
                <c:pt idx="354">
                  <c:v>15.998016324615788</c:v>
                </c:pt>
                <c:pt idx="355">
                  <c:v>13.445850101993242</c:v>
                </c:pt>
                <c:pt idx="356">
                  <c:v>10.854481565430259</c:v>
                </c:pt>
                <c:pt idx="357">
                  <c:v>8.219365197991122</c:v>
                </c:pt>
                <c:pt idx="358">
                  <c:v>5.5355741585416336</c:v>
                </c:pt>
                <c:pt idx="359">
                  <c:v>2.7977428591448339</c:v>
                </c:pt>
                <c:pt idx="360">
                  <c:v>4.9556522013672235E-14</c:v>
                </c:pt>
                <c:pt idx="361">
                  <c:v>-9.17400986209147E-15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35-104B-91C4-30CCC9729C73}"/>
            </c:ext>
          </c:extLst>
        </c:ser>
        <c:ser>
          <c:idx val="1"/>
          <c:order val="1"/>
          <c:tx>
            <c:v>goal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tx1">
                  <a:lumMod val="95000"/>
                  <a:lumOff val="5000"/>
                </a:schemeClr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Analysis'!$B$119</c:f>
              <c:numCache>
                <c:formatCode>General</c:formatCode>
                <c:ptCount val="1"/>
                <c:pt idx="0">
                  <c:v>45</c:v>
                </c:pt>
              </c:numCache>
            </c:numRef>
          </c:xVal>
          <c:yVal>
            <c:numRef>
              <c:f>'Cross Section Analysis'!$B$120</c:f>
              <c:numCache>
                <c:formatCode>General</c:formatCode>
                <c:ptCount val="1"/>
                <c:pt idx="0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35-104B-91C4-30CCC9729C73}"/>
            </c:ext>
          </c:extLst>
        </c:ser>
        <c:ser>
          <c:idx val="2"/>
          <c:order val="2"/>
          <c:tx>
            <c:v>goal_line</c:v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'Cross Section Analysis'!$H$124:$H$125</c:f>
              <c:numCache>
                <c:formatCode>0.000000000</c:formatCode>
                <c:ptCount val="2"/>
                <c:pt idx="0" formatCode="General">
                  <c:v>0</c:v>
                </c:pt>
                <c:pt idx="1">
                  <c:v>160.07158769285672</c:v>
                </c:pt>
              </c:numCache>
            </c:numRef>
          </c:xVal>
          <c:yVal>
            <c:numRef>
              <c:f>'Cross Section Analysis'!$I$124:$I$125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160.07167299919249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335-104B-91C4-30CCC9729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P-M @ Goal Load Angle = Tan</a:t>
            </a:r>
            <a:r>
              <a:rPr lang="en-US" baseline="30000"/>
              <a:t>-1</a:t>
            </a:r>
            <a:r>
              <a:rPr lang="en-US"/>
              <a:t>(Mx/My)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p_m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'Cross Section Analysis'!$R$129:$R$231</c:f>
              <c:numCache>
                <c:formatCode>General</c:formatCode>
                <c:ptCount val="103"/>
                <c:pt idx="0">
                  <c:v>#N/A</c:v>
                </c:pt>
                <c:pt idx="1">
                  <c:v>0.17022051075908731</c:v>
                </c:pt>
                <c:pt idx="2">
                  <c:v>8.5773027913905011</c:v>
                </c:pt>
                <c:pt idx="3">
                  <c:v>17.307372946088201</c:v>
                </c:pt>
                <c:pt idx="4">
                  <c:v>26.351273009249919</c:v>
                </c:pt>
                <c:pt idx="5">
                  <c:v>46.67635484580282</c:v>
                </c:pt>
                <c:pt idx="6">
                  <c:v>79.19382196631274</c:v>
                </c:pt>
                <c:pt idx="7">
                  <c:v>103.08950892261944</c:v>
                </c:pt>
                <c:pt idx="8">
                  <c:v>121.34143899308417</c:v>
                </c:pt>
                <c:pt idx="9">
                  <c:v>135.00965030127557</c:v>
                </c:pt>
                <c:pt idx="10">
                  <c:v>149.9760618664271</c:v>
                </c:pt>
                <c:pt idx="11">
                  <c:v>169.8444706531784</c:v>
                </c:pt>
                <c:pt idx="12">
                  <c:v>188.09358251271746</c:v>
                </c:pt>
                <c:pt idx="13">
                  <c:v>205.07172059227256</c:v>
                </c:pt>
                <c:pt idx="14">
                  <c:v>219.63789406836358</c:v>
                </c:pt>
                <c:pt idx="15">
                  <c:v>225.1341328696443</c:v>
                </c:pt>
                <c:pt idx="16">
                  <c:v>230.92637892259131</c:v>
                </c:pt>
                <c:pt idx="17">
                  <c:v>235.38122639887177</c:v>
                </c:pt>
                <c:pt idx="18">
                  <c:v>236.2775826334192</c:v>
                </c:pt>
                <c:pt idx="19">
                  <c:v>236.33762762040959</c:v>
                </c:pt>
                <c:pt idx="20">
                  <c:v>234.3456658034367</c:v>
                </c:pt>
                <c:pt idx="21">
                  <c:v>231.90372925590106</c:v>
                </c:pt>
                <c:pt idx="22">
                  <c:v>229.29686025895171</c:v>
                </c:pt>
                <c:pt idx="23">
                  <c:v>226.08236586834218</c:v>
                </c:pt>
                <c:pt idx="24">
                  <c:v>226.37587602831766</c:v>
                </c:pt>
                <c:pt idx="25">
                  <c:v>226.04565543599006</c:v>
                </c:pt>
                <c:pt idx="26">
                  <c:v>224.4619127565912</c:v>
                </c:pt>
                <c:pt idx="27">
                  <c:v>222.13083431003631</c:v>
                </c:pt>
                <c:pt idx="28">
                  <c:v>218.81571299962567</c:v>
                </c:pt>
                <c:pt idx="29">
                  <c:v>214.71449761038227</c:v>
                </c:pt>
                <c:pt idx="30">
                  <c:v>209.02793127303272</c:v>
                </c:pt>
                <c:pt idx="31">
                  <c:v>201.82630777652886</c:v>
                </c:pt>
                <c:pt idx="32">
                  <c:v>192.92667393604609</c:v>
                </c:pt>
                <c:pt idx="33">
                  <c:v>182.60538207812994</c:v>
                </c:pt>
                <c:pt idx="34">
                  <c:v>171.95256526554104</c:v>
                </c:pt>
                <c:pt idx="35">
                  <c:v>159.05463485327257</c:v>
                </c:pt>
                <c:pt idx="36">
                  <c:v>145.0817434231443</c:v>
                </c:pt>
                <c:pt idx="37">
                  <c:v>130.01812875139495</c:v>
                </c:pt>
                <c:pt idx="38">
                  <c:v>115.96052146456354</c:v>
                </c:pt>
                <c:pt idx="39">
                  <c:v>101.19380433899539</c:v>
                </c:pt>
                <c:pt idx="40">
                  <c:v>87.799226346065893</c:v>
                </c:pt>
                <c:pt idx="41">
                  <c:v>76.173864651432595</c:v>
                </c:pt>
                <c:pt idx="42">
                  <c:v>66.517588839304764</c:v>
                </c:pt>
                <c:pt idx="43">
                  <c:v>58.492896368496098</c:v>
                </c:pt>
                <c:pt idx="44">
                  <c:v>51.766498573625867</c:v>
                </c:pt>
                <c:pt idx="45">
                  <c:v>46.062820339519419</c:v>
                </c:pt>
                <c:pt idx="46">
                  <c:v>41.183333986020401</c:v>
                </c:pt>
                <c:pt idx="47">
                  <c:v>36.997455479644579</c:v>
                </c:pt>
                <c:pt idx="48">
                  <c:v>33.433057111479016</c:v>
                </c:pt>
                <c:pt idx="49">
                  <c:v>30.472712707088721</c:v>
                </c:pt>
                <c:pt idx="50">
                  <c:v>28.071929236721708</c:v>
                </c:pt>
                <c:pt idx="51">
                  <c:v>26.517241839132076</c:v>
                </c:pt>
                <c:pt idx="52">
                  <c:v>25.537051468227499</c:v>
                </c:pt>
                <c:pt idx="53">
                  <c:v>24.594488420714033</c:v>
                </c:pt>
                <c:pt idx="54">
                  <c:v>23.687399704128708</c:v>
                </c:pt>
                <c:pt idx="55">
                  <c:v>22.813834289633153</c:v>
                </c:pt>
                <c:pt idx="56">
                  <c:v>21.971946325151546</c:v>
                </c:pt>
                <c:pt idx="57">
                  <c:v>21.160044660972861</c:v>
                </c:pt>
                <c:pt idx="58">
                  <c:v>20.376559382483563</c:v>
                </c:pt>
                <c:pt idx="59">
                  <c:v>19.620012295316954</c:v>
                </c:pt>
                <c:pt idx="60">
                  <c:v>18.889023127994626</c:v>
                </c:pt>
                <c:pt idx="61">
                  <c:v>18.182342566734373</c:v>
                </c:pt>
                <c:pt idx="62">
                  <c:v>17.49874119960344</c:v>
                </c:pt>
                <c:pt idx="63">
                  <c:v>16.837124084871025</c:v>
                </c:pt>
                <c:pt idx="64">
                  <c:v>16.196448133235712</c:v>
                </c:pt>
                <c:pt idx="65">
                  <c:v>15.349047418169294</c:v>
                </c:pt>
                <c:pt idx="66">
                  <c:v>14.446789677197742</c:v>
                </c:pt>
                <c:pt idx="67">
                  <c:v>13.566120297537376</c:v>
                </c:pt>
                <c:pt idx="68">
                  <c:v>12.70601122094876</c:v>
                </c:pt>
                <c:pt idx="69">
                  <c:v>11.865386621923372</c:v>
                </c:pt>
                <c:pt idx="70">
                  <c:v>11.043299936708342</c:v>
                </c:pt>
                <c:pt idx="71">
                  <c:v>10.23883628116003</c:v>
                </c:pt>
                <c:pt idx="72">
                  <c:v>9.4510930782674034</c:v>
                </c:pt>
                <c:pt idx="73">
                  <c:v>8.6792580736532781</c:v>
                </c:pt>
                <c:pt idx="74">
                  <c:v>7.9225563855007586</c:v>
                </c:pt>
                <c:pt idx="75">
                  <c:v>7.1802050011211627</c:v>
                </c:pt>
                <c:pt idx="76">
                  <c:v>6.4514729856306809</c:v>
                </c:pt>
              </c:numCache>
            </c:numRef>
          </c:xVal>
          <c:yVal>
            <c:numRef>
              <c:f>'Cross Section Analysis'!$Q$129:$Q$231</c:f>
              <c:numCache>
                <c:formatCode>General</c:formatCode>
                <c:ptCount val="103"/>
                <c:pt idx="0">
                  <c:v>-426.6</c:v>
                </c:pt>
                <c:pt idx="1">
                  <c:v>-426.41937976036593</c:v>
                </c:pt>
                <c:pt idx="2">
                  <c:v>-417.31433429619966</c:v>
                </c:pt>
                <c:pt idx="3">
                  <c:v>-407.47436472345765</c:v>
                </c:pt>
                <c:pt idx="4">
                  <c:v>-396.85868803020355</c:v>
                </c:pt>
                <c:pt idx="5">
                  <c:v>-369.69788839577853</c:v>
                </c:pt>
                <c:pt idx="6">
                  <c:v>-321.01927594553229</c:v>
                </c:pt>
                <c:pt idx="7">
                  <c:v>-282.47820978371578</c:v>
                </c:pt>
                <c:pt idx="8">
                  <c:v>-251.81470911360779</c:v>
                </c:pt>
                <c:pt idx="9">
                  <c:v>-228.52235433834051</c:v>
                </c:pt>
                <c:pt idx="10">
                  <c:v>-202.8736277098576</c:v>
                </c:pt>
                <c:pt idx="11">
                  <c:v>-158.8052908286252</c:v>
                </c:pt>
                <c:pt idx="12">
                  <c:v>-118.2842356792241</c:v>
                </c:pt>
                <c:pt idx="13">
                  <c:v>-80.240849150453343</c:v>
                </c:pt>
                <c:pt idx="14">
                  <c:v>-45.506356091239709</c:v>
                </c:pt>
                <c:pt idx="15">
                  <c:v>-6.7096467585880637</c:v>
                </c:pt>
                <c:pt idx="16">
                  <c:v>42.292024181910953</c:v>
                </c:pt>
                <c:pt idx="17">
                  <c:v>84.437202950255212</c:v>
                </c:pt>
                <c:pt idx="18">
                  <c:v>129.20734365874236</c:v>
                </c:pt>
                <c:pt idx="19">
                  <c:v>170.44344189889352</c:v>
                </c:pt>
                <c:pt idx="20">
                  <c:v>204.7335185911092</c:v>
                </c:pt>
                <c:pt idx="21">
                  <c:v>242.8056805307919</c:v>
                </c:pt>
                <c:pt idx="22">
                  <c:v>277.66920850141935</c:v>
                </c:pt>
                <c:pt idx="23">
                  <c:v>312.13906733442411</c:v>
                </c:pt>
                <c:pt idx="24">
                  <c:v>353.6642066294495</c:v>
                </c:pt>
                <c:pt idx="25">
                  <c:v>395.03357703520078</c:v>
                </c:pt>
                <c:pt idx="26">
                  <c:v>436.44270052729183</c:v>
                </c:pt>
                <c:pt idx="27">
                  <c:v>477.47501880959879</c:v>
                </c:pt>
                <c:pt idx="28">
                  <c:v>518.98305168044612</c:v>
                </c:pt>
                <c:pt idx="29">
                  <c:v>556.8655849732188</c:v>
                </c:pt>
                <c:pt idx="30">
                  <c:v>599.76806468463781</c:v>
                </c:pt>
                <c:pt idx="31">
                  <c:v>643.68643664179569</c:v>
                </c:pt>
                <c:pt idx="32">
                  <c:v>688.54724055818167</c:v>
                </c:pt>
                <c:pt idx="33">
                  <c:v>732.3740136619034</c:v>
                </c:pt>
                <c:pt idx="34">
                  <c:v>771.62731419125157</c:v>
                </c:pt>
                <c:pt idx="35">
                  <c:v>812.64280647425244</c:v>
                </c:pt>
                <c:pt idx="36">
                  <c:v>851.93703280989189</c:v>
                </c:pt>
                <c:pt idx="37">
                  <c:v>888.78333419308137</c:v>
                </c:pt>
                <c:pt idx="38">
                  <c:v>919.81098435370723</c:v>
                </c:pt>
                <c:pt idx="39">
                  <c:v>949.5428564175437</c:v>
                </c:pt>
                <c:pt idx="40">
                  <c:v>974.56496123275735</c:v>
                </c:pt>
                <c:pt idx="41">
                  <c:v>995.42881580284313</c:v>
                </c:pt>
                <c:pt idx="42">
                  <c:v>1011.489556606891</c:v>
                </c:pt>
                <c:pt idx="43">
                  <c:v>1024.3656731577082</c:v>
                </c:pt>
                <c:pt idx="44">
                  <c:v>1034.898604892649</c:v>
                </c:pt>
                <c:pt idx="45">
                  <c:v>1043.7107057761748</c:v>
                </c:pt>
                <c:pt idx="46">
                  <c:v>1051.2325316341457</c:v>
                </c:pt>
                <c:pt idx="47">
                  <c:v>1057.7549727105265</c:v>
                </c:pt>
                <c:pt idx="48">
                  <c:v>1063.4696499708107</c:v>
                </c:pt>
                <c:pt idx="49">
                  <c:v>1068.4971787226962</c:v>
                </c:pt>
                <c:pt idx="50">
                  <c:v>1072.925220206808</c:v>
                </c:pt>
                <c:pt idx="51">
                  <c:v>1076.3261553260916</c:v>
                </c:pt>
                <c:pt idx="52">
                  <c:v>1079.073674827853</c:v>
                </c:pt>
                <c:pt idx="53">
                  <c:v>1081.7157413970538</c:v>
                </c:pt>
                <c:pt idx="54">
                  <c:v>1084.2583658845595</c:v>
                </c:pt>
                <c:pt idx="55">
                  <c:v>1086.7070324666183</c:v>
                </c:pt>
                <c:pt idx="56">
                  <c:v>1089.0669004445078</c:v>
                </c:pt>
                <c:pt idx="57">
                  <c:v>1091.3427146129784</c:v>
                </c:pt>
                <c:pt idx="58">
                  <c:v>1093.5388817151886</c:v>
                </c:pt>
                <c:pt idx="59">
                  <c:v>1095.6595378808254</c:v>
                </c:pt>
                <c:pt idx="60">
                  <c:v>1097.7085434188732</c:v>
                </c:pt>
                <c:pt idx="61">
                  <c:v>1099.6894231448846</c:v>
                </c:pt>
                <c:pt idx="62">
                  <c:v>1101.605595235904</c:v>
                </c:pt>
                <c:pt idx="63">
                  <c:v>1103.4601466900888</c:v>
                </c:pt>
                <c:pt idx="64">
                  <c:v>1105.256004002144</c:v>
                </c:pt>
                <c:pt idx="65">
                  <c:v>1107.2773740076266</c:v>
                </c:pt>
                <c:pt idx="66">
                  <c:v>1109.3422744253996</c:v>
                </c:pt>
                <c:pt idx="67">
                  <c:v>1111.3577566556964</c:v>
                </c:pt>
                <c:pt idx="68">
                  <c:v>1113.3262066578775</c:v>
                </c:pt>
                <c:pt idx="69">
                  <c:v>1115.2500526154731</c:v>
                </c:pt>
                <c:pt idx="70">
                  <c:v>1117.1314748939722</c:v>
                </c:pt>
                <c:pt idx="71">
                  <c:v>1118.972570021255</c:v>
                </c:pt>
                <c:pt idx="72">
                  <c:v>1120.7753870723939</c:v>
                </c:pt>
                <c:pt idx="73">
                  <c:v>1122.5417972188102</c:v>
                </c:pt>
                <c:pt idx="74">
                  <c:v>1124.2735846587325</c:v>
                </c:pt>
                <c:pt idx="75">
                  <c:v>1125.9725276988102</c:v>
                </c:pt>
                <c:pt idx="76">
                  <c:v>1127.6402970607344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88-45A8-82B1-F1E57D0B9DAF}"/>
            </c:ext>
          </c:extLst>
        </c:ser>
        <c:ser>
          <c:idx val="1"/>
          <c:order val="1"/>
          <c:tx>
            <c:v>goal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tx1">
                  <a:lumMod val="95000"/>
                  <a:lumOff val="5000"/>
                </a:schemeClr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Analysis'!$E$120</c:f>
              <c:numCache>
                <c:formatCode>General</c:formatCode>
                <c:ptCount val="1"/>
                <c:pt idx="0">
                  <c:v>63.63961030678928</c:v>
                </c:pt>
              </c:numCache>
            </c:numRef>
          </c:xVal>
          <c:yVal>
            <c:numRef>
              <c:f>'Cross Section Analysis'!$D$120</c:f>
              <c:numCache>
                <c:formatCode>General</c:formatCode>
                <c:ptCount val="1"/>
                <c:pt idx="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88-45A8-82B1-F1E57D0B9DAF}"/>
            </c:ext>
          </c:extLst>
        </c:ser>
        <c:ser>
          <c:idx val="2"/>
          <c:order val="2"/>
          <c:tx>
            <c:v>goal_line</c:v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7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Analysis'!$W$130:$W$132</c:f>
              <c:numCache>
                <c:formatCode>General</c:formatCode>
                <c:ptCount val="3"/>
                <c:pt idx="0">
                  <c:v>0</c:v>
                </c:pt>
                <c:pt idx="1">
                  <c:v>63.63961030678928</c:v>
                </c:pt>
                <c:pt idx="2">
                  <c:v>226.37547058652873</c:v>
                </c:pt>
              </c:numCache>
            </c:numRef>
          </c:xVal>
          <c:yVal>
            <c:numRef>
              <c:f>'Cross Section Analysis'!$V$130:$V$132</c:f>
              <c:numCache>
                <c:formatCode>General</c:formatCode>
                <c:ptCount val="3"/>
                <c:pt idx="0">
                  <c:v>0</c:v>
                </c:pt>
                <c:pt idx="1">
                  <c:v>100</c:v>
                </c:pt>
                <c:pt idx="2">
                  <c:v>355.71358789794147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88-45A8-82B1-F1E57D0B9DAF}"/>
            </c:ext>
          </c:extLst>
        </c:ser>
        <c:ser>
          <c:idx val="3"/>
          <c:order val="3"/>
          <c:tx>
            <c:v>p_m_Nominal</c:v>
          </c:tx>
          <c:spPr>
            <a:ln w="15875" cap="rnd">
              <a:solidFill>
                <a:schemeClr val="accent1">
                  <a:lumMod val="5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'Cross Section Analysis'!$U$129:$U$230</c:f>
              <c:numCache>
                <c:formatCode>General</c:formatCode>
                <c:ptCount val="102"/>
                <c:pt idx="1">
                  <c:v>0.18913390084343032</c:v>
                </c:pt>
                <c:pt idx="2">
                  <c:v>9.5303364348783344</c:v>
                </c:pt>
                <c:pt idx="3">
                  <c:v>19.230414384542442</c:v>
                </c:pt>
                <c:pt idx="4">
                  <c:v>29.279192232499913</c:v>
                </c:pt>
                <c:pt idx="5">
                  <c:v>51.862616495336461</c:v>
                </c:pt>
                <c:pt idx="6">
                  <c:v>87.993135518125257</c:v>
                </c:pt>
                <c:pt idx="7">
                  <c:v>114.54389880291049</c:v>
                </c:pt>
                <c:pt idx="8">
                  <c:v>134.82382110342684</c:v>
                </c:pt>
                <c:pt idx="9">
                  <c:v>150.01072255697287</c:v>
                </c:pt>
                <c:pt idx="10">
                  <c:v>166.64006874047456</c:v>
                </c:pt>
                <c:pt idx="11">
                  <c:v>188.71607850353155</c:v>
                </c:pt>
                <c:pt idx="12">
                  <c:v>208.99286945857494</c:v>
                </c:pt>
                <c:pt idx="13">
                  <c:v>227.85746732474729</c:v>
                </c:pt>
                <c:pt idx="14">
                  <c:v>244.50692380359885</c:v>
                </c:pt>
                <c:pt idx="15">
                  <c:v>262.02779329363659</c:v>
                </c:pt>
                <c:pt idx="16">
                  <c:v>281.94192129159512</c:v>
                </c:pt>
                <c:pt idx="17">
                  <c:v>299.96472507508622</c:v>
                </c:pt>
                <c:pt idx="18">
                  <c:v>312.92881679273177</c:v>
                </c:pt>
                <c:pt idx="19">
                  <c:v>324.25986221553023</c:v>
                </c:pt>
                <c:pt idx="20">
                  <c:v>332.13471474191118</c:v>
                </c:pt>
                <c:pt idx="21">
                  <c:v>338.82609347322028</c:v>
                </c:pt>
                <c:pt idx="22">
                  <c:v>344.61565538913271</c:v>
                </c:pt>
                <c:pt idx="23">
                  <c:v>347.8190244128341</c:v>
                </c:pt>
                <c:pt idx="24">
                  <c:v>348.27057850510408</c:v>
                </c:pt>
                <c:pt idx="25">
                  <c:v>347.76254682460007</c:v>
                </c:pt>
                <c:pt idx="26">
                  <c:v>345.32601962552491</c:v>
                </c:pt>
                <c:pt idx="27">
                  <c:v>341.73974509236353</c:v>
                </c:pt>
                <c:pt idx="28">
                  <c:v>336.63955846096258</c:v>
                </c:pt>
                <c:pt idx="29">
                  <c:v>330.32999632366506</c:v>
                </c:pt>
                <c:pt idx="30">
                  <c:v>321.58143272774265</c:v>
                </c:pt>
                <c:pt idx="31">
                  <c:v>310.50201196389054</c:v>
                </c:pt>
                <c:pt idx="32">
                  <c:v>296.81026759391705</c:v>
                </c:pt>
                <c:pt idx="33">
                  <c:v>280.93135704327682</c:v>
                </c:pt>
                <c:pt idx="34">
                  <c:v>264.54240810083235</c:v>
                </c:pt>
                <c:pt idx="35">
                  <c:v>244.69943823580397</c:v>
                </c:pt>
                <c:pt idx="36">
                  <c:v>223.20268218945276</c:v>
                </c:pt>
                <c:pt idx="37">
                  <c:v>200.0278903867615</c:v>
                </c:pt>
                <c:pt idx="38">
                  <c:v>178.40080225317467</c:v>
                </c:pt>
                <c:pt idx="39">
                  <c:v>155.68277590614676</c:v>
                </c:pt>
                <c:pt idx="40">
                  <c:v>135.07573284010138</c:v>
                </c:pt>
                <c:pt idx="41">
                  <c:v>117.19056100220398</c:v>
                </c:pt>
                <c:pt idx="42">
                  <c:v>102.33475206046886</c:v>
                </c:pt>
                <c:pt idx="43">
                  <c:v>89.989071336147845</c:v>
                </c:pt>
                <c:pt idx="44">
                  <c:v>79.640767036347484</c:v>
                </c:pt>
                <c:pt idx="45">
                  <c:v>70.865877445414498</c:v>
                </c:pt>
                <c:pt idx="46">
                  <c:v>63.358975363108307</c:v>
                </c:pt>
                <c:pt idx="47">
                  <c:v>56.919162276376269</c:v>
                </c:pt>
                <c:pt idx="48">
                  <c:v>51.435472479198481</c:v>
                </c:pt>
                <c:pt idx="49">
                  <c:v>46.881096472444185</c:v>
                </c:pt>
                <c:pt idx="50">
                  <c:v>43.18758344111032</c:v>
                </c:pt>
                <c:pt idx="51">
                  <c:v>40.79575667558781</c:v>
                </c:pt>
                <c:pt idx="52">
                  <c:v>39.28777148958077</c:v>
                </c:pt>
                <c:pt idx="53">
                  <c:v>37.837674493406205</c:v>
                </c:pt>
                <c:pt idx="54">
                  <c:v>36.442153390967242</c:v>
                </c:pt>
                <c:pt idx="55">
                  <c:v>35.09820659943562</c:v>
                </c:pt>
                <c:pt idx="56">
                  <c:v>33.802994346386996</c:v>
                </c:pt>
                <c:pt idx="57">
                  <c:v>32.553914863035175</c:v>
                </c:pt>
                <c:pt idx="58">
                  <c:v>31.34855289612856</c:v>
                </c:pt>
                <c:pt idx="59">
                  <c:v>30.18463430048762</c:v>
                </c:pt>
                <c:pt idx="60">
                  <c:v>29.06003558153019</c:v>
                </c:pt>
                <c:pt idx="61">
                  <c:v>27.97283471805288</c:v>
                </c:pt>
                <c:pt idx="62">
                  <c:v>26.921140307082215</c:v>
                </c:pt>
                <c:pt idx="63">
                  <c:v>25.903267822878501</c:v>
                </c:pt>
                <c:pt idx="64">
                  <c:v>24.917612512670324</c:v>
                </c:pt>
                <c:pt idx="65">
                  <c:v>23.613919104875833</c:v>
                </c:pt>
                <c:pt idx="66">
                  <c:v>22.225830272611908</c:v>
                </c:pt>
                <c:pt idx="67">
                  <c:v>20.870954303903652</c:v>
                </c:pt>
                <c:pt idx="68">
                  <c:v>19.547709570690401</c:v>
                </c:pt>
                <c:pt idx="69">
                  <c:v>18.254440956805187</c:v>
                </c:pt>
                <c:pt idx="70">
                  <c:v>16.989692210320527</c:v>
                </c:pt>
                <c:pt idx="71">
                  <c:v>15.752055817169275</c:v>
                </c:pt>
                <c:pt idx="72">
                  <c:v>14.540143197334466</c:v>
                </c:pt>
                <c:pt idx="73">
                  <c:v>13.352704728697351</c:v>
                </c:pt>
                <c:pt idx="74">
                  <c:v>12.188548285385782</c:v>
                </c:pt>
                <c:pt idx="75">
                  <c:v>11.046469232494095</c:v>
                </c:pt>
                <c:pt idx="76">
                  <c:v>9.9253430548164321</c:v>
                </c:pt>
              </c:numCache>
            </c:numRef>
          </c:xVal>
          <c:yVal>
            <c:numRef>
              <c:f>'Cross Section Analysis'!$T$129:$T$230</c:f>
              <c:numCache>
                <c:formatCode>General</c:formatCode>
                <c:ptCount val="102"/>
                <c:pt idx="1">
                  <c:v>-473.79931084485099</c:v>
                </c:pt>
                <c:pt idx="2">
                  <c:v>-463.68259366244405</c:v>
                </c:pt>
                <c:pt idx="3">
                  <c:v>-452.74929413717518</c:v>
                </c:pt>
                <c:pt idx="4">
                  <c:v>-440.95409781133725</c:v>
                </c:pt>
                <c:pt idx="5">
                  <c:v>-410.77543155086505</c:v>
                </c:pt>
                <c:pt idx="6">
                  <c:v>-356.68808438392477</c:v>
                </c:pt>
                <c:pt idx="7">
                  <c:v>-313.86467753746194</c:v>
                </c:pt>
                <c:pt idx="8">
                  <c:v>-279.79412123734198</c:v>
                </c:pt>
                <c:pt idx="9">
                  <c:v>-253.91372704260056</c:v>
                </c:pt>
                <c:pt idx="10">
                  <c:v>-225.41514189984179</c:v>
                </c:pt>
                <c:pt idx="11">
                  <c:v>-176.45032314291689</c:v>
                </c:pt>
                <c:pt idx="12">
                  <c:v>-131.42692853247121</c:v>
                </c:pt>
                <c:pt idx="13">
                  <c:v>-89.156499056059261</c:v>
                </c:pt>
                <c:pt idx="14">
                  <c:v>-50.658922899328843</c:v>
                </c:pt>
                <c:pt idx="15">
                  <c:v>-7.8091842917066856</c:v>
                </c:pt>
                <c:pt idx="16">
                  <c:v>51.635047536754456</c:v>
                </c:pt>
                <c:pt idx="17">
                  <c:v>107.60493840813791</c:v>
                </c:pt>
                <c:pt idx="18">
                  <c:v>171.12372964638291</c:v>
                </c:pt>
                <c:pt idx="19">
                  <c:v>233.85174651259436</c:v>
                </c:pt>
                <c:pt idx="20">
                  <c:v>290.16584779682586</c:v>
                </c:pt>
                <c:pt idx="21">
                  <c:v>354.75453745969259</c:v>
                </c:pt>
                <c:pt idx="22">
                  <c:v>417.31559761016257</c:v>
                </c:pt>
                <c:pt idx="23">
                  <c:v>480.21394974526788</c:v>
                </c:pt>
                <c:pt idx="24">
                  <c:v>544.09877942992227</c:v>
                </c:pt>
                <c:pt idx="25">
                  <c:v>607.74396466953965</c:v>
                </c:pt>
                <c:pt idx="26">
                  <c:v>671.45030850352589</c:v>
                </c:pt>
                <c:pt idx="27">
                  <c:v>734.57695201476736</c:v>
                </c:pt>
                <c:pt idx="28">
                  <c:v>798.43546412376315</c:v>
                </c:pt>
                <c:pt idx="29">
                  <c:v>856.71628457418274</c:v>
                </c:pt>
                <c:pt idx="30">
                  <c:v>922.72009951482744</c:v>
                </c:pt>
                <c:pt idx="31">
                  <c:v>990.28682560276263</c:v>
                </c:pt>
                <c:pt idx="32">
                  <c:v>1059.3034470125872</c:v>
                </c:pt>
                <c:pt idx="33">
                  <c:v>1126.7292517875437</c:v>
                </c:pt>
                <c:pt idx="34">
                  <c:v>1187.1189449096178</c:v>
                </c:pt>
                <c:pt idx="35">
                  <c:v>1250.2197022680807</c:v>
                </c:pt>
                <c:pt idx="36">
                  <c:v>1310.6723581690644</c:v>
                </c:pt>
                <c:pt idx="37">
                  <c:v>1367.3589756816637</c:v>
                </c:pt>
                <c:pt idx="38">
                  <c:v>1415.0938220826265</c:v>
                </c:pt>
                <c:pt idx="39">
                  <c:v>1460.835163719298</c:v>
                </c:pt>
                <c:pt idx="40">
                  <c:v>1499.3307095888574</c:v>
                </c:pt>
                <c:pt idx="41">
                  <c:v>1531.4289473889894</c:v>
                </c:pt>
                <c:pt idx="42">
                  <c:v>1556.137779395217</c:v>
                </c:pt>
                <c:pt idx="43">
                  <c:v>1575.9471894733972</c:v>
                </c:pt>
                <c:pt idx="44">
                  <c:v>1592.1516998348445</c:v>
                </c:pt>
                <c:pt idx="45">
                  <c:v>1605.708778117192</c:v>
                </c:pt>
                <c:pt idx="46">
                  <c:v>1617.2808178986857</c:v>
                </c:pt>
                <c:pt idx="47">
                  <c:v>1627.3153426315794</c:v>
                </c:pt>
                <c:pt idx="48">
                  <c:v>1636.1071538012473</c:v>
                </c:pt>
                <c:pt idx="49">
                  <c:v>1643.8418134195326</c:v>
                </c:pt>
                <c:pt idx="50">
                  <c:v>1650.6541849335508</c:v>
                </c:pt>
                <c:pt idx="51">
                  <c:v>1655.8863928093715</c:v>
                </c:pt>
                <c:pt idx="52">
                  <c:v>1660.1133458890044</c:v>
                </c:pt>
                <c:pt idx="53">
                  <c:v>1664.178063687775</c:v>
                </c:pt>
                <c:pt idx="54">
                  <c:v>1668.0897936685531</c:v>
                </c:pt>
                <c:pt idx="55">
                  <c:v>1671.8569730255665</c:v>
                </c:pt>
                <c:pt idx="56">
                  <c:v>1675.4875391453966</c:v>
                </c:pt>
                <c:pt idx="57">
                  <c:v>1678.9887917122744</c:v>
                </c:pt>
                <c:pt idx="58">
                  <c:v>1682.3675103310593</c:v>
                </c:pt>
                <c:pt idx="59">
                  <c:v>1685.6300582781928</c:v>
                </c:pt>
                <c:pt idx="60">
                  <c:v>1688.7823744905741</c:v>
                </c:pt>
                <c:pt idx="61">
                  <c:v>1691.8298817613609</c:v>
                </c:pt>
                <c:pt idx="62">
                  <c:v>1694.7778388244678</c:v>
                </c:pt>
                <c:pt idx="63">
                  <c:v>1697.6309949078288</c:v>
                </c:pt>
                <c:pt idx="64">
                  <c:v>1700.3938523109907</c:v>
                </c:pt>
                <c:pt idx="65">
                  <c:v>1703.5036523194253</c:v>
                </c:pt>
                <c:pt idx="66">
                  <c:v>1706.6804221929226</c:v>
                </c:pt>
                <c:pt idx="67">
                  <c:v>1709.7811640856867</c:v>
                </c:pt>
                <c:pt idx="68">
                  <c:v>1712.809548704427</c:v>
                </c:pt>
                <c:pt idx="69">
                  <c:v>1715.7693117161125</c:v>
                </c:pt>
                <c:pt idx="70">
                  <c:v>1718.663807529188</c:v>
                </c:pt>
                <c:pt idx="71">
                  <c:v>1721.4962615711615</c:v>
                </c:pt>
                <c:pt idx="72">
                  <c:v>1724.2698262652211</c:v>
                </c:pt>
                <c:pt idx="73">
                  <c:v>1726.9873803366308</c:v>
                </c:pt>
                <c:pt idx="74">
                  <c:v>1729.6516687057424</c:v>
                </c:pt>
                <c:pt idx="75">
                  <c:v>1732.2654272289387</c:v>
                </c:pt>
                <c:pt idx="76">
                  <c:v>1734.8312262472837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16-485E-B13D-A7D42B135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Relation</a:t>
            </a:r>
            <a:r>
              <a:rPr lang="en-US" baseline="0"/>
              <a:t> of NA Angle to Mx v My Load Angle @ Goal P</a:t>
            </a:r>
            <a:endParaRPr lang="en-US"/>
          </a:p>
          <a:p>
            <a:pPr>
              <a:defRPr/>
            </a:pPr>
            <a:endParaRPr lang="en-US"/>
          </a:p>
        </c:rich>
      </c:tx>
      <c:layout>
        <c:manualLayout>
          <c:xMode val="edge"/>
          <c:yMode val="edge"/>
          <c:x val="0.28362741652021084"/>
          <c:y val="9.12547528517110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NA v Load Angle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'Cross Section Analysis'!$D$129:$D$489</c:f>
              <c:numCache>
                <c:formatCode>0.000</c:formatCode>
                <c:ptCount val="361"/>
                <c:pt idx="0">
                  <c:v>-3.1415926535897931</c:v>
                </c:pt>
                <c:pt idx="1">
                  <c:v>-3.1341922671557496</c:v>
                </c:pt>
                <c:pt idx="2">
                  <c:v>-3.1269193230438361</c:v>
                </c:pt>
                <c:pt idx="3">
                  <c:v>-3.119760301565524</c:v>
                </c:pt>
                <c:pt idx="4">
                  <c:v>-3.1127025986768388</c:v>
                </c:pt>
                <c:pt idx="5">
                  <c:v>-3.105734404346471</c:v>
                </c:pt>
                <c:pt idx="6">
                  <c:v>-3.0988445953782837</c:v>
                </c:pt>
                <c:pt idx="7">
                  <c:v>-3.0920226403381266</c:v>
                </c:pt>
                <c:pt idx="8">
                  <c:v>-3.0852585146034168</c:v>
                </c:pt>
                <c:pt idx="9">
                  <c:v>-3.0785426238470799</c:v>
                </c:pt>
                <c:pt idx="10">
                  <c:v>-3.0718657345628344</c:v>
                </c:pt>
                <c:pt idx="11">
                  <c:v>-3.0652189103873391</c:v>
                </c:pt>
                <c:pt idx="12">
                  <c:v>-3.0585934531680206</c:v>
                </c:pt>
                <c:pt idx="13">
                  <c:v>-3.0519808478492827</c:v>
                </c:pt>
                <c:pt idx="14">
                  <c:v>-3.045372710475859</c:v>
                </c:pt>
                <c:pt idx="15">
                  <c:v>-3.0387607376571175</c:v>
                </c:pt>
                <c:pt idx="16">
                  <c:v>-3.0321800653749795</c:v>
                </c:pt>
                <c:pt idx="17">
                  <c:v>-3.0255770386774197</c:v>
                </c:pt>
                <c:pt idx="18">
                  <c:v>-3.0169935082517023</c:v>
                </c:pt>
                <c:pt idx="19">
                  <c:v>-3.0083714424884027</c:v>
                </c:pt>
                <c:pt idx="20">
                  <c:v>-2.9997015050125011</c:v>
                </c:pt>
                <c:pt idx="21">
                  <c:v>-2.9909740566358689</c:v>
                </c:pt>
                <c:pt idx="22">
                  <c:v>-2.9821791062132732</c:v>
                </c:pt>
                <c:pt idx="23">
                  <c:v>-2.9733062573500342</c:v>
                </c:pt>
                <c:pt idx="24">
                  <c:v>-2.9643446503065927</c:v>
                </c:pt>
                <c:pt idx="25">
                  <c:v>-2.9552828983522019</c:v>
                </c:pt>
                <c:pt idx="26">
                  <c:v>-2.9493091656794799</c:v>
                </c:pt>
                <c:pt idx="27">
                  <c:v>-2.9400184644444796</c:v>
                </c:pt>
                <c:pt idx="28">
                  <c:v>-2.9305896247775336</c:v>
                </c:pt>
                <c:pt idx="29">
                  <c:v>-2.921008387926737</c:v>
                </c:pt>
                <c:pt idx="30">
                  <c:v>-2.9112595312894505</c:v>
                </c:pt>
                <c:pt idx="31">
                  <c:v>-2.9013267479133074</c:v>
                </c:pt>
                <c:pt idx="32">
                  <c:v>-2.8911925106580671</c:v>
                </c:pt>
                <c:pt idx="33">
                  <c:v>-2.8808379185344775</c:v>
                </c:pt>
                <c:pt idx="34">
                  <c:v>-2.8702436918240934</c:v>
                </c:pt>
                <c:pt idx="35">
                  <c:v>-2.8596480279708349</c:v>
                </c:pt>
                <c:pt idx="36">
                  <c:v>-2.8492222167057029</c:v>
                </c:pt>
                <c:pt idx="37">
                  <c:v>-2.8389389383779062</c:v>
                </c:pt>
                <c:pt idx="38">
                  <c:v>-2.8317865150973938</c:v>
                </c:pt>
                <c:pt idx="39">
                  <c:v>-2.8209491664913711</c:v>
                </c:pt>
                <c:pt idx="40">
                  <c:v>-2.8081549805570125</c:v>
                </c:pt>
                <c:pt idx="41">
                  <c:v>-2.7953927047747591</c:v>
                </c:pt>
                <c:pt idx="42">
                  <c:v>-2.7826377679397782</c:v>
                </c:pt>
                <c:pt idx="43">
                  <c:v>-2.7698658993039378</c:v>
                </c:pt>
                <c:pt idx="44">
                  <c:v>-2.7570529113798292</c:v>
                </c:pt>
                <c:pt idx="45">
                  <c:v>-2.7441744851142289</c:v>
                </c:pt>
                <c:pt idx="46">
                  <c:v>-2.7312059546951821</c:v>
                </c:pt>
                <c:pt idx="47">
                  <c:v>-2.7181220868209515</c:v>
                </c:pt>
                <c:pt idx="48">
                  <c:v>-2.7048968496361629</c:v>
                </c:pt>
                <c:pt idx="49">
                  <c:v>-2.6915031677840298</c:v>
                </c:pt>
                <c:pt idx="50">
                  <c:v>-2.6779126575036845</c:v>
                </c:pt>
                <c:pt idx="51">
                  <c:v>-2.6640953359725721</c:v>
                </c:pt>
                <c:pt idx="52">
                  <c:v>-2.6500192987955073</c:v>
                </c:pt>
                <c:pt idx="53">
                  <c:v>-2.6356503564639659</c:v>
                </c:pt>
                <c:pt idx="54">
                  <c:v>-2.6209516215557325</c:v>
                </c:pt>
                <c:pt idx="55">
                  <c:v>-2.6058830344032664</c:v>
                </c:pt>
                <c:pt idx="56">
                  <c:v>-2.5904008137204499</c:v>
                </c:pt>
                <c:pt idx="57">
                  <c:v>-2.5744568149301568</c:v>
                </c:pt>
                <c:pt idx="58">
                  <c:v>-2.5579977750483418</c:v>
                </c:pt>
                <c:pt idx="59">
                  <c:v>-2.5409644176674568</c:v>
                </c:pt>
                <c:pt idx="60">
                  <c:v>-2.523290384792483</c:v>
                </c:pt>
                <c:pt idx="61">
                  <c:v>-2.5084923036312228</c:v>
                </c:pt>
                <c:pt idx="62">
                  <c:v>-2.4894300620040601</c:v>
                </c:pt>
                <c:pt idx="63">
                  <c:v>-2.4694775383213767</c:v>
                </c:pt>
                <c:pt idx="64">
                  <c:v>-2.4485249201498887</c:v>
                </c:pt>
                <c:pt idx="65">
                  <c:v>-2.4261180297529581</c:v>
                </c:pt>
                <c:pt idx="66">
                  <c:v>-2.402021788111885</c:v>
                </c:pt>
                <c:pt idx="67">
                  <c:v>-2.3764706425723414</c:v>
                </c:pt>
                <c:pt idx="68">
                  <c:v>-2.3492686352616499</c:v>
                </c:pt>
                <c:pt idx="69">
                  <c:v>-2.3211335388419529</c:v>
                </c:pt>
                <c:pt idx="70">
                  <c:v>-2.2926447124771725</c:v>
                </c:pt>
                <c:pt idx="71">
                  <c:v>-2.2619112313734457</c:v>
                </c:pt>
                <c:pt idx="72">
                  <c:v>-2.2285606626239121</c:v>
                </c:pt>
                <c:pt idx="73">
                  <c:v>-2.1921720892996372</c:v>
                </c:pt>
                <c:pt idx="74">
                  <c:v>-2.1540030323758788</c:v>
                </c:pt>
                <c:pt idx="75">
                  <c:v>-2.1148805533497006</c:v>
                </c:pt>
                <c:pt idx="76">
                  <c:v>-2.080350496118176</c:v>
                </c:pt>
                <c:pt idx="77">
                  <c:v>-2.0501846975796072</c:v>
                </c:pt>
                <c:pt idx="78">
                  <c:v>-2.0212580914301701</c:v>
                </c:pt>
                <c:pt idx="79">
                  <c:v>-1.9896650738417445</c:v>
                </c:pt>
                <c:pt idx="80">
                  <c:v>-1.9572174205892767</c:v>
                </c:pt>
                <c:pt idx="81">
                  <c:v>-1.9238276626904836</c:v>
                </c:pt>
                <c:pt idx="82">
                  <c:v>-1.8894022025730599</c:v>
                </c:pt>
                <c:pt idx="83">
                  <c:v>-1.8538267687722352</c:v>
                </c:pt>
                <c:pt idx="84">
                  <c:v>-1.8158784390417482</c:v>
                </c:pt>
                <c:pt idx="85">
                  <c:v>-1.7764084669490241</c:v>
                </c:pt>
                <c:pt idx="86">
                  <c:v>-1.7437372768637531</c:v>
                </c:pt>
                <c:pt idx="87">
                  <c:v>-1.7009934641106748</c:v>
                </c:pt>
                <c:pt idx="88">
                  <c:v>-1.6565033698892673</c:v>
                </c:pt>
                <c:pt idx="89">
                  <c:v>-1.6105317658761378</c:v>
                </c:pt>
                <c:pt idx="90">
                  <c:v>-1.5707963267948963</c:v>
                </c:pt>
                <c:pt idx="91">
                  <c:v>-1.5310608877136551</c:v>
                </c:pt>
                <c:pt idx="92">
                  <c:v>-1.4850892837005258</c:v>
                </c:pt>
                <c:pt idx="93">
                  <c:v>-1.4405991894791181</c:v>
                </c:pt>
                <c:pt idx="94">
                  <c:v>-1.3978553767260393</c:v>
                </c:pt>
                <c:pt idx="95">
                  <c:v>-1.3651841866407683</c:v>
                </c:pt>
                <c:pt idx="96">
                  <c:v>-1.3257142145480445</c:v>
                </c:pt>
                <c:pt idx="97">
                  <c:v>-1.2877658848175577</c:v>
                </c:pt>
                <c:pt idx="98">
                  <c:v>-1.2521904510167332</c:v>
                </c:pt>
                <c:pt idx="99">
                  <c:v>-1.2177649908993093</c:v>
                </c:pt>
                <c:pt idx="100">
                  <c:v>-1.1843752330005164</c:v>
                </c:pt>
                <c:pt idx="101">
                  <c:v>-1.1519275797480488</c:v>
                </c:pt>
                <c:pt idx="102">
                  <c:v>-1.1203345621596228</c:v>
                </c:pt>
                <c:pt idx="103">
                  <c:v>-1.0914079560101855</c:v>
                </c:pt>
                <c:pt idx="104">
                  <c:v>-1.0612421574716164</c:v>
                </c:pt>
                <c:pt idx="105">
                  <c:v>-1.0267121002400919</c:v>
                </c:pt>
                <c:pt idx="106">
                  <c:v>-0.98758962121391414</c:v>
                </c:pt>
                <c:pt idx="107">
                  <c:v>-0.94942056429015564</c:v>
                </c:pt>
                <c:pt idx="108">
                  <c:v>-0.91303199096588084</c:v>
                </c:pt>
                <c:pt idx="109">
                  <c:v>-0.87968142221634738</c:v>
                </c:pt>
                <c:pt idx="110">
                  <c:v>-0.8489479411126204</c:v>
                </c:pt>
                <c:pt idx="111">
                  <c:v>-0.82045911474784017</c:v>
                </c:pt>
                <c:pt idx="112">
                  <c:v>-0.7923240183281427</c:v>
                </c:pt>
                <c:pt idx="113">
                  <c:v>-0.76512201101745136</c:v>
                </c:pt>
                <c:pt idx="114">
                  <c:v>-0.73957086547790796</c:v>
                </c:pt>
                <c:pt idx="115">
                  <c:v>-0.71547462383683469</c:v>
                </c:pt>
                <c:pt idx="116">
                  <c:v>-0.69306773343990447</c:v>
                </c:pt>
                <c:pt idx="117">
                  <c:v>-0.67211511526841639</c:v>
                </c:pt>
                <c:pt idx="118">
                  <c:v>-0.65216259158573231</c:v>
                </c:pt>
                <c:pt idx="119">
                  <c:v>-0.63310034995857023</c:v>
                </c:pt>
                <c:pt idx="120">
                  <c:v>-0.61830226879731065</c:v>
                </c:pt>
                <c:pt idx="121">
                  <c:v>-0.60062823592233638</c:v>
                </c:pt>
                <c:pt idx="122">
                  <c:v>-0.5835948785414512</c:v>
                </c:pt>
                <c:pt idx="123">
                  <c:v>-0.56713583865963613</c:v>
                </c:pt>
                <c:pt idx="124">
                  <c:v>-0.55119183986934317</c:v>
                </c:pt>
                <c:pt idx="125">
                  <c:v>-0.5357096191865266</c:v>
                </c:pt>
                <c:pt idx="126">
                  <c:v>-0.52064103203406031</c:v>
                </c:pt>
                <c:pt idx="127">
                  <c:v>-0.5059422971258265</c:v>
                </c:pt>
                <c:pt idx="128">
                  <c:v>-0.49157335479428588</c:v>
                </c:pt>
                <c:pt idx="129">
                  <c:v>-0.47749731761722053</c:v>
                </c:pt>
                <c:pt idx="130">
                  <c:v>-0.46367999608610844</c:v>
                </c:pt>
                <c:pt idx="131">
                  <c:v>-0.45008948580576308</c:v>
                </c:pt>
                <c:pt idx="132">
                  <c:v>-0.43669580395363017</c:v>
                </c:pt>
                <c:pt idx="133">
                  <c:v>-0.42347056676884132</c:v>
                </c:pt>
                <c:pt idx="134">
                  <c:v>-0.41038669889461094</c:v>
                </c:pt>
                <c:pt idx="135">
                  <c:v>-0.39741816847556444</c:v>
                </c:pt>
                <c:pt idx="136">
                  <c:v>-0.38453974220996379</c:v>
                </c:pt>
                <c:pt idx="137">
                  <c:v>-0.37172675428585505</c:v>
                </c:pt>
                <c:pt idx="138">
                  <c:v>-0.35895488565001499</c:v>
                </c:pt>
                <c:pt idx="139">
                  <c:v>-0.34619994881503402</c:v>
                </c:pt>
                <c:pt idx="140">
                  <c:v>-0.33343767303278038</c:v>
                </c:pt>
                <c:pt idx="141">
                  <c:v>-0.32064348709842183</c:v>
                </c:pt>
                <c:pt idx="142">
                  <c:v>-0.30980613849239946</c:v>
                </c:pt>
                <c:pt idx="143">
                  <c:v>-0.30265371521188672</c:v>
                </c:pt>
                <c:pt idx="144">
                  <c:v>-0.29237043688409042</c:v>
                </c:pt>
                <c:pt idx="145">
                  <c:v>-0.28194462561895772</c:v>
                </c:pt>
                <c:pt idx="146">
                  <c:v>-0.27134896176569967</c:v>
                </c:pt>
                <c:pt idx="147">
                  <c:v>-0.26075473505531588</c:v>
                </c:pt>
                <c:pt idx="148">
                  <c:v>-0.2504001429317263</c:v>
                </c:pt>
                <c:pt idx="149">
                  <c:v>-0.24026590567648537</c:v>
                </c:pt>
                <c:pt idx="150">
                  <c:v>-0.23033312230034239</c:v>
                </c:pt>
                <c:pt idx="151">
                  <c:v>-0.22058426566305592</c:v>
                </c:pt>
                <c:pt idx="152">
                  <c:v>-0.21100302881225963</c:v>
                </c:pt>
                <c:pt idx="153">
                  <c:v>-0.20157418914531378</c:v>
                </c:pt>
                <c:pt idx="154">
                  <c:v>-0.19228348791031274</c:v>
                </c:pt>
                <c:pt idx="155">
                  <c:v>-0.1863097552375913</c:v>
                </c:pt>
                <c:pt idx="156">
                  <c:v>-0.17724800328320031</c:v>
                </c:pt>
                <c:pt idx="157">
                  <c:v>-0.16828639623975891</c:v>
                </c:pt>
                <c:pt idx="158">
                  <c:v>-0.15941354737651975</c:v>
                </c:pt>
                <c:pt idx="159">
                  <c:v>-0.15061859695392438</c:v>
                </c:pt>
                <c:pt idx="160">
                  <c:v>-0.14189114857729199</c:v>
                </c:pt>
                <c:pt idx="161">
                  <c:v>-0.13322121110139018</c:v>
                </c:pt>
                <c:pt idx="162">
                  <c:v>-0.12459914533809052</c:v>
                </c:pt>
                <c:pt idx="163">
                  <c:v>-0.11601561491237299</c:v>
                </c:pt>
                <c:pt idx="164">
                  <c:v>-0.10941258821481339</c:v>
                </c:pt>
                <c:pt idx="165">
                  <c:v>-0.10283191593267563</c:v>
                </c:pt>
                <c:pt idx="166">
                  <c:v>-9.6219943113933865E-2</c:v>
                </c:pt>
                <c:pt idx="167">
                  <c:v>-8.9611805740510544E-2</c:v>
                </c:pt>
                <c:pt idx="168">
                  <c:v>-8.2999200421772487E-2</c:v>
                </c:pt>
                <c:pt idx="169">
                  <c:v>-7.6373743202453895E-2</c:v>
                </c:pt>
                <c:pt idx="170">
                  <c:v>-6.9726919026958434E-2</c:v>
                </c:pt>
                <c:pt idx="171">
                  <c:v>-6.305002974271337E-2</c:v>
                </c:pt>
                <c:pt idx="172">
                  <c:v>-5.6334138986376153E-2</c:v>
                </c:pt>
                <c:pt idx="173">
                  <c:v>-4.9570013251666385E-2</c:v>
                </c:pt>
                <c:pt idx="174">
                  <c:v>-4.2748058211509593E-2</c:v>
                </c:pt>
                <c:pt idx="175">
                  <c:v>-3.5858249243321955E-2</c:v>
                </c:pt>
                <c:pt idx="176">
                  <c:v>-2.8890054912954342E-2</c:v>
                </c:pt>
                <c:pt idx="177">
                  <c:v>-2.183235202426911E-2</c:v>
                </c:pt>
                <c:pt idx="178">
                  <c:v>-1.4673330545956754E-2</c:v>
                </c:pt>
                <c:pt idx="179">
                  <c:v>-7.4003864340436596E-3</c:v>
                </c:pt>
                <c:pt idx="180">
                  <c:v>5.3292108204138072E-17</c:v>
                </c:pt>
                <c:pt idx="181">
                  <c:v>7.4003864340440309E-3</c:v>
                </c:pt>
                <c:pt idx="182">
                  <c:v>1.4673330545956795E-2</c:v>
                </c:pt>
                <c:pt idx="183">
                  <c:v>2.1832352024269162E-2</c:v>
                </c:pt>
                <c:pt idx="184">
                  <c:v>2.8890054912954363E-2</c:v>
                </c:pt>
                <c:pt idx="185">
                  <c:v>3.5858249243321948E-2</c:v>
                </c:pt>
                <c:pt idx="186">
                  <c:v>4.2748058211509614E-2</c:v>
                </c:pt>
                <c:pt idx="187">
                  <c:v>4.9570013251666392E-2</c:v>
                </c:pt>
                <c:pt idx="188">
                  <c:v>5.6334138986376368E-2</c:v>
                </c:pt>
                <c:pt idx="189">
                  <c:v>6.3050029742713454E-2</c:v>
                </c:pt>
                <c:pt idx="190">
                  <c:v>6.9726919026958697E-2</c:v>
                </c:pt>
                <c:pt idx="191">
                  <c:v>7.6373743202454006E-2</c:v>
                </c:pt>
                <c:pt idx="192">
                  <c:v>8.2999200421772737E-2</c:v>
                </c:pt>
                <c:pt idx="193">
                  <c:v>8.9611805740510628E-2</c:v>
                </c:pt>
                <c:pt idx="194">
                  <c:v>9.6219943113933865E-2</c:v>
                </c:pt>
                <c:pt idx="195">
                  <c:v>0.10283191593267572</c:v>
                </c:pt>
                <c:pt idx="196">
                  <c:v>0.10941258821481342</c:v>
                </c:pt>
                <c:pt idx="197">
                  <c:v>0.11601561491237321</c:v>
                </c:pt>
                <c:pt idx="198">
                  <c:v>0.12459914533809058</c:v>
                </c:pt>
                <c:pt idx="199">
                  <c:v>0.13322121110139046</c:v>
                </c:pt>
                <c:pt idx="200">
                  <c:v>0.14189114857729199</c:v>
                </c:pt>
                <c:pt idx="201">
                  <c:v>0.15061859695392482</c:v>
                </c:pt>
                <c:pt idx="202">
                  <c:v>0.15941354737651975</c:v>
                </c:pt>
                <c:pt idx="203">
                  <c:v>0.16828639623975894</c:v>
                </c:pt>
                <c:pt idx="204">
                  <c:v>0.17724800328320037</c:v>
                </c:pt>
                <c:pt idx="205">
                  <c:v>0.18630975523759138</c:v>
                </c:pt>
                <c:pt idx="206">
                  <c:v>0.19228348791031302</c:v>
                </c:pt>
                <c:pt idx="207">
                  <c:v>0.2015741891453138</c:v>
                </c:pt>
                <c:pt idx="208">
                  <c:v>0.21100302881225991</c:v>
                </c:pt>
                <c:pt idx="209">
                  <c:v>0.22058426566305586</c:v>
                </c:pt>
                <c:pt idx="210">
                  <c:v>0.23033312230034267</c:v>
                </c:pt>
                <c:pt idx="211">
                  <c:v>0.24026590567648537</c:v>
                </c:pt>
                <c:pt idx="212">
                  <c:v>0.2504001429317263</c:v>
                </c:pt>
                <c:pt idx="213">
                  <c:v>0.26075473505531582</c:v>
                </c:pt>
                <c:pt idx="214">
                  <c:v>0.2713489617656995</c:v>
                </c:pt>
                <c:pt idx="215">
                  <c:v>0.28194462561895817</c:v>
                </c:pt>
                <c:pt idx="216">
                  <c:v>0.2923704368840902</c:v>
                </c:pt>
                <c:pt idx="217">
                  <c:v>0.30265371521188683</c:v>
                </c:pt>
                <c:pt idx="218">
                  <c:v>0.30980613849239941</c:v>
                </c:pt>
                <c:pt idx="219">
                  <c:v>0.32064348709842216</c:v>
                </c:pt>
                <c:pt idx="220">
                  <c:v>0.33343767303278049</c:v>
                </c:pt>
                <c:pt idx="221">
                  <c:v>0.34619994881503413</c:v>
                </c:pt>
                <c:pt idx="222">
                  <c:v>0.35895488565001488</c:v>
                </c:pt>
                <c:pt idx="223">
                  <c:v>0.37172675428585528</c:v>
                </c:pt>
                <c:pt idx="224">
                  <c:v>0.38453974220996401</c:v>
                </c:pt>
                <c:pt idx="225">
                  <c:v>0.39741816847556444</c:v>
                </c:pt>
                <c:pt idx="226">
                  <c:v>0.4103866988946111</c:v>
                </c:pt>
                <c:pt idx="227">
                  <c:v>0.42347056676884132</c:v>
                </c:pt>
                <c:pt idx="228">
                  <c:v>0.43669580395363045</c:v>
                </c:pt>
                <c:pt idx="229">
                  <c:v>0.45008948580576319</c:v>
                </c:pt>
                <c:pt idx="230">
                  <c:v>0.46367999608610844</c:v>
                </c:pt>
                <c:pt idx="231">
                  <c:v>0.47749731761722047</c:v>
                </c:pt>
                <c:pt idx="232">
                  <c:v>0.49157335479428632</c:v>
                </c:pt>
                <c:pt idx="233">
                  <c:v>0.50594229712582683</c:v>
                </c:pt>
                <c:pt idx="234">
                  <c:v>0.52064103203406065</c:v>
                </c:pt>
                <c:pt idx="235">
                  <c:v>0.53570961918652649</c:v>
                </c:pt>
                <c:pt idx="236">
                  <c:v>0.55119183986934361</c:v>
                </c:pt>
                <c:pt idx="237">
                  <c:v>0.56713583865963646</c:v>
                </c:pt>
                <c:pt idx="238">
                  <c:v>0.5835948785414512</c:v>
                </c:pt>
                <c:pt idx="239">
                  <c:v>0.60062823592233627</c:v>
                </c:pt>
                <c:pt idx="240">
                  <c:v>0.61830226879730987</c:v>
                </c:pt>
                <c:pt idx="241">
                  <c:v>0.63310034995857067</c:v>
                </c:pt>
                <c:pt idx="242">
                  <c:v>0.65216259158573275</c:v>
                </c:pt>
                <c:pt idx="243">
                  <c:v>0.67211511526841639</c:v>
                </c:pt>
                <c:pt idx="244">
                  <c:v>0.69306773343990447</c:v>
                </c:pt>
                <c:pt idx="245">
                  <c:v>0.71547462383683524</c:v>
                </c:pt>
                <c:pt idx="246">
                  <c:v>0.73957086547790851</c:v>
                </c:pt>
                <c:pt idx="247">
                  <c:v>0.76512201101745159</c:v>
                </c:pt>
                <c:pt idx="248">
                  <c:v>0.79232401832814292</c:v>
                </c:pt>
                <c:pt idx="249">
                  <c:v>0.8204591147478395</c:v>
                </c:pt>
                <c:pt idx="250">
                  <c:v>0.84894794111262084</c:v>
                </c:pt>
                <c:pt idx="251">
                  <c:v>0.87968142221634771</c:v>
                </c:pt>
                <c:pt idx="252">
                  <c:v>0.91303199096588084</c:v>
                </c:pt>
                <c:pt idx="253">
                  <c:v>0.94942056429015498</c:v>
                </c:pt>
                <c:pt idx="254">
                  <c:v>0.98758962121391503</c:v>
                </c:pt>
                <c:pt idx="255">
                  <c:v>1.0267121002400927</c:v>
                </c:pt>
                <c:pt idx="256">
                  <c:v>1.0612421574716171</c:v>
                </c:pt>
                <c:pt idx="257">
                  <c:v>1.0914079560101855</c:v>
                </c:pt>
                <c:pt idx="258">
                  <c:v>1.1203345621596223</c:v>
                </c:pt>
                <c:pt idx="259">
                  <c:v>1.1519275797480495</c:v>
                </c:pt>
                <c:pt idx="260">
                  <c:v>1.1843752330005168</c:v>
                </c:pt>
                <c:pt idx="261">
                  <c:v>1.2177649908993093</c:v>
                </c:pt>
                <c:pt idx="262">
                  <c:v>1.2521904510167328</c:v>
                </c:pt>
                <c:pt idx="263">
                  <c:v>1.2877658848175586</c:v>
                </c:pt>
                <c:pt idx="264">
                  <c:v>1.3257142145480454</c:v>
                </c:pt>
                <c:pt idx="265">
                  <c:v>1.365184186640769</c:v>
                </c:pt>
                <c:pt idx="266">
                  <c:v>1.3978553767260393</c:v>
                </c:pt>
                <c:pt idx="267">
                  <c:v>1.4405991894791175</c:v>
                </c:pt>
                <c:pt idx="268">
                  <c:v>1.4850892837005267</c:v>
                </c:pt>
                <c:pt idx="269">
                  <c:v>1.5310608877136556</c:v>
                </c:pt>
                <c:pt idx="270">
                  <c:v>1.5707963267948963</c:v>
                </c:pt>
                <c:pt idx="271">
                  <c:v>1.6105317658761371</c:v>
                </c:pt>
                <c:pt idx="272">
                  <c:v>1.6565033698892684</c:v>
                </c:pt>
                <c:pt idx="273">
                  <c:v>1.7009934641106752</c:v>
                </c:pt>
                <c:pt idx="274">
                  <c:v>1.7437372768637538</c:v>
                </c:pt>
                <c:pt idx="275">
                  <c:v>1.7764084669490241</c:v>
                </c:pt>
                <c:pt idx="276">
                  <c:v>1.8158784390417477</c:v>
                </c:pt>
                <c:pt idx="277">
                  <c:v>1.8538267687722361</c:v>
                </c:pt>
                <c:pt idx="278">
                  <c:v>1.8894022025730604</c:v>
                </c:pt>
                <c:pt idx="279">
                  <c:v>1.9238276626904836</c:v>
                </c:pt>
                <c:pt idx="280">
                  <c:v>1.9572174205892763</c:v>
                </c:pt>
                <c:pt idx="281">
                  <c:v>1.9896650738417452</c:v>
                </c:pt>
                <c:pt idx="282">
                  <c:v>2.0212580914301705</c:v>
                </c:pt>
                <c:pt idx="283">
                  <c:v>2.0501846975796072</c:v>
                </c:pt>
                <c:pt idx="284">
                  <c:v>2.080350496118176</c:v>
                </c:pt>
                <c:pt idx="285">
                  <c:v>2.1148805533497002</c:v>
                </c:pt>
                <c:pt idx="286">
                  <c:v>2.1540030323758796</c:v>
                </c:pt>
                <c:pt idx="287">
                  <c:v>2.1921720892996377</c:v>
                </c:pt>
                <c:pt idx="288">
                  <c:v>2.2285606626239121</c:v>
                </c:pt>
                <c:pt idx="289">
                  <c:v>2.2619112313734453</c:v>
                </c:pt>
                <c:pt idx="290">
                  <c:v>2.2926447124771738</c:v>
                </c:pt>
                <c:pt idx="291">
                  <c:v>2.3211335388419534</c:v>
                </c:pt>
                <c:pt idx="292">
                  <c:v>2.3492686352616499</c:v>
                </c:pt>
                <c:pt idx="293">
                  <c:v>2.3764706425723414</c:v>
                </c:pt>
                <c:pt idx="294">
                  <c:v>2.4020217881118846</c:v>
                </c:pt>
                <c:pt idx="295">
                  <c:v>2.426118029752959</c:v>
                </c:pt>
                <c:pt idx="296">
                  <c:v>2.4485249201498887</c:v>
                </c:pt>
                <c:pt idx="297">
                  <c:v>2.4694775383213767</c:v>
                </c:pt>
                <c:pt idx="298">
                  <c:v>2.4894300620040601</c:v>
                </c:pt>
                <c:pt idx="299">
                  <c:v>2.5084923036312232</c:v>
                </c:pt>
                <c:pt idx="300">
                  <c:v>2.523290384792483</c:v>
                </c:pt>
                <c:pt idx="301">
                  <c:v>2.5409644176674568</c:v>
                </c:pt>
                <c:pt idx="302">
                  <c:v>2.5579977750483418</c:v>
                </c:pt>
                <c:pt idx="303">
                  <c:v>2.5744568149301568</c:v>
                </c:pt>
                <c:pt idx="304">
                  <c:v>2.5904008137204504</c:v>
                </c:pt>
                <c:pt idx="305">
                  <c:v>2.6058830344032664</c:v>
                </c:pt>
                <c:pt idx="306">
                  <c:v>2.6209516215557325</c:v>
                </c:pt>
                <c:pt idx="307">
                  <c:v>2.6356503564639659</c:v>
                </c:pt>
                <c:pt idx="308">
                  <c:v>2.6500192987955073</c:v>
                </c:pt>
                <c:pt idx="309">
                  <c:v>2.6640953359725725</c:v>
                </c:pt>
                <c:pt idx="310">
                  <c:v>2.6779126575036845</c:v>
                </c:pt>
                <c:pt idx="311">
                  <c:v>2.6915031677840298</c:v>
                </c:pt>
                <c:pt idx="312">
                  <c:v>2.7048968496361629</c:v>
                </c:pt>
                <c:pt idx="313">
                  <c:v>2.7181220868209519</c:v>
                </c:pt>
                <c:pt idx="314">
                  <c:v>2.7312059546951821</c:v>
                </c:pt>
                <c:pt idx="315">
                  <c:v>2.7441744851142285</c:v>
                </c:pt>
                <c:pt idx="316">
                  <c:v>2.7570529113798292</c:v>
                </c:pt>
                <c:pt idx="317">
                  <c:v>2.7698658993039382</c:v>
                </c:pt>
                <c:pt idx="318">
                  <c:v>2.7826377679397787</c:v>
                </c:pt>
                <c:pt idx="319">
                  <c:v>2.7953927047747591</c:v>
                </c:pt>
                <c:pt idx="320">
                  <c:v>2.8081549805570125</c:v>
                </c:pt>
                <c:pt idx="321">
                  <c:v>2.8209491664913706</c:v>
                </c:pt>
                <c:pt idx="322">
                  <c:v>2.8317865150973938</c:v>
                </c:pt>
                <c:pt idx="323">
                  <c:v>2.8389389383779067</c:v>
                </c:pt>
                <c:pt idx="324">
                  <c:v>2.8492222167057029</c:v>
                </c:pt>
                <c:pt idx="325">
                  <c:v>2.8596480279708349</c:v>
                </c:pt>
                <c:pt idx="326">
                  <c:v>2.8702436918240939</c:v>
                </c:pt>
                <c:pt idx="327">
                  <c:v>2.8808379185344775</c:v>
                </c:pt>
                <c:pt idx="328">
                  <c:v>2.8911925106580667</c:v>
                </c:pt>
                <c:pt idx="329">
                  <c:v>2.9013267479133078</c:v>
                </c:pt>
                <c:pt idx="330">
                  <c:v>2.9112595312894505</c:v>
                </c:pt>
                <c:pt idx="331">
                  <c:v>2.9210083879267374</c:v>
                </c:pt>
                <c:pt idx="332">
                  <c:v>2.9305896247775336</c:v>
                </c:pt>
                <c:pt idx="333">
                  <c:v>2.9400184644444791</c:v>
                </c:pt>
                <c:pt idx="334">
                  <c:v>2.9493091656794799</c:v>
                </c:pt>
                <c:pt idx="335">
                  <c:v>2.9552828983522019</c:v>
                </c:pt>
                <c:pt idx="336">
                  <c:v>2.9643446503065931</c:v>
                </c:pt>
                <c:pt idx="337">
                  <c:v>2.9733062573500337</c:v>
                </c:pt>
                <c:pt idx="338">
                  <c:v>2.9821791062132732</c:v>
                </c:pt>
                <c:pt idx="339">
                  <c:v>2.9909740566358685</c:v>
                </c:pt>
                <c:pt idx="340">
                  <c:v>2.9997015050125011</c:v>
                </c:pt>
                <c:pt idx="341">
                  <c:v>3.0083714424884027</c:v>
                </c:pt>
                <c:pt idx="342">
                  <c:v>3.0169935082517023</c:v>
                </c:pt>
                <c:pt idx="343">
                  <c:v>3.0255770386774197</c:v>
                </c:pt>
                <c:pt idx="344">
                  <c:v>3.0321800653749795</c:v>
                </c:pt>
                <c:pt idx="345">
                  <c:v>3.0387607376571175</c:v>
                </c:pt>
                <c:pt idx="346">
                  <c:v>3.045372710475859</c:v>
                </c:pt>
                <c:pt idx="347">
                  <c:v>3.0519808478492823</c:v>
                </c:pt>
                <c:pt idx="348">
                  <c:v>3.0585934531680201</c:v>
                </c:pt>
                <c:pt idx="349">
                  <c:v>3.0652189103873391</c:v>
                </c:pt>
                <c:pt idx="350">
                  <c:v>3.0718657345628344</c:v>
                </c:pt>
                <c:pt idx="351">
                  <c:v>3.0785426238470794</c:v>
                </c:pt>
                <c:pt idx="352">
                  <c:v>3.0852585146034168</c:v>
                </c:pt>
                <c:pt idx="353">
                  <c:v>3.092022640338127</c:v>
                </c:pt>
                <c:pt idx="354">
                  <c:v>3.0988445953782837</c:v>
                </c:pt>
                <c:pt idx="355">
                  <c:v>3.105734404346471</c:v>
                </c:pt>
                <c:pt idx="356">
                  <c:v>3.1127025986768388</c:v>
                </c:pt>
                <c:pt idx="357">
                  <c:v>3.119760301565524</c:v>
                </c:pt>
                <c:pt idx="358">
                  <c:v>3.1269193230438366</c:v>
                </c:pt>
                <c:pt idx="359">
                  <c:v>3.1341922671557492</c:v>
                </c:pt>
                <c:pt idx="360">
                  <c:v>3.1415926535897931</c:v>
                </c:pt>
              </c:numCache>
            </c:numRef>
          </c:xVal>
          <c:yVal>
            <c:numRef>
              <c:f>'Cross Section Analysis'!$A$129:$A$489</c:f>
              <c:numCache>
                <c:formatCode>General</c:formatCode>
                <c:ptCount val="361"/>
                <c:pt idx="0">
                  <c:v>-3.1415926535897931</c:v>
                </c:pt>
                <c:pt idx="1">
                  <c:v>-3.12413936106985</c:v>
                </c:pt>
                <c:pt idx="2">
                  <c:v>-3.1066860685499065</c:v>
                </c:pt>
                <c:pt idx="3">
                  <c:v>-3.0892327760299634</c:v>
                </c:pt>
                <c:pt idx="4">
                  <c:v>-3.0717794835100198</c:v>
                </c:pt>
                <c:pt idx="5">
                  <c:v>-3.0543261909900767</c:v>
                </c:pt>
                <c:pt idx="6">
                  <c:v>-3.0368728984701332</c:v>
                </c:pt>
                <c:pt idx="7">
                  <c:v>-3.0194196059501901</c:v>
                </c:pt>
                <c:pt idx="8">
                  <c:v>-3.0019663134302466</c:v>
                </c:pt>
                <c:pt idx="9">
                  <c:v>-2.9845130209103035</c:v>
                </c:pt>
                <c:pt idx="10">
                  <c:v>-2.9670597283903604</c:v>
                </c:pt>
                <c:pt idx="11">
                  <c:v>-2.9496064358704168</c:v>
                </c:pt>
                <c:pt idx="12">
                  <c:v>-2.9321531433504737</c:v>
                </c:pt>
                <c:pt idx="13">
                  <c:v>-2.9146998508305302</c:v>
                </c:pt>
                <c:pt idx="14">
                  <c:v>-2.8972465583105871</c:v>
                </c:pt>
                <c:pt idx="15">
                  <c:v>-2.8797932657906435</c:v>
                </c:pt>
                <c:pt idx="16">
                  <c:v>-2.8623399732707004</c:v>
                </c:pt>
                <c:pt idx="17">
                  <c:v>-2.8448866807507569</c:v>
                </c:pt>
                <c:pt idx="18">
                  <c:v>-2.8274333882308138</c:v>
                </c:pt>
                <c:pt idx="19">
                  <c:v>-2.8099800957108707</c:v>
                </c:pt>
                <c:pt idx="20">
                  <c:v>-2.7925268031909272</c:v>
                </c:pt>
                <c:pt idx="21">
                  <c:v>-2.7750735106709841</c:v>
                </c:pt>
                <c:pt idx="22">
                  <c:v>-2.7576202181510405</c:v>
                </c:pt>
                <c:pt idx="23">
                  <c:v>-2.7401669256310974</c:v>
                </c:pt>
                <c:pt idx="24">
                  <c:v>-2.7227136331111539</c:v>
                </c:pt>
                <c:pt idx="25">
                  <c:v>-2.7052603405912108</c:v>
                </c:pt>
                <c:pt idx="26">
                  <c:v>-2.6878070480712672</c:v>
                </c:pt>
                <c:pt idx="27">
                  <c:v>-2.6703537555513241</c:v>
                </c:pt>
                <c:pt idx="28">
                  <c:v>-2.6529004630313811</c:v>
                </c:pt>
                <c:pt idx="29">
                  <c:v>-2.6354471705114375</c:v>
                </c:pt>
                <c:pt idx="30">
                  <c:v>-2.6179938779914944</c:v>
                </c:pt>
                <c:pt idx="31">
                  <c:v>-2.6005405854715509</c:v>
                </c:pt>
                <c:pt idx="32">
                  <c:v>-2.5830872929516078</c:v>
                </c:pt>
                <c:pt idx="33">
                  <c:v>-2.5656340004316642</c:v>
                </c:pt>
                <c:pt idx="34">
                  <c:v>-2.5481807079117211</c:v>
                </c:pt>
                <c:pt idx="35">
                  <c:v>-2.5307274153917776</c:v>
                </c:pt>
                <c:pt idx="36">
                  <c:v>-2.5132741228718345</c:v>
                </c:pt>
                <c:pt idx="37">
                  <c:v>-2.4958208303518914</c:v>
                </c:pt>
                <c:pt idx="38">
                  <c:v>-2.4783675378319479</c:v>
                </c:pt>
                <c:pt idx="39">
                  <c:v>-2.4609142453120048</c:v>
                </c:pt>
                <c:pt idx="40">
                  <c:v>-2.4434609527920612</c:v>
                </c:pt>
                <c:pt idx="41">
                  <c:v>-2.4260076602721181</c:v>
                </c:pt>
                <c:pt idx="42">
                  <c:v>-2.4085543677521746</c:v>
                </c:pt>
                <c:pt idx="43">
                  <c:v>-2.3911010752322315</c:v>
                </c:pt>
                <c:pt idx="44">
                  <c:v>-2.3736477827122879</c:v>
                </c:pt>
                <c:pt idx="45">
                  <c:v>-2.3561944901923448</c:v>
                </c:pt>
                <c:pt idx="46">
                  <c:v>-2.3387411976724017</c:v>
                </c:pt>
                <c:pt idx="47">
                  <c:v>-2.3212879051524582</c:v>
                </c:pt>
                <c:pt idx="48">
                  <c:v>-2.3038346126325147</c:v>
                </c:pt>
                <c:pt idx="49">
                  <c:v>-2.2863813201125716</c:v>
                </c:pt>
                <c:pt idx="50">
                  <c:v>-2.2689280275926285</c:v>
                </c:pt>
                <c:pt idx="51">
                  <c:v>-2.2514747350726849</c:v>
                </c:pt>
                <c:pt idx="52">
                  <c:v>-2.2340214425527418</c:v>
                </c:pt>
                <c:pt idx="53">
                  <c:v>-2.2165681500327983</c:v>
                </c:pt>
                <c:pt idx="54">
                  <c:v>-2.1991148575128552</c:v>
                </c:pt>
                <c:pt idx="55">
                  <c:v>-2.1816615649929121</c:v>
                </c:pt>
                <c:pt idx="56">
                  <c:v>-2.1642082724729685</c:v>
                </c:pt>
                <c:pt idx="57">
                  <c:v>-2.146754979953025</c:v>
                </c:pt>
                <c:pt idx="58">
                  <c:v>-2.1293016874330819</c:v>
                </c:pt>
                <c:pt idx="59">
                  <c:v>-2.1118483949131388</c:v>
                </c:pt>
                <c:pt idx="60">
                  <c:v>-2.0943951023931957</c:v>
                </c:pt>
                <c:pt idx="61">
                  <c:v>-2.0769418098732522</c:v>
                </c:pt>
                <c:pt idx="62">
                  <c:v>-2.0594885173533086</c:v>
                </c:pt>
                <c:pt idx="63">
                  <c:v>-2.0420352248333655</c:v>
                </c:pt>
                <c:pt idx="64">
                  <c:v>-2.0245819323134224</c:v>
                </c:pt>
                <c:pt idx="65">
                  <c:v>-2.0071286397934789</c:v>
                </c:pt>
                <c:pt idx="66">
                  <c:v>-1.9896753472735356</c:v>
                </c:pt>
                <c:pt idx="67">
                  <c:v>-1.9722220547535922</c:v>
                </c:pt>
                <c:pt idx="68">
                  <c:v>-1.9547687622336489</c:v>
                </c:pt>
                <c:pt idx="69">
                  <c:v>-1.9373154697137058</c:v>
                </c:pt>
                <c:pt idx="70">
                  <c:v>-1.9198621771937625</c:v>
                </c:pt>
                <c:pt idx="71">
                  <c:v>-1.9024088846738192</c:v>
                </c:pt>
                <c:pt idx="72">
                  <c:v>-1.8849555921538759</c:v>
                </c:pt>
                <c:pt idx="73">
                  <c:v>-1.8675022996339325</c:v>
                </c:pt>
                <c:pt idx="74">
                  <c:v>-1.8500490071139892</c:v>
                </c:pt>
                <c:pt idx="75">
                  <c:v>-1.8325957145940459</c:v>
                </c:pt>
                <c:pt idx="76">
                  <c:v>-1.8151424220741026</c:v>
                </c:pt>
                <c:pt idx="77">
                  <c:v>-1.7976891295541593</c:v>
                </c:pt>
                <c:pt idx="78">
                  <c:v>-1.7802358370342162</c:v>
                </c:pt>
                <c:pt idx="79">
                  <c:v>-1.7627825445142729</c:v>
                </c:pt>
                <c:pt idx="80">
                  <c:v>-1.7453292519943295</c:v>
                </c:pt>
                <c:pt idx="81">
                  <c:v>-1.7278759594743862</c:v>
                </c:pt>
                <c:pt idx="82">
                  <c:v>-1.7104226669544429</c:v>
                </c:pt>
                <c:pt idx="83">
                  <c:v>-1.6929693744344996</c:v>
                </c:pt>
                <c:pt idx="84">
                  <c:v>-1.6755160819145563</c:v>
                </c:pt>
                <c:pt idx="85">
                  <c:v>-1.6580627893946129</c:v>
                </c:pt>
                <c:pt idx="86">
                  <c:v>-1.6406094968746696</c:v>
                </c:pt>
                <c:pt idx="87">
                  <c:v>-1.6231562043547265</c:v>
                </c:pt>
                <c:pt idx="88">
                  <c:v>-1.6057029118347832</c:v>
                </c:pt>
                <c:pt idx="89">
                  <c:v>-1.5882496193148399</c:v>
                </c:pt>
                <c:pt idx="90">
                  <c:v>-1.5707963267948966</c:v>
                </c:pt>
                <c:pt idx="91">
                  <c:v>-1.5533430342749532</c:v>
                </c:pt>
                <c:pt idx="92">
                  <c:v>-1.5358897417550099</c:v>
                </c:pt>
                <c:pt idx="93">
                  <c:v>-1.5184364492350666</c:v>
                </c:pt>
                <c:pt idx="94">
                  <c:v>-1.5009831567151233</c:v>
                </c:pt>
                <c:pt idx="95">
                  <c:v>-1.48352986419518</c:v>
                </c:pt>
                <c:pt idx="96">
                  <c:v>-1.4660765716752366</c:v>
                </c:pt>
                <c:pt idx="97">
                  <c:v>-1.4486232791552935</c:v>
                </c:pt>
                <c:pt idx="98">
                  <c:v>-1.4311699866353502</c:v>
                </c:pt>
                <c:pt idx="99">
                  <c:v>-1.4137166941154069</c:v>
                </c:pt>
                <c:pt idx="100">
                  <c:v>-1.3962634015954636</c:v>
                </c:pt>
                <c:pt idx="101">
                  <c:v>-1.3788101090755203</c:v>
                </c:pt>
                <c:pt idx="102">
                  <c:v>-1.3613568165555769</c:v>
                </c:pt>
                <c:pt idx="103">
                  <c:v>-1.3439035240356336</c:v>
                </c:pt>
                <c:pt idx="104">
                  <c:v>-1.3264502315156903</c:v>
                </c:pt>
                <c:pt idx="105">
                  <c:v>-1.308996938995747</c:v>
                </c:pt>
                <c:pt idx="106">
                  <c:v>-1.2915436464758039</c:v>
                </c:pt>
                <c:pt idx="107">
                  <c:v>-1.2740903539558606</c:v>
                </c:pt>
                <c:pt idx="108">
                  <c:v>-1.2566370614359172</c:v>
                </c:pt>
                <c:pt idx="109">
                  <c:v>-1.2391837689159739</c:v>
                </c:pt>
                <c:pt idx="110">
                  <c:v>-1.2217304763960306</c:v>
                </c:pt>
                <c:pt idx="111">
                  <c:v>-1.2042771838760873</c:v>
                </c:pt>
                <c:pt idx="112">
                  <c:v>-1.186823891356144</c:v>
                </c:pt>
                <c:pt idx="113">
                  <c:v>-1.1693705988362006</c:v>
                </c:pt>
                <c:pt idx="114">
                  <c:v>-1.1519173063162573</c:v>
                </c:pt>
                <c:pt idx="115">
                  <c:v>-1.1344640137963142</c:v>
                </c:pt>
                <c:pt idx="116">
                  <c:v>-1.1170107212763707</c:v>
                </c:pt>
                <c:pt idx="117">
                  <c:v>-1.0995574287564276</c:v>
                </c:pt>
                <c:pt idx="118">
                  <c:v>-1.082104136236484</c:v>
                </c:pt>
                <c:pt idx="119">
                  <c:v>-1.064650843716541</c:v>
                </c:pt>
                <c:pt idx="120">
                  <c:v>-1.0471975511965979</c:v>
                </c:pt>
                <c:pt idx="121">
                  <c:v>-1.0297442586766543</c:v>
                </c:pt>
                <c:pt idx="122">
                  <c:v>-1.0122909661567112</c:v>
                </c:pt>
                <c:pt idx="123">
                  <c:v>-0.99483767363676767</c:v>
                </c:pt>
                <c:pt idx="124">
                  <c:v>-0.97738438111682457</c:v>
                </c:pt>
                <c:pt idx="125">
                  <c:v>-0.95993108859688103</c:v>
                </c:pt>
                <c:pt idx="126">
                  <c:v>-0.94247779607693793</c:v>
                </c:pt>
                <c:pt idx="127">
                  <c:v>-0.92502450355699439</c:v>
                </c:pt>
                <c:pt idx="128">
                  <c:v>-0.9075712110370513</c:v>
                </c:pt>
                <c:pt idx="129">
                  <c:v>-0.8901179185171082</c:v>
                </c:pt>
                <c:pt idx="130">
                  <c:v>-0.87266462599716466</c:v>
                </c:pt>
                <c:pt idx="131">
                  <c:v>-0.85521133347722156</c:v>
                </c:pt>
                <c:pt idx="132">
                  <c:v>-0.83775804095727802</c:v>
                </c:pt>
                <c:pt idx="133">
                  <c:v>-0.82030474843733492</c:v>
                </c:pt>
                <c:pt idx="134">
                  <c:v>-0.80285145591739138</c:v>
                </c:pt>
                <c:pt idx="135">
                  <c:v>-0.78539816339744828</c:v>
                </c:pt>
                <c:pt idx="136">
                  <c:v>-0.76794487087750474</c:v>
                </c:pt>
                <c:pt idx="137">
                  <c:v>-0.75049157835756164</c:v>
                </c:pt>
                <c:pt idx="138">
                  <c:v>-0.73303828583761854</c:v>
                </c:pt>
                <c:pt idx="139">
                  <c:v>-0.715584993317675</c:v>
                </c:pt>
                <c:pt idx="140">
                  <c:v>-0.6981317007977319</c:v>
                </c:pt>
                <c:pt idx="141">
                  <c:v>-0.68067840827778836</c:v>
                </c:pt>
                <c:pt idx="142">
                  <c:v>-0.66322511575784526</c:v>
                </c:pt>
                <c:pt idx="143">
                  <c:v>-0.64577182323790172</c:v>
                </c:pt>
                <c:pt idx="144">
                  <c:v>-0.62831853071795862</c:v>
                </c:pt>
                <c:pt idx="145">
                  <c:v>-0.61086523819801508</c:v>
                </c:pt>
                <c:pt idx="146">
                  <c:v>-0.59341194567807198</c:v>
                </c:pt>
                <c:pt idx="147">
                  <c:v>-0.57595865315812889</c:v>
                </c:pt>
                <c:pt idx="148">
                  <c:v>-0.55850536063818534</c:v>
                </c:pt>
                <c:pt idx="149">
                  <c:v>-0.54105206811824225</c:v>
                </c:pt>
                <c:pt idx="150">
                  <c:v>-0.5235987755982987</c:v>
                </c:pt>
                <c:pt idx="151">
                  <c:v>-0.50614548307835561</c:v>
                </c:pt>
                <c:pt idx="152">
                  <c:v>-0.48869219055841207</c:v>
                </c:pt>
                <c:pt idx="153">
                  <c:v>-0.47123889803846897</c:v>
                </c:pt>
                <c:pt idx="154">
                  <c:v>-0.45378560551852543</c:v>
                </c:pt>
                <c:pt idx="155">
                  <c:v>-0.43633231299858233</c:v>
                </c:pt>
                <c:pt idx="156">
                  <c:v>-0.41887902047863923</c:v>
                </c:pt>
                <c:pt idx="157">
                  <c:v>-0.40142572795869569</c:v>
                </c:pt>
                <c:pt idx="158">
                  <c:v>-0.38397243543875259</c:v>
                </c:pt>
                <c:pt idx="159">
                  <c:v>-0.36651914291880905</c:v>
                </c:pt>
                <c:pt idx="160">
                  <c:v>-0.34906585039886595</c:v>
                </c:pt>
                <c:pt idx="161">
                  <c:v>-0.33161255787892241</c:v>
                </c:pt>
                <c:pt idx="162">
                  <c:v>-0.31415926535897931</c:v>
                </c:pt>
                <c:pt idx="163">
                  <c:v>-0.29670597283903577</c:v>
                </c:pt>
                <c:pt idx="164">
                  <c:v>-0.27925268031909267</c:v>
                </c:pt>
                <c:pt idx="165">
                  <c:v>-0.26179938779914957</c:v>
                </c:pt>
                <c:pt idx="166">
                  <c:v>-0.24434609527920603</c:v>
                </c:pt>
                <c:pt idx="167">
                  <c:v>-0.22689280275926293</c:v>
                </c:pt>
                <c:pt idx="168">
                  <c:v>-0.20943951023931939</c:v>
                </c:pt>
                <c:pt idx="169">
                  <c:v>-0.1919862177193763</c:v>
                </c:pt>
                <c:pt idx="170">
                  <c:v>-0.17453292519943275</c:v>
                </c:pt>
                <c:pt idx="171">
                  <c:v>-0.15707963267948966</c:v>
                </c:pt>
                <c:pt idx="172">
                  <c:v>-0.13962634015954611</c:v>
                </c:pt>
                <c:pt idx="173">
                  <c:v>-0.12217304763960302</c:v>
                </c:pt>
                <c:pt idx="174">
                  <c:v>-0.10471975511965992</c:v>
                </c:pt>
                <c:pt idx="175">
                  <c:v>-8.7266462599716377E-2</c:v>
                </c:pt>
                <c:pt idx="176">
                  <c:v>-6.9813170079773279E-2</c:v>
                </c:pt>
                <c:pt idx="177">
                  <c:v>-5.2359877559829737E-2</c:v>
                </c:pt>
                <c:pt idx="178">
                  <c:v>-3.490658503988664E-2</c:v>
                </c:pt>
                <c:pt idx="179">
                  <c:v>-1.7453292519943098E-2</c:v>
                </c:pt>
                <c:pt idx="180">
                  <c:v>0</c:v>
                </c:pt>
                <c:pt idx="181">
                  <c:v>1.7453292519943542E-2</c:v>
                </c:pt>
                <c:pt idx="182">
                  <c:v>3.490658503988664E-2</c:v>
                </c:pt>
                <c:pt idx="183">
                  <c:v>5.2359877559829737E-2</c:v>
                </c:pt>
                <c:pt idx="184">
                  <c:v>6.9813170079773279E-2</c:v>
                </c:pt>
                <c:pt idx="185">
                  <c:v>8.7266462599716377E-2</c:v>
                </c:pt>
                <c:pt idx="186">
                  <c:v>0.10471975511965992</c:v>
                </c:pt>
                <c:pt idx="187">
                  <c:v>0.12217304763960302</c:v>
                </c:pt>
                <c:pt idx="188">
                  <c:v>0.13962634015954656</c:v>
                </c:pt>
                <c:pt idx="189">
                  <c:v>0.15707963267948966</c:v>
                </c:pt>
                <c:pt idx="190">
                  <c:v>0.1745329251994332</c:v>
                </c:pt>
                <c:pt idx="191">
                  <c:v>0.1919862177193763</c:v>
                </c:pt>
                <c:pt idx="192">
                  <c:v>0.20943951023931984</c:v>
                </c:pt>
                <c:pt idx="193">
                  <c:v>0.22689280275926293</c:v>
                </c:pt>
                <c:pt idx="194">
                  <c:v>0.24434609527920603</c:v>
                </c:pt>
                <c:pt idx="195">
                  <c:v>0.26179938779914957</c:v>
                </c:pt>
                <c:pt idx="196">
                  <c:v>0.27925268031909267</c:v>
                </c:pt>
                <c:pt idx="197">
                  <c:v>0.29670597283903621</c:v>
                </c:pt>
                <c:pt idx="198">
                  <c:v>0.31415926535897931</c:v>
                </c:pt>
                <c:pt idx="199">
                  <c:v>0.33161255787892285</c:v>
                </c:pt>
                <c:pt idx="200">
                  <c:v>0.34906585039886595</c:v>
                </c:pt>
                <c:pt idx="201">
                  <c:v>0.36651914291880949</c:v>
                </c:pt>
                <c:pt idx="202">
                  <c:v>0.38397243543875259</c:v>
                </c:pt>
                <c:pt idx="203">
                  <c:v>0.40142572795869569</c:v>
                </c:pt>
                <c:pt idx="204">
                  <c:v>0.41887902047863923</c:v>
                </c:pt>
                <c:pt idx="205">
                  <c:v>0.43633231299858233</c:v>
                </c:pt>
                <c:pt idx="206">
                  <c:v>0.45378560551852587</c:v>
                </c:pt>
                <c:pt idx="207">
                  <c:v>0.47123889803846897</c:v>
                </c:pt>
                <c:pt idx="208">
                  <c:v>0.48869219055841251</c:v>
                </c:pt>
                <c:pt idx="209">
                  <c:v>0.50614548307835561</c:v>
                </c:pt>
                <c:pt idx="210">
                  <c:v>0.52359877559829915</c:v>
                </c:pt>
                <c:pt idx="211">
                  <c:v>0.54105206811824225</c:v>
                </c:pt>
                <c:pt idx="212">
                  <c:v>0.55850536063818534</c:v>
                </c:pt>
                <c:pt idx="213">
                  <c:v>0.57595865315812889</c:v>
                </c:pt>
                <c:pt idx="214">
                  <c:v>0.59341194567807198</c:v>
                </c:pt>
                <c:pt idx="215">
                  <c:v>0.61086523819801553</c:v>
                </c:pt>
                <c:pt idx="216">
                  <c:v>0.62831853071795862</c:v>
                </c:pt>
                <c:pt idx="217">
                  <c:v>0.64577182323790217</c:v>
                </c:pt>
                <c:pt idx="218">
                  <c:v>0.66322511575784526</c:v>
                </c:pt>
                <c:pt idx="219">
                  <c:v>0.6806784082777888</c:v>
                </c:pt>
                <c:pt idx="220">
                  <c:v>0.6981317007977319</c:v>
                </c:pt>
                <c:pt idx="221">
                  <c:v>0.715584993317675</c:v>
                </c:pt>
                <c:pt idx="222">
                  <c:v>0.73303828583761854</c:v>
                </c:pt>
                <c:pt idx="223">
                  <c:v>0.75049157835756164</c:v>
                </c:pt>
                <c:pt idx="224">
                  <c:v>0.76794487087750518</c:v>
                </c:pt>
                <c:pt idx="225">
                  <c:v>0.78539816339744828</c:v>
                </c:pt>
                <c:pt idx="226">
                  <c:v>0.80285145591739182</c:v>
                </c:pt>
                <c:pt idx="227">
                  <c:v>0.82030474843733492</c:v>
                </c:pt>
                <c:pt idx="228">
                  <c:v>0.83775804095727846</c:v>
                </c:pt>
                <c:pt idx="229">
                  <c:v>0.85521133347722156</c:v>
                </c:pt>
                <c:pt idx="230">
                  <c:v>0.87266462599716466</c:v>
                </c:pt>
                <c:pt idx="231">
                  <c:v>0.89011791851710775</c:v>
                </c:pt>
                <c:pt idx="232">
                  <c:v>0.90757121103705174</c:v>
                </c:pt>
                <c:pt idx="233">
                  <c:v>0.92502450355699484</c:v>
                </c:pt>
                <c:pt idx="234">
                  <c:v>0.94247779607693793</c:v>
                </c:pt>
                <c:pt idx="235">
                  <c:v>0.95993108859688103</c:v>
                </c:pt>
                <c:pt idx="236">
                  <c:v>0.97738438111682502</c:v>
                </c:pt>
                <c:pt idx="237">
                  <c:v>0.99483767363676812</c:v>
                </c:pt>
                <c:pt idx="238">
                  <c:v>1.0122909661567112</c:v>
                </c:pt>
                <c:pt idx="239">
                  <c:v>1.0297442586766543</c:v>
                </c:pt>
                <c:pt idx="240">
                  <c:v>1.0471975511965974</c:v>
                </c:pt>
                <c:pt idx="241">
                  <c:v>1.0646508437165414</c:v>
                </c:pt>
                <c:pt idx="242">
                  <c:v>1.0821041362364845</c:v>
                </c:pt>
                <c:pt idx="243">
                  <c:v>1.0995574287564276</c:v>
                </c:pt>
                <c:pt idx="244">
                  <c:v>1.1170107212763707</c:v>
                </c:pt>
                <c:pt idx="245">
                  <c:v>1.1344640137963147</c:v>
                </c:pt>
                <c:pt idx="246">
                  <c:v>1.1519173063162578</c:v>
                </c:pt>
                <c:pt idx="247">
                  <c:v>1.1693705988362009</c:v>
                </c:pt>
                <c:pt idx="248">
                  <c:v>1.186823891356144</c:v>
                </c:pt>
                <c:pt idx="249">
                  <c:v>1.2042771838760871</c:v>
                </c:pt>
                <c:pt idx="250">
                  <c:v>1.2217304763960311</c:v>
                </c:pt>
                <c:pt idx="251">
                  <c:v>1.2391837689159741</c:v>
                </c:pt>
                <c:pt idx="252">
                  <c:v>1.2566370614359172</c:v>
                </c:pt>
                <c:pt idx="253">
                  <c:v>1.2740903539558603</c:v>
                </c:pt>
                <c:pt idx="254">
                  <c:v>1.2915436464758043</c:v>
                </c:pt>
                <c:pt idx="255">
                  <c:v>1.3089969389957474</c:v>
                </c:pt>
                <c:pt idx="256">
                  <c:v>1.3264502315156905</c:v>
                </c:pt>
                <c:pt idx="257">
                  <c:v>1.3439035240356336</c:v>
                </c:pt>
                <c:pt idx="258">
                  <c:v>1.3613568165555767</c:v>
                </c:pt>
                <c:pt idx="259">
                  <c:v>1.3788101090755207</c:v>
                </c:pt>
                <c:pt idx="260">
                  <c:v>1.3962634015954638</c:v>
                </c:pt>
                <c:pt idx="261">
                  <c:v>1.4137166941154069</c:v>
                </c:pt>
                <c:pt idx="262">
                  <c:v>1.43116998663535</c:v>
                </c:pt>
                <c:pt idx="263">
                  <c:v>1.448623279155294</c:v>
                </c:pt>
                <c:pt idx="264">
                  <c:v>1.4660765716752371</c:v>
                </c:pt>
                <c:pt idx="265">
                  <c:v>1.4835298641951802</c:v>
                </c:pt>
                <c:pt idx="266">
                  <c:v>1.5009831567151233</c:v>
                </c:pt>
                <c:pt idx="267">
                  <c:v>1.5184364492350664</c:v>
                </c:pt>
                <c:pt idx="268">
                  <c:v>1.5358897417550104</c:v>
                </c:pt>
                <c:pt idx="269">
                  <c:v>1.5533430342749535</c:v>
                </c:pt>
                <c:pt idx="270">
                  <c:v>1.5707963267948966</c:v>
                </c:pt>
                <c:pt idx="271">
                  <c:v>1.5882496193148397</c:v>
                </c:pt>
                <c:pt idx="272">
                  <c:v>1.6057029118347836</c:v>
                </c:pt>
                <c:pt idx="273">
                  <c:v>1.6231562043547267</c:v>
                </c:pt>
                <c:pt idx="274">
                  <c:v>1.6406094968746698</c:v>
                </c:pt>
                <c:pt idx="275">
                  <c:v>1.6580627893946129</c:v>
                </c:pt>
                <c:pt idx="276">
                  <c:v>1.675516081914556</c:v>
                </c:pt>
                <c:pt idx="277">
                  <c:v>1.6929693744345</c:v>
                </c:pt>
                <c:pt idx="278">
                  <c:v>1.7104226669544431</c:v>
                </c:pt>
                <c:pt idx="279">
                  <c:v>1.7278759594743862</c:v>
                </c:pt>
                <c:pt idx="280">
                  <c:v>1.7453292519943293</c:v>
                </c:pt>
                <c:pt idx="281">
                  <c:v>1.7627825445142733</c:v>
                </c:pt>
                <c:pt idx="282">
                  <c:v>1.7802358370342164</c:v>
                </c:pt>
                <c:pt idx="283">
                  <c:v>1.7976891295541595</c:v>
                </c:pt>
                <c:pt idx="284">
                  <c:v>1.8151424220741026</c:v>
                </c:pt>
                <c:pt idx="285">
                  <c:v>1.8325957145940457</c:v>
                </c:pt>
                <c:pt idx="286">
                  <c:v>1.8500490071139897</c:v>
                </c:pt>
                <c:pt idx="287">
                  <c:v>1.8675022996339328</c:v>
                </c:pt>
                <c:pt idx="288">
                  <c:v>1.8849555921538759</c:v>
                </c:pt>
                <c:pt idx="289">
                  <c:v>1.902408884673819</c:v>
                </c:pt>
                <c:pt idx="290">
                  <c:v>1.919862177193763</c:v>
                </c:pt>
                <c:pt idx="291">
                  <c:v>1.9373154697137061</c:v>
                </c:pt>
                <c:pt idx="292">
                  <c:v>1.9547687622336491</c:v>
                </c:pt>
                <c:pt idx="293">
                  <c:v>1.9722220547535922</c:v>
                </c:pt>
                <c:pt idx="294">
                  <c:v>1.9896753472735353</c:v>
                </c:pt>
                <c:pt idx="295">
                  <c:v>2.0071286397934793</c:v>
                </c:pt>
                <c:pt idx="296">
                  <c:v>2.0245819323134224</c:v>
                </c:pt>
                <c:pt idx="297">
                  <c:v>2.0420352248333655</c:v>
                </c:pt>
                <c:pt idx="298">
                  <c:v>2.0594885173533086</c:v>
                </c:pt>
                <c:pt idx="299">
                  <c:v>2.0769418098732526</c:v>
                </c:pt>
                <c:pt idx="300">
                  <c:v>2.0943951023931957</c:v>
                </c:pt>
                <c:pt idx="301">
                  <c:v>2.1118483949131388</c:v>
                </c:pt>
                <c:pt idx="302">
                  <c:v>2.1293016874330819</c:v>
                </c:pt>
                <c:pt idx="303">
                  <c:v>2.146754979953025</c:v>
                </c:pt>
                <c:pt idx="304">
                  <c:v>2.164208272472969</c:v>
                </c:pt>
                <c:pt idx="305">
                  <c:v>2.1816615649929121</c:v>
                </c:pt>
                <c:pt idx="306">
                  <c:v>2.1991148575128552</c:v>
                </c:pt>
                <c:pt idx="307">
                  <c:v>2.2165681500327983</c:v>
                </c:pt>
                <c:pt idx="308">
                  <c:v>2.2340214425527423</c:v>
                </c:pt>
                <c:pt idx="309">
                  <c:v>2.2514747350726854</c:v>
                </c:pt>
                <c:pt idx="310">
                  <c:v>2.2689280275926285</c:v>
                </c:pt>
                <c:pt idx="311">
                  <c:v>2.2863813201125716</c:v>
                </c:pt>
                <c:pt idx="312">
                  <c:v>2.3038346126325147</c:v>
                </c:pt>
                <c:pt idx="313">
                  <c:v>2.3212879051524586</c:v>
                </c:pt>
                <c:pt idx="314">
                  <c:v>2.3387411976724017</c:v>
                </c:pt>
                <c:pt idx="315">
                  <c:v>2.3561944901923448</c:v>
                </c:pt>
                <c:pt idx="316">
                  <c:v>2.3736477827122879</c:v>
                </c:pt>
                <c:pt idx="317">
                  <c:v>2.3911010752322319</c:v>
                </c:pt>
                <c:pt idx="318">
                  <c:v>2.408554367752175</c:v>
                </c:pt>
                <c:pt idx="319">
                  <c:v>2.4260076602721181</c:v>
                </c:pt>
                <c:pt idx="320">
                  <c:v>2.4434609527920612</c:v>
                </c:pt>
                <c:pt idx="321">
                  <c:v>2.4609142453120043</c:v>
                </c:pt>
                <c:pt idx="322">
                  <c:v>2.4783675378319483</c:v>
                </c:pt>
                <c:pt idx="323">
                  <c:v>2.4958208303518914</c:v>
                </c:pt>
                <c:pt idx="324">
                  <c:v>2.5132741228718345</c:v>
                </c:pt>
                <c:pt idx="325">
                  <c:v>2.5307274153917776</c:v>
                </c:pt>
                <c:pt idx="326">
                  <c:v>2.5481807079117216</c:v>
                </c:pt>
                <c:pt idx="327">
                  <c:v>2.5656340004316647</c:v>
                </c:pt>
                <c:pt idx="328">
                  <c:v>2.5830872929516078</c:v>
                </c:pt>
                <c:pt idx="329">
                  <c:v>2.6005405854715509</c:v>
                </c:pt>
                <c:pt idx="330">
                  <c:v>2.617993877991494</c:v>
                </c:pt>
                <c:pt idx="331">
                  <c:v>2.635447170511438</c:v>
                </c:pt>
                <c:pt idx="332">
                  <c:v>2.6529004630313811</c:v>
                </c:pt>
                <c:pt idx="333">
                  <c:v>2.6703537555513241</c:v>
                </c:pt>
                <c:pt idx="334">
                  <c:v>2.6878070480712672</c:v>
                </c:pt>
                <c:pt idx="335">
                  <c:v>2.7052603405912112</c:v>
                </c:pt>
                <c:pt idx="336">
                  <c:v>2.7227136331111543</c:v>
                </c:pt>
                <c:pt idx="337">
                  <c:v>2.7401669256310974</c:v>
                </c:pt>
                <c:pt idx="338">
                  <c:v>2.7576202181510405</c:v>
                </c:pt>
                <c:pt idx="339">
                  <c:v>2.7750735106709836</c:v>
                </c:pt>
                <c:pt idx="340">
                  <c:v>2.7925268031909276</c:v>
                </c:pt>
                <c:pt idx="341">
                  <c:v>2.8099800957108707</c:v>
                </c:pt>
                <c:pt idx="342">
                  <c:v>2.8274333882308138</c:v>
                </c:pt>
                <c:pt idx="343">
                  <c:v>2.8448866807507569</c:v>
                </c:pt>
                <c:pt idx="344">
                  <c:v>2.8623399732707009</c:v>
                </c:pt>
                <c:pt idx="345">
                  <c:v>2.879793265790644</c:v>
                </c:pt>
                <c:pt idx="346">
                  <c:v>2.8972465583105871</c:v>
                </c:pt>
                <c:pt idx="347">
                  <c:v>2.9146998508305302</c:v>
                </c:pt>
                <c:pt idx="348">
                  <c:v>2.9321531433504733</c:v>
                </c:pt>
                <c:pt idx="349">
                  <c:v>2.9496064358704173</c:v>
                </c:pt>
                <c:pt idx="350">
                  <c:v>2.9670597283903604</c:v>
                </c:pt>
                <c:pt idx="351">
                  <c:v>2.9845130209103035</c:v>
                </c:pt>
                <c:pt idx="352">
                  <c:v>3.0019663134302466</c:v>
                </c:pt>
                <c:pt idx="353">
                  <c:v>3.0194196059501905</c:v>
                </c:pt>
                <c:pt idx="354">
                  <c:v>3.0368728984701336</c:v>
                </c:pt>
                <c:pt idx="355">
                  <c:v>3.0543261909900767</c:v>
                </c:pt>
                <c:pt idx="356">
                  <c:v>3.0717794835100198</c:v>
                </c:pt>
                <c:pt idx="357">
                  <c:v>3.0892327760299629</c:v>
                </c:pt>
                <c:pt idx="358">
                  <c:v>3.1066860685499069</c:v>
                </c:pt>
                <c:pt idx="359">
                  <c:v>3.12413936106985</c:v>
                </c:pt>
                <c:pt idx="360">
                  <c:v>3.1415926535897931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C7-4EF4-91DD-810F33130FCD}"/>
            </c:ext>
          </c:extLst>
        </c:ser>
        <c:ser>
          <c:idx val="0"/>
          <c:order val="1"/>
          <c:tx>
            <c:v>goal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tx1">
                  <a:lumMod val="95000"/>
                  <a:lumOff val="5000"/>
                </a:schemeClr>
              </a:solidFill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Analysis'!$N$115</c:f>
              <c:numCache>
                <c:formatCode>0.00000</c:formatCode>
                <c:ptCount val="1"/>
                <c:pt idx="0">
                  <c:v>0.78539842986045483</c:v>
                </c:pt>
              </c:numCache>
            </c:numRef>
          </c:xVal>
          <c:yVal>
            <c:numRef>
              <c:f>'Cross Section Analysis'!$F$53</c:f>
              <c:numCache>
                <c:formatCode>General</c:formatCode>
                <c:ptCount val="1"/>
                <c:pt idx="0">
                  <c:v>-358.87036003204105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DE-4471-8631-FA272A06727E}"/>
            </c:ext>
          </c:extLst>
        </c:ser>
        <c:ser>
          <c:idx val="1"/>
          <c:order val="2"/>
          <c:tx>
            <c:v>equal angle line</c:v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'Cross Section Analysis'!$F$261:$F$262</c:f>
              <c:numCache>
                <c:formatCode>General</c:formatCode>
                <c:ptCount val="2"/>
                <c:pt idx="0">
                  <c:v>-3.1415926535897931</c:v>
                </c:pt>
                <c:pt idx="1">
                  <c:v>3.1415926535897931</c:v>
                </c:pt>
              </c:numCache>
            </c:numRef>
          </c:xVal>
          <c:yVal>
            <c:numRef>
              <c:f>'Cross Section Analysis'!$G$261:$G$262</c:f>
              <c:numCache>
                <c:formatCode>General</c:formatCode>
                <c:ptCount val="2"/>
                <c:pt idx="0">
                  <c:v>-3.1415926535897931</c:v>
                </c:pt>
                <c:pt idx="1">
                  <c:v>3.1415926535897931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FE-5949-8F55-96BF063DB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  <c:max val="3.16"/>
          <c:min val="-3.1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 Angle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;[Red]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  <c:majorUnit val="0.78539800000000004"/>
        <c:minorUnit val="8.7200000000000027E-2"/>
      </c:valAx>
      <c:valAx>
        <c:axId val="1892693248"/>
        <c:scaling>
          <c:orientation val="minMax"/>
          <c:max val="3.16"/>
          <c:min val="-3.1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NA</a:t>
                </a:r>
                <a:r>
                  <a:rPr lang="en-US" baseline="0"/>
                  <a:t> Angle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;[Red]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  <c:majorUnit val="0.78539809999999999"/>
        <c:minorUnit val="8.7260000000000032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Analysis'!$AC$48:$AC$148</c:f>
              <c:numCache>
                <c:formatCode>General</c:formatCode>
                <c:ptCount val="101"/>
                <c:pt idx="0">
                  <c:v>1E-4</c:v>
                </c:pt>
                <c:pt idx="1">
                  <c:v>0.84846400599152683</c:v>
                </c:pt>
                <c:pt idx="2">
                  <c:v>1.6968280119830537</c:v>
                </c:pt>
                <c:pt idx="3">
                  <c:v>2.5451920179745806</c:v>
                </c:pt>
                <c:pt idx="4">
                  <c:v>3.3935560239661076</c:v>
                </c:pt>
                <c:pt idx="5">
                  <c:v>4.2419200299576341</c:v>
                </c:pt>
                <c:pt idx="6">
                  <c:v>5.0902840359491615</c:v>
                </c:pt>
                <c:pt idx="7">
                  <c:v>5.938648041940688</c:v>
                </c:pt>
                <c:pt idx="8">
                  <c:v>6.7870120479322145</c:v>
                </c:pt>
                <c:pt idx="9">
                  <c:v>7.6353760539237419</c:v>
                </c:pt>
                <c:pt idx="10">
                  <c:v>8.4837400599152684</c:v>
                </c:pt>
                <c:pt idx="11">
                  <c:v>9.3321040659067958</c:v>
                </c:pt>
                <c:pt idx="12">
                  <c:v>10.180468071898321</c:v>
                </c:pt>
                <c:pt idx="13">
                  <c:v>11.028832077889849</c:v>
                </c:pt>
                <c:pt idx="14">
                  <c:v>11.877196083881376</c:v>
                </c:pt>
                <c:pt idx="15">
                  <c:v>12.725560089872902</c:v>
                </c:pt>
                <c:pt idx="16">
                  <c:v>13.573924095864429</c:v>
                </c:pt>
                <c:pt idx="17">
                  <c:v>14.422288101855957</c:v>
                </c:pt>
                <c:pt idx="18">
                  <c:v>15.270652107847484</c:v>
                </c:pt>
                <c:pt idx="19">
                  <c:v>16.11901611383901</c:v>
                </c:pt>
                <c:pt idx="20">
                  <c:v>16.967380119830537</c:v>
                </c:pt>
                <c:pt idx="21">
                  <c:v>17.815744125822064</c:v>
                </c:pt>
                <c:pt idx="22">
                  <c:v>18.664108131813592</c:v>
                </c:pt>
                <c:pt idx="23">
                  <c:v>19.512472137805116</c:v>
                </c:pt>
                <c:pt idx="24">
                  <c:v>20.360836143796643</c:v>
                </c:pt>
                <c:pt idx="25">
                  <c:v>21.20920014978817</c:v>
                </c:pt>
                <c:pt idx="26">
                  <c:v>22.057564155779698</c:v>
                </c:pt>
                <c:pt idx="27">
                  <c:v>22.905928161771225</c:v>
                </c:pt>
                <c:pt idx="28">
                  <c:v>23.754292167762753</c:v>
                </c:pt>
                <c:pt idx="29">
                  <c:v>24.60265617375428</c:v>
                </c:pt>
                <c:pt idx="30">
                  <c:v>25.451020179745804</c:v>
                </c:pt>
                <c:pt idx="31">
                  <c:v>26.299384185737331</c:v>
                </c:pt>
                <c:pt idx="32">
                  <c:v>27.147748191728859</c:v>
                </c:pt>
                <c:pt idx="33">
                  <c:v>27.996112197720386</c:v>
                </c:pt>
                <c:pt idx="34">
                  <c:v>28.844476203711913</c:v>
                </c:pt>
                <c:pt idx="35">
                  <c:v>29.692840209703441</c:v>
                </c:pt>
                <c:pt idx="36">
                  <c:v>30.541204215694965</c:v>
                </c:pt>
                <c:pt idx="37">
                  <c:v>31.389568221686492</c:v>
                </c:pt>
                <c:pt idx="38">
                  <c:v>32.237932227678023</c:v>
                </c:pt>
                <c:pt idx="39">
                  <c:v>33.086296233669543</c:v>
                </c:pt>
                <c:pt idx="40">
                  <c:v>33.934660239661071</c:v>
                </c:pt>
                <c:pt idx="41">
                  <c:v>34.783024245652598</c:v>
                </c:pt>
                <c:pt idx="42">
                  <c:v>35.631388251644125</c:v>
                </c:pt>
                <c:pt idx="43">
                  <c:v>36.479752257635653</c:v>
                </c:pt>
                <c:pt idx="44">
                  <c:v>37.32811626362718</c:v>
                </c:pt>
                <c:pt idx="45">
                  <c:v>38.176480269618708</c:v>
                </c:pt>
                <c:pt idx="46">
                  <c:v>39.024844275610235</c:v>
                </c:pt>
                <c:pt idx="47">
                  <c:v>39.873208281601762</c:v>
                </c:pt>
                <c:pt idx="48">
                  <c:v>40.72157228759329</c:v>
                </c:pt>
                <c:pt idx="49">
                  <c:v>41.569936293584817</c:v>
                </c:pt>
                <c:pt idx="50">
                  <c:v>42.418300299576345</c:v>
                </c:pt>
                <c:pt idx="51">
                  <c:v>43.266664305567872</c:v>
                </c:pt>
                <c:pt idx="52">
                  <c:v>44.115028311559392</c:v>
                </c:pt>
                <c:pt idx="53">
                  <c:v>44.96339231755092</c:v>
                </c:pt>
                <c:pt idx="54">
                  <c:v>45.811756323542447</c:v>
                </c:pt>
                <c:pt idx="55">
                  <c:v>46.660120329533974</c:v>
                </c:pt>
                <c:pt idx="56">
                  <c:v>47.508484335525502</c:v>
                </c:pt>
                <c:pt idx="57">
                  <c:v>48.356848341517029</c:v>
                </c:pt>
                <c:pt idx="58">
                  <c:v>49.205212347508557</c:v>
                </c:pt>
                <c:pt idx="59">
                  <c:v>50.053576353500084</c:v>
                </c:pt>
                <c:pt idx="60">
                  <c:v>50.901940359491611</c:v>
                </c:pt>
                <c:pt idx="61">
                  <c:v>51.750304365483139</c:v>
                </c:pt>
                <c:pt idx="62">
                  <c:v>52.598668371474666</c:v>
                </c:pt>
                <c:pt idx="63">
                  <c:v>53.447032377466194</c:v>
                </c:pt>
                <c:pt idx="64">
                  <c:v>54.295396383457721</c:v>
                </c:pt>
                <c:pt idx="65">
                  <c:v>55.143760389449241</c:v>
                </c:pt>
                <c:pt idx="66">
                  <c:v>55.992124395440769</c:v>
                </c:pt>
                <c:pt idx="67">
                  <c:v>56.840488401432296</c:v>
                </c:pt>
                <c:pt idx="68">
                  <c:v>57.688852407423823</c:v>
                </c:pt>
                <c:pt idx="69">
                  <c:v>58.537216413415351</c:v>
                </c:pt>
                <c:pt idx="70">
                  <c:v>59.385580419406878</c:v>
                </c:pt>
                <c:pt idx="71">
                  <c:v>60.233944425398406</c:v>
                </c:pt>
                <c:pt idx="72">
                  <c:v>61.082308431389933</c:v>
                </c:pt>
                <c:pt idx="73">
                  <c:v>61.93067243738146</c:v>
                </c:pt>
                <c:pt idx="74">
                  <c:v>62.779036443372988</c:v>
                </c:pt>
                <c:pt idx="75">
                  <c:v>63.627400449364515</c:v>
                </c:pt>
                <c:pt idx="76">
                  <c:v>64.475764455356043</c:v>
                </c:pt>
                <c:pt idx="77">
                  <c:v>65.32412846134757</c:v>
                </c:pt>
                <c:pt idx="78">
                  <c:v>66.172492467339097</c:v>
                </c:pt>
                <c:pt idx="79">
                  <c:v>67.020856473330625</c:v>
                </c:pt>
                <c:pt idx="80">
                  <c:v>67.869220479322152</c:v>
                </c:pt>
                <c:pt idx="81">
                  <c:v>68.717584485313679</c:v>
                </c:pt>
                <c:pt idx="82">
                  <c:v>69.565948491305207</c:v>
                </c:pt>
                <c:pt idx="83">
                  <c:v>70.414312497296734</c:v>
                </c:pt>
                <c:pt idx="84">
                  <c:v>71.262676503288247</c:v>
                </c:pt>
                <c:pt idx="85">
                  <c:v>72.111040509279775</c:v>
                </c:pt>
                <c:pt idx="86">
                  <c:v>72.959404515271302</c:v>
                </c:pt>
                <c:pt idx="87">
                  <c:v>73.80776852126283</c:v>
                </c:pt>
                <c:pt idx="88">
                  <c:v>74.656132527254357</c:v>
                </c:pt>
                <c:pt idx="89">
                  <c:v>75.504496533245884</c:v>
                </c:pt>
                <c:pt idx="90">
                  <c:v>76.352860539237412</c:v>
                </c:pt>
                <c:pt idx="91">
                  <c:v>77.201224545228939</c:v>
                </c:pt>
                <c:pt idx="92">
                  <c:v>78.049588551220467</c:v>
                </c:pt>
                <c:pt idx="93">
                  <c:v>78.897952557211994</c:v>
                </c:pt>
                <c:pt idx="94">
                  <c:v>79.746316563203521</c:v>
                </c:pt>
                <c:pt idx="95">
                  <c:v>80.594680569195049</c:v>
                </c:pt>
                <c:pt idx="96">
                  <c:v>81.443044575186576</c:v>
                </c:pt>
                <c:pt idx="97">
                  <c:v>82.291408581178104</c:v>
                </c:pt>
                <c:pt idx="98">
                  <c:v>83.139772587169631</c:v>
                </c:pt>
                <c:pt idx="99">
                  <c:v>83.988136593161158</c:v>
                </c:pt>
                <c:pt idx="100">
                  <c:v>84.836500599152686</c:v>
                </c:pt>
              </c:numCache>
            </c:numRef>
          </c:xVal>
          <c:yVal>
            <c:numRef>
              <c:f>'Cross Section Analysis'!$AD$48:$AD$148</c:f>
              <c:numCache>
                <c:formatCode>General</c:formatCode>
                <c:ptCount val="101"/>
                <c:pt idx="0">
                  <c:v>-511.47999996574822</c:v>
                </c:pt>
                <c:pt idx="1">
                  <c:v>-509.0142463865194</c:v>
                </c:pt>
                <c:pt idx="2">
                  <c:v>-501.61814796708427</c:v>
                </c:pt>
                <c:pt idx="3">
                  <c:v>-481.14919045340156</c:v>
                </c:pt>
                <c:pt idx="4">
                  <c:v>-423.92395872645216</c:v>
                </c:pt>
                <c:pt idx="5">
                  <c:v>-377.75538272001813</c:v>
                </c:pt>
                <c:pt idx="6">
                  <c:v>-334.65011918820323</c:v>
                </c:pt>
                <c:pt idx="7">
                  <c:v>-273.62580501049058</c:v>
                </c:pt>
                <c:pt idx="8">
                  <c:v>-209.88208545196227</c:v>
                </c:pt>
                <c:pt idx="9">
                  <c:v>-147.15584362017046</c:v>
                </c:pt>
                <c:pt idx="10">
                  <c:v>-71.527273923512126</c:v>
                </c:pt>
                <c:pt idx="11">
                  <c:v>8.0394099633140996</c:v>
                </c:pt>
                <c:pt idx="12">
                  <c:v>85.994597556448355</c:v>
                </c:pt>
                <c:pt idx="13">
                  <c:v>156.79029312164562</c:v>
                </c:pt>
                <c:pt idx="14">
                  <c:v>225.26442853695733</c:v>
                </c:pt>
                <c:pt idx="15">
                  <c:v>289.74523792278285</c:v>
                </c:pt>
                <c:pt idx="16">
                  <c:v>357.56913058445247</c:v>
                </c:pt>
                <c:pt idx="17">
                  <c:v>420.94762248794086</c:v>
                </c:pt>
                <c:pt idx="18">
                  <c:v>480.52826342919457</c:v>
                </c:pt>
                <c:pt idx="19">
                  <c:v>554.50569764896204</c:v>
                </c:pt>
                <c:pt idx="20">
                  <c:v>631.19785127691489</c:v>
                </c:pt>
                <c:pt idx="21">
                  <c:v>709.57150994149004</c:v>
                </c:pt>
                <c:pt idx="22">
                  <c:v>786.36741593930969</c:v>
                </c:pt>
                <c:pt idx="23">
                  <c:v>861.79136204179383</c:v>
                </c:pt>
                <c:pt idx="24">
                  <c:v>936.0148423935816</c:v>
                </c:pt>
                <c:pt idx="25">
                  <c:v>1005.6735372055418</c:v>
                </c:pt>
                <c:pt idx="26">
                  <c:v>1077.9060894488857</c:v>
                </c:pt>
                <c:pt idx="27">
                  <c:v>1149.3079589557024</c:v>
                </c:pt>
                <c:pt idx="28">
                  <c:v>1218.723444480265</c:v>
                </c:pt>
                <c:pt idx="29">
                  <c:v>1283.9609792646324</c:v>
                </c:pt>
                <c:pt idx="30">
                  <c:v>1345.0392487446311</c:v>
                </c:pt>
                <c:pt idx="31">
                  <c:v>1402.0161682514208</c:v>
                </c:pt>
                <c:pt idx="32">
                  <c:v>1446.9038</c:v>
                </c:pt>
                <c:pt idx="33">
                  <c:v>1446.9038</c:v>
                </c:pt>
                <c:pt idx="34">
                  <c:v>1446.9038</c:v>
                </c:pt>
                <c:pt idx="35">
                  <c:v>1446.9038</c:v>
                </c:pt>
                <c:pt idx="36">
                  <c:v>1446.9038</c:v>
                </c:pt>
                <c:pt idx="37">
                  <c:v>1446.9038</c:v>
                </c:pt>
                <c:pt idx="38">
                  <c:v>1446.9038</c:v>
                </c:pt>
                <c:pt idx="39">
                  <c:v>1446.9038</c:v>
                </c:pt>
                <c:pt idx="40">
                  <c:v>1446.9038</c:v>
                </c:pt>
                <c:pt idx="41">
                  <c:v>1446.9038</c:v>
                </c:pt>
                <c:pt idx="42">
                  <c:v>1446.9038</c:v>
                </c:pt>
                <c:pt idx="43">
                  <c:v>1446.9038</c:v>
                </c:pt>
                <c:pt idx="44">
                  <c:v>1446.9038</c:v>
                </c:pt>
                <c:pt idx="45">
                  <c:v>1446.9038</c:v>
                </c:pt>
                <c:pt idx="46">
                  <c:v>1446.9038</c:v>
                </c:pt>
                <c:pt idx="47">
                  <c:v>1446.9038</c:v>
                </c:pt>
                <c:pt idx="48">
                  <c:v>1446.9038</c:v>
                </c:pt>
                <c:pt idx="49">
                  <c:v>1446.9038</c:v>
                </c:pt>
                <c:pt idx="50">
                  <c:v>1446.9038</c:v>
                </c:pt>
                <c:pt idx="51">
                  <c:v>1446.9038</c:v>
                </c:pt>
                <c:pt idx="52">
                  <c:v>1446.9038</c:v>
                </c:pt>
                <c:pt idx="53">
                  <c:v>1446.9038</c:v>
                </c:pt>
                <c:pt idx="54">
                  <c:v>1446.9038</c:v>
                </c:pt>
                <c:pt idx="55">
                  <c:v>1446.9038</c:v>
                </c:pt>
                <c:pt idx="56">
                  <c:v>1446.9038</c:v>
                </c:pt>
                <c:pt idx="57">
                  <c:v>1446.9038</c:v>
                </c:pt>
                <c:pt idx="58">
                  <c:v>1446.9038</c:v>
                </c:pt>
                <c:pt idx="59">
                  <c:v>1446.9038</c:v>
                </c:pt>
                <c:pt idx="60">
                  <c:v>1446.9038</c:v>
                </c:pt>
                <c:pt idx="61">
                  <c:v>1446.9038</c:v>
                </c:pt>
                <c:pt idx="62">
                  <c:v>1446.9038</c:v>
                </c:pt>
                <c:pt idx="63">
                  <c:v>1446.9038</c:v>
                </c:pt>
                <c:pt idx="64">
                  <c:v>1446.9038</c:v>
                </c:pt>
                <c:pt idx="65">
                  <c:v>1446.9038</c:v>
                </c:pt>
                <c:pt idx="66">
                  <c:v>1446.9038</c:v>
                </c:pt>
                <c:pt idx="67">
                  <c:v>1446.9038</c:v>
                </c:pt>
                <c:pt idx="68">
                  <c:v>1446.9038</c:v>
                </c:pt>
                <c:pt idx="69">
                  <c:v>1446.9038</c:v>
                </c:pt>
                <c:pt idx="70">
                  <c:v>1446.9038</c:v>
                </c:pt>
                <c:pt idx="71">
                  <c:v>1446.9038</c:v>
                </c:pt>
                <c:pt idx="72">
                  <c:v>1446.9038</c:v>
                </c:pt>
                <c:pt idx="73">
                  <c:v>1446.9038</c:v>
                </c:pt>
                <c:pt idx="74">
                  <c:v>1446.9038</c:v>
                </c:pt>
                <c:pt idx="75">
                  <c:v>1446.9038</c:v>
                </c:pt>
                <c:pt idx="76">
                  <c:v>1446.9038</c:v>
                </c:pt>
                <c:pt idx="77">
                  <c:v>1446.9038</c:v>
                </c:pt>
                <c:pt idx="78">
                  <c:v>1446.9038</c:v>
                </c:pt>
                <c:pt idx="79">
                  <c:v>1446.9038</c:v>
                </c:pt>
                <c:pt idx="80">
                  <c:v>1446.9038</c:v>
                </c:pt>
                <c:pt idx="81">
                  <c:v>1446.9038</c:v>
                </c:pt>
                <c:pt idx="82">
                  <c:v>1446.9038</c:v>
                </c:pt>
                <c:pt idx="83">
                  <c:v>1446.9038</c:v>
                </c:pt>
                <c:pt idx="84">
                  <c:v>1446.9038</c:v>
                </c:pt>
                <c:pt idx="85">
                  <c:v>1446.9038</c:v>
                </c:pt>
                <c:pt idx="86">
                  <c:v>1446.9038</c:v>
                </c:pt>
                <c:pt idx="87">
                  <c:v>1446.9038</c:v>
                </c:pt>
                <c:pt idx="88">
                  <c:v>1446.9038</c:v>
                </c:pt>
                <c:pt idx="89">
                  <c:v>1446.9038</c:v>
                </c:pt>
                <c:pt idx="90">
                  <c:v>1446.9038</c:v>
                </c:pt>
                <c:pt idx="91">
                  <c:v>1446.9038</c:v>
                </c:pt>
                <c:pt idx="92">
                  <c:v>1446.9038</c:v>
                </c:pt>
                <c:pt idx="93">
                  <c:v>1446.9038</c:v>
                </c:pt>
                <c:pt idx="94">
                  <c:v>1446.9038</c:v>
                </c:pt>
                <c:pt idx="95">
                  <c:v>1446.9038</c:v>
                </c:pt>
                <c:pt idx="96">
                  <c:v>1446.9038</c:v>
                </c:pt>
                <c:pt idx="97">
                  <c:v>1446.9038</c:v>
                </c:pt>
                <c:pt idx="98">
                  <c:v>1446.9038</c:v>
                </c:pt>
                <c:pt idx="99">
                  <c:v>1446.9038</c:v>
                </c:pt>
                <c:pt idx="100">
                  <c:v>1446.9038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2B-4D23-8828-3B2517DCC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4450384"/>
        <c:axId val="1211906656"/>
      </c:scatterChart>
      <c:valAx>
        <c:axId val="1214450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1906656"/>
        <c:crosses val="autoZero"/>
        <c:crossBetween val="midCat"/>
      </c:valAx>
      <c:valAx>
        <c:axId val="121190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450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E04F-4BD7-8B04-DD0A481FA8C3}"/>
              </c:ext>
            </c:extLst>
          </c:dPt>
          <c:xVal>
            <c:numRef>
              <c:f>'Cross Section Analysis'!$U$79:$U$80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'Cross Section Analysis'!$S$79:$S$80</c:f>
              <c:numCache>
                <c:formatCode>0.000</c:formatCode>
                <c:ptCount val="2"/>
                <c:pt idx="0">
                  <c:v>-12.357892928160336</c:v>
                </c:pt>
                <c:pt idx="1">
                  <c:v>12.357892928160336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4F-4BD7-8B04-DD0A481FA8C3}"/>
            </c:ext>
          </c:extLst>
        </c:ser>
        <c:ser>
          <c:idx val="1"/>
          <c:order val="1"/>
          <c:spPr>
            <a:ln w="127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'Cross Section Analysis'!$T$78:$T$81</c:f>
              <c:numCache>
                <c:formatCode>0.000</c:formatCode>
                <c:ptCount val="4"/>
                <c:pt idx="0" formatCode="General">
                  <c:v>0</c:v>
                </c:pt>
                <c:pt idx="1">
                  <c:v>-2.7408621365071586E-3</c:v>
                </c:pt>
                <c:pt idx="2" formatCode="General">
                  <c:v>3.0000000000000001E-3</c:v>
                </c:pt>
                <c:pt idx="3" formatCode="General">
                  <c:v>0</c:v>
                </c:pt>
              </c:numCache>
            </c:numRef>
          </c:xVal>
          <c:yVal>
            <c:numRef>
              <c:f>'Cross Section Analysis'!$S$78:$S$81</c:f>
              <c:numCache>
                <c:formatCode>0.000</c:formatCode>
                <c:ptCount val="4"/>
                <c:pt idx="0">
                  <c:v>-12.357892928160336</c:v>
                </c:pt>
                <c:pt idx="1">
                  <c:v>-12.357892928160336</c:v>
                </c:pt>
                <c:pt idx="2">
                  <c:v>12.357892928160336</c:v>
                </c:pt>
                <c:pt idx="3">
                  <c:v>12.357892928160336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4F-4BD7-8B04-DD0A481FA8C3}"/>
            </c:ext>
          </c:extLst>
        </c:ser>
        <c:ser>
          <c:idx val="2"/>
          <c:order val="2"/>
          <c:tx>
            <c:strRef>
              <c:f>'Cross Section Analysis'!$A$98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'Cross Section Analysis'!$F$98</c:f>
              <c:numCache>
                <c:formatCode>0.000000</c:formatCode>
                <c:ptCount val="1"/>
                <c:pt idx="0">
                  <c:v>2.7329261850350965E-4</c:v>
                </c:pt>
              </c:numCache>
            </c:numRef>
          </c:xVal>
          <c:yVal>
            <c:numRef>
              <c:f>'Cross Section Analysis'!$D$98</c:f>
              <c:numCache>
                <c:formatCode>General</c:formatCode>
                <c:ptCount val="1"/>
                <c:pt idx="0">
                  <c:v>0.61876487884629228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04F-4BD7-8B04-DD0A481FA8C3}"/>
            </c:ext>
          </c:extLst>
        </c:ser>
        <c:ser>
          <c:idx val="3"/>
          <c:order val="3"/>
          <c:tx>
            <c:strRef>
              <c:f>'Cross Section Analysis'!$A$99</c:f>
              <c:strCache>
                <c:ptCount val="1"/>
                <c:pt idx="0">
                  <c:v>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'Cross Section Analysis'!$F$99</c:f>
              <c:numCache>
                <c:formatCode>0.000000</c:formatCode>
                <c:ptCount val="1"/>
                <c:pt idx="0">
                  <c:v>-7.5063656962543628E-4</c:v>
                </c:pt>
              </c:numCache>
            </c:numRef>
          </c:xVal>
          <c:yVal>
            <c:numRef>
              <c:f>'Cross Section Analysis'!$D$99</c:f>
              <c:numCache>
                <c:formatCode>General</c:formatCode>
                <c:ptCount val="1"/>
                <c:pt idx="0">
                  <c:v>-3.7894954040297311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04F-4BD7-8B04-DD0A481FA8C3}"/>
            </c:ext>
          </c:extLst>
        </c:ser>
        <c:ser>
          <c:idx val="4"/>
          <c:order val="4"/>
          <c:tx>
            <c:strRef>
              <c:f>'Cross Section Analysis'!$A$100</c:f>
              <c:strCache>
                <c:ptCount val="1"/>
                <c:pt idx="0">
                  <c:v>3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'Cross Section Analysis'!$F$100</c:f>
              <c:numCache>
                <c:formatCode>0.000000</c:formatCode>
                <c:ptCount val="1"/>
                <c:pt idx="0">
                  <c:v>-1.7745657577543815E-3</c:v>
                </c:pt>
              </c:numCache>
            </c:numRef>
          </c:xVal>
          <c:yVal>
            <c:numRef>
              <c:f>'Cross Section Analysis'!$D$100</c:f>
              <c:numCache>
                <c:formatCode>General</c:formatCode>
                <c:ptCount val="1"/>
                <c:pt idx="0">
                  <c:v>-8.1977556869057562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04F-4BD7-8B04-DD0A481FA8C3}"/>
            </c:ext>
          </c:extLst>
        </c:ser>
        <c:ser>
          <c:idx val="5"/>
          <c:order val="5"/>
          <c:tx>
            <c:strRef>
              <c:f>'Cross Section Analysis'!$A$101</c:f>
              <c:strCache>
                <c:ptCount val="1"/>
                <c:pt idx="0">
                  <c:v>4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'Cross Section Analysis'!$F$101</c:f>
              <c:numCache>
                <c:formatCode>0.000000</c:formatCode>
                <c:ptCount val="1"/>
                <c:pt idx="0">
                  <c:v>8.6009628608474755E-4</c:v>
                </c:pt>
              </c:numCache>
            </c:numRef>
          </c:xVal>
          <c:yVal>
            <c:numRef>
              <c:f>'Cross Section Analysis'!$D$101</c:f>
              <c:numCache>
                <c:formatCode>General</c:formatCode>
                <c:ptCount val="1"/>
                <c:pt idx="0">
                  <c:v>3.1450951481994474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04F-4BD7-8B04-DD0A481FA8C3}"/>
            </c:ext>
          </c:extLst>
        </c:ser>
        <c:ser>
          <c:idx val="6"/>
          <c:order val="6"/>
          <c:tx>
            <c:strRef>
              <c:f>'Cross Section Analysis'!$A$102</c:f>
              <c:strCache>
                <c:ptCount val="1"/>
                <c:pt idx="0">
                  <c:v>5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'Cross Section Analysis'!$F$102</c:f>
              <c:numCache>
                <c:formatCode>0.000000</c:formatCode>
                <c:ptCount val="1"/>
                <c:pt idx="0">
                  <c:v>-1.1877620901731439E-3</c:v>
                </c:pt>
              </c:numCache>
            </c:numRef>
          </c:xVal>
          <c:yVal>
            <c:numRef>
              <c:f>'Cross Section Analysis'!$D$102</c:f>
              <c:numCache>
                <c:formatCode>General</c:formatCode>
                <c:ptCount val="1"/>
                <c:pt idx="0">
                  <c:v>-5.6714254175526015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04F-4BD7-8B04-DD0A481FA8C3}"/>
            </c:ext>
          </c:extLst>
        </c:ser>
        <c:ser>
          <c:idx val="7"/>
          <c:order val="7"/>
          <c:tx>
            <c:strRef>
              <c:f>'Cross Section Analysis'!$A$103</c:f>
              <c:strCache>
                <c:ptCount val="1"/>
                <c:pt idx="0">
                  <c:v>6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'Cross Section Analysis'!$F$103</c:f>
              <c:numCache>
                <c:formatCode>0.000000</c:formatCode>
                <c:ptCount val="1"/>
                <c:pt idx="0">
                  <c:v>1.4468999536659853E-3</c:v>
                </c:pt>
              </c:numCache>
            </c:numRef>
          </c:xVal>
          <c:yVal>
            <c:numRef>
              <c:f>'Cross Section Analysis'!$D$103</c:f>
              <c:numCache>
                <c:formatCode>General</c:formatCode>
                <c:ptCount val="1"/>
                <c:pt idx="0">
                  <c:v>5.6714254175526015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04F-4BD7-8B04-DD0A481FA8C3}"/>
            </c:ext>
          </c:extLst>
        </c:ser>
        <c:ser>
          <c:idx val="8"/>
          <c:order val="8"/>
          <c:tx>
            <c:strRef>
              <c:f>'Cross Section Analysis'!$A$104</c:f>
              <c:strCache>
                <c:ptCount val="1"/>
                <c:pt idx="0">
                  <c:v>7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'Cross Section Analysis'!$F$104</c:f>
              <c:numCache>
                <c:formatCode>0.000000</c:formatCode>
                <c:ptCount val="1"/>
                <c:pt idx="0">
                  <c:v>-6.0095842259190598E-4</c:v>
                </c:pt>
              </c:numCache>
            </c:numRef>
          </c:xVal>
          <c:yVal>
            <c:numRef>
              <c:f>'Cross Section Analysis'!$D$104</c:f>
              <c:numCache>
                <c:formatCode>General</c:formatCode>
                <c:ptCount val="1"/>
                <c:pt idx="0">
                  <c:v>-3.1450951481994469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04F-4BD7-8B04-DD0A481FA8C3}"/>
            </c:ext>
          </c:extLst>
        </c:ser>
        <c:ser>
          <c:idx val="9"/>
          <c:order val="9"/>
          <c:tx>
            <c:strRef>
              <c:f>'Cross Section Analysis'!$A$105</c:f>
              <c:strCache>
                <c:ptCount val="1"/>
                <c:pt idx="0">
                  <c:v>8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'Cross Section Analysis'!$F$105</c:f>
              <c:numCache>
                <c:formatCode>0.000000</c:formatCode>
                <c:ptCount val="1"/>
                <c:pt idx="0">
                  <c:v>2.0337036212472234E-3</c:v>
                </c:pt>
              </c:numCache>
            </c:numRef>
          </c:xVal>
          <c:yVal>
            <c:numRef>
              <c:f>'Cross Section Analysis'!$D$105</c:f>
              <c:numCache>
                <c:formatCode>General</c:formatCode>
                <c:ptCount val="1"/>
                <c:pt idx="0">
                  <c:v>8.1977556869057562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04F-4BD7-8B04-DD0A481FA8C3}"/>
            </c:ext>
          </c:extLst>
        </c:ser>
        <c:ser>
          <c:idx val="10"/>
          <c:order val="10"/>
          <c:tx>
            <c:strRef>
              <c:f>'Cross Section Analysis'!$A$106</c:f>
              <c:strCache>
                <c:ptCount val="1"/>
                <c:pt idx="0">
                  <c:v>9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'Cross Section Analysis'!$F$106</c:f>
              <c:numCache>
                <c:formatCode>0.000000</c:formatCode>
                <c:ptCount val="1"/>
                <c:pt idx="0">
                  <c:v>1.0097744331182777E-3</c:v>
                </c:pt>
              </c:numCache>
            </c:numRef>
          </c:xVal>
          <c:yVal>
            <c:numRef>
              <c:f>'Cross Section Analysis'!$D$106</c:f>
              <c:numCache>
                <c:formatCode>General</c:formatCode>
                <c:ptCount val="1"/>
                <c:pt idx="0">
                  <c:v>3.7894954040297324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04F-4BD7-8B04-DD0A481FA8C3}"/>
            </c:ext>
          </c:extLst>
        </c:ser>
        <c:ser>
          <c:idx val="11"/>
          <c:order val="11"/>
          <c:tx>
            <c:strRef>
              <c:f>'Cross Section Analysis'!$A$107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'Cross Section Analysis'!$F$107</c:f>
              <c:numCache>
                <c:formatCode>0.000000</c:formatCode>
                <c:ptCount val="1"/>
                <c:pt idx="0">
                  <c:v>-1.4154755010668038E-5</c:v>
                </c:pt>
              </c:numCache>
            </c:numRef>
          </c:xVal>
          <c:yVal>
            <c:numRef>
              <c:f>'Cross Section Analysis'!$D$107</c:f>
              <c:numCache>
                <c:formatCode>General</c:formatCode>
                <c:ptCount val="1"/>
                <c:pt idx="0">
                  <c:v>-0.61876487884629272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04F-4BD7-8B04-DD0A481FA8C3}"/>
            </c:ext>
          </c:extLst>
        </c:ser>
        <c:ser>
          <c:idx val="12"/>
          <c:order val="12"/>
          <c:tx>
            <c:strRef>
              <c:f>'Cross Section Analysis'!$A$108</c:f>
              <c:strCache>
                <c:ptCount val="1"/>
                <c:pt idx="0">
                  <c:v>11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'Cross Section Analysis'!$F$108</c:f>
              <c:numCache>
                <c:formatCode>0.000000</c:formatCode>
                <c:ptCount val="1"/>
                <c:pt idx="0">
                  <c:v>0</c:v>
                </c:pt>
              </c:numCache>
            </c:numRef>
          </c:xVal>
          <c:yVal>
            <c:numRef>
              <c:f>'Cross Section Analysis'!$D$108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04F-4BD7-8B04-DD0A481FA8C3}"/>
            </c:ext>
          </c:extLst>
        </c:ser>
        <c:ser>
          <c:idx val="13"/>
          <c:order val="13"/>
          <c:tx>
            <c:strRef>
              <c:f>'Cross Section Analysis'!$A$109</c:f>
              <c:strCache>
                <c:ptCount val="1"/>
                <c:pt idx="0">
                  <c:v>12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'Cross Section Analysis'!$F$109</c:f>
              <c:numCache>
                <c:formatCode>0.000000</c:formatCode>
                <c:ptCount val="1"/>
                <c:pt idx="0">
                  <c:v>0</c:v>
                </c:pt>
              </c:numCache>
            </c:numRef>
          </c:xVal>
          <c:yVal>
            <c:numRef>
              <c:f>'Cross Section Analysis'!$D$109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04F-4BD7-8B04-DD0A481FA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957264"/>
        <c:axId val="1034520864"/>
      </c:scatterChart>
      <c:valAx>
        <c:axId val="795957264"/>
        <c:scaling>
          <c:orientation val="minMax"/>
          <c:max val="3.5000000000000009E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4520864"/>
        <c:crosses val="autoZero"/>
        <c:crossBetween val="midCat"/>
      </c:valAx>
      <c:valAx>
        <c:axId val="103452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957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3D Failure Surface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6287098728043629E-4"/>
          <c:y val="5.3099681960938762E-2"/>
          <c:w val="0.76590308903694726"/>
          <c:h val="0.90140960808869819"/>
        </c:manualLayout>
      </c:layout>
      <c:scatterChart>
        <c:scatterStyle val="lineMarker"/>
        <c:varyColors val="0"/>
        <c:ser>
          <c:idx val="0"/>
          <c:order val="0"/>
          <c:tx>
            <c:v>z-axis (P)</c:v>
          </c:tx>
          <c:spPr>
            <a:ln w="12700" cap="rnd">
              <a:solidFill>
                <a:srgbClr val="FF000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failure_surface!$E$13:$E$14</c:f>
              <c:numCache>
                <c:formatCode>General</c:formatCode>
                <c:ptCount val="2"/>
                <c:pt idx="0">
                  <c:v>-6.4393802789997068E-14</c:v>
                </c:pt>
                <c:pt idx="1">
                  <c:v>1.23914553097626E-13</c:v>
                </c:pt>
              </c:numCache>
            </c:numRef>
          </c:xVal>
          <c:yVal>
            <c:numRef>
              <c:f>failure_surface!$F$13:$F$14</c:f>
              <c:numCache>
                <c:formatCode>General</c:formatCode>
                <c:ptCount val="2"/>
                <c:pt idx="0">
                  <c:v>-371.65532419164936</c:v>
                </c:pt>
                <c:pt idx="1">
                  <c:v>715.18533474024753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4D-4984-B106-1700280D5561}"/>
            </c:ext>
          </c:extLst>
        </c:ser>
        <c:ser>
          <c:idx val="1"/>
          <c:order val="1"/>
          <c:tx>
            <c:v>x-axis (Mx)</c:v>
          </c:tx>
          <c:spPr>
            <a:ln w="12700" cap="rnd">
              <a:solidFill>
                <a:schemeClr val="accent1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failure_surface!$E$3:$E$4</c:f>
              <c:numCache>
                <c:formatCode>General</c:formatCode>
                <c:ptCount val="2"/>
                <c:pt idx="0">
                  <c:v>484.99850345611981</c:v>
                </c:pt>
                <c:pt idx="1">
                  <c:v>-484.99850345611981</c:v>
                </c:pt>
              </c:numCache>
            </c:numRef>
          </c:xVal>
          <c:yVal>
            <c:numRef>
              <c:f>failure_surface!$F$3:$F$4</c:f>
              <c:numCache>
                <c:formatCode>General</c:formatCode>
                <c:ptCount val="2"/>
                <c:pt idx="0">
                  <c:v>-131.64453196899009</c:v>
                </c:pt>
                <c:pt idx="1">
                  <c:v>131.64453196899009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4D-4984-B106-1700280D5561}"/>
            </c:ext>
          </c:extLst>
        </c:ser>
        <c:ser>
          <c:idx val="2"/>
          <c:order val="2"/>
          <c:tx>
            <c:v>y-axis (My)</c:v>
          </c:tx>
          <c:spPr>
            <a:ln w="12700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failure_surface!$E$8:$E$9</c:f>
              <c:numCache>
                <c:formatCode>General</c:formatCode>
                <c:ptCount val="2"/>
                <c:pt idx="0">
                  <c:v>-124.89312132990457</c:v>
                </c:pt>
                <c:pt idx="1">
                  <c:v>124.89312132990453</c:v>
                </c:pt>
              </c:numCache>
            </c:numRef>
          </c:xVal>
          <c:yVal>
            <c:numRef>
              <c:f>failure_surface!$F$8:$F$9</c:f>
              <c:numCache>
                <c:formatCode>General</c:formatCode>
                <c:ptCount val="2"/>
                <c:pt idx="0">
                  <c:v>-230.06263925658448</c:v>
                </c:pt>
                <c:pt idx="1">
                  <c:v>230.06263925658439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B4D-4984-B106-1700280D5561}"/>
            </c:ext>
          </c:extLst>
        </c:ser>
        <c:ser>
          <c:idx val="3"/>
          <c:order val="3"/>
          <c:tx>
            <c:v>failure sruface</c:v>
          </c:tx>
          <c:spPr>
            <a:ln w="1270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failure_surface!$E$19:$E$1866</c:f>
              <c:numCache>
                <c:formatCode>General</c:formatCode>
                <c:ptCount val="1848"/>
                <c:pt idx="0">
                  <c:v>0.93283631887498042</c:v>
                </c:pt>
                <c:pt idx="1">
                  <c:v>0.71567561355161791</c:v>
                </c:pt>
                <c:pt idx="2">
                  <c:v>0.70502513318433757</c:v>
                </c:pt>
                <c:pt idx="3">
                  <c:v>0.69936569469755905</c:v>
                </c:pt>
                <c:pt idx="4">
                  <c:v>0.69536300782769289</c:v>
                </c:pt>
                <c:pt idx="5">
                  <c:v>0.69213316403992964</c:v>
                </c:pt>
                <c:pt idx="6">
                  <c:v>0.68933158606915002</c:v>
                </c:pt>
                <c:pt idx="7">
                  <c:v>0.68674623997334661</c:v>
                </c:pt>
                <c:pt idx="8">
                  <c:v>0.68425159937469726</c:v>
                </c:pt>
                <c:pt idx="9">
                  <c:v>0.68175036837158132</c:v>
                </c:pt>
                <c:pt idx="10">
                  <c:v>0.6791530852578056</c:v>
                </c:pt>
                <c:pt idx="11">
                  <c:v>0.67634819661692402</c:v>
                </c:pt>
                <c:pt idx="12">
                  <c:v>0.67319151285058143</c:v>
                </c:pt>
                <c:pt idx="13">
                  <c:v>0.66946204612554872</c:v>
                </c:pt>
                <c:pt idx="14">
                  <c:v>0.66477247534745776</c:v>
                </c:pt>
                <c:pt idx="15">
                  <c:v>0.65833361537958335</c:v>
                </c:pt>
                <c:pt idx="16">
                  <c:v>0.64812300179688653</c:v>
                </c:pt>
                <c:pt idx="17">
                  <c:v>0.62616524687943298</c:v>
                </c:pt>
                <c:pt idx="18">
                  <c:v>-0.23869793884586099</c:v>
                </c:pt>
                <c:pt idx="19">
                  <c:v>-1.0992259097025112</c:v>
                </c:pt>
                <c:pt idx="20">
                  <c:v>-1.119190467470393</c:v>
                </c:pt>
                <c:pt idx="21">
                  <c:v>-1.1278267601707335</c:v>
                </c:pt>
                <c:pt idx="22">
                  <c:v>-1.1328858586211097</c:v>
                </c:pt>
                <c:pt idx="23">
                  <c:v>-1.136294725848602</c:v>
                </c:pt>
                <c:pt idx="24">
                  <c:v>-1.1387853527767962</c:v>
                </c:pt>
                <c:pt idx="25">
                  <c:v>-1.140703581323284</c:v>
                </c:pt>
                <c:pt idx="26">
                  <c:v>-1.14223293723657</c:v>
                </c:pt>
                <c:pt idx="27">
                  <c:v>-1.1434781959901701</c:v>
                </c:pt>
                <c:pt idx="28">
                  <c:v>-1.1445057535333876</c:v>
                </c:pt>
                <c:pt idx="29">
                  <c:v>-1.1453373605852275</c:v>
                </c:pt>
                <c:pt idx="30">
                  <c:v>-1.1459735072533339</c:v>
                </c:pt>
                <c:pt idx="31">
                  <c:v>-1.1463836467264505</c:v>
                </c:pt>
                <c:pt idx="32">
                  <c:v>-1.1465094427639337</c:v>
                </c:pt>
                <c:pt idx="33">
                  <c:v>-1.1460965469543827</c:v>
                </c:pt>
                <c:pt idx="34">
                  <c:v>-1.1445148428325305</c:v>
                </c:pt>
                <c:pt idx="35">
                  <c:v>-1.1390824224241036</c:v>
                </c:pt>
                <c:pt idx="36">
                  <c:v>-0.93283631887515195</c:v>
                </c:pt>
                <c:pt idx="37">
                  <c:v>-0.71567561355171949</c:v>
                </c:pt>
                <c:pt idx="38">
                  <c:v>-0.70502513318441917</c:v>
                </c:pt>
                <c:pt idx="39">
                  <c:v>-0.69936569469763876</c:v>
                </c:pt>
                <c:pt idx="40">
                  <c:v>-0.6953630078277786</c:v>
                </c:pt>
                <c:pt idx="41">
                  <c:v>-0.69213316403998659</c:v>
                </c:pt>
                <c:pt idx="42">
                  <c:v>-0.68933158606923428</c:v>
                </c:pt>
                <c:pt idx="43">
                  <c:v>-0.68674623997342576</c:v>
                </c:pt>
                <c:pt idx="44">
                  <c:v>-0.68425159937480085</c:v>
                </c:pt>
                <c:pt idx="45">
                  <c:v>-0.68175036837265912</c:v>
                </c:pt>
                <c:pt idx="46">
                  <c:v>-0.67915308525786811</c:v>
                </c:pt>
                <c:pt idx="47">
                  <c:v>-0.67634819661688206</c:v>
                </c:pt>
                <c:pt idx="48">
                  <c:v>-0.67319151285069023</c:v>
                </c:pt>
                <c:pt idx="49">
                  <c:v>-0.66946204612566818</c:v>
                </c:pt>
                <c:pt idx="50">
                  <c:v>-0.66477247534752937</c:v>
                </c:pt>
                <c:pt idx="51">
                  <c:v>-0.65833361537966317</c:v>
                </c:pt>
                <c:pt idx="52">
                  <c:v>-0.64812300179696791</c:v>
                </c:pt>
                <c:pt idx="53">
                  <c:v>-0.62616524687951469</c:v>
                </c:pt>
                <c:pt idx="54">
                  <c:v>0.23869793884573945</c:v>
                </c:pt>
                <c:pt idx="55">
                  <c:v>1.0992259097024379</c:v>
                </c:pt>
                <c:pt idx="56">
                  <c:v>1.1191904674703166</c:v>
                </c:pt>
                <c:pt idx="57">
                  <c:v>1.1278267601706709</c:v>
                </c:pt>
                <c:pt idx="58">
                  <c:v>1.1328858586210109</c:v>
                </c:pt>
                <c:pt idx="59">
                  <c:v>1.1362947258485199</c:v>
                </c:pt>
                <c:pt idx="60">
                  <c:v>1.1387853527766327</c:v>
                </c:pt>
                <c:pt idx="61">
                  <c:v>1.1407035813232174</c:v>
                </c:pt>
                <c:pt idx="62">
                  <c:v>1.1422329372364177</c:v>
                </c:pt>
                <c:pt idx="63">
                  <c:v>1.1434781959901015</c:v>
                </c:pt>
                <c:pt idx="64">
                  <c:v>1.1445057535333136</c:v>
                </c:pt>
                <c:pt idx="65">
                  <c:v>1.1453373605851243</c:v>
                </c:pt>
                <c:pt idx="66">
                  <c:v>1.1459735072532307</c:v>
                </c:pt>
                <c:pt idx="67">
                  <c:v>1.146383646726387</c:v>
                </c:pt>
                <c:pt idx="68">
                  <c:v>1.1465094427638802</c:v>
                </c:pt>
                <c:pt idx="69">
                  <c:v>1.1460965469542976</c:v>
                </c:pt>
                <c:pt idx="70">
                  <c:v>1.1445148428324627</c:v>
                </c:pt>
                <c:pt idx="71">
                  <c:v>48.50410930182646</c:v>
                </c:pt>
                <c:pt idx="72">
                  <c:v>44.621687670912792</c:v>
                </c:pt>
                <c:pt idx="73">
                  <c:v>38.296687811266111</c:v>
                </c:pt>
                <c:pt idx="74">
                  <c:v>35.823400819267256</c:v>
                </c:pt>
                <c:pt idx="75">
                  <c:v>34.548554457439693</c:v>
                </c:pt>
                <c:pt idx="76">
                  <c:v>33.743311240983353</c:v>
                </c:pt>
                <c:pt idx="77">
                  <c:v>33.164326405187772</c:v>
                </c:pt>
                <c:pt idx="78">
                  <c:v>32.705298728103223</c:v>
                </c:pt>
                <c:pt idx="79">
                  <c:v>32.309753713219941</c:v>
                </c:pt>
                <c:pt idx="80">
                  <c:v>31.941269326294574</c:v>
                </c:pt>
                <c:pt idx="81">
                  <c:v>31.570260874450859</c:v>
                </c:pt>
                <c:pt idx="82">
                  <c:v>31.165122746455463</c:v>
                </c:pt>
                <c:pt idx="83">
                  <c:v>30.682050376397928</c:v>
                </c:pt>
                <c:pt idx="84">
                  <c:v>30.046043829507951</c:v>
                </c:pt>
                <c:pt idx="85">
                  <c:v>29.103548825797315</c:v>
                </c:pt>
                <c:pt idx="86">
                  <c:v>27.473103977076196</c:v>
                </c:pt>
                <c:pt idx="87">
                  <c:v>23.903208684096175</c:v>
                </c:pt>
                <c:pt idx="88">
                  <c:v>11.314092093047201</c:v>
                </c:pt>
                <c:pt idx="89">
                  <c:v>-12.412656020905056</c:v>
                </c:pt>
                <c:pt idx="90">
                  <c:v>-35.205950088437092</c:v>
                </c:pt>
                <c:pt idx="91">
                  <c:v>-45.521926345891842</c:v>
                </c:pt>
                <c:pt idx="92">
                  <c:v>-48.098790602216809</c:v>
                </c:pt>
                <c:pt idx="93">
                  <c:v>-49.144921214640917</c:v>
                </c:pt>
                <c:pt idx="94">
                  <c:v>-49.688089059020285</c:v>
                </c:pt>
                <c:pt idx="95">
                  <c:v>-50.022596370515807</c:v>
                </c:pt>
                <c:pt idx="96">
                  <c:v>-50.259331593995554</c:v>
                </c:pt>
                <c:pt idx="97">
                  <c:v>-50.448340608842628</c:v>
                </c:pt>
                <c:pt idx="98">
                  <c:v>-50.615797173606033</c:v>
                </c:pt>
                <c:pt idx="99">
                  <c:v>-50.7775841454702</c:v>
                </c:pt>
                <c:pt idx="100">
                  <c:v>-50.94505290798098</c:v>
                </c:pt>
                <c:pt idx="101">
                  <c:v>-51.127776708803097</c:v>
                </c:pt>
                <c:pt idx="102">
                  <c:v>-51.334214090750613</c:v>
                </c:pt>
                <c:pt idx="103">
                  <c:v>-51.569145258944459</c:v>
                </c:pt>
                <c:pt idx="104">
                  <c:v>-51.81656508195978</c:v>
                </c:pt>
                <c:pt idx="105">
                  <c:v>-51.93033482792741</c:v>
                </c:pt>
                <c:pt idx="106">
                  <c:v>-50.885839317476808</c:v>
                </c:pt>
                <c:pt idx="107">
                  <c:v>-48.50410930182661</c:v>
                </c:pt>
                <c:pt idx="108">
                  <c:v>-44.621687670912898</c:v>
                </c:pt>
                <c:pt idx="109">
                  <c:v>-38.296687811266182</c:v>
                </c:pt>
                <c:pt idx="110">
                  <c:v>-35.82340081926732</c:v>
                </c:pt>
                <c:pt idx="111">
                  <c:v>-34.548554457439771</c:v>
                </c:pt>
                <c:pt idx="112">
                  <c:v>-33.743311240983374</c:v>
                </c:pt>
                <c:pt idx="113">
                  <c:v>-33.164326405187836</c:v>
                </c:pt>
                <c:pt idx="114">
                  <c:v>-32.705298728103266</c:v>
                </c:pt>
                <c:pt idx="115">
                  <c:v>-32.309753713219983</c:v>
                </c:pt>
                <c:pt idx="116">
                  <c:v>-31.941269326294726</c:v>
                </c:pt>
                <c:pt idx="117">
                  <c:v>-31.570260874450948</c:v>
                </c:pt>
                <c:pt idx="118">
                  <c:v>-31.165122746455619</c:v>
                </c:pt>
                <c:pt idx="119">
                  <c:v>-30.682050376398092</c:v>
                </c:pt>
                <c:pt idx="120">
                  <c:v>-30.046043829508033</c:v>
                </c:pt>
                <c:pt idx="121">
                  <c:v>-29.103548825797422</c:v>
                </c:pt>
                <c:pt idx="122">
                  <c:v>-27.473103977076267</c:v>
                </c:pt>
                <c:pt idx="123">
                  <c:v>-23.90320868409626</c:v>
                </c:pt>
                <c:pt idx="124">
                  <c:v>-11.314092093047222</c:v>
                </c:pt>
                <c:pt idx="125">
                  <c:v>12.412656020904945</c:v>
                </c:pt>
                <c:pt idx="126">
                  <c:v>35.205950088437007</c:v>
                </c:pt>
                <c:pt idx="127">
                  <c:v>45.521926345891856</c:v>
                </c:pt>
                <c:pt idx="128">
                  <c:v>48.098790602216717</c:v>
                </c:pt>
                <c:pt idx="129">
                  <c:v>49.144921214640753</c:v>
                </c:pt>
                <c:pt idx="130">
                  <c:v>49.688089059020157</c:v>
                </c:pt>
                <c:pt idx="131">
                  <c:v>50.022596370515693</c:v>
                </c:pt>
                <c:pt idx="132">
                  <c:v>50.259331593995427</c:v>
                </c:pt>
                <c:pt idx="133">
                  <c:v>50.448340608842493</c:v>
                </c:pt>
                <c:pt idx="134">
                  <c:v>50.615797173605955</c:v>
                </c:pt>
                <c:pt idx="135">
                  <c:v>50.77758414547008</c:v>
                </c:pt>
                <c:pt idx="136">
                  <c:v>50.945052907980909</c:v>
                </c:pt>
                <c:pt idx="137">
                  <c:v>51.12777670880304</c:v>
                </c:pt>
                <c:pt idx="138">
                  <c:v>51.334214090750486</c:v>
                </c:pt>
                <c:pt idx="139">
                  <c:v>51.569145258944324</c:v>
                </c:pt>
                <c:pt idx="140">
                  <c:v>51.816565081959787</c:v>
                </c:pt>
                <c:pt idx="141">
                  <c:v>51.930334827927403</c:v>
                </c:pt>
                <c:pt idx="142">
                  <c:v>89.302843090525087</c:v>
                </c:pt>
                <c:pt idx="143">
                  <c:v>81.897455269837963</c:v>
                </c:pt>
                <c:pt idx="144">
                  <c:v>75.146238403560133</c:v>
                </c:pt>
                <c:pt idx="145">
                  <c:v>71.24234692907757</c:v>
                </c:pt>
                <c:pt idx="146">
                  <c:v>69.054096289988721</c:v>
                </c:pt>
                <c:pt idx="147">
                  <c:v>67.496195704243718</c:v>
                </c:pt>
                <c:pt idx="148">
                  <c:v>66.208416341713303</c:v>
                </c:pt>
                <c:pt idx="149">
                  <c:v>65.026000733169226</c:v>
                </c:pt>
                <c:pt idx="150">
                  <c:v>63.848786427559212</c:v>
                </c:pt>
                <c:pt idx="151">
                  <c:v>62.595108911379114</c:v>
                </c:pt>
                <c:pt idx="152">
                  <c:v>60.367058086131408</c:v>
                </c:pt>
                <c:pt idx="153">
                  <c:v>57.349376339002966</c:v>
                </c:pt>
                <c:pt idx="154">
                  <c:v>55.118999276474419</c:v>
                </c:pt>
                <c:pt idx="155">
                  <c:v>52.71669394250835</c:v>
                </c:pt>
                <c:pt idx="156">
                  <c:v>49.891418096024985</c:v>
                </c:pt>
                <c:pt idx="157">
                  <c:v>46.063290008956038</c:v>
                </c:pt>
                <c:pt idx="158">
                  <c:v>39.346711073333658</c:v>
                </c:pt>
                <c:pt idx="159">
                  <c:v>18.638062676275656</c:v>
                </c:pt>
                <c:pt idx="160">
                  <c:v>-23.423521461331916</c:v>
                </c:pt>
                <c:pt idx="161">
                  <c:v>-61.52418187317835</c:v>
                </c:pt>
                <c:pt idx="162">
                  <c:v>-79.149916340539193</c:v>
                </c:pt>
                <c:pt idx="163">
                  <c:v>-84.55984548719654</c:v>
                </c:pt>
                <c:pt idx="164">
                  <c:v>-87.604200049090863</c:v>
                </c:pt>
                <c:pt idx="165">
                  <c:v>-89.855462579124733</c:v>
                </c:pt>
                <c:pt idx="166">
                  <c:v>-91.770951714633654</c:v>
                </c:pt>
                <c:pt idx="167">
                  <c:v>-93.537229475296542</c:v>
                </c:pt>
                <c:pt idx="168">
                  <c:v>-95.329244314012072</c:v>
                </c:pt>
                <c:pt idx="169">
                  <c:v>-96.09649672399398</c:v>
                </c:pt>
                <c:pt idx="170">
                  <c:v>-96.130532666738546</c:v>
                </c:pt>
                <c:pt idx="171">
                  <c:v>-96.112032443532115</c:v>
                </c:pt>
                <c:pt idx="172">
                  <c:v>-96.062162840352769</c:v>
                </c:pt>
                <c:pt idx="173">
                  <c:v>-95.993798278492463</c:v>
                </c:pt>
                <c:pt idx="174">
                  <c:v>-95.908018272292523</c:v>
                </c:pt>
                <c:pt idx="175">
                  <c:v>-95.766281912789736</c:v>
                </c:pt>
                <c:pt idx="176">
                  <c:v>-95.304966757830741</c:v>
                </c:pt>
                <c:pt idx="177">
                  <c:v>-93.366201312552434</c:v>
                </c:pt>
                <c:pt idx="178">
                  <c:v>-89.3028430905254</c:v>
                </c:pt>
                <c:pt idx="179">
                  <c:v>-81.897455269838147</c:v>
                </c:pt>
                <c:pt idx="180">
                  <c:v>-75.146238403560275</c:v>
                </c:pt>
                <c:pt idx="181">
                  <c:v>-71.242346929077669</c:v>
                </c:pt>
                <c:pt idx="182">
                  <c:v>-69.05409628998882</c:v>
                </c:pt>
                <c:pt idx="183">
                  <c:v>-67.49619570424376</c:v>
                </c:pt>
                <c:pt idx="184">
                  <c:v>-66.208416341713388</c:v>
                </c:pt>
                <c:pt idx="185">
                  <c:v>-65.026000733169312</c:v>
                </c:pt>
                <c:pt idx="186">
                  <c:v>-63.848786427559361</c:v>
                </c:pt>
                <c:pt idx="187">
                  <c:v>-62.595108911379199</c:v>
                </c:pt>
                <c:pt idx="188">
                  <c:v>-60.3670580861315</c:v>
                </c:pt>
                <c:pt idx="189">
                  <c:v>-57.34937633900298</c:v>
                </c:pt>
                <c:pt idx="190">
                  <c:v>-55.118999276474526</c:v>
                </c:pt>
                <c:pt idx="191">
                  <c:v>-52.716693942508407</c:v>
                </c:pt>
                <c:pt idx="192">
                  <c:v>-49.891418096025035</c:v>
                </c:pt>
                <c:pt idx="193">
                  <c:v>-46.063290008956137</c:v>
                </c:pt>
                <c:pt idx="194">
                  <c:v>-39.346711073333687</c:v>
                </c:pt>
                <c:pt idx="195">
                  <c:v>-18.638062676275666</c:v>
                </c:pt>
                <c:pt idx="196">
                  <c:v>23.423521461331806</c:v>
                </c:pt>
                <c:pt idx="197">
                  <c:v>61.5241818731782</c:v>
                </c:pt>
                <c:pt idx="198">
                  <c:v>79.149916340539065</c:v>
                </c:pt>
                <c:pt idx="199">
                  <c:v>84.55984548719637</c:v>
                </c:pt>
                <c:pt idx="200">
                  <c:v>87.60420004909075</c:v>
                </c:pt>
                <c:pt idx="201">
                  <c:v>89.855462579124719</c:v>
                </c:pt>
                <c:pt idx="202">
                  <c:v>91.770951714633568</c:v>
                </c:pt>
                <c:pt idx="203">
                  <c:v>93.537229475296385</c:v>
                </c:pt>
                <c:pt idx="204">
                  <c:v>95.329244314011902</c:v>
                </c:pt>
                <c:pt idx="205">
                  <c:v>96.096496723993866</c:v>
                </c:pt>
                <c:pt idx="206">
                  <c:v>96.130532666738475</c:v>
                </c:pt>
                <c:pt idx="207">
                  <c:v>96.112032443532073</c:v>
                </c:pt>
                <c:pt idx="208">
                  <c:v>96.062162840352599</c:v>
                </c:pt>
                <c:pt idx="209">
                  <c:v>95.993798278492307</c:v>
                </c:pt>
                <c:pt idx="210">
                  <c:v>95.908018272292367</c:v>
                </c:pt>
                <c:pt idx="211">
                  <c:v>95.766281912789822</c:v>
                </c:pt>
                <c:pt idx="212">
                  <c:v>95.304966757830826</c:v>
                </c:pt>
                <c:pt idx="213">
                  <c:v>127.56922533176267</c:v>
                </c:pt>
                <c:pt idx="214">
                  <c:v>121.1191258699486</c:v>
                </c:pt>
                <c:pt idx="215">
                  <c:v>114.91028667115803</c:v>
                </c:pt>
                <c:pt idx="216">
                  <c:v>109.40597260883128</c:v>
                </c:pt>
                <c:pt idx="217">
                  <c:v>105.76599278874038</c:v>
                </c:pt>
                <c:pt idx="218">
                  <c:v>103.22582526344578</c:v>
                </c:pt>
                <c:pt idx="219">
                  <c:v>100.54543146806954</c:v>
                </c:pt>
                <c:pt idx="220">
                  <c:v>95.99299221745045</c:v>
                </c:pt>
                <c:pt idx="221">
                  <c:v>91.918237821854234</c:v>
                </c:pt>
                <c:pt idx="222">
                  <c:v>88.060333159580807</c:v>
                </c:pt>
                <c:pt idx="223">
                  <c:v>84.229458370059746</c:v>
                </c:pt>
                <c:pt idx="224">
                  <c:v>80.233238201211819</c:v>
                </c:pt>
                <c:pt idx="225">
                  <c:v>75.824415118641383</c:v>
                </c:pt>
                <c:pt idx="226">
                  <c:v>70.609144398521607</c:v>
                </c:pt>
                <c:pt idx="227">
                  <c:v>63.90686694287151</c:v>
                </c:pt>
                <c:pt idx="228">
                  <c:v>56.958502059036263</c:v>
                </c:pt>
                <c:pt idx="229">
                  <c:v>45.128294294410388</c:v>
                </c:pt>
                <c:pt idx="230">
                  <c:v>17.559621434674511</c:v>
                </c:pt>
                <c:pt idx="231">
                  <c:v>-32.039676320137922</c:v>
                </c:pt>
                <c:pt idx="232">
                  <c:v>-78.534003142694729</c:v>
                </c:pt>
                <c:pt idx="233">
                  <c:v>-102.73331297838874</c:v>
                </c:pt>
                <c:pt idx="234">
                  <c:v>-112.98781294077367</c:v>
                </c:pt>
                <c:pt idx="235">
                  <c:v>-118.95118658621624</c:v>
                </c:pt>
                <c:pt idx="236">
                  <c:v>-123.69430979413556</c:v>
                </c:pt>
                <c:pt idx="237">
                  <c:v>-126.45333137426171</c:v>
                </c:pt>
                <c:pt idx="238">
                  <c:v>-128.72953888313265</c:v>
                </c:pt>
                <c:pt idx="239">
                  <c:v>-130.77068949261047</c:v>
                </c:pt>
                <c:pt idx="240">
                  <c:v>-132.71760078030428</c:v>
                </c:pt>
                <c:pt idx="241">
                  <c:v>-134.6665679625155</c:v>
                </c:pt>
                <c:pt idx="242">
                  <c:v>-136.69777164447325</c:v>
                </c:pt>
                <c:pt idx="243">
                  <c:v>-138.30535411903944</c:v>
                </c:pt>
                <c:pt idx="244">
                  <c:v>-137.65180509911002</c:v>
                </c:pt>
                <c:pt idx="245">
                  <c:v>-137.10558365574059</c:v>
                </c:pt>
                <c:pt idx="246">
                  <c:v>-136.08191714390168</c:v>
                </c:pt>
                <c:pt idx="247">
                  <c:v>-134.49064985034931</c:v>
                </c:pt>
                <c:pt idx="248">
                  <c:v>-131.78514150640962</c:v>
                </c:pt>
                <c:pt idx="249">
                  <c:v>-127.56922533176288</c:v>
                </c:pt>
                <c:pt idx="250">
                  <c:v>-121.1191258699488</c:v>
                </c:pt>
                <c:pt idx="251">
                  <c:v>-114.91028667115813</c:v>
                </c:pt>
                <c:pt idx="252">
                  <c:v>-109.40597260883136</c:v>
                </c:pt>
                <c:pt idx="253">
                  <c:v>-105.76599278874048</c:v>
                </c:pt>
                <c:pt idx="254">
                  <c:v>-103.2258252634458</c:v>
                </c:pt>
                <c:pt idx="255">
                  <c:v>-100.54543146806969</c:v>
                </c:pt>
                <c:pt idx="256">
                  <c:v>-95.992992217450535</c:v>
                </c:pt>
                <c:pt idx="257">
                  <c:v>-91.918237821854291</c:v>
                </c:pt>
                <c:pt idx="258">
                  <c:v>-88.060333159580821</c:v>
                </c:pt>
                <c:pt idx="259">
                  <c:v>-84.229458370059817</c:v>
                </c:pt>
                <c:pt idx="260">
                  <c:v>-80.233238201211861</c:v>
                </c:pt>
                <c:pt idx="261">
                  <c:v>-75.824415118641497</c:v>
                </c:pt>
                <c:pt idx="262">
                  <c:v>-70.609144398521607</c:v>
                </c:pt>
                <c:pt idx="263">
                  <c:v>-63.906866942871552</c:v>
                </c:pt>
                <c:pt idx="264">
                  <c:v>-56.95850205903627</c:v>
                </c:pt>
                <c:pt idx="265">
                  <c:v>-45.128294294410416</c:v>
                </c:pt>
                <c:pt idx="266">
                  <c:v>-17.559621434674483</c:v>
                </c:pt>
                <c:pt idx="267">
                  <c:v>32.039676320137701</c:v>
                </c:pt>
                <c:pt idx="268">
                  <c:v>78.534003142694615</c:v>
                </c:pt>
                <c:pt idx="269">
                  <c:v>102.7333129783887</c:v>
                </c:pt>
                <c:pt idx="270">
                  <c:v>112.98781294077365</c:v>
                </c:pt>
                <c:pt idx="271">
                  <c:v>118.95118658621615</c:v>
                </c:pt>
                <c:pt idx="272">
                  <c:v>123.69430979413545</c:v>
                </c:pt>
                <c:pt idx="273">
                  <c:v>126.45333137426167</c:v>
                </c:pt>
                <c:pt idx="274">
                  <c:v>128.72953888313265</c:v>
                </c:pt>
                <c:pt idx="275">
                  <c:v>130.77068949261039</c:v>
                </c:pt>
                <c:pt idx="276">
                  <c:v>132.71760078030422</c:v>
                </c:pt>
                <c:pt idx="277">
                  <c:v>134.66656796251544</c:v>
                </c:pt>
                <c:pt idx="278">
                  <c:v>136.69777164447311</c:v>
                </c:pt>
                <c:pt idx="279">
                  <c:v>138.30535411903944</c:v>
                </c:pt>
                <c:pt idx="280">
                  <c:v>137.65180509910985</c:v>
                </c:pt>
                <c:pt idx="281">
                  <c:v>137.10558365574056</c:v>
                </c:pt>
                <c:pt idx="282">
                  <c:v>136.08191714390185</c:v>
                </c:pt>
                <c:pt idx="283">
                  <c:v>134.49064985034943</c:v>
                </c:pt>
                <c:pt idx="284">
                  <c:v>165.76639989107278</c:v>
                </c:pt>
                <c:pt idx="285">
                  <c:v>160.13479915804768</c:v>
                </c:pt>
                <c:pt idx="286">
                  <c:v>154.59071768909473</c:v>
                </c:pt>
                <c:pt idx="287">
                  <c:v>149.20325133102105</c:v>
                </c:pt>
                <c:pt idx="288">
                  <c:v>144.27007505119718</c:v>
                </c:pt>
                <c:pt idx="289">
                  <c:v>138.19237072475417</c:v>
                </c:pt>
                <c:pt idx="290">
                  <c:v>130.92497568463443</c:v>
                </c:pt>
                <c:pt idx="291">
                  <c:v>124.45634190364711</c:v>
                </c:pt>
                <c:pt idx="292">
                  <c:v>118.36447334776383</c:v>
                </c:pt>
                <c:pt idx="293">
                  <c:v>112.52437053564793</c:v>
                </c:pt>
                <c:pt idx="294">
                  <c:v>108.11077688502752</c:v>
                </c:pt>
                <c:pt idx="295">
                  <c:v>103.44115061950828</c:v>
                </c:pt>
                <c:pt idx="296">
                  <c:v>95.58168597307079</c:v>
                </c:pt>
                <c:pt idx="297">
                  <c:v>85.671153180497441</c:v>
                </c:pt>
                <c:pt idx="298">
                  <c:v>73.9242746742772</c:v>
                </c:pt>
                <c:pt idx="299">
                  <c:v>59.873012456599284</c:v>
                </c:pt>
                <c:pt idx="300">
                  <c:v>42.970335274707949</c:v>
                </c:pt>
                <c:pt idx="301">
                  <c:v>7.9300169352468144</c:v>
                </c:pt>
                <c:pt idx="302">
                  <c:v>-40.387537563951717</c:v>
                </c:pt>
                <c:pt idx="303">
                  <c:v>-86.380750852932877</c:v>
                </c:pt>
                <c:pt idx="304">
                  <c:v>-118.16560635153915</c:v>
                </c:pt>
                <c:pt idx="305">
                  <c:v>-133.17173959464782</c:v>
                </c:pt>
                <c:pt idx="306">
                  <c:v>-143.49535107027791</c:v>
                </c:pt>
                <c:pt idx="307">
                  <c:v>-151.75818492537118</c:v>
                </c:pt>
                <c:pt idx="308">
                  <c:v>-158.71899075863342</c:v>
                </c:pt>
                <c:pt idx="309">
                  <c:v>-163.98962035179576</c:v>
                </c:pt>
                <c:pt idx="310">
                  <c:v>-166.42707796664214</c:v>
                </c:pt>
                <c:pt idx="311">
                  <c:v>-168.64013340619215</c:v>
                </c:pt>
                <c:pt idx="312">
                  <c:v>-170.25556739159336</c:v>
                </c:pt>
                <c:pt idx="313">
                  <c:v>-171.79649747797058</c:v>
                </c:pt>
                <c:pt idx="314">
                  <c:v>-173.41941749734573</c:v>
                </c:pt>
                <c:pt idx="315">
                  <c:v>-175.21823871093588</c:v>
                </c:pt>
                <c:pt idx="316">
                  <c:v>-175.79699671567269</c:v>
                </c:pt>
                <c:pt idx="317">
                  <c:v>-174.69982860475633</c:v>
                </c:pt>
                <c:pt idx="318">
                  <c:v>-173.04134826728577</c:v>
                </c:pt>
                <c:pt idx="319">
                  <c:v>-170.07410822966244</c:v>
                </c:pt>
                <c:pt idx="320">
                  <c:v>-165.76639989107295</c:v>
                </c:pt>
                <c:pt idx="321">
                  <c:v>-160.13479915804777</c:v>
                </c:pt>
                <c:pt idx="322">
                  <c:v>-154.59071768909482</c:v>
                </c:pt>
                <c:pt idx="323">
                  <c:v>-149.20325133102119</c:v>
                </c:pt>
                <c:pt idx="324">
                  <c:v>-144.27007505119721</c:v>
                </c:pt>
                <c:pt idx="325">
                  <c:v>-138.19237072475417</c:v>
                </c:pt>
                <c:pt idx="326">
                  <c:v>-130.9249756846344</c:v>
                </c:pt>
                <c:pt idx="327">
                  <c:v>-124.45634190364724</c:v>
                </c:pt>
                <c:pt idx="328">
                  <c:v>-118.36447334776389</c:v>
                </c:pt>
                <c:pt idx="329">
                  <c:v>-112.52437053564798</c:v>
                </c:pt>
                <c:pt idx="330">
                  <c:v>-108.11077688502766</c:v>
                </c:pt>
                <c:pt idx="331">
                  <c:v>-103.44115061950833</c:v>
                </c:pt>
                <c:pt idx="332">
                  <c:v>-95.581685973070904</c:v>
                </c:pt>
                <c:pt idx="333">
                  <c:v>-85.671153180497555</c:v>
                </c:pt>
                <c:pt idx="334">
                  <c:v>-73.924274674277299</c:v>
                </c:pt>
                <c:pt idx="335">
                  <c:v>-59.873012456599298</c:v>
                </c:pt>
                <c:pt idx="336">
                  <c:v>-42.970335274707999</c:v>
                </c:pt>
                <c:pt idx="337">
                  <c:v>-7.9300169352467664</c:v>
                </c:pt>
                <c:pt idx="338">
                  <c:v>40.38753756395154</c:v>
                </c:pt>
                <c:pt idx="339">
                  <c:v>86.38075085293282</c:v>
                </c:pt>
                <c:pt idx="340">
                  <c:v>118.16560635153905</c:v>
                </c:pt>
                <c:pt idx="341">
                  <c:v>133.17173959464773</c:v>
                </c:pt>
                <c:pt idx="342">
                  <c:v>143.49535107027782</c:v>
                </c:pt>
                <c:pt idx="343">
                  <c:v>151.75818492537113</c:v>
                </c:pt>
                <c:pt idx="344">
                  <c:v>158.71899075863337</c:v>
                </c:pt>
                <c:pt idx="345">
                  <c:v>163.98962035179565</c:v>
                </c:pt>
                <c:pt idx="346">
                  <c:v>166.42707796664209</c:v>
                </c:pt>
                <c:pt idx="347">
                  <c:v>168.64013340619212</c:v>
                </c:pt>
                <c:pt idx="348">
                  <c:v>170.25556739159327</c:v>
                </c:pt>
                <c:pt idx="349">
                  <c:v>171.79649747797058</c:v>
                </c:pt>
                <c:pt idx="350">
                  <c:v>173.41941749734568</c:v>
                </c:pt>
                <c:pt idx="351">
                  <c:v>175.21823871093582</c:v>
                </c:pt>
                <c:pt idx="352">
                  <c:v>175.79699671567266</c:v>
                </c:pt>
                <c:pt idx="353">
                  <c:v>174.69982860475625</c:v>
                </c:pt>
                <c:pt idx="354">
                  <c:v>173.04134826728557</c:v>
                </c:pt>
                <c:pt idx="355">
                  <c:v>203.64703603242776</c:v>
                </c:pt>
                <c:pt idx="356">
                  <c:v>199.02272052756362</c:v>
                </c:pt>
                <c:pt idx="357">
                  <c:v>193.94172592326154</c:v>
                </c:pt>
                <c:pt idx="358">
                  <c:v>188.42498850530058</c:v>
                </c:pt>
                <c:pt idx="359">
                  <c:v>178.2755017935857</c:v>
                </c:pt>
                <c:pt idx="360">
                  <c:v>168.75170524157787</c:v>
                </c:pt>
                <c:pt idx="361">
                  <c:v>160.90459016793145</c:v>
                </c:pt>
                <c:pt idx="362">
                  <c:v>153.91549816266453</c:v>
                </c:pt>
                <c:pt idx="363">
                  <c:v>147.2974278674576</c:v>
                </c:pt>
                <c:pt idx="364">
                  <c:v>140.68633809378213</c:v>
                </c:pt>
                <c:pt idx="365">
                  <c:v>130.32442835471102</c:v>
                </c:pt>
                <c:pt idx="366">
                  <c:v>118.42299962709134</c:v>
                </c:pt>
                <c:pt idx="367">
                  <c:v>108.85962771215564</c:v>
                </c:pt>
                <c:pt idx="368">
                  <c:v>98.187813542701051</c:v>
                </c:pt>
                <c:pt idx="369">
                  <c:v>84.073257031648026</c:v>
                </c:pt>
                <c:pt idx="370">
                  <c:v>60.041779541652893</c:v>
                </c:pt>
                <c:pt idx="371">
                  <c:v>31.802834640009824</c:v>
                </c:pt>
                <c:pt idx="372">
                  <c:v>-2.9836254021928763</c:v>
                </c:pt>
                <c:pt idx="373">
                  <c:v>-48.724266621474598</c:v>
                </c:pt>
                <c:pt idx="374">
                  <c:v>-92.747749787175579</c:v>
                </c:pt>
                <c:pt idx="375">
                  <c:v>-124.45669553598349</c:v>
                </c:pt>
                <c:pt idx="376">
                  <c:v>-148.16234548900829</c:v>
                </c:pt>
                <c:pt idx="377">
                  <c:v>-167.19677184356357</c:v>
                </c:pt>
                <c:pt idx="378">
                  <c:v>-177.51517693365747</c:v>
                </c:pt>
                <c:pt idx="379">
                  <c:v>-184.95492398047776</c:v>
                </c:pt>
                <c:pt idx="380">
                  <c:v>-191.51960385116507</c:v>
                </c:pt>
                <c:pt idx="381">
                  <c:v>-197.86996792582227</c:v>
                </c:pt>
                <c:pt idx="382">
                  <c:v>-202.75803696015504</c:v>
                </c:pt>
                <c:pt idx="383">
                  <c:v>-204.65702699167443</c:v>
                </c:pt>
                <c:pt idx="384">
                  <c:v>-206.4289714346632</c:v>
                </c:pt>
                <c:pt idx="385">
                  <c:v>-208.1740484806308</c:v>
                </c:pt>
                <c:pt idx="386">
                  <c:v>-209.96979639711546</c:v>
                </c:pt>
                <c:pt idx="387">
                  <c:v>-211.85778199890692</c:v>
                </c:pt>
                <c:pt idx="388">
                  <c:v>-212.76245220317796</c:v>
                </c:pt>
                <c:pt idx="389">
                  <c:v>-210.65582711879702</c:v>
                </c:pt>
                <c:pt idx="390">
                  <c:v>-207.58965481278096</c:v>
                </c:pt>
                <c:pt idx="391">
                  <c:v>-203.64703603242793</c:v>
                </c:pt>
                <c:pt idx="392">
                  <c:v>-199.02272052756382</c:v>
                </c:pt>
                <c:pt idx="393">
                  <c:v>-193.94172592326171</c:v>
                </c:pt>
                <c:pt idx="394">
                  <c:v>-188.42498850530063</c:v>
                </c:pt>
                <c:pt idx="395">
                  <c:v>-178.2755017935857</c:v>
                </c:pt>
                <c:pt idx="396">
                  <c:v>-168.75170524157789</c:v>
                </c:pt>
                <c:pt idx="397">
                  <c:v>-160.90459016793142</c:v>
                </c:pt>
                <c:pt idx="398">
                  <c:v>-153.91549816266465</c:v>
                </c:pt>
                <c:pt idx="399">
                  <c:v>-147.29742786745769</c:v>
                </c:pt>
                <c:pt idx="400">
                  <c:v>-140.68633809378218</c:v>
                </c:pt>
                <c:pt idx="401">
                  <c:v>-130.32442835471107</c:v>
                </c:pt>
                <c:pt idx="402">
                  <c:v>-118.42299962709139</c:v>
                </c:pt>
                <c:pt idx="403">
                  <c:v>-108.85962771215571</c:v>
                </c:pt>
                <c:pt idx="404">
                  <c:v>-98.187813542701079</c:v>
                </c:pt>
                <c:pt idx="405">
                  <c:v>-84.073257031648168</c:v>
                </c:pt>
                <c:pt idx="406">
                  <c:v>-60.041779541652851</c:v>
                </c:pt>
                <c:pt idx="407">
                  <c:v>-31.802834640009802</c:v>
                </c:pt>
                <c:pt idx="408">
                  <c:v>2.9836254021929296</c:v>
                </c:pt>
                <c:pt idx="409">
                  <c:v>48.724266621474428</c:v>
                </c:pt>
                <c:pt idx="410">
                  <c:v>92.747749787175536</c:v>
                </c:pt>
                <c:pt idx="411">
                  <c:v>124.45669553598337</c:v>
                </c:pt>
                <c:pt idx="412">
                  <c:v>148.16234548900817</c:v>
                </c:pt>
                <c:pt idx="413">
                  <c:v>167.19677184356337</c:v>
                </c:pt>
                <c:pt idx="414">
                  <c:v>177.51517693365744</c:v>
                </c:pt>
                <c:pt idx="415">
                  <c:v>184.95492398047776</c:v>
                </c:pt>
                <c:pt idx="416">
                  <c:v>191.5196038511651</c:v>
                </c:pt>
                <c:pt idx="417">
                  <c:v>197.86996792582221</c:v>
                </c:pt>
                <c:pt idx="418">
                  <c:v>202.75803696015493</c:v>
                </c:pt>
                <c:pt idx="419">
                  <c:v>204.65702699167434</c:v>
                </c:pt>
                <c:pt idx="420">
                  <c:v>206.42897143466311</c:v>
                </c:pt>
                <c:pt idx="421">
                  <c:v>208.17404848063094</c:v>
                </c:pt>
                <c:pt idx="422">
                  <c:v>209.96979639711532</c:v>
                </c:pt>
                <c:pt idx="423">
                  <c:v>211.85778199890697</c:v>
                </c:pt>
                <c:pt idx="424">
                  <c:v>212.76245220317799</c:v>
                </c:pt>
                <c:pt idx="425">
                  <c:v>210.65582711879694</c:v>
                </c:pt>
                <c:pt idx="426">
                  <c:v>240.76329361484326</c:v>
                </c:pt>
                <c:pt idx="427">
                  <c:v>236.46054849074216</c:v>
                </c:pt>
                <c:pt idx="428">
                  <c:v>231.57797889610754</c:v>
                </c:pt>
                <c:pt idx="429">
                  <c:v>221.2205579746315</c:v>
                </c:pt>
                <c:pt idx="430">
                  <c:v>210.16895854714753</c:v>
                </c:pt>
                <c:pt idx="431">
                  <c:v>199.80680945631812</c:v>
                </c:pt>
                <c:pt idx="432">
                  <c:v>191.0094418622009</c:v>
                </c:pt>
                <c:pt idx="433">
                  <c:v>183.15288692063365</c:v>
                </c:pt>
                <c:pt idx="434">
                  <c:v>174.4359596636931</c:v>
                </c:pt>
                <c:pt idx="435">
                  <c:v>162.06218999902876</c:v>
                </c:pt>
                <c:pt idx="436">
                  <c:v>149.74177645600412</c:v>
                </c:pt>
                <c:pt idx="437">
                  <c:v>136.91048603102232</c:v>
                </c:pt>
                <c:pt idx="438">
                  <c:v>122.85408398628958</c:v>
                </c:pt>
                <c:pt idx="439">
                  <c:v>105.79894191123715</c:v>
                </c:pt>
                <c:pt idx="440">
                  <c:v>85.650467637330379</c:v>
                </c:pt>
                <c:pt idx="441">
                  <c:v>60.122466715488066</c:v>
                </c:pt>
                <c:pt idx="442">
                  <c:v>21.210438598435836</c:v>
                </c:pt>
                <c:pt idx="443">
                  <c:v>-13.583095698894871</c:v>
                </c:pt>
                <c:pt idx="444">
                  <c:v>-57.00694103720312</c:v>
                </c:pt>
                <c:pt idx="445">
                  <c:v>-99.189415195987834</c:v>
                </c:pt>
                <c:pt idx="446">
                  <c:v>-131.10874534276456</c:v>
                </c:pt>
                <c:pt idx="447">
                  <c:v>-162.43898275894423</c:v>
                </c:pt>
                <c:pt idx="448">
                  <c:v>-182.65035042847964</c:v>
                </c:pt>
                <c:pt idx="449">
                  <c:v>-198.44969349606509</c:v>
                </c:pt>
                <c:pt idx="450">
                  <c:v>-210.81438845909025</c:v>
                </c:pt>
                <c:pt idx="451">
                  <c:v>-218.24436758295312</c:v>
                </c:pt>
                <c:pt idx="452">
                  <c:v>-224.90698507365997</c:v>
                </c:pt>
                <c:pt idx="453">
                  <c:v>-231.21400921171346</c:v>
                </c:pt>
                <c:pt idx="454">
                  <c:v>-237.45042857284622</c:v>
                </c:pt>
                <c:pt idx="455">
                  <c:v>-240.53911526029171</c:v>
                </c:pt>
                <c:pt idx="456">
                  <c:v>-242.48684022529002</c:v>
                </c:pt>
                <c:pt idx="457">
                  <c:v>-244.31904277531774</c:v>
                </c:pt>
                <c:pt idx="458">
                  <c:v>-245.85231533692763</c:v>
                </c:pt>
                <c:pt idx="459">
                  <c:v>-247.03622296122703</c:v>
                </c:pt>
                <c:pt idx="460">
                  <c:v>-247.41103675783265</c:v>
                </c:pt>
                <c:pt idx="461">
                  <c:v>-244.45664193323785</c:v>
                </c:pt>
                <c:pt idx="462">
                  <c:v>-240.76329361484332</c:v>
                </c:pt>
                <c:pt idx="463">
                  <c:v>-236.46054849074216</c:v>
                </c:pt>
                <c:pt idx="464">
                  <c:v>-231.57797889610748</c:v>
                </c:pt>
                <c:pt idx="465">
                  <c:v>-221.22055797463148</c:v>
                </c:pt>
                <c:pt idx="466">
                  <c:v>-210.16895854714744</c:v>
                </c:pt>
                <c:pt idx="467">
                  <c:v>-199.80680945631812</c:v>
                </c:pt>
                <c:pt idx="468">
                  <c:v>-191.00944186220076</c:v>
                </c:pt>
                <c:pt idx="469">
                  <c:v>-183.15288692063359</c:v>
                </c:pt>
                <c:pt idx="470">
                  <c:v>-174.4359596636931</c:v>
                </c:pt>
                <c:pt idx="471">
                  <c:v>-162.06218999902873</c:v>
                </c:pt>
                <c:pt idx="472">
                  <c:v>-149.74177645600412</c:v>
                </c:pt>
                <c:pt idx="473">
                  <c:v>-136.91048603102226</c:v>
                </c:pt>
                <c:pt idx="474">
                  <c:v>-122.85408398628954</c:v>
                </c:pt>
                <c:pt idx="475">
                  <c:v>-105.79894191123721</c:v>
                </c:pt>
                <c:pt idx="476">
                  <c:v>-85.65046763733055</c:v>
                </c:pt>
                <c:pt idx="477">
                  <c:v>-60.122466715487974</c:v>
                </c:pt>
                <c:pt idx="478">
                  <c:v>-21.210438598435829</c:v>
                </c:pt>
                <c:pt idx="479">
                  <c:v>13.583095698894946</c:v>
                </c:pt>
                <c:pt idx="480">
                  <c:v>57.006941037203042</c:v>
                </c:pt>
                <c:pt idx="481">
                  <c:v>99.189415195987792</c:v>
                </c:pt>
                <c:pt idx="482">
                  <c:v>131.10874534276451</c:v>
                </c:pt>
                <c:pt idx="483">
                  <c:v>162.43898275894415</c:v>
                </c:pt>
                <c:pt idx="484">
                  <c:v>182.65035042847953</c:v>
                </c:pt>
                <c:pt idx="485">
                  <c:v>198.44969349606501</c:v>
                </c:pt>
                <c:pt idx="486">
                  <c:v>210.81438845909031</c:v>
                </c:pt>
                <c:pt idx="487">
                  <c:v>218.24436758295317</c:v>
                </c:pt>
                <c:pt idx="488">
                  <c:v>224.90698507366</c:v>
                </c:pt>
                <c:pt idx="489">
                  <c:v>231.2140092117134</c:v>
                </c:pt>
                <c:pt idx="490">
                  <c:v>237.45042857284631</c:v>
                </c:pt>
                <c:pt idx="491">
                  <c:v>240.53911526029185</c:v>
                </c:pt>
                <c:pt idx="492">
                  <c:v>242.48684022529011</c:v>
                </c:pt>
                <c:pt idx="493">
                  <c:v>244.31904277531783</c:v>
                </c:pt>
                <c:pt idx="494">
                  <c:v>245.85231533692789</c:v>
                </c:pt>
                <c:pt idx="495">
                  <c:v>247.03622296122714</c:v>
                </c:pt>
                <c:pt idx="496">
                  <c:v>247.41103675783268</c:v>
                </c:pt>
                <c:pt idx="497">
                  <c:v>276.4601926390186</c:v>
                </c:pt>
                <c:pt idx="498">
                  <c:v>271.48474769341186</c:v>
                </c:pt>
                <c:pt idx="499">
                  <c:v>261.8320205500579</c:v>
                </c:pt>
                <c:pt idx="500">
                  <c:v>251.82847057167055</c:v>
                </c:pt>
                <c:pt idx="501">
                  <c:v>241.72054199261223</c:v>
                </c:pt>
                <c:pt idx="502">
                  <c:v>231.04244168317751</c:v>
                </c:pt>
                <c:pt idx="503">
                  <c:v>220.82130201392735</c:v>
                </c:pt>
                <c:pt idx="504">
                  <c:v>207.78255296486097</c:v>
                </c:pt>
                <c:pt idx="505">
                  <c:v>194.87640104426245</c:v>
                </c:pt>
                <c:pt idx="506">
                  <c:v>181.89029877158808</c:v>
                </c:pt>
                <c:pt idx="507">
                  <c:v>168.85212693491513</c:v>
                </c:pt>
                <c:pt idx="508">
                  <c:v>153.62949514302665</c:v>
                </c:pt>
                <c:pt idx="509">
                  <c:v>132.29634678699333</c:v>
                </c:pt>
                <c:pt idx="510">
                  <c:v>108.39138927212403</c:v>
                </c:pt>
                <c:pt idx="511">
                  <c:v>86.689540721817778</c:v>
                </c:pt>
                <c:pt idx="512">
                  <c:v>58.749304264085161</c:v>
                </c:pt>
                <c:pt idx="513">
                  <c:v>17.244784861629803</c:v>
                </c:pt>
                <c:pt idx="514">
                  <c:v>-25.550391136055822</c:v>
                </c:pt>
                <c:pt idx="515">
                  <c:v>-65.173149668994029</c:v>
                </c:pt>
                <c:pt idx="516">
                  <c:v>-103.90010602359963</c:v>
                </c:pt>
                <c:pt idx="517">
                  <c:v>-141.57356537877979</c:v>
                </c:pt>
                <c:pt idx="518">
                  <c:v>-175.24086182294653</c:v>
                </c:pt>
                <c:pt idx="519">
                  <c:v>-197.37185507557385</c:v>
                </c:pt>
                <c:pt idx="520">
                  <c:v>-212.87990668904678</c:v>
                </c:pt>
                <c:pt idx="521">
                  <c:v>-228.00930747765779</c:v>
                </c:pt>
                <c:pt idx="522">
                  <c:v>-241.84566962776955</c:v>
                </c:pt>
                <c:pt idx="523">
                  <c:v>-251.48927472419302</c:v>
                </c:pt>
                <c:pt idx="524">
                  <c:v>-258.16280059521176</c:v>
                </c:pt>
                <c:pt idx="525">
                  <c:v>-264.53809005639602</c:v>
                </c:pt>
                <c:pt idx="526">
                  <c:v>-270.49770053263683</c:v>
                </c:pt>
                <c:pt idx="527">
                  <c:v>-275.68864099182127</c:v>
                </c:pt>
                <c:pt idx="528">
                  <c:v>-277.6137241173588</c:v>
                </c:pt>
                <c:pt idx="529">
                  <c:v>-278.96822593774289</c:v>
                </c:pt>
                <c:pt idx="530">
                  <c:v>-279.67487233229974</c:v>
                </c:pt>
                <c:pt idx="531">
                  <c:v>-279.90383549861082</c:v>
                </c:pt>
                <c:pt idx="532">
                  <c:v>-279.88774154935868</c:v>
                </c:pt>
                <c:pt idx="533">
                  <c:v>-276.4601926390186</c:v>
                </c:pt>
                <c:pt idx="534">
                  <c:v>-271.48474769341169</c:v>
                </c:pt>
                <c:pt idx="535">
                  <c:v>-261.83202055005796</c:v>
                </c:pt>
                <c:pt idx="536">
                  <c:v>-251.82847057167038</c:v>
                </c:pt>
                <c:pt idx="537">
                  <c:v>-241.72054199261217</c:v>
                </c:pt>
                <c:pt idx="538">
                  <c:v>-231.04244168317743</c:v>
                </c:pt>
                <c:pt idx="539">
                  <c:v>-220.82130201392735</c:v>
                </c:pt>
                <c:pt idx="540">
                  <c:v>-207.78255296486108</c:v>
                </c:pt>
                <c:pt idx="541">
                  <c:v>-194.87640104426237</c:v>
                </c:pt>
                <c:pt idx="542">
                  <c:v>-181.89029877158808</c:v>
                </c:pt>
                <c:pt idx="543">
                  <c:v>-168.85212693491513</c:v>
                </c:pt>
                <c:pt idx="544">
                  <c:v>-153.62949514302665</c:v>
                </c:pt>
                <c:pt idx="545">
                  <c:v>-132.29634678699333</c:v>
                </c:pt>
                <c:pt idx="546">
                  <c:v>-108.39138927212417</c:v>
                </c:pt>
                <c:pt idx="547">
                  <c:v>-86.689540721817963</c:v>
                </c:pt>
                <c:pt idx="548">
                  <c:v>-58.749304264085083</c:v>
                </c:pt>
                <c:pt idx="549">
                  <c:v>-17.244784861629725</c:v>
                </c:pt>
                <c:pt idx="550">
                  <c:v>25.550391136055879</c:v>
                </c:pt>
                <c:pt idx="551">
                  <c:v>65.173149668993943</c:v>
                </c:pt>
                <c:pt idx="552">
                  <c:v>103.90010602359962</c:v>
                </c:pt>
                <c:pt idx="553">
                  <c:v>141.57356537877968</c:v>
                </c:pt>
                <c:pt idx="554">
                  <c:v>175.24086182294644</c:v>
                </c:pt>
                <c:pt idx="555">
                  <c:v>197.37185507557379</c:v>
                </c:pt>
                <c:pt idx="556">
                  <c:v>212.87990668904681</c:v>
                </c:pt>
                <c:pt idx="557">
                  <c:v>228.00930747765804</c:v>
                </c:pt>
                <c:pt idx="558">
                  <c:v>241.84566962776955</c:v>
                </c:pt>
                <c:pt idx="559">
                  <c:v>251.48927472419308</c:v>
                </c:pt>
                <c:pt idx="560">
                  <c:v>258.16280059521188</c:v>
                </c:pt>
                <c:pt idx="561">
                  <c:v>264.53809005639596</c:v>
                </c:pt>
                <c:pt idx="562">
                  <c:v>270.49770053263677</c:v>
                </c:pt>
                <c:pt idx="563">
                  <c:v>275.68864099182139</c:v>
                </c:pt>
                <c:pt idx="564">
                  <c:v>277.61372411735886</c:v>
                </c:pt>
                <c:pt idx="565">
                  <c:v>278.96822593774311</c:v>
                </c:pt>
                <c:pt idx="566">
                  <c:v>279.67487233229986</c:v>
                </c:pt>
                <c:pt idx="567">
                  <c:v>279.90383549861087</c:v>
                </c:pt>
                <c:pt idx="568">
                  <c:v>308.99784183466841</c:v>
                </c:pt>
                <c:pt idx="569">
                  <c:v>298.74228780970492</c:v>
                </c:pt>
                <c:pt idx="570">
                  <c:v>289.22589727138654</c:v>
                </c:pt>
                <c:pt idx="571">
                  <c:v>279.8976383696791</c:v>
                </c:pt>
                <c:pt idx="572">
                  <c:v>271.05800168065412</c:v>
                </c:pt>
                <c:pt idx="573">
                  <c:v>260.76967729022977</c:v>
                </c:pt>
                <c:pt idx="574">
                  <c:v>245.1466472429708</c:v>
                </c:pt>
                <c:pt idx="575">
                  <c:v>227.35068908869812</c:v>
                </c:pt>
                <c:pt idx="576">
                  <c:v>208.84099572200682</c:v>
                </c:pt>
                <c:pt idx="577">
                  <c:v>192.10836133788061</c:v>
                </c:pt>
                <c:pt idx="578">
                  <c:v>176.67414562926061</c:v>
                </c:pt>
                <c:pt idx="579">
                  <c:v>155.35563162744407</c:v>
                </c:pt>
                <c:pt idx="580">
                  <c:v>134.01332513127815</c:v>
                </c:pt>
                <c:pt idx="581">
                  <c:v>110.47700766161775</c:v>
                </c:pt>
                <c:pt idx="582">
                  <c:v>82.817351460629737</c:v>
                </c:pt>
                <c:pt idx="583">
                  <c:v>54.907446847265049</c:v>
                </c:pt>
                <c:pt idx="584">
                  <c:v>12.815673011299552</c:v>
                </c:pt>
                <c:pt idx="585">
                  <c:v>-35.863502048761283</c:v>
                </c:pt>
                <c:pt idx="586">
                  <c:v>-73.139876967111221</c:v>
                </c:pt>
                <c:pt idx="587">
                  <c:v>-109.61632270064851</c:v>
                </c:pt>
                <c:pt idx="588">
                  <c:v>-151.14658296438211</c:v>
                </c:pt>
                <c:pt idx="589">
                  <c:v>-183.04832281095622</c:v>
                </c:pt>
                <c:pt idx="590">
                  <c:v>-200.94229599979312</c:v>
                </c:pt>
                <c:pt idx="591">
                  <c:v>-218.16637806699316</c:v>
                </c:pt>
                <c:pt idx="592">
                  <c:v>-233.06955653348717</c:v>
                </c:pt>
                <c:pt idx="593">
                  <c:v>-246.88022862826409</c:v>
                </c:pt>
                <c:pt idx="594">
                  <c:v>-261.10380559755856</c:v>
                </c:pt>
                <c:pt idx="595">
                  <c:v>-270.19903479050885</c:v>
                </c:pt>
                <c:pt idx="596">
                  <c:v>-280.67774770507054</c:v>
                </c:pt>
                <c:pt idx="597">
                  <c:v>-292.34226922134468</c:v>
                </c:pt>
                <c:pt idx="598">
                  <c:v>-301.16337922730594</c:v>
                </c:pt>
                <c:pt idx="599">
                  <c:v>-306.42981512995158</c:v>
                </c:pt>
                <c:pt idx="600">
                  <c:v>-307.97021324206423</c:v>
                </c:pt>
                <c:pt idx="601">
                  <c:v>-308.74405918714172</c:v>
                </c:pt>
                <c:pt idx="602">
                  <c:v>-309.12905897681753</c:v>
                </c:pt>
                <c:pt idx="603">
                  <c:v>-309.16830163671938</c:v>
                </c:pt>
                <c:pt idx="604">
                  <c:v>-308.99784183466841</c:v>
                </c:pt>
                <c:pt idx="605">
                  <c:v>-298.74228780970492</c:v>
                </c:pt>
                <c:pt idx="606">
                  <c:v>-289.2258972713866</c:v>
                </c:pt>
                <c:pt idx="607">
                  <c:v>-279.89763836967904</c:v>
                </c:pt>
                <c:pt idx="608">
                  <c:v>-271.05800168065412</c:v>
                </c:pt>
                <c:pt idx="609">
                  <c:v>-260.76967729022965</c:v>
                </c:pt>
                <c:pt idx="610">
                  <c:v>-245.1466472429708</c:v>
                </c:pt>
                <c:pt idx="611">
                  <c:v>-227.35068908869826</c:v>
                </c:pt>
                <c:pt idx="612">
                  <c:v>-208.8409957220068</c:v>
                </c:pt>
                <c:pt idx="613">
                  <c:v>-192.10836133788058</c:v>
                </c:pt>
                <c:pt idx="614">
                  <c:v>-176.67414562926064</c:v>
                </c:pt>
                <c:pt idx="615">
                  <c:v>-155.35563162744415</c:v>
                </c:pt>
                <c:pt idx="616">
                  <c:v>-134.01332513127824</c:v>
                </c:pt>
                <c:pt idx="617">
                  <c:v>-110.4770076616179</c:v>
                </c:pt>
                <c:pt idx="618">
                  <c:v>-82.817351460629894</c:v>
                </c:pt>
                <c:pt idx="619">
                  <c:v>-54.907446847265007</c:v>
                </c:pt>
                <c:pt idx="620">
                  <c:v>-12.815673011299467</c:v>
                </c:pt>
                <c:pt idx="621">
                  <c:v>35.863502048761397</c:v>
                </c:pt>
                <c:pt idx="622">
                  <c:v>73.139876967111149</c:v>
                </c:pt>
                <c:pt idx="623">
                  <c:v>109.61632270064854</c:v>
                </c:pt>
                <c:pt idx="624">
                  <c:v>151.14658296438205</c:v>
                </c:pt>
                <c:pt idx="625">
                  <c:v>183.04832281095617</c:v>
                </c:pt>
                <c:pt idx="626">
                  <c:v>200.94229599979309</c:v>
                </c:pt>
                <c:pt idx="627">
                  <c:v>218.16637806699308</c:v>
                </c:pt>
                <c:pt idx="628">
                  <c:v>233.06955653348726</c:v>
                </c:pt>
                <c:pt idx="629">
                  <c:v>246.88022862826406</c:v>
                </c:pt>
                <c:pt idx="630">
                  <c:v>261.10380559755845</c:v>
                </c:pt>
                <c:pt idx="631">
                  <c:v>270.19903479050885</c:v>
                </c:pt>
                <c:pt idx="632">
                  <c:v>280.67774770507049</c:v>
                </c:pt>
                <c:pt idx="633">
                  <c:v>292.34226922134462</c:v>
                </c:pt>
                <c:pt idx="634">
                  <c:v>301.16337922730611</c:v>
                </c:pt>
                <c:pt idx="635">
                  <c:v>306.42981512995169</c:v>
                </c:pt>
                <c:pt idx="636">
                  <c:v>307.97021324206429</c:v>
                </c:pt>
                <c:pt idx="637">
                  <c:v>308.74405918714177</c:v>
                </c:pt>
                <c:pt idx="638">
                  <c:v>309.12905897681765</c:v>
                </c:pt>
                <c:pt idx="639">
                  <c:v>333.70526849177259</c:v>
                </c:pt>
                <c:pt idx="640">
                  <c:v>324.43394632242484</c:v>
                </c:pt>
                <c:pt idx="641">
                  <c:v>315.69957836235164</c:v>
                </c:pt>
                <c:pt idx="642">
                  <c:v>307.01539421234668</c:v>
                </c:pt>
                <c:pt idx="643">
                  <c:v>297.97863612980711</c:v>
                </c:pt>
                <c:pt idx="644">
                  <c:v>283.06755717892338</c:v>
                </c:pt>
                <c:pt idx="645">
                  <c:v>259.86405100978089</c:v>
                </c:pt>
                <c:pt idx="646">
                  <c:v>237.9121576526197</c:v>
                </c:pt>
                <c:pt idx="647">
                  <c:v>218.99004512698718</c:v>
                </c:pt>
                <c:pt idx="648">
                  <c:v>200.23763834618981</c:v>
                </c:pt>
                <c:pt idx="649">
                  <c:v>178.60826179254508</c:v>
                </c:pt>
                <c:pt idx="650">
                  <c:v>157.20705195671522</c:v>
                </c:pt>
                <c:pt idx="651">
                  <c:v>136.18122733105395</c:v>
                </c:pt>
                <c:pt idx="652">
                  <c:v>111.74162526988857</c:v>
                </c:pt>
                <c:pt idx="653">
                  <c:v>82.865143857539721</c:v>
                </c:pt>
                <c:pt idx="654">
                  <c:v>47.062756009311236</c:v>
                </c:pt>
                <c:pt idx="655">
                  <c:v>8.3898302372027942</c:v>
                </c:pt>
                <c:pt idx="656">
                  <c:v>-36.995760653764044</c:v>
                </c:pt>
                <c:pt idx="657">
                  <c:v>-80.743789930651459</c:v>
                </c:pt>
                <c:pt idx="658">
                  <c:v>-121.23803445920583</c:v>
                </c:pt>
                <c:pt idx="659">
                  <c:v>-156.14367060007706</c:v>
                </c:pt>
                <c:pt idx="660">
                  <c:v>-182.07253074358289</c:v>
                </c:pt>
                <c:pt idx="661">
                  <c:v>-204.99037474147707</c:v>
                </c:pt>
                <c:pt idx="662">
                  <c:v>-223.14233393475686</c:v>
                </c:pt>
                <c:pt idx="663">
                  <c:v>-238.17015843911128</c:v>
                </c:pt>
                <c:pt idx="664">
                  <c:v>-250.57476026469601</c:v>
                </c:pt>
                <c:pt idx="665">
                  <c:v>-263.92484805812546</c:v>
                </c:pt>
                <c:pt idx="666">
                  <c:v>-277.59471600499194</c:v>
                </c:pt>
                <c:pt idx="667">
                  <c:v>-289.88056245765807</c:v>
                </c:pt>
                <c:pt idx="668">
                  <c:v>-301.51250267106059</c:v>
                </c:pt>
                <c:pt idx="669">
                  <c:v>-314.79329925329944</c:v>
                </c:pt>
                <c:pt idx="670">
                  <c:v>-328.61239699587225</c:v>
                </c:pt>
                <c:pt idx="671">
                  <c:v>-334.3891752937501</c:v>
                </c:pt>
                <c:pt idx="672">
                  <c:v>-334.87273074166217</c:v>
                </c:pt>
                <c:pt idx="673">
                  <c:v>-334.8391200319399</c:v>
                </c:pt>
                <c:pt idx="674">
                  <c:v>-334.41156085064279</c:v>
                </c:pt>
                <c:pt idx="675">
                  <c:v>-333.70526849177259</c:v>
                </c:pt>
                <c:pt idx="676">
                  <c:v>-324.43394632242484</c:v>
                </c:pt>
                <c:pt idx="677">
                  <c:v>-315.69957836235147</c:v>
                </c:pt>
                <c:pt idx="678">
                  <c:v>-307.01539421234668</c:v>
                </c:pt>
                <c:pt idx="679">
                  <c:v>-297.97863612980717</c:v>
                </c:pt>
                <c:pt idx="680">
                  <c:v>-283.06755717892332</c:v>
                </c:pt>
                <c:pt idx="681">
                  <c:v>-259.86405100978101</c:v>
                </c:pt>
                <c:pt idx="682">
                  <c:v>-237.91215765261984</c:v>
                </c:pt>
                <c:pt idx="683">
                  <c:v>-218.99004512698718</c:v>
                </c:pt>
                <c:pt idx="684">
                  <c:v>-200.23763834618984</c:v>
                </c:pt>
                <c:pt idx="685">
                  <c:v>-178.60826179254511</c:v>
                </c:pt>
                <c:pt idx="686">
                  <c:v>-157.20705195671519</c:v>
                </c:pt>
                <c:pt idx="687">
                  <c:v>-136.18122733105398</c:v>
                </c:pt>
                <c:pt idx="688">
                  <c:v>-111.74162526988874</c:v>
                </c:pt>
                <c:pt idx="689">
                  <c:v>-82.865143857539948</c:v>
                </c:pt>
                <c:pt idx="690">
                  <c:v>-47.062756009311137</c:v>
                </c:pt>
                <c:pt idx="691">
                  <c:v>-8.3898302372027516</c:v>
                </c:pt>
                <c:pt idx="692">
                  <c:v>36.995760653764158</c:v>
                </c:pt>
                <c:pt idx="693">
                  <c:v>80.74378993065136</c:v>
                </c:pt>
                <c:pt idx="694">
                  <c:v>121.23803445920578</c:v>
                </c:pt>
                <c:pt idx="695">
                  <c:v>156.14367060007692</c:v>
                </c:pt>
                <c:pt idx="696">
                  <c:v>182.07253074358283</c:v>
                </c:pt>
                <c:pt idx="697">
                  <c:v>204.99037474147696</c:v>
                </c:pt>
                <c:pt idx="698">
                  <c:v>223.14233393475675</c:v>
                </c:pt>
                <c:pt idx="699">
                  <c:v>238.17015843911139</c:v>
                </c:pt>
                <c:pt idx="700">
                  <c:v>250.57476026469595</c:v>
                </c:pt>
                <c:pt idx="701">
                  <c:v>263.92484805812546</c:v>
                </c:pt>
                <c:pt idx="702">
                  <c:v>277.59471600499194</c:v>
                </c:pt>
                <c:pt idx="703">
                  <c:v>289.88056245765802</c:v>
                </c:pt>
                <c:pt idx="704">
                  <c:v>301.51250267106053</c:v>
                </c:pt>
                <c:pt idx="705">
                  <c:v>314.79329925329949</c:v>
                </c:pt>
                <c:pt idx="706">
                  <c:v>328.61239699587225</c:v>
                </c:pt>
                <c:pt idx="707">
                  <c:v>334.3891752937501</c:v>
                </c:pt>
                <c:pt idx="708">
                  <c:v>334.87273074166217</c:v>
                </c:pt>
                <c:pt idx="709">
                  <c:v>334.83912003193996</c:v>
                </c:pt>
                <c:pt idx="710">
                  <c:v>357.80740966596119</c:v>
                </c:pt>
                <c:pt idx="711">
                  <c:v>349.3094405070396</c:v>
                </c:pt>
                <c:pt idx="712">
                  <c:v>341.16554725031193</c:v>
                </c:pt>
                <c:pt idx="713">
                  <c:v>331.20076305430251</c:v>
                </c:pt>
                <c:pt idx="714">
                  <c:v>309.76710811459975</c:v>
                </c:pt>
                <c:pt idx="715">
                  <c:v>288.85718510131414</c:v>
                </c:pt>
                <c:pt idx="716">
                  <c:v>269.85279453970952</c:v>
                </c:pt>
                <c:pt idx="717">
                  <c:v>248.94568894571472</c:v>
                </c:pt>
                <c:pt idx="718">
                  <c:v>226.97110670579266</c:v>
                </c:pt>
                <c:pt idx="719">
                  <c:v>203.88365337217047</c:v>
                </c:pt>
                <c:pt idx="720">
                  <c:v>182.11535523770038</c:v>
                </c:pt>
                <c:pt idx="721">
                  <c:v>160.50966954852314</c:v>
                </c:pt>
                <c:pt idx="722">
                  <c:v>137.78202572351771</c:v>
                </c:pt>
                <c:pt idx="723">
                  <c:v>112.6352529951596</c:v>
                </c:pt>
                <c:pt idx="724">
                  <c:v>79.894494921983508</c:v>
                </c:pt>
                <c:pt idx="725">
                  <c:v>39.246452433643185</c:v>
                </c:pt>
                <c:pt idx="726">
                  <c:v>2.9315021901786755</c:v>
                </c:pt>
                <c:pt idx="727">
                  <c:v>-36.081968701246453</c:v>
                </c:pt>
                <c:pt idx="728">
                  <c:v>-87.910199159404101</c:v>
                </c:pt>
                <c:pt idx="729">
                  <c:v>-127.308145070287</c:v>
                </c:pt>
                <c:pt idx="730">
                  <c:v>-154.30900807661266</c:v>
                </c:pt>
                <c:pt idx="731">
                  <c:v>-179.17302802419587</c:v>
                </c:pt>
                <c:pt idx="732">
                  <c:v>-205.6337548751099</c:v>
                </c:pt>
                <c:pt idx="733">
                  <c:v>-226.03687905008115</c:v>
                </c:pt>
                <c:pt idx="734">
                  <c:v>-241.18841746610093</c:v>
                </c:pt>
                <c:pt idx="735">
                  <c:v>-255.12370022532323</c:v>
                </c:pt>
                <c:pt idx="736">
                  <c:v>-268.49877505062079</c:v>
                </c:pt>
                <c:pt idx="737">
                  <c:v>-282.04496000663903</c:v>
                </c:pt>
                <c:pt idx="738">
                  <c:v>-296.37814885893067</c:v>
                </c:pt>
                <c:pt idx="739">
                  <c:v>-310.28117445455916</c:v>
                </c:pt>
                <c:pt idx="740">
                  <c:v>-322.52532227372342</c:v>
                </c:pt>
                <c:pt idx="741">
                  <c:v>-333.4542282917688</c:v>
                </c:pt>
                <c:pt idx="742">
                  <c:v>-345.48415775813464</c:v>
                </c:pt>
                <c:pt idx="743">
                  <c:v>-357.97980345778211</c:v>
                </c:pt>
                <c:pt idx="744">
                  <c:v>-359.61054764846921</c:v>
                </c:pt>
                <c:pt idx="745">
                  <c:v>-358.87920867146903</c:v>
                </c:pt>
                <c:pt idx="746">
                  <c:v>-357.80740966596113</c:v>
                </c:pt>
                <c:pt idx="747">
                  <c:v>-349.3094405070396</c:v>
                </c:pt>
                <c:pt idx="748">
                  <c:v>-341.16554725031193</c:v>
                </c:pt>
                <c:pt idx="749">
                  <c:v>-331.20076305430251</c:v>
                </c:pt>
                <c:pt idx="750">
                  <c:v>-309.76710811459975</c:v>
                </c:pt>
                <c:pt idx="751">
                  <c:v>-288.85718510131409</c:v>
                </c:pt>
                <c:pt idx="752">
                  <c:v>-269.85279453970952</c:v>
                </c:pt>
                <c:pt idx="753">
                  <c:v>-248.94568894571486</c:v>
                </c:pt>
                <c:pt idx="754">
                  <c:v>-226.97110670579272</c:v>
                </c:pt>
                <c:pt idx="755">
                  <c:v>-203.88365337217047</c:v>
                </c:pt>
                <c:pt idx="756">
                  <c:v>-182.11535523770044</c:v>
                </c:pt>
                <c:pt idx="757">
                  <c:v>-160.50966954852311</c:v>
                </c:pt>
                <c:pt idx="758">
                  <c:v>-137.78202572351768</c:v>
                </c:pt>
                <c:pt idx="759">
                  <c:v>-112.63525299515976</c:v>
                </c:pt>
                <c:pt idx="760">
                  <c:v>-79.894494921983679</c:v>
                </c:pt>
                <c:pt idx="761">
                  <c:v>-39.246452433643029</c:v>
                </c:pt>
                <c:pt idx="762">
                  <c:v>-2.9315021901785778</c:v>
                </c:pt>
                <c:pt idx="763">
                  <c:v>36.081968701246574</c:v>
                </c:pt>
                <c:pt idx="764">
                  <c:v>87.910199159403973</c:v>
                </c:pt>
                <c:pt idx="765">
                  <c:v>127.30814507028704</c:v>
                </c:pt>
                <c:pt idx="766">
                  <c:v>154.30900807661268</c:v>
                </c:pt>
                <c:pt idx="767">
                  <c:v>179.17302802419576</c:v>
                </c:pt>
                <c:pt idx="768">
                  <c:v>205.63375487510984</c:v>
                </c:pt>
                <c:pt idx="769">
                  <c:v>226.03687905008113</c:v>
                </c:pt>
                <c:pt idx="770">
                  <c:v>241.18841746610096</c:v>
                </c:pt>
                <c:pt idx="771">
                  <c:v>255.12370022532326</c:v>
                </c:pt>
                <c:pt idx="772">
                  <c:v>268.49877505062079</c:v>
                </c:pt>
                <c:pt idx="773">
                  <c:v>282.04496000663914</c:v>
                </c:pt>
                <c:pt idx="774">
                  <c:v>296.37814885893067</c:v>
                </c:pt>
                <c:pt idx="775">
                  <c:v>310.28117445455911</c:v>
                </c:pt>
                <c:pt idx="776">
                  <c:v>322.52532227372342</c:v>
                </c:pt>
                <c:pt idx="777">
                  <c:v>333.4542282917688</c:v>
                </c:pt>
                <c:pt idx="778">
                  <c:v>345.48415775813464</c:v>
                </c:pt>
                <c:pt idx="779">
                  <c:v>357.97980345778211</c:v>
                </c:pt>
                <c:pt idx="780">
                  <c:v>359.61054764846921</c:v>
                </c:pt>
                <c:pt idx="781">
                  <c:v>380.96880292047308</c:v>
                </c:pt>
                <c:pt idx="782">
                  <c:v>373.02939338906981</c:v>
                </c:pt>
                <c:pt idx="783">
                  <c:v>353.20013602708372</c:v>
                </c:pt>
                <c:pt idx="784">
                  <c:v>332.14371375542987</c:v>
                </c:pt>
                <c:pt idx="785">
                  <c:v>312.85676295394126</c:v>
                </c:pt>
                <c:pt idx="786">
                  <c:v>294.53389330526602</c:v>
                </c:pt>
                <c:pt idx="787">
                  <c:v>276.56812214145839</c:v>
                </c:pt>
                <c:pt idx="788">
                  <c:v>256.55654596978553</c:v>
                </c:pt>
                <c:pt idx="789">
                  <c:v>231.47590881943236</c:v>
                </c:pt>
                <c:pt idx="790">
                  <c:v>207.8034571911947</c:v>
                </c:pt>
                <c:pt idx="791">
                  <c:v>185.0541817110624</c:v>
                </c:pt>
                <c:pt idx="792">
                  <c:v>161.14556891711209</c:v>
                </c:pt>
                <c:pt idx="793">
                  <c:v>136.19481774179414</c:v>
                </c:pt>
                <c:pt idx="794">
                  <c:v>108.24646689334698</c:v>
                </c:pt>
                <c:pt idx="795">
                  <c:v>75.865343398638458</c:v>
                </c:pt>
                <c:pt idx="796">
                  <c:v>34.496343096037783</c:v>
                </c:pt>
                <c:pt idx="797">
                  <c:v>-5.9017357979571674</c:v>
                </c:pt>
                <c:pt idx="798">
                  <c:v>-41.259113892201398</c:v>
                </c:pt>
                <c:pt idx="799">
                  <c:v>-89.056326375374596</c:v>
                </c:pt>
                <c:pt idx="800">
                  <c:v>-122.87903716294765</c:v>
                </c:pt>
                <c:pt idx="801">
                  <c:v>-148.0974414471564</c:v>
                </c:pt>
                <c:pt idx="802">
                  <c:v>-176.02049186280817</c:v>
                </c:pt>
                <c:pt idx="803">
                  <c:v>-202.81727051361807</c:v>
                </c:pt>
                <c:pt idx="804">
                  <c:v>-223.05358304903081</c:v>
                </c:pt>
                <c:pt idx="805">
                  <c:v>-240.73186586856892</c:v>
                </c:pt>
                <c:pt idx="806">
                  <c:v>-256.55615116297071</c:v>
                </c:pt>
                <c:pt idx="807">
                  <c:v>-271.70399123519218</c:v>
                </c:pt>
                <c:pt idx="808">
                  <c:v>-285.76366873712158</c:v>
                </c:pt>
                <c:pt idx="809">
                  <c:v>-300.22311954165622</c:v>
                </c:pt>
                <c:pt idx="810">
                  <c:v>-315.24375043331179</c:v>
                </c:pt>
                <c:pt idx="811">
                  <c:v>-326.68042948434118</c:v>
                </c:pt>
                <c:pt idx="812">
                  <c:v>-337.40556919491002</c:v>
                </c:pt>
                <c:pt idx="813">
                  <c:v>-347.6359019258831</c:v>
                </c:pt>
                <c:pt idx="814">
                  <c:v>-358.41787561469573</c:v>
                </c:pt>
                <c:pt idx="815">
                  <c:v>-370.23911019030118</c:v>
                </c:pt>
                <c:pt idx="816">
                  <c:v>-382.23130809986492</c:v>
                </c:pt>
                <c:pt idx="817">
                  <c:v>-380.96880292047319</c:v>
                </c:pt>
                <c:pt idx="818">
                  <c:v>-373.02939338906981</c:v>
                </c:pt>
                <c:pt idx="819">
                  <c:v>-353.20013602708377</c:v>
                </c:pt>
                <c:pt idx="820">
                  <c:v>-332.14371375542987</c:v>
                </c:pt>
                <c:pt idx="821">
                  <c:v>-312.85676295394126</c:v>
                </c:pt>
                <c:pt idx="822">
                  <c:v>-294.53389330526596</c:v>
                </c:pt>
                <c:pt idx="823">
                  <c:v>-276.5681221414585</c:v>
                </c:pt>
                <c:pt idx="824">
                  <c:v>-256.55654596978565</c:v>
                </c:pt>
                <c:pt idx="825">
                  <c:v>-231.47590881943233</c:v>
                </c:pt>
                <c:pt idx="826">
                  <c:v>-207.80345719119467</c:v>
                </c:pt>
                <c:pt idx="827">
                  <c:v>-185.05418171106237</c:v>
                </c:pt>
                <c:pt idx="828">
                  <c:v>-161.14556891711203</c:v>
                </c:pt>
                <c:pt idx="829">
                  <c:v>-136.1948177417942</c:v>
                </c:pt>
                <c:pt idx="830">
                  <c:v>-108.24646689334715</c:v>
                </c:pt>
                <c:pt idx="831">
                  <c:v>-75.8653433986387</c:v>
                </c:pt>
                <c:pt idx="832">
                  <c:v>-34.496343096037656</c:v>
                </c:pt>
                <c:pt idx="833">
                  <c:v>5.9017357979572491</c:v>
                </c:pt>
                <c:pt idx="834">
                  <c:v>41.259113892201533</c:v>
                </c:pt>
                <c:pt idx="835">
                  <c:v>89.056326375374468</c:v>
                </c:pt>
                <c:pt idx="836">
                  <c:v>122.87903716294765</c:v>
                </c:pt>
                <c:pt idx="837">
                  <c:v>148.0974414471564</c:v>
                </c:pt>
                <c:pt idx="838">
                  <c:v>176.02049186280809</c:v>
                </c:pt>
                <c:pt idx="839">
                  <c:v>202.81727051361801</c:v>
                </c:pt>
                <c:pt idx="840">
                  <c:v>223.05358304903083</c:v>
                </c:pt>
                <c:pt idx="841">
                  <c:v>240.73186586856909</c:v>
                </c:pt>
                <c:pt idx="842">
                  <c:v>256.55615116297071</c:v>
                </c:pt>
                <c:pt idx="843">
                  <c:v>271.70399123519201</c:v>
                </c:pt>
                <c:pt idx="844">
                  <c:v>285.76366873712152</c:v>
                </c:pt>
                <c:pt idx="845">
                  <c:v>300.22311954165616</c:v>
                </c:pt>
                <c:pt idx="846">
                  <c:v>315.24375043331179</c:v>
                </c:pt>
                <c:pt idx="847">
                  <c:v>326.68042948434118</c:v>
                </c:pt>
                <c:pt idx="848">
                  <c:v>337.40556919490984</c:v>
                </c:pt>
                <c:pt idx="849">
                  <c:v>347.6359019258831</c:v>
                </c:pt>
                <c:pt idx="850">
                  <c:v>358.41787561469579</c:v>
                </c:pt>
                <c:pt idx="851">
                  <c:v>370.23911019030112</c:v>
                </c:pt>
                <c:pt idx="852">
                  <c:v>391.64046080639957</c:v>
                </c:pt>
                <c:pt idx="853">
                  <c:v>368.5589671146866</c:v>
                </c:pt>
                <c:pt idx="854">
                  <c:v>348.21461404956824</c:v>
                </c:pt>
                <c:pt idx="855">
                  <c:v>330.17580505680951</c:v>
                </c:pt>
                <c:pt idx="856">
                  <c:v>313.19346696913703</c:v>
                </c:pt>
                <c:pt idx="857">
                  <c:v>297.11486056245269</c:v>
                </c:pt>
                <c:pt idx="858">
                  <c:v>277.58864458580138</c:v>
                </c:pt>
                <c:pt idx="859">
                  <c:v>256.52411036593639</c:v>
                </c:pt>
                <c:pt idx="860">
                  <c:v>235.3598409122304</c:v>
                </c:pt>
                <c:pt idx="861">
                  <c:v>209.04977300025203</c:v>
                </c:pt>
                <c:pt idx="862">
                  <c:v>184.03608727193205</c:v>
                </c:pt>
                <c:pt idx="863">
                  <c:v>159.32201017787457</c:v>
                </c:pt>
                <c:pt idx="864">
                  <c:v>133.38918013651673</c:v>
                </c:pt>
                <c:pt idx="865">
                  <c:v>104.5973917867147</c:v>
                </c:pt>
                <c:pt idx="866">
                  <c:v>68.751213097113848</c:v>
                </c:pt>
                <c:pt idx="867">
                  <c:v>31.721772129323721</c:v>
                </c:pt>
                <c:pt idx="868">
                  <c:v>-7.4613506905424618</c:v>
                </c:pt>
                <c:pt idx="869">
                  <c:v>-45.702900139212382</c:v>
                </c:pt>
                <c:pt idx="870">
                  <c:v>-87.563889666584515</c:v>
                </c:pt>
                <c:pt idx="871">
                  <c:v>-117.88535437784537</c:v>
                </c:pt>
                <c:pt idx="872">
                  <c:v>-145.68213195295917</c:v>
                </c:pt>
                <c:pt idx="873">
                  <c:v>-172.90858440067203</c:v>
                </c:pt>
                <c:pt idx="874">
                  <c:v>-197.03922143275619</c:v>
                </c:pt>
                <c:pt idx="875">
                  <c:v>-219.37155933324414</c:v>
                </c:pt>
                <c:pt idx="876">
                  <c:v>-237.54796135334556</c:v>
                </c:pt>
                <c:pt idx="877">
                  <c:v>-253.68730763195552</c:v>
                </c:pt>
                <c:pt idx="878">
                  <c:v>-269.14934360868267</c:v>
                </c:pt>
                <c:pt idx="879">
                  <c:v>-284.8053114824973</c:v>
                </c:pt>
                <c:pt idx="880">
                  <c:v>-301.14372116014442</c:v>
                </c:pt>
                <c:pt idx="881">
                  <c:v>-313.30271295786929</c:v>
                </c:pt>
                <c:pt idx="882">
                  <c:v>-325.34089240368002</c:v>
                </c:pt>
                <c:pt idx="883">
                  <c:v>-336.36859351323739</c:v>
                </c:pt>
                <c:pt idx="884">
                  <c:v>-345.38089056559051</c:v>
                </c:pt>
                <c:pt idx="885">
                  <c:v>-355.82243382848105</c:v>
                </c:pt>
                <c:pt idx="886">
                  <c:v>-366.08444228192474</c:v>
                </c:pt>
                <c:pt idx="887">
                  <c:v>-377.34588844291869</c:v>
                </c:pt>
                <c:pt idx="888">
                  <c:v>-391.64046080639969</c:v>
                </c:pt>
                <c:pt idx="889">
                  <c:v>-368.55896711468654</c:v>
                </c:pt>
                <c:pt idx="890">
                  <c:v>-348.21461404956824</c:v>
                </c:pt>
                <c:pt idx="891">
                  <c:v>-330.17580505680939</c:v>
                </c:pt>
                <c:pt idx="892">
                  <c:v>-313.19346696913703</c:v>
                </c:pt>
                <c:pt idx="893">
                  <c:v>-297.11486056245263</c:v>
                </c:pt>
                <c:pt idx="894">
                  <c:v>-277.58864458580126</c:v>
                </c:pt>
                <c:pt idx="895">
                  <c:v>-256.52411036593634</c:v>
                </c:pt>
                <c:pt idx="896">
                  <c:v>-235.35984091223037</c:v>
                </c:pt>
                <c:pt idx="897">
                  <c:v>-209.04977300025197</c:v>
                </c:pt>
                <c:pt idx="898">
                  <c:v>-184.03608727193202</c:v>
                </c:pt>
                <c:pt idx="899">
                  <c:v>-159.32201017787457</c:v>
                </c:pt>
                <c:pt idx="900">
                  <c:v>-133.38918013651679</c:v>
                </c:pt>
                <c:pt idx="901">
                  <c:v>-104.59739178671484</c:v>
                </c:pt>
                <c:pt idx="902">
                  <c:v>-68.751213097114032</c:v>
                </c:pt>
                <c:pt idx="903">
                  <c:v>-31.7217721293236</c:v>
                </c:pt>
                <c:pt idx="904">
                  <c:v>7.4613506905425862</c:v>
                </c:pt>
                <c:pt idx="905">
                  <c:v>45.702900139212574</c:v>
                </c:pt>
                <c:pt idx="906">
                  <c:v>87.563889666584458</c:v>
                </c:pt>
                <c:pt idx="907">
                  <c:v>117.88535437784549</c:v>
                </c:pt>
                <c:pt idx="908">
                  <c:v>145.68213195295911</c:v>
                </c:pt>
                <c:pt idx="909">
                  <c:v>172.90858440067203</c:v>
                </c:pt>
                <c:pt idx="910">
                  <c:v>197.03922143275619</c:v>
                </c:pt>
                <c:pt idx="911">
                  <c:v>219.37155933324414</c:v>
                </c:pt>
                <c:pt idx="912">
                  <c:v>237.54796135334576</c:v>
                </c:pt>
                <c:pt idx="913">
                  <c:v>253.68730763195563</c:v>
                </c:pt>
                <c:pt idx="914">
                  <c:v>269.14934360868278</c:v>
                </c:pt>
                <c:pt idx="915">
                  <c:v>284.80531148249736</c:v>
                </c:pt>
                <c:pt idx="916">
                  <c:v>301.14372116014437</c:v>
                </c:pt>
                <c:pt idx="917">
                  <c:v>313.3027129578694</c:v>
                </c:pt>
                <c:pt idx="918">
                  <c:v>325.34089240368013</c:v>
                </c:pt>
                <c:pt idx="919">
                  <c:v>336.36859351323756</c:v>
                </c:pt>
                <c:pt idx="920">
                  <c:v>345.38089056559062</c:v>
                </c:pt>
                <c:pt idx="921">
                  <c:v>355.82243382848122</c:v>
                </c:pt>
                <c:pt idx="922">
                  <c:v>366.08444228192474</c:v>
                </c:pt>
                <c:pt idx="923">
                  <c:v>378.0175634928429</c:v>
                </c:pt>
                <c:pt idx="924">
                  <c:v>358.10034281133068</c:v>
                </c:pt>
                <c:pt idx="925">
                  <c:v>340.91589733977611</c:v>
                </c:pt>
                <c:pt idx="926">
                  <c:v>325.05233680739616</c:v>
                </c:pt>
                <c:pt idx="927">
                  <c:v>309.89399040060664</c:v>
                </c:pt>
                <c:pt idx="928">
                  <c:v>292.35889434849764</c:v>
                </c:pt>
                <c:pt idx="929">
                  <c:v>274.39143730052029</c:v>
                </c:pt>
                <c:pt idx="930">
                  <c:v>254.22666413011567</c:v>
                </c:pt>
                <c:pt idx="931">
                  <c:v>232.37672947951782</c:v>
                </c:pt>
                <c:pt idx="932">
                  <c:v>207.83109349150834</c:v>
                </c:pt>
                <c:pt idx="933">
                  <c:v>183.2174316419476</c:v>
                </c:pt>
                <c:pt idx="934">
                  <c:v>157.220613747897</c:v>
                </c:pt>
                <c:pt idx="935">
                  <c:v>130.25887949109153</c:v>
                </c:pt>
                <c:pt idx="936">
                  <c:v>98.834501475407762</c:v>
                </c:pt>
                <c:pt idx="937">
                  <c:v>63.584757752415221</c:v>
                </c:pt>
                <c:pt idx="938">
                  <c:v>29.53519939653879</c:v>
                </c:pt>
                <c:pt idx="939">
                  <c:v>-6.1088838832456345</c:v>
                </c:pt>
                <c:pt idx="940">
                  <c:v>-46.729686937314966</c:v>
                </c:pt>
                <c:pt idx="941">
                  <c:v>-85.137863641351998</c:v>
                </c:pt>
                <c:pt idx="942">
                  <c:v>-113.83702043808688</c:v>
                </c:pt>
                <c:pt idx="943">
                  <c:v>-143.44714875121213</c:v>
                </c:pt>
                <c:pt idx="944">
                  <c:v>-167.6814180797729</c:v>
                </c:pt>
                <c:pt idx="945">
                  <c:v>-190.73446488542214</c:v>
                </c:pt>
                <c:pt idx="946">
                  <c:v>-213.40540453227626</c:v>
                </c:pt>
                <c:pt idx="947">
                  <c:v>-233.08071971717709</c:v>
                </c:pt>
                <c:pt idx="948">
                  <c:v>-250.17949017723942</c:v>
                </c:pt>
                <c:pt idx="949">
                  <c:v>-266.22268141951355</c:v>
                </c:pt>
                <c:pt idx="950">
                  <c:v>-281.09308630427</c:v>
                </c:pt>
                <c:pt idx="951">
                  <c:v>-295.7755700975228</c:v>
                </c:pt>
                <c:pt idx="952">
                  <c:v>-308.56496521012235</c:v>
                </c:pt>
                <c:pt idx="953">
                  <c:v>-320.18472308092237</c:v>
                </c:pt>
                <c:pt idx="954">
                  <c:v>-329.95404537944466</c:v>
                </c:pt>
                <c:pt idx="955">
                  <c:v>-339.33780865733945</c:v>
                </c:pt>
                <c:pt idx="956">
                  <c:v>-347.46077004014052</c:v>
                </c:pt>
                <c:pt idx="957">
                  <c:v>-356.98755127110292</c:v>
                </c:pt>
                <c:pt idx="958">
                  <c:v>-366.60067050763769</c:v>
                </c:pt>
                <c:pt idx="959">
                  <c:v>-378.01756349284284</c:v>
                </c:pt>
                <c:pt idx="960">
                  <c:v>-358.10034281133062</c:v>
                </c:pt>
                <c:pt idx="961">
                  <c:v>-340.91589733977605</c:v>
                </c:pt>
                <c:pt idx="962">
                  <c:v>-325.05233680739593</c:v>
                </c:pt>
                <c:pt idx="963">
                  <c:v>-309.89399040060641</c:v>
                </c:pt>
                <c:pt idx="964">
                  <c:v>-292.35889434849747</c:v>
                </c:pt>
                <c:pt idx="965">
                  <c:v>-274.39143730052018</c:v>
                </c:pt>
                <c:pt idx="966">
                  <c:v>-254.22666413011567</c:v>
                </c:pt>
                <c:pt idx="967">
                  <c:v>-232.37672947951782</c:v>
                </c:pt>
                <c:pt idx="968">
                  <c:v>-207.83109349150826</c:v>
                </c:pt>
                <c:pt idx="969">
                  <c:v>-183.2174316419476</c:v>
                </c:pt>
                <c:pt idx="970">
                  <c:v>-157.22061374789698</c:v>
                </c:pt>
                <c:pt idx="971">
                  <c:v>-130.25887949109148</c:v>
                </c:pt>
                <c:pt idx="972">
                  <c:v>-98.83450147540789</c:v>
                </c:pt>
                <c:pt idx="973">
                  <c:v>-63.584757752415371</c:v>
                </c:pt>
                <c:pt idx="974">
                  <c:v>-29.535199396538655</c:v>
                </c:pt>
                <c:pt idx="975">
                  <c:v>6.108883883245757</c:v>
                </c:pt>
                <c:pt idx="976">
                  <c:v>46.729686937315144</c:v>
                </c:pt>
                <c:pt idx="977">
                  <c:v>85.137863641351984</c:v>
                </c:pt>
                <c:pt idx="978">
                  <c:v>113.83702043808697</c:v>
                </c:pt>
                <c:pt idx="979">
                  <c:v>143.44714875121213</c:v>
                </c:pt>
                <c:pt idx="980">
                  <c:v>167.6814180797729</c:v>
                </c:pt>
                <c:pt idx="981">
                  <c:v>190.73446488542223</c:v>
                </c:pt>
                <c:pt idx="982">
                  <c:v>213.40540453227621</c:v>
                </c:pt>
                <c:pt idx="983">
                  <c:v>233.08071971717732</c:v>
                </c:pt>
                <c:pt idx="984">
                  <c:v>250.1794901772395</c:v>
                </c:pt>
                <c:pt idx="985">
                  <c:v>266.22268141951372</c:v>
                </c:pt>
                <c:pt idx="986">
                  <c:v>281.09308630427</c:v>
                </c:pt>
                <c:pt idx="987">
                  <c:v>295.77557009752286</c:v>
                </c:pt>
                <c:pt idx="988">
                  <c:v>308.56496521012235</c:v>
                </c:pt>
                <c:pt idx="989">
                  <c:v>320.18472308092254</c:v>
                </c:pt>
                <c:pt idx="990">
                  <c:v>329.95404537944478</c:v>
                </c:pt>
                <c:pt idx="991">
                  <c:v>339.33780865733968</c:v>
                </c:pt>
                <c:pt idx="992">
                  <c:v>347.46077004014074</c:v>
                </c:pt>
                <c:pt idx="993">
                  <c:v>356.98755127110303</c:v>
                </c:pt>
                <c:pt idx="994">
                  <c:v>356.0839754666751</c:v>
                </c:pt>
                <c:pt idx="995">
                  <c:v>343.30554963513805</c:v>
                </c:pt>
                <c:pt idx="996">
                  <c:v>329.09311832315183</c:v>
                </c:pt>
                <c:pt idx="997">
                  <c:v>313.7433934158077</c:v>
                </c:pt>
                <c:pt idx="998">
                  <c:v>297.99087370026803</c:v>
                </c:pt>
                <c:pt idx="999">
                  <c:v>281.98309040614413</c:v>
                </c:pt>
                <c:pt idx="1000">
                  <c:v>265.48460514740538</c:v>
                </c:pt>
                <c:pt idx="1001">
                  <c:v>247.9668598881062</c:v>
                </c:pt>
                <c:pt idx="1002">
                  <c:v>228.7275667305654</c:v>
                </c:pt>
                <c:pt idx="1003">
                  <c:v>206.4060577842865</c:v>
                </c:pt>
                <c:pt idx="1004">
                  <c:v>181.12054299649742</c:v>
                </c:pt>
                <c:pt idx="1005">
                  <c:v>155.85076740077429</c:v>
                </c:pt>
                <c:pt idx="1006">
                  <c:v>126.19765945603137</c:v>
                </c:pt>
                <c:pt idx="1007">
                  <c:v>92.413862323175024</c:v>
                </c:pt>
                <c:pt idx="1008">
                  <c:v>58.668112541871949</c:v>
                </c:pt>
                <c:pt idx="1009">
                  <c:v>26.852333329862983</c:v>
                </c:pt>
                <c:pt idx="1010">
                  <c:v>-5.6521463663779086</c:v>
                </c:pt>
                <c:pt idx="1011">
                  <c:v>-41.409498282939971</c:v>
                </c:pt>
                <c:pt idx="1012">
                  <c:v>-81.139211095378741</c:v>
                </c:pt>
                <c:pt idx="1013">
                  <c:v>-111.09713274132888</c:v>
                </c:pt>
                <c:pt idx="1014">
                  <c:v>-137.94651335588966</c:v>
                </c:pt>
                <c:pt idx="1015">
                  <c:v>-161.46602752071612</c:v>
                </c:pt>
                <c:pt idx="1016">
                  <c:v>-184.09854041447116</c:v>
                </c:pt>
                <c:pt idx="1017">
                  <c:v>-206.9222242187906</c:v>
                </c:pt>
                <c:pt idx="1018">
                  <c:v>-228.5870043260517</c:v>
                </c:pt>
                <c:pt idx="1019">
                  <c:v>-246.79172694712608</c:v>
                </c:pt>
                <c:pt idx="1020">
                  <c:v>-261.79917375468199</c:v>
                </c:pt>
                <c:pt idx="1021">
                  <c:v>-276.07941105360317</c:v>
                </c:pt>
                <c:pt idx="1022">
                  <c:v>-289.17219273118315</c:v>
                </c:pt>
                <c:pt idx="1023">
                  <c:v>-299.83041732958736</c:v>
                </c:pt>
                <c:pt idx="1024">
                  <c:v>-309.30758068912832</c:v>
                </c:pt>
                <c:pt idx="1025">
                  <c:v>-318.09826790883471</c:v>
                </c:pt>
                <c:pt idx="1026">
                  <c:v>-326.54872781827697</c:v>
                </c:pt>
                <c:pt idx="1027">
                  <c:v>-334.73191756142171</c:v>
                </c:pt>
                <c:pt idx="1028">
                  <c:v>-342.41284986985517</c:v>
                </c:pt>
                <c:pt idx="1029">
                  <c:v>-349.91176190122025</c:v>
                </c:pt>
                <c:pt idx="1030">
                  <c:v>-356.08397546667504</c:v>
                </c:pt>
                <c:pt idx="1031">
                  <c:v>-343.30554963513788</c:v>
                </c:pt>
                <c:pt idx="1032">
                  <c:v>-329.09311832315177</c:v>
                </c:pt>
                <c:pt idx="1033">
                  <c:v>-313.74339341580759</c:v>
                </c:pt>
                <c:pt idx="1034">
                  <c:v>-297.9908737002678</c:v>
                </c:pt>
                <c:pt idx="1035">
                  <c:v>-281.9830904061439</c:v>
                </c:pt>
                <c:pt idx="1036">
                  <c:v>-265.48460514740526</c:v>
                </c:pt>
                <c:pt idx="1037">
                  <c:v>-247.96685988810617</c:v>
                </c:pt>
                <c:pt idx="1038">
                  <c:v>-228.72756673056531</c:v>
                </c:pt>
                <c:pt idx="1039">
                  <c:v>-206.40605778428656</c:v>
                </c:pt>
                <c:pt idx="1040">
                  <c:v>-181.12054299649745</c:v>
                </c:pt>
                <c:pt idx="1041">
                  <c:v>-155.85076740077429</c:v>
                </c:pt>
                <c:pt idx="1042">
                  <c:v>-126.19765945603133</c:v>
                </c:pt>
                <c:pt idx="1043">
                  <c:v>-92.413862323175067</c:v>
                </c:pt>
                <c:pt idx="1044">
                  <c:v>-58.668112541872077</c:v>
                </c:pt>
                <c:pt idx="1045">
                  <c:v>-26.852333329862876</c:v>
                </c:pt>
                <c:pt idx="1046">
                  <c:v>5.6521463663780311</c:v>
                </c:pt>
                <c:pt idx="1047">
                  <c:v>41.40949828294012</c:v>
                </c:pt>
                <c:pt idx="1048">
                  <c:v>81.139211095378712</c:v>
                </c:pt>
                <c:pt idx="1049">
                  <c:v>111.09713274132896</c:v>
                </c:pt>
                <c:pt idx="1050">
                  <c:v>137.94651335588969</c:v>
                </c:pt>
                <c:pt idx="1051">
                  <c:v>161.46602752071615</c:v>
                </c:pt>
                <c:pt idx="1052">
                  <c:v>184.0985404144711</c:v>
                </c:pt>
                <c:pt idx="1053">
                  <c:v>206.92222421879055</c:v>
                </c:pt>
                <c:pt idx="1054">
                  <c:v>228.58700432605175</c:v>
                </c:pt>
                <c:pt idx="1055">
                  <c:v>246.79172694712616</c:v>
                </c:pt>
                <c:pt idx="1056">
                  <c:v>261.79917375468216</c:v>
                </c:pt>
                <c:pt idx="1057">
                  <c:v>276.07941105360322</c:v>
                </c:pt>
                <c:pt idx="1058">
                  <c:v>289.17219273118326</c:v>
                </c:pt>
                <c:pt idx="1059">
                  <c:v>299.83041732958742</c:v>
                </c:pt>
                <c:pt idx="1060">
                  <c:v>309.30758068912854</c:v>
                </c:pt>
                <c:pt idx="1061">
                  <c:v>318.09826790883477</c:v>
                </c:pt>
                <c:pt idx="1062">
                  <c:v>326.54872781827709</c:v>
                </c:pt>
                <c:pt idx="1063">
                  <c:v>334.73191756142199</c:v>
                </c:pt>
                <c:pt idx="1064">
                  <c:v>342.41284986985528</c:v>
                </c:pt>
                <c:pt idx="1065">
                  <c:v>327.41091390046165</c:v>
                </c:pt>
                <c:pt idx="1066">
                  <c:v>318.66905108634512</c:v>
                </c:pt>
                <c:pt idx="1067">
                  <c:v>307.4950807628918</c:v>
                </c:pt>
                <c:pt idx="1068">
                  <c:v>295.84065832623185</c:v>
                </c:pt>
                <c:pt idx="1069">
                  <c:v>284.75645125381152</c:v>
                </c:pt>
                <c:pt idx="1070">
                  <c:v>272.36832615596353</c:v>
                </c:pt>
                <c:pt idx="1071">
                  <c:v>259.0883065363941</c:v>
                </c:pt>
                <c:pt idx="1072">
                  <c:v>244.43199733445476</c:v>
                </c:pt>
                <c:pt idx="1073">
                  <c:v>227.73074401436719</c:v>
                </c:pt>
                <c:pt idx="1074">
                  <c:v>208.67924431236358</c:v>
                </c:pt>
                <c:pt idx="1075">
                  <c:v>184.38181715790276</c:v>
                </c:pt>
                <c:pt idx="1076">
                  <c:v>156.17940201489478</c:v>
                </c:pt>
                <c:pt idx="1077">
                  <c:v>123.70732840102282</c:v>
                </c:pt>
                <c:pt idx="1078">
                  <c:v>88.883037747924689</c:v>
                </c:pt>
                <c:pt idx="1079">
                  <c:v>57.035749598893489</c:v>
                </c:pt>
                <c:pt idx="1080">
                  <c:v>24.534275649539186</c:v>
                </c:pt>
                <c:pt idx="1081">
                  <c:v>-8.3667933787475413</c:v>
                </c:pt>
                <c:pt idx="1082">
                  <c:v>-41.722233188674608</c:v>
                </c:pt>
                <c:pt idx="1083">
                  <c:v>-79.690959347862091</c:v>
                </c:pt>
                <c:pt idx="1084">
                  <c:v>-109.26409599205006</c:v>
                </c:pt>
                <c:pt idx="1085">
                  <c:v>-134.54637477549747</c:v>
                </c:pt>
                <c:pt idx="1086">
                  <c:v>-159.17389619796387</c:v>
                </c:pt>
                <c:pt idx="1087">
                  <c:v>-182.63116769736939</c:v>
                </c:pt>
                <c:pt idx="1088">
                  <c:v>-204.61377188635191</c:v>
                </c:pt>
                <c:pt idx="1089">
                  <c:v>-227.1545852747636</c:v>
                </c:pt>
                <c:pt idx="1090">
                  <c:v>-246.93085785080279</c:v>
                </c:pt>
                <c:pt idx="1091">
                  <c:v>-263.09398543128776</c:v>
                </c:pt>
                <c:pt idx="1092">
                  <c:v>-276.27549513275073</c:v>
                </c:pt>
                <c:pt idx="1093">
                  <c:v>-286.21081552302257</c:v>
                </c:pt>
                <c:pt idx="1094">
                  <c:v>-294.25459248436448</c:v>
                </c:pt>
                <c:pt idx="1095">
                  <c:v>-300.96281520061359</c:v>
                </c:pt>
                <c:pt idx="1096">
                  <c:v>-306.77839604729388</c:v>
                </c:pt>
                <c:pt idx="1097">
                  <c:v>-312.00696101177277</c:v>
                </c:pt>
                <c:pt idx="1098">
                  <c:v>-316.56718666053234</c:v>
                </c:pt>
                <c:pt idx="1099">
                  <c:v>-321.23389247075892</c:v>
                </c:pt>
                <c:pt idx="1100">
                  <c:v>-325.29157618196308</c:v>
                </c:pt>
                <c:pt idx="1101">
                  <c:v>-327.41091390046176</c:v>
                </c:pt>
                <c:pt idx="1102">
                  <c:v>-318.66905108634501</c:v>
                </c:pt>
                <c:pt idx="1103">
                  <c:v>-307.49508076289175</c:v>
                </c:pt>
                <c:pt idx="1104">
                  <c:v>-295.84065832623168</c:v>
                </c:pt>
                <c:pt idx="1105">
                  <c:v>-284.75645125381141</c:v>
                </c:pt>
                <c:pt idx="1106">
                  <c:v>-272.36832615596342</c:v>
                </c:pt>
                <c:pt idx="1107">
                  <c:v>-259.08830653639387</c:v>
                </c:pt>
                <c:pt idx="1108">
                  <c:v>-244.43199733445473</c:v>
                </c:pt>
                <c:pt idx="1109">
                  <c:v>-227.73074401436713</c:v>
                </c:pt>
                <c:pt idx="1110">
                  <c:v>-208.67924431236347</c:v>
                </c:pt>
                <c:pt idx="1111">
                  <c:v>-184.38181715790267</c:v>
                </c:pt>
                <c:pt idx="1112">
                  <c:v>-156.17940201489475</c:v>
                </c:pt>
                <c:pt idx="1113">
                  <c:v>-123.70732840102279</c:v>
                </c:pt>
                <c:pt idx="1114">
                  <c:v>-88.883037747924774</c:v>
                </c:pt>
                <c:pt idx="1115">
                  <c:v>-57.035749598893581</c:v>
                </c:pt>
                <c:pt idx="1116">
                  <c:v>-24.534275649539051</c:v>
                </c:pt>
                <c:pt idx="1117">
                  <c:v>8.3667933787476834</c:v>
                </c:pt>
                <c:pt idx="1118">
                  <c:v>41.722233188674799</c:v>
                </c:pt>
                <c:pt idx="1119">
                  <c:v>79.690959347862091</c:v>
                </c:pt>
                <c:pt idx="1120">
                  <c:v>109.26409599205014</c:v>
                </c:pt>
                <c:pt idx="1121">
                  <c:v>134.54637477549753</c:v>
                </c:pt>
                <c:pt idx="1122">
                  <c:v>159.17389619796387</c:v>
                </c:pt>
                <c:pt idx="1123">
                  <c:v>182.63116769736939</c:v>
                </c:pt>
                <c:pt idx="1124">
                  <c:v>204.61377188635188</c:v>
                </c:pt>
                <c:pt idx="1125">
                  <c:v>227.15458527476386</c:v>
                </c:pt>
                <c:pt idx="1126">
                  <c:v>246.93085785080288</c:v>
                </c:pt>
                <c:pt idx="1127">
                  <c:v>263.09398543128776</c:v>
                </c:pt>
                <c:pt idx="1128">
                  <c:v>276.27549513275079</c:v>
                </c:pt>
                <c:pt idx="1129">
                  <c:v>286.21081552302257</c:v>
                </c:pt>
                <c:pt idx="1130">
                  <c:v>294.25459248436459</c:v>
                </c:pt>
                <c:pt idx="1131">
                  <c:v>300.9628152006137</c:v>
                </c:pt>
                <c:pt idx="1132">
                  <c:v>306.778396047294</c:v>
                </c:pt>
                <c:pt idx="1133">
                  <c:v>312.00696101177294</c:v>
                </c:pt>
                <c:pt idx="1134">
                  <c:v>316.56718666053251</c:v>
                </c:pt>
                <c:pt idx="1135">
                  <c:v>321.23389247075897</c:v>
                </c:pt>
                <c:pt idx="1136">
                  <c:v>317.70215514074192</c:v>
                </c:pt>
                <c:pt idx="1137">
                  <c:v>310.97030938131053</c:v>
                </c:pt>
                <c:pt idx="1138">
                  <c:v>301.75500516268738</c:v>
                </c:pt>
                <c:pt idx="1139">
                  <c:v>291.15547726793585</c:v>
                </c:pt>
                <c:pt idx="1140">
                  <c:v>280.10575780209871</c:v>
                </c:pt>
                <c:pt idx="1141">
                  <c:v>269.28501246701614</c:v>
                </c:pt>
                <c:pt idx="1142">
                  <c:v>256.74358658332631</c:v>
                </c:pt>
                <c:pt idx="1143">
                  <c:v>242.8128613893831</c:v>
                </c:pt>
                <c:pt idx="1144">
                  <c:v>227.42917000810345</c:v>
                </c:pt>
                <c:pt idx="1145">
                  <c:v>208.4482969548348</c:v>
                </c:pt>
                <c:pt idx="1146">
                  <c:v>184.89661573217302</c:v>
                </c:pt>
                <c:pt idx="1147">
                  <c:v>154.30494239760947</c:v>
                </c:pt>
                <c:pt idx="1148">
                  <c:v>120.25319070672325</c:v>
                </c:pt>
                <c:pt idx="1149">
                  <c:v>87.136541962150503</c:v>
                </c:pt>
                <c:pt idx="1150">
                  <c:v>54.591872510655037</c:v>
                </c:pt>
                <c:pt idx="1151">
                  <c:v>22.729148082456884</c:v>
                </c:pt>
                <c:pt idx="1152">
                  <c:v>-9.4052088470352722</c:v>
                </c:pt>
                <c:pt idx="1153">
                  <c:v>-42.944205047663978</c:v>
                </c:pt>
                <c:pt idx="1154">
                  <c:v>-78.289045771094521</c:v>
                </c:pt>
                <c:pt idx="1155">
                  <c:v>-106.01643695260064</c:v>
                </c:pt>
                <c:pt idx="1156">
                  <c:v>-132.21847036897017</c:v>
                </c:pt>
                <c:pt idx="1157">
                  <c:v>-156.64699959122709</c:v>
                </c:pt>
                <c:pt idx="1158">
                  <c:v>-179.92503106202636</c:v>
                </c:pt>
                <c:pt idx="1159">
                  <c:v>-202.4480468322804</c:v>
                </c:pt>
                <c:pt idx="1160">
                  <c:v>-224.07776418044804</c:v>
                </c:pt>
                <c:pt idx="1161">
                  <c:v>-244.72075014528087</c:v>
                </c:pt>
                <c:pt idx="1162">
                  <c:v>-262.18748762133583</c:v>
                </c:pt>
                <c:pt idx="1163">
                  <c:v>-274.67846639183057</c:v>
                </c:pt>
                <c:pt idx="1164">
                  <c:v>-284.05944424172117</c:v>
                </c:pt>
                <c:pt idx="1165">
                  <c:v>-291.41573320782055</c:v>
                </c:pt>
                <c:pt idx="1166">
                  <c:v>-297.49103946297919</c:v>
                </c:pt>
                <c:pt idx="1167">
                  <c:v>-302.67340884063867</c:v>
                </c:pt>
                <c:pt idx="1168">
                  <c:v>-306.93411733252259</c:v>
                </c:pt>
                <c:pt idx="1169">
                  <c:v>-311.11784566455862</c:v>
                </c:pt>
                <c:pt idx="1170">
                  <c:v>-314.8829308889409</c:v>
                </c:pt>
                <c:pt idx="1171">
                  <c:v>-317.27105273889595</c:v>
                </c:pt>
                <c:pt idx="1172">
                  <c:v>-317.70215514074192</c:v>
                </c:pt>
                <c:pt idx="1173">
                  <c:v>-310.97030938131041</c:v>
                </c:pt>
                <c:pt idx="1174">
                  <c:v>-301.75500516268733</c:v>
                </c:pt>
                <c:pt idx="1175">
                  <c:v>-291.15547726793574</c:v>
                </c:pt>
                <c:pt idx="1176">
                  <c:v>-280.10575780209859</c:v>
                </c:pt>
                <c:pt idx="1177">
                  <c:v>-269.28501246701609</c:v>
                </c:pt>
                <c:pt idx="1178">
                  <c:v>-256.74358658332619</c:v>
                </c:pt>
                <c:pt idx="1179">
                  <c:v>-242.8128613893831</c:v>
                </c:pt>
                <c:pt idx="1180">
                  <c:v>-227.42917000810337</c:v>
                </c:pt>
                <c:pt idx="1181">
                  <c:v>-208.4482969548348</c:v>
                </c:pt>
                <c:pt idx="1182">
                  <c:v>-184.89661573217302</c:v>
                </c:pt>
                <c:pt idx="1183">
                  <c:v>-154.30494239760935</c:v>
                </c:pt>
                <c:pt idx="1184">
                  <c:v>-120.25319070672325</c:v>
                </c:pt>
                <c:pt idx="1185">
                  <c:v>-87.136541962150545</c:v>
                </c:pt>
                <c:pt idx="1186">
                  <c:v>-54.591872510655101</c:v>
                </c:pt>
                <c:pt idx="1187">
                  <c:v>-22.729148082456735</c:v>
                </c:pt>
                <c:pt idx="1188">
                  <c:v>9.4052088470354782</c:v>
                </c:pt>
                <c:pt idx="1189">
                  <c:v>42.944205047664205</c:v>
                </c:pt>
                <c:pt idx="1190">
                  <c:v>78.289045771094536</c:v>
                </c:pt>
                <c:pt idx="1191">
                  <c:v>106.01643695260078</c:v>
                </c:pt>
                <c:pt idx="1192">
                  <c:v>132.21847036897023</c:v>
                </c:pt>
                <c:pt idx="1193">
                  <c:v>156.64699959122714</c:v>
                </c:pt>
                <c:pt idx="1194">
                  <c:v>179.92503106202636</c:v>
                </c:pt>
                <c:pt idx="1195">
                  <c:v>202.44804683228037</c:v>
                </c:pt>
                <c:pt idx="1196">
                  <c:v>224.07776418044827</c:v>
                </c:pt>
                <c:pt idx="1197">
                  <c:v>244.72075014528104</c:v>
                </c:pt>
                <c:pt idx="1198">
                  <c:v>262.18748762133589</c:v>
                </c:pt>
                <c:pt idx="1199">
                  <c:v>274.67846639183057</c:v>
                </c:pt>
                <c:pt idx="1200">
                  <c:v>284.05944424172122</c:v>
                </c:pt>
                <c:pt idx="1201">
                  <c:v>291.41573320782055</c:v>
                </c:pt>
                <c:pt idx="1202">
                  <c:v>297.4910394629793</c:v>
                </c:pt>
                <c:pt idx="1203">
                  <c:v>302.67340884063873</c:v>
                </c:pt>
                <c:pt idx="1204">
                  <c:v>306.93411733252265</c:v>
                </c:pt>
                <c:pt idx="1205">
                  <c:v>311.11784566455873</c:v>
                </c:pt>
                <c:pt idx="1206">
                  <c:v>314.88293088894096</c:v>
                </c:pt>
                <c:pt idx="1207">
                  <c:v>307.92188403812565</c:v>
                </c:pt>
                <c:pt idx="1208">
                  <c:v>301.91071584997934</c:v>
                </c:pt>
                <c:pt idx="1209">
                  <c:v>294.34318427650879</c:v>
                </c:pt>
                <c:pt idx="1210">
                  <c:v>285.16280388040173</c:v>
                </c:pt>
                <c:pt idx="1211">
                  <c:v>274.76788687902462</c:v>
                </c:pt>
                <c:pt idx="1212">
                  <c:v>263.78165388750534</c:v>
                </c:pt>
                <c:pt idx="1213">
                  <c:v>251.85019664429123</c:v>
                </c:pt>
                <c:pt idx="1214">
                  <c:v>239.82240355835251</c:v>
                </c:pt>
                <c:pt idx="1215">
                  <c:v>224.42485786385095</c:v>
                </c:pt>
                <c:pt idx="1216">
                  <c:v>206.00014419785768</c:v>
                </c:pt>
                <c:pt idx="1217">
                  <c:v>183.0083195337225</c:v>
                </c:pt>
                <c:pt idx="1218">
                  <c:v>152.83161364581539</c:v>
                </c:pt>
                <c:pt idx="1219">
                  <c:v>115.96315241662403</c:v>
                </c:pt>
                <c:pt idx="1220">
                  <c:v>84.665106572112506</c:v>
                </c:pt>
                <c:pt idx="1221">
                  <c:v>52.468117484711939</c:v>
                </c:pt>
                <c:pt idx="1222">
                  <c:v>21.248284016772704</c:v>
                </c:pt>
                <c:pt idx="1223">
                  <c:v>-9.994324957391461</c:v>
                </c:pt>
                <c:pt idx="1224">
                  <c:v>-42.573340795692687</c:v>
                </c:pt>
                <c:pt idx="1225">
                  <c:v>-76.647716483097412</c:v>
                </c:pt>
                <c:pt idx="1226">
                  <c:v>-103.78122128526644</c:v>
                </c:pt>
                <c:pt idx="1227">
                  <c:v>-129.53801585523362</c:v>
                </c:pt>
                <c:pt idx="1228">
                  <c:v>-153.38608306435293</c:v>
                </c:pt>
                <c:pt idx="1229">
                  <c:v>-176.31090746405249</c:v>
                </c:pt>
                <c:pt idx="1230">
                  <c:v>-198.81361299390807</c:v>
                </c:pt>
                <c:pt idx="1231">
                  <c:v>-219.41187536666285</c:v>
                </c:pt>
                <c:pt idx="1232">
                  <c:v>-241.93195624051785</c:v>
                </c:pt>
                <c:pt idx="1233">
                  <c:v>-258.96450748792529</c:v>
                </c:pt>
                <c:pt idx="1234">
                  <c:v>-270.94911980911229</c:v>
                </c:pt>
                <c:pt idx="1235">
                  <c:v>-279.83933868786698</c:v>
                </c:pt>
                <c:pt idx="1236">
                  <c:v>-286.73898482936443</c:v>
                </c:pt>
                <c:pt idx="1237">
                  <c:v>-292.01827355238373</c:v>
                </c:pt>
                <c:pt idx="1238">
                  <c:v>-296.69287771617849</c:v>
                </c:pt>
                <c:pt idx="1239">
                  <c:v>-300.75487837223397</c:v>
                </c:pt>
                <c:pt idx="1240">
                  <c:v>-304.41108905533241</c:v>
                </c:pt>
                <c:pt idx="1241">
                  <c:v>-306.894433134086</c:v>
                </c:pt>
                <c:pt idx="1242">
                  <c:v>-308.05751306488895</c:v>
                </c:pt>
                <c:pt idx="1243">
                  <c:v>-307.9218840381256</c:v>
                </c:pt>
                <c:pt idx="1244">
                  <c:v>-301.91071584997923</c:v>
                </c:pt>
                <c:pt idx="1245">
                  <c:v>-294.34318427650885</c:v>
                </c:pt>
                <c:pt idx="1246">
                  <c:v>-285.16280388040167</c:v>
                </c:pt>
                <c:pt idx="1247">
                  <c:v>-274.7678868790245</c:v>
                </c:pt>
                <c:pt idx="1248">
                  <c:v>-263.78165388750512</c:v>
                </c:pt>
                <c:pt idx="1249">
                  <c:v>-251.85019664429117</c:v>
                </c:pt>
                <c:pt idx="1250">
                  <c:v>-239.82240355835251</c:v>
                </c:pt>
                <c:pt idx="1251">
                  <c:v>-224.42485786385095</c:v>
                </c:pt>
                <c:pt idx="1252">
                  <c:v>-206.00014419785771</c:v>
                </c:pt>
                <c:pt idx="1253">
                  <c:v>-183.00831953372247</c:v>
                </c:pt>
                <c:pt idx="1254">
                  <c:v>-152.83161364581531</c:v>
                </c:pt>
                <c:pt idx="1255">
                  <c:v>-115.96315241662398</c:v>
                </c:pt>
                <c:pt idx="1256">
                  <c:v>-84.665106572112563</c:v>
                </c:pt>
                <c:pt idx="1257">
                  <c:v>-52.468117484712018</c:v>
                </c:pt>
                <c:pt idx="1258">
                  <c:v>-21.248284016772526</c:v>
                </c:pt>
                <c:pt idx="1259">
                  <c:v>9.9943249573916209</c:v>
                </c:pt>
                <c:pt idx="1260">
                  <c:v>42.573340795692907</c:v>
                </c:pt>
                <c:pt idx="1261">
                  <c:v>76.647716483097426</c:v>
                </c:pt>
                <c:pt idx="1262">
                  <c:v>103.78122128526655</c:v>
                </c:pt>
                <c:pt idx="1263">
                  <c:v>129.53801585523368</c:v>
                </c:pt>
                <c:pt idx="1264">
                  <c:v>153.38608306435299</c:v>
                </c:pt>
                <c:pt idx="1265">
                  <c:v>176.31090746405252</c:v>
                </c:pt>
                <c:pt idx="1266">
                  <c:v>198.81361299390809</c:v>
                </c:pt>
                <c:pt idx="1267">
                  <c:v>219.41187536666308</c:v>
                </c:pt>
                <c:pt idx="1268">
                  <c:v>241.93195624051791</c:v>
                </c:pt>
                <c:pt idx="1269">
                  <c:v>258.96450748792535</c:v>
                </c:pt>
                <c:pt idx="1270">
                  <c:v>270.94911980911223</c:v>
                </c:pt>
                <c:pt idx="1271">
                  <c:v>279.8393386878671</c:v>
                </c:pt>
                <c:pt idx="1272">
                  <c:v>286.73898482936448</c:v>
                </c:pt>
                <c:pt idx="1273">
                  <c:v>292.01827355238385</c:v>
                </c:pt>
                <c:pt idx="1274">
                  <c:v>296.69287771617866</c:v>
                </c:pt>
                <c:pt idx="1275">
                  <c:v>300.75487837223415</c:v>
                </c:pt>
                <c:pt idx="1276">
                  <c:v>304.41108905533247</c:v>
                </c:pt>
                <c:pt idx="1277">
                  <c:v>306.89443313408611</c:v>
                </c:pt>
                <c:pt idx="1278">
                  <c:v>296.92107169365886</c:v>
                </c:pt>
                <c:pt idx="1279">
                  <c:v>291.50216555489885</c:v>
                </c:pt>
                <c:pt idx="1280">
                  <c:v>285.42784966006707</c:v>
                </c:pt>
                <c:pt idx="1281">
                  <c:v>276.99102850399987</c:v>
                </c:pt>
                <c:pt idx="1282">
                  <c:v>267.65024634731958</c:v>
                </c:pt>
                <c:pt idx="1283">
                  <c:v>257.54557383193327</c:v>
                </c:pt>
                <c:pt idx="1284">
                  <c:v>246.0755955998539</c:v>
                </c:pt>
                <c:pt idx="1285">
                  <c:v>233.17410171352404</c:v>
                </c:pt>
                <c:pt idx="1286">
                  <c:v>219.07109834890392</c:v>
                </c:pt>
                <c:pt idx="1287">
                  <c:v>201.04347978916692</c:v>
                </c:pt>
                <c:pt idx="1288">
                  <c:v>178.43914780398569</c:v>
                </c:pt>
                <c:pt idx="1289">
                  <c:v>148.88719379695709</c:v>
                </c:pt>
                <c:pt idx="1290">
                  <c:v>115.55266845012987</c:v>
                </c:pt>
                <c:pt idx="1291">
                  <c:v>83.039525905264227</c:v>
                </c:pt>
                <c:pt idx="1292">
                  <c:v>51.127808429233312</c:v>
                </c:pt>
                <c:pt idx="1293">
                  <c:v>20.304280536618702</c:v>
                </c:pt>
                <c:pt idx="1294">
                  <c:v>-10.389194703129339</c:v>
                </c:pt>
                <c:pt idx="1295">
                  <c:v>-41.992715275026278</c:v>
                </c:pt>
                <c:pt idx="1296">
                  <c:v>-74.519084770398607</c:v>
                </c:pt>
                <c:pt idx="1297">
                  <c:v>-100.77815501057272</c:v>
                </c:pt>
                <c:pt idx="1298">
                  <c:v>-125.8585483233399</c:v>
                </c:pt>
                <c:pt idx="1299">
                  <c:v>-149.49180367380376</c:v>
                </c:pt>
                <c:pt idx="1300">
                  <c:v>-172.28576259024138</c:v>
                </c:pt>
                <c:pt idx="1301">
                  <c:v>-194.71853421676144</c:v>
                </c:pt>
                <c:pt idx="1302">
                  <c:v>-216.10093785940944</c:v>
                </c:pt>
                <c:pt idx="1303">
                  <c:v>-236.5835008748337</c:v>
                </c:pt>
                <c:pt idx="1304">
                  <c:v>-253.14327868426454</c:v>
                </c:pt>
                <c:pt idx="1305">
                  <c:v>-264.79247189052165</c:v>
                </c:pt>
                <c:pt idx="1306">
                  <c:v>-273.34834435000704</c:v>
                </c:pt>
                <c:pt idx="1307">
                  <c:v>-279.50088099063333</c:v>
                </c:pt>
                <c:pt idx="1308">
                  <c:v>-284.72222673603176</c:v>
                </c:pt>
                <c:pt idx="1309">
                  <c:v>-289.03131476109922</c:v>
                </c:pt>
                <c:pt idx="1310">
                  <c:v>-292.8530473818663</c:v>
                </c:pt>
                <c:pt idx="1311">
                  <c:v>-295.56659109979586</c:v>
                </c:pt>
                <c:pt idx="1312">
                  <c:v>-297.44344192477757</c:v>
                </c:pt>
                <c:pt idx="1313">
                  <c:v>-297.50636948842589</c:v>
                </c:pt>
                <c:pt idx="1314">
                  <c:v>-296.92107169365875</c:v>
                </c:pt>
                <c:pt idx="1315">
                  <c:v>-291.50216555489862</c:v>
                </c:pt>
                <c:pt idx="1316">
                  <c:v>-285.42784966006707</c:v>
                </c:pt>
                <c:pt idx="1317">
                  <c:v>-276.9910285039997</c:v>
                </c:pt>
                <c:pt idx="1318">
                  <c:v>-267.65024634731941</c:v>
                </c:pt>
                <c:pt idx="1319">
                  <c:v>-257.5455738319331</c:v>
                </c:pt>
                <c:pt idx="1320">
                  <c:v>-246.07559559985381</c:v>
                </c:pt>
                <c:pt idx="1321">
                  <c:v>-233.17410171352395</c:v>
                </c:pt>
                <c:pt idx="1322">
                  <c:v>-219.07109834890377</c:v>
                </c:pt>
                <c:pt idx="1323">
                  <c:v>-201.04347978916687</c:v>
                </c:pt>
                <c:pt idx="1324">
                  <c:v>-178.43914780398558</c:v>
                </c:pt>
                <c:pt idx="1325">
                  <c:v>-148.88719379695698</c:v>
                </c:pt>
                <c:pt idx="1326">
                  <c:v>-115.55266845012981</c:v>
                </c:pt>
                <c:pt idx="1327">
                  <c:v>-83.039525905264199</c:v>
                </c:pt>
                <c:pt idx="1328">
                  <c:v>-51.127808429233362</c:v>
                </c:pt>
                <c:pt idx="1329">
                  <c:v>-20.304280536618467</c:v>
                </c:pt>
                <c:pt idx="1330">
                  <c:v>10.389194703129506</c:v>
                </c:pt>
                <c:pt idx="1331">
                  <c:v>41.992715275026562</c:v>
                </c:pt>
                <c:pt idx="1332">
                  <c:v>74.519084770398635</c:v>
                </c:pt>
                <c:pt idx="1333">
                  <c:v>100.77815501057285</c:v>
                </c:pt>
                <c:pt idx="1334">
                  <c:v>125.85854832333995</c:v>
                </c:pt>
                <c:pt idx="1335">
                  <c:v>149.49180367380382</c:v>
                </c:pt>
                <c:pt idx="1336">
                  <c:v>172.28576259024135</c:v>
                </c:pt>
                <c:pt idx="1337">
                  <c:v>194.71853421676138</c:v>
                </c:pt>
                <c:pt idx="1338">
                  <c:v>216.10093785940961</c:v>
                </c:pt>
                <c:pt idx="1339">
                  <c:v>236.58350087483382</c:v>
                </c:pt>
                <c:pt idx="1340">
                  <c:v>253.14327868426452</c:v>
                </c:pt>
                <c:pt idx="1341">
                  <c:v>264.79247189052177</c:v>
                </c:pt>
                <c:pt idx="1342">
                  <c:v>273.3483443500071</c:v>
                </c:pt>
                <c:pt idx="1343">
                  <c:v>279.5008809906335</c:v>
                </c:pt>
                <c:pt idx="1344">
                  <c:v>284.72222673603193</c:v>
                </c:pt>
                <c:pt idx="1345">
                  <c:v>289.0313147610994</c:v>
                </c:pt>
                <c:pt idx="1346">
                  <c:v>292.85304738186647</c:v>
                </c:pt>
                <c:pt idx="1347">
                  <c:v>295.56659109979609</c:v>
                </c:pt>
                <c:pt idx="1348">
                  <c:v>297.44344192477763</c:v>
                </c:pt>
                <c:pt idx="1349">
                  <c:v>284.31791231699549</c:v>
                </c:pt>
                <c:pt idx="1350">
                  <c:v>279.36490488041176</c:v>
                </c:pt>
                <c:pt idx="1351">
                  <c:v>274.11208659982111</c:v>
                </c:pt>
                <c:pt idx="1352">
                  <c:v>266.92666785168058</c:v>
                </c:pt>
                <c:pt idx="1353">
                  <c:v>258.47513752975766</c:v>
                </c:pt>
                <c:pt idx="1354">
                  <c:v>248.58204432363718</c:v>
                </c:pt>
                <c:pt idx="1355">
                  <c:v>237.42682103834633</c:v>
                </c:pt>
                <c:pt idx="1356">
                  <c:v>224.81491657080588</c:v>
                </c:pt>
                <c:pt idx="1357">
                  <c:v>210.10554624564628</c:v>
                </c:pt>
                <c:pt idx="1358">
                  <c:v>192.33501531489841</c:v>
                </c:pt>
                <c:pt idx="1359">
                  <c:v>170.92017762018963</c:v>
                </c:pt>
                <c:pt idx="1360">
                  <c:v>144.83863501171007</c:v>
                </c:pt>
                <c:pt idx="1361">
                  <c:v>114.35180314941883</c:v>
                </c:pt>
                <c:pt idx="1362">
                  <c:v>80.854964320327454</c:v>
                </c:pt>
                <c:pt idx="1363">
                  <c:v>50.638844381151635</c:v>
                </c:pt>
                <c:pt idx="1364">
                  <c:v>20.144411710826994</c:v>
                </c:pt>
                <c:pt idx="1365">
                  <c:v>-10.08189946763582</c:v>
                </c:pt>
                <c:pt idx="1366">
                  <c:v>-39.770706638426688</c:v>
                </c:pt>
                <c:pt idx="1367">
                  <c:v>-71.3802956605698</c:v>
                </c:pt>
                <c:pt idx="1368">
                  <c:v>-98.127099846691678</c:v>
                </c:pt>
                <c:pt idx="1369">
                  <c:v>-121.76314876925706</c:v>
                </c:pt>
                <c:pt idx="1370">
                  <c:v>-145.14362659593078</c:v>
                </c:pt>
                <c:pt idx="1371">
                  <c:v>-167.76430306862781</c:v>
                </c:pt>
                <c:pt idx="1372">
                  <c:v>-188.9687361412044</c:v>
                </c:pt>
                <c:pt idx="1373">
                  <c:v>-211.13197095239536</c:v>
                </c:pt>
                <c:pt idx="1374">
                  <c:v>-229.80904431406211</c:v>
                </c:pt>
                <c:pt idx="1375">
                  <c:v>-244.45067809220265</c:v>
                </c:pt>
                <c:pt idx="1376">
                  <c:v>-255.43422167176294</c:v>
                </c:pt>
                <c:pt idx="1377">
                  <c:v>-263.79533316235984</c:v>
                </c:pt>
                <c:pt idx="1378">
                  <c:v>-270.15081129177025</c:v>
                </c:pt>
                <c:pt idx="1379">
                  <c:v>-275.16048202924821</c:v>
                </c:pt>
                <c:pt idx="1380">
                  <c:v>-279.24223099557094</c:v>
                </c:pt>
                <c:pt idx="1381">
                  <c:v>-282.41378611460476</c:v>
                </c:pt>
                <c:pt idx="1382">
                  <c:v>-284.34821558664794</c:v>
                </c:pt>
                <c:pt idx="1383">
                  <c:v>-285.77470674895369</c:v>
                </c:pt>
                <c:pt idx="1384">
                  <c:v>-285.23748241555182</c:v>
                </c:pt>
                <c:pt idx="1385">
                  <c:v>-284.31791231699543</c:v>
                </c:pt>
                <c:pt idx="1386">
                  <c:v>-279.36490488041159</c:v>
                </c:pt>
                <c:pt idx="1387">
                  <c:v>-274.11208659982105</c:v>
                </c:pt>
                <c:pt idx="1388">
                  <c:v>-266.92666785168041</c:v>
                </c:pt>
                <c:pt idx="1389">
                  <c:v>-258.47513752975749</c:v>
                </c:pt>
                <c:pt idx="1390">
                  <c:v>-248.58204432363695</c:v>
                </c:pt>
                <c:pt idx="1391">
                  <c:v>-237.42682103834611</c:v>
                </c:pt>
                <c:pt idx="1392">
                  <c:v>-224.81491657080571</c:v>
                </c:pt>
                <c:pt idx="1393">
                  <c:v>-210.10554624564608</c:v>
                </c:pt>
                <c:pt idx="1394">
                  <c:v>-192.33501531489836</c:v>
                </c:pt>
                <c:pt idx="1395">
                  <c:v>-170.92017762018949</c:v>
                </c:pt>
                <c:pt idx="1396">
                  <c:v>-144.8386350117099</c:v>
                </c:pt>
                <c:pt idx="1397">
                  <c:v>-114.35180314941879</c:v>
                </c:pt>
                <c:pt idx="1398">
                  <c:v>-80.854964320327397</c:v>
                </c:pt>
                <c:pt idx="1399">
                  <c:v>-50.63884438115165</c:v>
                </c:pt>
                <c:pt idx="1400">
                  <c:v>-20.14441171082678</c:v>
                </c:pt>
                <c:pt idx="1401">
                  <c:v>10.081899467636058</c:v>
                </c:pt>
                <c:pt idx="1402">
                  <c:v>39.77070663842693</c:v>
                </c:pt>
                <c:pt idx="1403">
                  <c:v>71.380295660569843</c:v>
                </c:pt>
                <c:pt idx="1404">
                  <c:v>98.127099846691905</c:v>
                </c:pt>
                <c:pt idx="1405">
                  <c:v>121.76314876925714</c:v>
                </c:pt>
                <c:pt idx="1406">
                  <c:v>145.1436265959309</c:v>
                </c:pt>
                <c:pt idx="1407">
                  <c:v>167.76430306862795</c:v>
                </c:pt>
                <c:pt idx="1408">
                  <c:v>188.96873614120454</c:v>
                </c:pt>
                <c:pt idx="1409">
                  <c:v>211.13197095239562</c:v>
                </c:pt>
                <c:pt idx="1410">
                  <c:v>229.80904431406219</c:v>
                </c:pt>
                <c:pt idx="1411">
                  <c:v>244.45067809220274</c:v>
                </c:pt>
                <c:pt idx="1412">
                  <c:v>255.43422167176303</c:v>
                </c:pt>
                <c:pt idx="1413">
                  <c:v>263.79533316236001</c:v>
                </c:pt>
                <c:pt idx="1414">
                  <c:v>270.15081129177037</c:v>
                </c:pt>
                <c:pt idx="1415">
                  <c:v>275.16048202924833</c:v>
                </c:pt>
                <c:pt idx="1416">
                  <c:v>279.24223099557105</c:v>
                </c:pt>
                <c:pt idx="1417">
                  <c:v>282.41378611460499</c:v>
                </c:pt>
                <c:pt idx="1418">
                  <c:v>284.34821558664805</c:v>
                </c:pt>
                <c:pt idx="1419">
                  <c:v>285.77470674895386</c:v>
                </c:pt>
                <c:pt idx="1420">
                  <c:v>269.72109419203747</c:v>
                </c:pt>
                <c:pt idx="1421">
                  <c:v>265.26467807075625</c:v>
                </c:pt>
                <c:pt idx="1422">
                  <c:v>260.34040920429226</c:v>
                </c:pt>
                <c:pt idx="1423">
                  <c:v>254.14753335040055</c:v>
                </c:pt>
                <c:pt idx="1424">
                  <c:v>245.97237426202412</c:v>
                </c:pt>
                <c:pt idx="1425">
                  <c:v>237.03835425463222</c:v>
                </c:pt>
                <c:pt idx="1426">
                  <c:v>226.07916280508778</c:v>
                </c:pt>
                <c:pt idx="1427">
                  <c:v>213.63630166458393</c:v>
                </c:pt>
                <c:pt idx="1428">
                  <c:v>199.06981345234342</c:v>
                </c:pt>
                <c:pt idx="1429">
                  <c:v>181.41488801116608</c:v>
                </c:pt>
                <c:pt idx="1430">
                  <c:v>160.85107751865723</c:v>
                </c:pt>
                <c:pt idx="1431">
                  <c:v>138.23671775693785</c:v>
                </c:pt>
                <c:pt idx="1432">
                  <c:v>111.94345474402616</c:v>
                </c:pt>
                <c:pt idx="1433">
                  <c:v>81.137234726936939</c:v>
                </c:pt>
                <c:pt idx="1434">
                  <c:v>49.636623597621522</c:v>
                </c:pt>
                <c:pt idx="1435">
                  <c:v>20.839976813481442</c:v>
                </c:pt>
                <c:pt idx="1436">
                  <c:v>-7.7392132956473239</c:v>
                </c:pt>
                <c:pt idx="1437">
                  <c:v>-38.10102405852404</c:v>
                </c:pt>
                <c:pt idx="1438">
                  <c:v>-67.718230698246614</c:v>
                </c:pt>
                <c:pt idx="1439">
                  <c:v>-93.780945728996755</c:v>
                </c:pt>
                <c:pt idx="1440">
                  <c:v>-118.2059644912905</c:v>
                </c:pt>
                <c:pt idx="1441">
                  <c:v>-140.25375051693428</c:v>
                </c:pt>
                <c:pt idx="1442">
                  <c:v>-161.5343729238551</c:v>
                </c:pt>
                <c:pt idx="1443">
                  <c:v>-183.68905735759299</c:v>
                </c:pt>
                <c:pt idx="1444">
                  <c:v>-204.02870294410403</c:v>
                </c:pt>
                <c:pt idx="1445">
                  <c:v>-220.12721400069611</c:v>
                </c:pt>
                <c:pt idx="1446">
                  <c:v>-232.87169216607558</c:v>
                </c:pt>
                <c:pt idx="1447">
                  <c:v>-243.46672604235556</c:v>
                </c:pt>
                <c:pt idx="1448">
                  <c:v>-251.77043004482564</c:v>
                </c:pt>
                <c:pt idx="1449">
                  <c:v>-258.04901265077797</c:v>
                </c:pt>
                <c:pt idx="1450">
                  <c:v>-262.96349691028371</c:v>
                </c:pt>
                <c:pt idx="1451">
                  <c:v>-266.93159498171326</c:v>
                </c:pt>
                <c:pt idx="1452">
                  <c:v>-269.2271524940578</c:v>
                </c:pt>
                <c:pt idx="1453">
                  <c:v>-270.99171430059459</c:v>
                </c:pt>
                <c:pt idx="1454">
                  <c:v>-271.26056115667922</c:v>
                </c:pt>
                <c:pt idx="1455">
                  <c:v>-270.50395016016159</c:v>
                </c:pt>
                <c:pt idx="1456">
                  <c:v>-269.72109419203747</c:v>
                </c:pt>
                <c:pt idx="1457">
                  <c:v>-265.26467807075602</c:v>
                </c:pt>
                <c:pt idx="1458">
                  <c:v>-260.34040920429226</c:v>
                </c:pt>
                <c:pt idx="1459">
                  <c:v>-254.14753335040038</c:v>
                </c:pt>
                <c:pt idx="1460">
                  <c:v>-245.97237426202395</c:v>
                </c:pt>
                <c:pt idx="1461">
                  <c:v>-237.03835425463203</c:v>
                </c:pt>
                <c:pt idx="1462">
                  <c:v>-226.07916280508769</c:v>
                </c:pt>
                <c:pt idx="1463">
                  <c:v>-213.63630166458375</c:v>
                </c:pt>
                <c:pt idx="1464">
                  <c:v>-199.06981345234325</c:v>
                </c:pt>
                <c:pt idx="1465">
                  <c:v>-181.414888011166</c:v>
                </c:pt>
                <c:pt idx="1466">
                  <c:v>-160.85107751865712</c:v>
                </c:pt>
                <c:pt idx="1467">
                  <c:v>-138.23671775693768</c:v>
                </c:pt>
                <c:pt idx="1468">
                  <c:v>-111.94345474402606</c:v>
                </c:pt>
                <c:pt idx="1469">
                  <c:v>-81.137234726936882</c:v>
                </c:pt>
                <c:pt idx="1470">
                  <c:v>-49.636623597621551</c:v>
                </c:pt>
                <c:pt idx="1471">
                  <c:v>-20.839976813481158</c:v>
                </c:pt>
                <c:pt idx="1472">
                  <c:v>7.7392132956476027</c:v>
                </c:pt>
                <c:pt idx="1473">
                  <c:v>38.10102405852431</c:v>
                </c:pt>
                <c:pt idx="1474">
                  <c:v>67.718230698246714</c:v>
                </c:pt>
                <c:pt idx="1475">
                  <c:v>93.780945728996983</c:v>
                </c:pt>
                <c:pt idx="1476">
                  <c:v>118.20596449129062</c:v>
                </c:pt>
                <c:pt idx="1477">
                  <c:v>140.25375051693445</c:v>
                </c:pt>
                <c:pt idx="1478">
                  <c:v>161.53437292385516</c:v>
                </c:pt>
                <c:pt idx="1479">
                  <c:v>183.68905735759304</c:v>
                </c:pt>
                <c:pt idx="1480">
                  <c:v>204.02870294410423</c:v>
                </c:pt>
                <c:pt idx="1481">
                  <c:v>220.12721400069626</c:v>
                </c:pt>
                <c:pt idx="1482">
                  <c:v>232.87169216607569</c:v>
                </c:pt>
                <c:pt idx="1483">
                  <c:v>243.46672604235567</c:v>
                </c:pt>
                <c:pt idx="1484">
                  <c:v>251.77043004482567</c:v>
                </c:pt>
                <c:pt idx="1485">
                  <c:v>258.04901265077802</c:v>
                </c:pt>
                <c:pt idx="1486">
                  <c:v>262.96349691028394</c:v>
                </c:pt>
                <c:pt idx="1487">
                  <c:v>266.93159498171337</c:v>
                </c:pt>
                <c:pt idx="1488">
                  <c:v>269.22715249405798</c:v>
                </c:pt>
                <c:pt idx="1489">
                  <c:v>270.99171430059488</c:v>
                </c:pt>
                <c:pt idx="1490">
                  <c:v>271.26056115667927</c:v>
                </c:pt>
                <c:pt idx="1491">
                  <c:v>252.34330133186162</c:v>
                </c:pt>
                <c:pt idx="1492">
                  <c:v>247.98320988078095</c:v>
                </c:pt>
                <c:pt idx="1493">
                  <c:v>243.27492432704244</c:v>
                </c:pt>
                <c:pt idx="1494">
                  <c:v>238.53853169389396</c:v>
                </c:pt>
                <c:pt idx="1495">
                  <c:v>230.65200189892431</c:v>
                </c:pt>
                <c:pt idx="1496">
                  <c:v>221.88368612228436</c:v>
                </c:pt>
                <c:pt idx="1497">
                  <c:v>211.73030637844045</c:v>
                </c:pt>
                <c:pt idx="1498">
                  <c:v>199.34901734005487</c:v>
                </c:pt>
                <c:pt idx="1499">
                  <c:v>184.81473085478743</c:v>
                </c:pt>
                <c:pt idx="1500">
                  <c:v>168.22790523744416</c:v>
                </c:pt>
                <c:pt idx="1501">
                  <c:v>149.33775477486799</c:v>
                </c:pt>
                <c:pt idx="1502">
                  <c:v>129.32755322404759</c:v>
                </c:pt>
                <c:pt idx="1503">
                  <c:v>107.95262855179055</c:v>
                </c:pt>
                <c:pt idx="1504">
                  <c:v>81.795808152708304</c:v>
                </c:pt>
                <c:pt idx="1505">
                  <c:v>51.074577776283327</c:v>
                </c:pt>
                <c:pt idx="1506">
                  <c:v>22.344111742456654</c:v>
                </c:pt>
                <c:pt idx="1507">
                  <c:v>-5.7666362074730202</c:v>
                </c:pt>
                <c:pt idx="1508">
                  <c:v>-35.668737785101655</c:v>
                </c:pt>
                <c:pt idx="1509">
                  <c:v>-63.427561496562944</c:v>
                </c:pt>
                <c:pt idx="1510">
                  <c:v>-88.598663029830107</c:v>
                </c:pt>
                <c:pt idx="1511">
                  <c:v>-112.98464068226508</c:v>
                </c:pt>
                <c:pt idx="1512">
                  <c:v>-134.6067143029118</c:v>
                </c:pt>
                <c:pt idx="1513">
                  <c:v>-155.74929450376777</c:v>
                </c:pt>
                <c:pt idx="1514">
                  <c:v>-177.25608773706318</c:v>
                </c:pt>
                <c:pt idx="1515">
                  <c:v>-194.41887005078439</c:v>
                </c:pt>
                <c:pt idx="1516">
                  <c:v>-207.49010611977519</c:v>
                </c:pt>
                <c:pt idx="1517">
                  <c:v>-218.84785716418895</c:v>
                </c:pt>
                <c:pt idx="1518">
                  <c:v>-228.68756671591152</c:v>
                </c:pt>
                <c:pt idx="1519">
                  <c:v>-236.59288763585269</c:v>
                </c:pt>
                <c:pt idx="1520">
                  <c:v>-242.90238563327244</c:v>
                </c:pt>
                <c:pt idx="1521">
                  <c:v>-247.82539289209555</c:v>
                </c:pt>
                <c:pt idx="1522">
                  <c:v>-251.05611624195026</c:v>
                </c:pt>
                <c:pt idx="1523">
                  <c:v>-253.27464352661491</c:v>
                </c:pt>
                <c:pt idx="1524">
                  <c:v>-254.87902491931519</c:v>
                </c:pt>
                <c:pt idx="1525">
                  <c:v>-254.48877306432061</c:v>
                </c:pt>
                <c:pt idx="1526">
                  <c:v>-253.61641232940772</c:v>
                </c:pt>
                <c:pt idx="1527">
                  <c:v>-252.34330133186148</c:v>
                </c:pt>
                <c:pt idx="1528">
                  <c:v>-247.98320988078072</c:v>
                </c:pt>
                <c:pt idx="1529">
                  <c:v>-243.27492432704238</c:v>
                </c:pt>
                <c:pt idx="1530">
                  <c:v>-238.53853169389373</c:v>
                </c:pt>
                <c:pt idx="1531">
                  <c:v>-230.65200189892403</c:v>
                </c:pt>
                <c:pt idx="1532">
                  <c:v>-221.88368612228413</c:v>
                </c:pt>
                <c:pt idx="1533">
                  <c:v>-211.73030637844019</c:v>
                </c:pt>
                <c:pt idx="1534">
                  <c:v>-199.34901734005464</c:v>
                </c:pt>
                <c:pt idx="1535">
                  <c:v>-184.81473085478731</c:v>
                </c:pt>
                <c:pt idx="1536">
                  <c:v>-168.22790523744416</c:v>
                </c:pt>
                <c:pt idx="1537">
                  <c:v>-149.33775477486782</c:v>
                </c:pt>
                <c:pt idx="1538">
                  <c:v>-129.32755322404751</c:v>
                </c:pt>
                <c:pt idx="1539">
                  <c:v>-107.95262855179047</c:v>
                </c:pt>
                <c:pt idx="1540">
                  <c:v>-81.795808152708261</c:v>
                </c:pt>
                <c:pt idx="1541">
                  <c:v>-51.074577776283363</c:v>
                </c:pt>
                <c:pt idx="1542">
                  <c:v>-22.344111742456384</c:v>
                </c:pt>
                <c:pt idx="1543">
                  <c:v>5.7666362074732476</c:v>
                </c:pt>
                <c:pt idx="1544">
                  <c:v>35.668737785101989</c:v>
                </c:pt>
                <c:pt idx="1545">
                  <c:v>63.427561496563065</c:v>
                </c:pt>
                <c:pt idx="1546">
                  <c:v>88.598663029830362</c:v>
                </c:pt>
                <c:pt idx="1547">
                  <c:v>112.98464068226519</c:v>
                </c:pt>
                <c:pt idx="1548">
                  <c:v>134.60671430291188</c:v>
                </c:pt>
                <c:pt idx="1549">
                  <c:v>155.74929450376786</c:v>
                </c:pt>
                <c:pt idx="1550">
                  <c:v>177.25608773706327</c:v>
                </c:pt>
                <c:pt idx="1551">
                  <c:v>194.41887005078453</c:v>
                </c:pt>
                <c:pt idx="1552">
                  <c:v>207.49010611977522</c:v>
                </c:pt>
                <c:pt idx="1553">
                  <c:v>218.84785716418904</c:v>
                </c:pt>
                <c:pt idx="1554">
                  <c:v>228.68756671591169</c:v>
                </c:pt>
                <c:pt idx="1555">
                  <c:v>236.59288763585269</c:v>
                </c:pt>
                <c:pt idx="1556">
                  <c:v>242.90238563327264</c:v>
                </c:pt>
                <c:pt idx="1557">
                  <c:v>247.82539289209578</c:v>
                </c:pt>
                <c:pt idx="1558">
                  <c:v>251.05611624195038</c:v>
                </c:pt>
                <c:pt idx="1559">
                  <c:v>253.27464352661514</c:v>
                </c:pt>
                <c:pt idx="1560">
                  <c:v>254.8790249193153</c:v>
                </c:pt>
                <c:pt idx="1561">
                  <c:v>254.48877306432078</c:v>
                </c:pt>
                <c:pt idx="1562">
                  <c:v>232.40580346224115</c:v>
                </c:pt>
                <c:pt idx="1563">
                  <c:v>228.17628289417846</c:v>
                </c:pt>
                <c:pt idx="1564">
                  <c:v>223.58210690680534</c:v>
                </c:pt>
                <c:pt idx="1565">
                  <c:v>218.50846997838747</c:v>
                </c:pt>
                <c:pt idx="1566">
                  <c:v>211.68206410505806</c:v>
                </c:pt>
                <c:pt idx="1567">
                  <c:v>203.47712690757652</c:v>
                </c:pt>
                <c:pt idx="1568">
                  <c:v>193.66486404233495</c:v>
                </c:pt>
                <c:pt idx="1569">
                  <c:v>181.67833043056061</c:v>
                </c:pt>
                <c:pt idx="1570">
                  <c:v>167.91620620226402</c:v>
                </c:pt>
                <c:pt idx="1571">
                  <c:v>152.35044276466374</c:v>
                </c:pt>
                <c:pt idx="1572">
                  <c:v>136.53157648846656</c:v>
                </c:pt>
                <c:pt idx="1573">
                  <c:v>119.81181408285919</c:v>
                </c:pt>
                <c:pt idx="1574">
                  <c:v>101.34764937577651</c:v>
                </c:pt>
                <c:pt idx="1575">
                  <c:v>79.844757735615559</c:v>
                </c:pt>
                <c:pt idx="1576">
                  <c:v>54.853944623939611</c:v>
                </c:pt>
                <c:pt idx="1577">
                  <c:v>25.016988811643209</c:v>
                </c:pt>
                <c:pt idx="1578">
                  <c:v>-4.2254759914719244</c:v>
                </c:pt>
                <c:pt idx="1579">
                  <c:v>-32.259469952469182</c:v>
                </c:pt>
                <c:pt idx="1580">
                  <c:v>-58.406851126491127</c:v>
                </c:pt>
                <c:pt idx="1581">
                  <c:v>-82.750246668679793</c:v>
                </c:pt>
                <c:pt idx="1582">
                  <c:v>-105.61905690585662</c:v>
                </c:pt>
                <c:pt idx="1583">
                  <c:v>-128.33084115897398</c:v>
                </c:pt>
                <c:pt idx="1584">
                  <c:v>-150.20283626297103</c:v>
                </c:pt>
                <c:pt idx="1585">
                  <c:v>-167.4660718295608</c:v>
                </c:pt>
                <c:pt idx="1586">
                  <c:v>-181.4608358119857</c:v>
                </c:pt>
                <c:pt idx="1587">
                  <c:v>-192.75170898107544</c:v>
                </c:pt>
                <c:pt idx="1588">
                  <c:v>-202.32360353999817</c:v>
                </c:pt>
                <c:pt idx="1589">
                  <c:v>-210.72871652579593</c:v>
                </c:pt>
                <c:pt idx="1590">
                  <c:v>-218.28844103932792</c:v>
                </c:pt>
                <c:pt idx="1591">
                  <c:v>-224.43223763414758</c:v>
                </c:pt>
                <c:pt idx="1592">
                  <c:v>-229.02172540025742</c:v>
                </c:pt>
                <c:pt idx="1593">
                  <c:v>-231.98252346278136</c:v>
                </c:pt>
                <c:pt idx="1594">
                  <c:v>-234.21105844672692</c:v>
                </c:pt>
                <c:pt idx="1595">
                  <c:v>-235.07800068627253</c:v>
                </c:pt>
                <c:pt idx="1596">
                  <c:v>-234.60534398054045</c:v>
                </c:pt>
                <c:pt idx="1597">
                  <c:v>-233.70802414984783</c:v>
                </c:pt>
                <c:pt idx="1598">
                  <c:v>-232.40580346224107</c:v>
                </c:pt>
                <c:pt idx="1599">
                  <c:v>-228.17628289417826</c:v>
                </c:pt>
                <c:pt idx="1600">
                  <c:v>-223.58210690680528</c:v>
                </c:pt>
                <c:pt idx="1601">
                  <c:v>-218.50846997838721</c:v>
                </c:pt>
                <c:pt idx="1602">
                  <c:v>-211.68206410505769</c:v>
                </c:pt>
                <c:pt idx="1603">
                  <c:v>-203.47712690757635</c:v>
                </c:pt>
                <c:pt idx="1604">
                  <c:v>-193.66486404233495</c:v>
                </c:pt>
                <c:pt idx="1605">
                  <c:v>-181.67833043056044</c:v>
                </c:pt>
                <c:pt idx="1606">
                  <c:v>-167.91620620226391</c:v>
                </c:pt>
                <c:pt idx="1607">
                  <c:v>-152.35044276466374</c:v>
                </c:pt>
                <c:pt idx="1608">
                  <c:v>-136.53157648846641</c:v>
                </c:pt>
                <c:pt idx="1609">
                  <c:v>-119.81181408285903</c:v>
                </c:pt>
                <c:pt idx="1610">
                  <c:v>-101.34764937577637</c:v>
                </c:pt>
                <c:pt idx="1611">
                  <c:v>-79.844757735615417</c:v>
                </c:pt>
                <c:pt idx="1612">
                  <c:v>-54.853944623939583</c:v>
                </c:pt>
                <c:pt idx="1613">
                  <c:v>-25.016988811642982</c:v>
                </c:pt>
                <c:pt idx="1614">
                  <c:v>4.2254759914721518</c:v>
                </c:pt>
                <c:pt idx="1615">
                  <c:v>32.259469952469559</c:v>
                </c:pt>
                <c:pt idx="1616">
                  <c:v>58.406851126491219</c:v>
                </c:pt>
                <c:pt idx="1617">
                  <c:v>82.750246668679992</c:v>
                </c:pt>
                <c:pt idx="1618">
                  <c:v>105.61905690585671</c:v>
                </c:pt>
                <c:pt idx="1619">
                  <c:v>128.33084115897404</c:v>
                </c:pt>
                <c:pt idx="1620">
                  <c:v>150.20283626297109</c:v>
                </c:pt>
                <c:pt idx="1621">
                  <c:v>167.46607182956095</c:v>
                </c:pt>
                <c:pt idx="1622">
                  <c:v>181.46083581198582</c:v>
                </c:pt>
                <c:pt idx="1623">
                  <c:v>192.75170898107561</c:v>
                </c:pt>
                <c:pt idx="1624">
                  <c:v>202.32360353999829</c:v>
                </c:pt>
                <c:pt idx="1625">
                  <c:v>210.7287165257959</c:v>
                </c:pt>
                <c:pt idx="1626">
                  <c:v>218.28844103932809</c:v>
                </c:pt>
                <c:pt idx="1627">
                  <c:v>224.43223763414778</c:v>
                </c:pt>
                <c:pt idx="1628">
                  <c:v>229.02172540025768</c:v>
                </c:pt>
                <c:pt idx="1629">
                  <c:v>231.9825234627815</c:v>
                </c:pt>
                <c:pt idx="1630">
                  <c:v>234.21105844672715</c:v>
                </c:pt>
                <c:pt idx="1631">
                  <c:v>235.07800068627265</c:v>
                </c:pt>
                <c:pt idx="1632">
                  <c:v>234.60534398054054</c:v>
                </c:pt>
                <c:pt idx="1633">
                  <c:v>209.32025256140327</c:v>
                </c:pt>
                <c:pt idx="1634">
                  <c:v>205.13633636312218</c:v>
                </c:pt>
                <c:pt idx="1635">
                  <c:v>200.57546147509044</c:v>
                </c:pt>
                <c:pt idx="1636">
                  <c:v>195.52477835946735</c:v>
                </c:pt>
                <c:pt idx="1637">
                  <c:v>189.66600434305801</c:v>
                </c:pt>
                <c:pt idx="1638">
                  <c:v>180.91982115470771</c:v>
                </c:pt>
                <c:pt idx="1639">
                  <c:v>171.73038033545271</c:v>
                </c:pt>
                <c:pt idx="1640">
                  <c:v>160.32712209759487</c:v>
                </c:pt>
                <c:pt idx="1641">
                  <c:v>148.04397713756347</c:v>
                </c:pt>
                <c:pt idx="1642">
                  <c:v>135.2808002946432</c:v>
                </c:pt>
                <c:pt idx="1643">
                  <c:v>122.31711516089271</c:v>
                </c:pt>
                <c:pt idx="1644">
                  <c:v>108.65142150284296</c:v>
                </c:pt>
                <c:pt idx="1645">
                  <c:v>93.635705557432004</c:v>
                </c:pt>
                <c:pt idx="1646">
                  <c:v>77.33206286579447</c:v>
                </c:pt>
                <c:pt idx="1647">
                  <c:v>56.058290158141254</c:v>
                </c:pt>
                <c:pt idx="1648">
                  <c:v>28.223340914923625</c:v>
                </c:pt>
                <c:pt idx="1649">
                  <c:v>-0.28247637319572144</c:v>
                </c:pt>
                <c:pt idx="1650">
                  <c:v>-27.625679407212242</c:v>
                </c:pt>
                <c:pt idx="1651">
                  <c:v>-52.560538981508294</c:v>
                </c:pt>
                <c:pt idx="1652">
                  <c:v>-76.118682669643334</c:v>
                </c:pt>
                <c:pt idx="1653">
                  <c:v>-98.549155479830233</c:v>
                </c:pt>
                <c:pt idx="1654">
                  <c:v>-120.7332401896651</c:v>
                </c:pt>
                <c:pt idx="1655">
                  <c:v>-141.03574419649971</c:v>
                </c:pt>
                <c:pt idx="1656">
                  <c:v>-155.53309736022092</c:v>
                </c:pt>
                <c:pt idx="1657">
                  <c:v>-165.98334956455753</c:v>
                </c:pt>
                <c:pt idx="1658">
                  <c:v>-175.15941401713175</c:v>
                </c:pt>
                <c:pt idx="1659">
                  <c:v>-183.06457790500403</c:v>
                </c:pt>
                <c:pt idx="1660">
                  <c:v>-190.11639902592475</c:v>
                </c:pt>
                <c:pt idx="1661">
                  <c:v>-196.56337160753381</c:v>
                </c:pt>
                <c:pt idx="1662">
                  <c:v>-202.27950323300141</c:v>
                </c:pt>
                <c:pt idx="1663">
                  <c:v>-206.35610758112202</c:v>
                </c:pt>
                <c:pt idx="1664">
                  <c:v>-209.29750215992286</c:v>
                </c:pt>
                <c:pt idx="1665">
                  <c:v>-211.65769275885023</c:v>
                </c:pt>
                <c:pt idx="1666">
                  <c:v>-211.84605936347535</c:v>
                </c:pt>
                <c:pt idx="1667">
                  <c:v>-211.42380520495894</c:v>
                </c:pt>
                <c:pt idx="1668">
                  <c:v>-210.57513620667885</c:v>
                </c:pt>
                <c:pt idx="1669">
                  <c:v>-209.32025256140324</c:v>
                </c:pt>
                <c:pt idx="1670">
                  <c:v>-205.13633636312201</c:v>
                </c:pt>
                <c:pt idx="1671">
                  <c:v>-200.57546147509044</c:v>
                </c:pt>
                <c:pt idx="1672">
                  <c:v>-195.52477835946709</c:v>
                </c:pt>
                <c:pt idx="1673">
                  <c:v>-189.66600434305778</c:v>
                </c:pt>
                <c:pt idx="1674">
                  <c:v>-180.91982115470742</c:v>
                </c:pt>
                <c:pt idx="1675">
                  <c:v>-171.73038033545254</c:v>
                </c:pt>
                <c:pt idx="1676">
                  <c:v>-160.32712209759461</c:v>
                </c:pt>
                <c:pt idx="1677">
                  <c:v>-148.0439771375633</c:v>
                </c:pt>
                <c:pt idx="1678">
                  <c:v>-135.28080029464317</c:v>
                </c:pt>
                <c:pt idx="1679">
                  <c:v>-122.3171151608926</c:v>
                </c:pt>
                <c:pt idx="1680">
                  <c:v>-108.65142150284279</c:v>
                </c:pt>
                <c:pt idx="1681">
                  <c:v>-93.635705557431891</c:v>
                </c:pt>
                <c:pt idx="1682">
                  <c:v>-77.332062865794327</c:v>
                </c:pt>
                <c:pt idx="1683">
                  <c:v>-56.05829015814119</c:v>
                </c:pt>
                <c:pt idx="1684">
                  <c:v>-28.223340914923362</c:v>
                </c:pt>
                <c:pt idx="1685">
                  <c:v>0.28247637319596114</c:v>
                </c:pt>
                <c:pt idx="1686">
                  <c:v>27.625679407212598</c:v>
                </c:pt>
                <c:pt idx="1687">
                  <c:v>52.560538981508408</c:v>
                </c:pt>
                <c:pt idx="1688">
                  <c:v>76.118682669643661</c:v>
                </c:pt>
                <c:pt idx="1689">
                  <c:v>98.549155479830333</c:v>
                </c:pt>
                <c:pt idx="1690">
                  <c:v>120.73324018966527</c:v>
                </c:pt>
                <c:pt idx="1691">
                  <c:v>141.03574419649982</c:v>
                </c:pt>
                <c:pt idx="1692">
                  <c:v>155.53309736022109</c:v>
                </c:pt>
                <c:pt idx="1693">
                  <c:v>165.9833495645577</c:v>
                </c:pt>
                <c:pt idx="1694">
                  <c:v>175.15941401713192</c:v>
                </c:pt>
                <c:pt idx="1695">
                  <c:v>183.06457790500411</c:v>
                </c:pt>
                <c:pt idx="1696">
                  <c:v>190.11639902592484</c:v>
                </c:pt>
                <c:pt idx="1697">
                  <c:v>196.56337160753392</c:v>
                </c:pt>
                <c:pt idx="1698">
                  <c:v>202.27950323300161</c:v>
                </c:pt>
                <c:pt idx="1699">
                  <c:v>206.35610758112242</c:v>
                </c:pt>
                <c:pt idx="1700">
                  <c:v>209.29750215992306</c:v>
                </c:pt>
                <c:pt idx="1701">
                  <c:v>211.65769275885052</c:v>
                </c:pt>
                <c:pt idx="1702">
                  <c:v>211.84605936347546</c:v>
                </c:pt>
                <c:pt idx="1703">
                  <c:v>211.42380520495888</c:v>
                </c:pt>
                <c:pt idx="1704">
                  <c:v>182.7501822150798</c:v>
                </c:pt>
                <c:pt idx="1705">
                  <c:v>178.54000200318441</c:v>
                </c:pt>
                <c:pt idx="1706">
                  <c:v>173.94416010723819</c:v>
                </c:pt>
                <c:pt idx="1707">
                  <c:v>168.85044143462423</c:v>
                </c:pt>
                <c:pt idx="1708">
                  <c:v>163.63258675550873</c:v>
                </c:pt>
                <c:pt idx="1709">
                  <c:v>155.62568831094725</c:v>
                </c:pt>
                <c:pt idx="1710">
                  <c:v>145.70637915339651</c:v>
                </c:pt>
                <c:pt idx="1711">
                  <c:v>135.97567307244111</c:v>
                </c:pt>
                <c:pt idx="1712">
                  <c:v>126.56913094285697</c:v>
                </c:pt>
                <c:pt idx="1713">
                  <c:v>116.4476203735441</c:v>
                </c:pt>
                <c:pt idx="1714">
                  <c:v>106.17248482181289</c:v>
                </c:pt>
                <c:pt idx="1715">
                  <c:v>96.434291615828997</c:v>
                </c:pt>
                <c:pt idx="1716">
                  <c:v>84.648125127854058</c:v>
                </c:pt>
                <c:pt idx="1717">
                  <c:v>71.166840692679855</c:v>
                </c:pt>
                <c:pt idx="1718">
                  <c:v>54.742690552220282</c:v>
                </c:pt>
                <c:pt idx="1719">
                  <c:v>32.779107823593328</c:v>
                </c:pt>
                <c:pt idx="1720">
                  <c:v>4.2760035582428682</c:v>
                </c:pt>
                <c:pt idx="1721">
                  <c:v>-23.344490789221123</c:v>
                </c:pt>
                <c:pt idx="1722">
                  <c:v>-45.800260760765418</c:v>
                </c:pt>
                <c:pt idx="1723">
                  <c:v>-67.146468885139157</c:v>
                </c:pt>
                <c:pt idx="1724">
                  <c:v>-90.211128869061824</c:v>
                </c:pt>
                <c:pt idx="1725">
                  <c:v>-112.15814891141147</c:v>
                </c:pt>
                <c:pt idx="1726">
                  <c:v>-128.15063189220595</c:v>
                </c:pt>
                <c:pt idx="1727">
                  <c:v>-139.13039385775431</c:v>
                </c:pt>
                <c:pt idx="1728">
                  <c:v>-147.70784009259933</c:v>
                </c:pt>
                <c:pt idx="1729">
                  <c:v>-154.90515074983819</c:v>
                </c:pt>
                <c:pt idx="1730">
                  <c:v>-160.68415370359941</c:v>
                </c:pt>
                <c:pt idx="1731">
                  <c:v>-166.43924958856161</c:v>
                </c:pt>
                <c:pt idx="1732">
                  <c:v>-171.8029759617757</c:v>
                </c:pt>
                <c:pt idx="1733">
                  <c:v>-175.93699925675747</c:v>
                </c:pt>
                <c:pt idx="1734">
                  <c:v>-179.64787943355296</c:v>
                </c:pt>
                <c:pt idx="1735">
                  <c:v>-182.90842663454762</c:v>
                </c:pt>
                <c:pt idx="1736">
                  <c:v>-184.77948054455405</c:v>
                </c:pt>
                <c:pt idx="1737">
                  <c:v>-184.94359544398347</c:v>
                </c:pt>
                <c:pt idx="1738">
                  <c:v>-184.63207425149946</c:v>
                </c:pt>
                <c:pt idx="1739">
                  <c:v>-183.89370071586978</c:v>
                </c:pt>
                <c:pt idx="1740">
                  <c:v>-182.75018221507972</c:v>
                </c:pt>
                <c:pt idx="1741">
                  <c:v>-178.54000200318407</c:v>
                </c:pt>
                <c:pt idx="1742">
                  <c:v>-173.94416010723808</c:v>
                </c:pt>
                <c:pt idx="1743">
                  <c:v>-168.85044143462409</c:v>
                </c:pt>
                <c:pt idx="1744">
                  <c:v>-163.63258675550841</c:v>
                </c:pt>
                <c:pt idx="1745">
                  <c:v>-155.62568831094697</c:v>
                </c:pt>
                <c:pt idx="1746">
                  <c:v>-145.70637915339628</c:v>
                </c:pt>
                <c:pt idx="1747">
                  <c:v>-135.97567307244091</c:v>
                </c:pt>
                <c:pt idx="1748">
                  <c:v>-126.56913094285677</c:v>
                </c:pt>
                <c:pt idx="1749">
                  <c:v>-116.44762037354401</c:v>
                </c:pt>
                <c:pt idx="1750">
                  <c:v>-106.17248482181282</c:v>
                </c:pt>
                <c:pt idx="1751">
                  <c:v>-96.434291615828798</c:v>
                </c:pt>
                <c:pt idx="1752">
                  <c:v>-84.64812512785393</c:v>
                </c:pt>
                <c:pt idx="1753">
                  <c:v>-71.166840692679671</c:v>
                </c:pt>
                <c:pt idx="1754">
                  <c:v>-54.742690552220104</c:v>
                </c:pt>
                <c:pt idx="1755">
                  <c:v>-32.779107823593101</c:v>
                </c:pt>
                <c:pt idx="1756">
                  <c:v>-4.276003558242623</c:v>
                </c:pt>
                <c:pt idx="1757">
                  <c:v>23.344490789221439</c:v>
                </c:pt>
                <c:pt idx="1758">
                  <c:v>45.800260760765504</c:v>
                </c:pt>
                <c:pt idx="1759">
                  <c:v>67.14646888513937</c:v>
                </c:pt>
                <c:pt idx="1760">
                  <c:v>90.211128869061952</c:v>
                </c:pt>
                <c:pt idx="1761">
                  <c:v>112.1581489114116</c:v>
                </c:pt>
                <c:pt idx="1762">
                  <c:v>128.15063189220618</c:v>
                </c:pt>
                <c:pt idx="1763">
                  <c:v>139.13039385775448</c:v>
                </c:pt>
                <c:pt idx="1764">
                  <c:v>147.7078400925995</c:v>
                </c:pt>
                <c:pt idx="1765">
                  <c:v>154.90515074983824</c:v>
                </c:pt>
                <c:pt idx="1766">
                  <c:v>160.68415370359938</c:v>
                </c:pt>
                <c:pt idx="1767">
                  <c:v>166.43924958856186</c:v>
                </c:pt>
                <c:pt idx="1768">
                  <c:v>171.80297596177596</c:v>
                </c:pt>
                <c:pt idx="1769">
                  <c:v>175.93699925675776</c:v>
                </c:pt>
                <c:pt idx="1770">
                  <c:v>179.64787943355321</c:v>
                </c:pt>
                <c:pt idx="1771">
                  <c:v>182.90842663454774</c:v>
                </c:pt>
                <c:pt idx="1772">
                  <c:v>184.77948054455447</c:v>
                </c:pt>
                <c:pt idx="1773">
                  <c:v>184.94359544398358</c:v>
                </c:pt>
                <c:pt idx="1774">
                  <c:v>184.63207425149974</c:v>
                </c:pt>
                <c:pt idx="1775">
                  <c:v>152.38614164906767</c:v>
                </c:pt>
                <c:pt idx="1776">
                  <c:v>148.48790443651734</c:v>
                </c:pt>
                <c:pt idx="1777">
                  <c:v>143.79693910559121</c:v>
                </c:pt>
                <c:pt idx="1778">
                  <c:v>138.60170238034937</c:v>
                </c:pt>
                <c:pt idx="1779">
                  <c:v>132.75410623233319</c:v>
                </c:pt>
                <c:pt idx="1780">
                  <c:v>125.90081611094396</c:v>
                </c:pt>
                <c:pt idx="1781">
                  <c:v>118.30373273244504</c:v>
                </c:pt>
                <c:pt idx="1782">
                  <c:v>111.1181285842019</c:v>
                </c:pt>
                <c:pt idx="1783">
                  <c:v>104.23201248901175</c:v>
                </c:pt>
                <c:pt idx="1784">
                  <c:v>97.185722716638793</c:v>
                </c:pt>
                <c:pt idx="1785">
                  <c:v>89.293526058365643</c:v>
                </c:pt>
                <c:pt idx="1786">
                  <c:v>81.032881036561349</c:v>
                </c:pt>
                <c:pt idx="1787">
                  <c:v>72.087352592566617</c:v>
                </c:pt>
                <c:pt idx="1788">
                  <c:v>61.936728411737278</c:v>
                </c:pt>
                <c:pt idx="1789">
                  <c:v>49.769366892433908</c:v>
                </c:pt>
                <c:pt idx="1790">
                  <c:v>34.114037899662108</c:v>
                </c:pt>
                <c:pt idx="1791">
                  <c:v>10.901826385725739</c:v>
                </c:pt>
                <c:pt idx="1792">
                  <c:v>-14.167165325718114</c:v>
                </c:pt>
                <c:pt idx="1793">
                  <c:v>-37.972370328789232</c:v>
                </c:pt>
                <c:pt idx="1794">
                  <c:v>-60.468569982308267</c:v>
                </c:pt>
                <c:pt idx="1795">
                  <c:v>-81.684143141033417</c:v>
                </c:pt>
                <c:pt idx="1796">
                  <c:v>-99.178482953516138</c:v>
                </c:pt>
                <c:pt idx="1797">
                  <c:v>-110.23335548457976</c:v>
                </c:pt>
                <c:pt idx="1798">
                  <c:v>-118.48125015317753</c:v>
                </c:pt>
                <c:pt idx="1799">
                  <c:v>-124.95316840396217</c:v>
                </c:pt>
                <c:pt idx="1800">
                  <c:v>-130.41191632452913</c:v>
                </c:pt>
                <c:pt idx="1801">
                  <c:v>-135.3346282268763</c:v>
                </c:pt>
                <c:pt idx="1802">
                  <c:v>-139.91374596662459</c:v>
                </c:pt>
                <c:pt idx="1803">
                  <c:v>-143.46147118607161</c:v>
                </c:pt>
                <c:pt idx="1804">
                  <c:v>-146.60790491464402</c:v>
                </c:pt>
                <c:pt idx="1805">
                  <c:v>-149.64151215698666</c:v>
                </c:pt>
                <c:pt idx="1806">
                  <c:v>-152.41651131900986</c:v>
                </c:pt>
                <c:pt idx="1807">
                  <c:v>-153.63485359970241</c:v>
                </c:pt>
                <c:pt idx="1808">
                  <c:v>-153.97024942750511</c:v>
                </c:pt>
                <c:pt idx="1809">
                  <c:v>-153.82470987231787</c:v>
                </c:pt>
                <c:pt idx="1810">
                  <c:v>-153.25288538870197</c:v>
                </c:pt>
                <c:pt idx="1811">
                  <c:v>-152.38614164906747</c:v>
                </c:pt>
                <c:pt idx="1812">
                  <c:v>-148.48790443651691</c:v>
                </c:pt>
                <c:pt idx="1813">
                  <c:v>-143.79693910559109</c:v>
                </c:pt>
                <c:pt idx="1814">
                  <c:v>-138.60170238034902</c:v>
                </c:pt>
                <c:pt idx="1815">
                  <c:v>-132.75410623233284</c:v>
                </c:pt>
                <c:pt idx="1816">
                  <c:v>-125.90081611094372</c:v>
                </c:pt>
                <c:pt idx="1817">
                  <c:v>-118.30373273244568</c:v>
                </c:pt>
                <c:pt idx="1818">
                  <c:v>-111.11812858420178</c:v>
                </c:pt>
                <c:pt idx="1819">
                  <c:v>-104.23201248901162</c:v>
                </c:pt>
                <c:pt idx="1820">
                  <c:v>-97.185722716638637</c:v>
                </c:pt>
                <c:pt idx="1821">
                  <c:v>-89.293526058365373</c:v>
                </c:pt>
                <c:pt idx="1822">
                  <c:v>-81.032881036561093</c:v>
                </c:pt>
                <c:pt idx="1823">
                  <c:v>-72.087352592566432</c:v>
                </c:pt>
                <c:pt idx="1824">
                  <c:v>-61.936728411736993</c:v>
                </c:pt>
                <c:pt idx="1825">
                  <c:v>-49.769366892433737</c:v>
                </c:pt>
                <c:pt idx="1826">
                  <c:v>-34.114037899661774</c:v>
                </c:pt>
                <c:pt idx="1827">
                  <c:v>-10.901826385725522</c:v>
                </c:pt>
                <c:pt idx="1828">
                  <c:v>14.167165325718473</c:v>
                </c:pt>
                <c:pt idx="1829">
                  <c:v>37.972370328789417</c:v>
                </c:pt>
                <c:pt idx="1830">
                  <c:v>60.46856998230858</c:v>
                </c:pt>
                <c:pt idx="1831">
                  <c:v>81.68414314103363</c:v>
                </c:pt>
                <c:pt idx="1832">
                  <c:v>99.178482953516351</c:v>
                </c:pt>
                <c:pt idx="1833">
                  <c:v>110.23335548457999</c:v>
                </c:pt>
                <c:pt idx="1834">
                  <c:v>118.48125015317783</c:v>
                </c:pt>
                <c:pt idx="1835">
                  <c:v>124.95316840396245</c:v>
                </c:pt>
                <c:pt idx="1836">
                  <c:v>130.4119163245293</c:v>
                </c:pt>
                <c:pt idx="1837">
                  <c:v>135.33462822687642</c:v>
                </c:pt>
                <c:pt idx="1838">
                  <c:v>139.91374596662476</c:v>
                </c:pt>
                <c:pt idx="1839">
                  <c:v>143.46147118607178</c:v>
                </c:pt>
                <c:pt idx="1840">
                  <c:v>146.60790491464445</c:v>
                </c:pt>
                <c:pt idx="1841">
                  <c:v>149.64151215698706</c:v>
                </c:pt>
                <c:pt idx="1842">
                  <c:v>152.41651131901008</c:v>
                </c:pt>
                <c:pt idx="1843">
                  <c:v>153.63485359970286</c:v>
                </c:pt>
                <c:pt idx="1844">
                  <c:v>153.97024942750537</c:v>
                </c:pt>
                <c:pt idx="1845">
                  <c:v>153.8247098723181</c:v>
                </c:pt>
                <c:pt idx="1846">
                  <c:v>153.25288538870228</c:v>
                </c:pt>
                <c:pt idx="1847">
                  <c:v>152.38614164906767</c:v>
                </c:pt>
              </c:numCache>
            </c:numRef>
          </c:xVal>
          <c:yVal>
            <c:numRef>
              <c:f>failure_surface!$F$19:$F$1866</c:f>
              <c:numCache>
                <c:formatCode>General</c:formatCode>
                <c:ptCount val="1848"/>
                <c:pt idx="0">
                  <c:v>-301.19784850501634</c:v>
                </c:pt>
                <c:pt idx="1">
                  <c:v>-301.58634100497108</c:v>
                </c:pt>
                <c:pt idx="2">
                  <c:v>-301.60044579241264</c:v>
                </c:pt>
                <c:pt idx="3">
                  <c:v>-301.60656174488219</c:v>
                </c:pt>
                <c:pt idx="4">
                  <c:v>-301.61014147100718</c:v>
                </c:pt>
                <c:pt idx="5">
                  <c:v>-301.61254500170014</c:v>
                </c:pt>
                <c:pt idx="6">
                  <c:v>-301.61431172477313</c:v>
                </c:pt>
                <c:pt idx="7">
                  <c:v>-301.61566980215446</c:v>
                </c:pt>
                <c:pt idx="8">
                  <c:v>-301.61675009290531</c:v>
                </c:pt>
                <c:pt idx="9">
                  <c:v>-301.61762848767762</c:v>
                </c:pt>
                <c:pt idx="10">
                  <c:v>-301.6183522575202</c:v>
                </c:pt>
                <c:pt idx="11">
                  <c:v>-301.61893884352162</c:v>
                </c:pt>
                <c:pt idx="12">
                  <c:v>-301.61939075894162</c:v>
                </c:pt>
                <c:pt idx="13">
                  <c:v>-301.61968760864738</c:v>
                </c:pt>
                <c:pt idx="14">
                  <c:v>-301.6197680942721</c:v>
                </c:pt>
                <c:pt idx="15">
                  <c:v>-301.61947844527799</c:v>
                </c:pt>
                <c:pt idx="16">
                  <c:v>-301.61837061988928</c:v>
                </c:pt>
                <c:pt idx="17">
                  <c:v>-301.61451688368663</c:v>
                </c:pt>
                <c:pt idx="18">
                  <c:v>-301.38434585158302</c:v>
                </c:pt>
                <c:pt idx="19">
                  <c:v>-301.1461890235941</c:v>
                </c:pt>
                <c:pt idx="20">
                  <c:v>-301.13866366647346</c:v>
                </c:pt>
                <c:pt idx="21">
                  <c:v>-301.13465582214559</c:v>
                </c:pt>
                <c:pt idx="22">
                  <c:v>-301.13182454737648</c:v>
                </c:pt>
                <c:pt idx="23">
                  <c:v>-301.12954587954431</c:v>
                </c:pt>
                <c:pt idx="24">
                  <c:v>-301.12756069201492</c:v>
                </c:pt>
                <c:pt idx="25">
                  <c:v>-301.12573127862026</c:v>
                </c:pt>
                <c:pt idx="26">
                  <c:v>-301.12396823621395</c:v>
                </c:pt>
                <c:pt idx="27">
                  <c:v>-301.12220147423483</c:v>
                </c:pt>
                <c:pt idx="28">
                  <c:v>-301.12036525028651</c:v>
                </c:pt>
                <c:pt idx="29">
                  <c:v>-301.1183821066154</c:v>
                </c:pt>
                <c:pt idx="30">
                  <c:v>-301.11614961023253</c:v>
                </c:pt>
                <c:pt idx="31">
                  <c:v>-301.11351112150101</c:v>
                </c:pt>
                <c:pt idx="32">
                  <c:v>-301.1101967598857</c:v>
                </c:pt>
                <c:pt idx="33">
                  <c:v>-301.10564264649844</c:v>
                </c:pt>
                <c:pt idx="34">
                  <c:v>-301.09841986291883</c:v>
                </c:pt>
                <c:pt idx="35">
                  <c:v>-301.08289872252732</c:v>
                </c:pt>
                <c:pt idx="36">
                  <c:v>-300.69144364097286</c:v>
                </c:pt>
                <c:pt idx="37">
                  <c:v>-300.30295114101813</c:v>
                </c:pt>
                <c:pt idx="38">
                  <c:v>-300.28884635357656</c:v>
                </c:pt>
                <c:pt idx="39">
                  <c:v>-300.28273040110702</c:v>
                </c:pt>
                <c:pt idx="40">
                  <c:v>-300.27915067498208</c:v>
                </c:pt>
                <c:pt idx="41">
                  <c:v>-300.27674714428912</c:v>
                </c:pt>
                <c:pt idx="42">
                  <c:v>-300.27498042121607</c:v>
                </c:pt>
                <c:pt idx="43">
                  <c:v>-300.27362234383475</c:v>
                </c:pt>
                <c:pt idx="44">
                  <c:v>-300.2725420530839</c:v>
                </c:pt>
                <c:pt idx="45">
                  <c:v>-300.27166365831062</c:v>
                </c:pt>
                <c:pt idx="46">
                  <c:v>-300.27093988846906</c:v>
                </c:pt>
                <c:pt idx="47">
                  <c:v>-300.27035330246775</c:v>
                </c:pt>
                <c:pt idx="48">
                  <c:v>-300.26990138704764</c:v>
                </c:pt>
                <c:pt idx="49">
                  <c:v>-300.26960453734182</c:v>
                </c:pt>
                <c:pt idx="50">
                  <c:v>-300.2695240517171</c:v>
                </c:pt>
                <c:pt idx="51">
                  <c:v>-300.26981370071127</c:v>
                </c:pt>
                <c:pt idx="52">
                  <c:v>-300.27092152609993</c:v>
                </c:pt>
                <c:pt idx="53">
                  <c:v>-300.27477526230263</c:v>
                </c:pt>
                <c:pt idx="54">
                  <c:v>-300.50494629440624</c:v>
                </c:pt>
                <c:pt idx="55">
                  <c:v>-300.7431031223951</c:v>
                </c:pt>
                <c:pt idx="56">
                  <c:v>-300.7506284795158</c:v>
                </c:pt>
                <c:pt idx="57">
                  <c:v>-300.75463632384361</c:v>
                </c:pt>
                <c:pt idx="58">
                  <c:v>-300.75746759861272</c:v>
                </c:pt>
                <c:pt idx="59">
                  <c:v>-300.75974626644489</c:v>
                </c:pt>
                <c:pt idx="60">
                  <c:v>-300.76173145397428</c:v>
                </c:pt>
                <c:pt idx="61">
                  <c:v>-300.76356086736894</c:v>
                </c:pt>
                <c:pt idx="62">
                  <c:v>-300.76532390977525</c:v>
                </c:pt>
                <c:pt idx="63">
                  <c:v>-300.76709067175437</c:v>
                </c:pt>
                <c:pt idx="64">
                  <c:v>-300.76892689570275</c:v>
                </c:pt>
                <c:pt idx="65">
                  <c:v>-300.77091003937386</c:v>
                </c:pt>
                <c:pt idx="66">
                  <c:v>-300.77314253575668</c:v>
                </c:pt>
                <c:pt idx="67">
                  <c:v>-300.7757810244882</c:v>
                </c:pt>
                <c:pt idx="68">
                  <c:v>-300.77909538610351</c:v>
                </c:pt>
                <c:pt idx="69">
                  <c:v>-300.78364949949082</c:v>
                </c:pt>
                <c:pt idx="70">
                  <c:v>-300.79087228307043</c:v>
                </c:pt>
                <c:pt idx="71">
                  <c:v>-276.29348318278556</c:v>
                </c:pt>
                <c:pt idx="72">
                  <c:v>-281.85933682544606</c:v>
                </c:pt>
                <c:pt idx="73">
                  <c:v>-287.93027142518008</c:v>
                </c:pt>
                <c:pt idx="74">
                  <c:v>-289.75237053185356</c:v>
                </c:pt>
                <c:pt idx="75">
                  <c:v>-290.49207295608051</c:v>
                </c:pt>
                <c:pt idx="76">
                  <c:v>-290.87618331001335</c:v>
                </c:pt>
                <c:pt idx="77">
                  <c:v>-291.11271899818308</c:v>
                </c:pt>
                <c:pt idx="78">
                  <c:v>-291.28010916731358</c:v>
                </c:pt>
                <c:pt idx="79">
                  <c:v>-291.4137658584454</c:v>
                </c:pt>
                <c:pt idx="80">
                  <c:v>-291.53217551068536</c:v>
                </c:pt>
                <c:pt idx="81">
                  <c:v>-291.64657599790308</c:v>
                </c:pt>
                <c:pt idx="82">
                  <c:v>-291.76500360971517</c:v>
                </c:pt>
                <c:pt idx="83">
                  <c:v>-291.89419978248418</c:v>
                </c:pt>
                <c:pt idx="84">
                  <c:v>-292.04017737964051</c:v>
                </c:pt>
                <c:pt idx="85">
                  <c:v>-292.2063440368355</c:v>
                </c:pt>
                <c:pt idx="86">
                  <c:v>-292.38126442506189</c:v>
                </c:pt>
                <c:pt idx="87">
                  <c:v>-292.46166754717643</c:v>
                </c:pt>
                <c:pt idx="88">
                  <c:v>-291.44671888082729</c:v>
                </c:pt>
                <c:pt idx="89">
                  <c:v>-285.99293149556343</c:v>
                </c:pt>
                <c:pt idx="90">
                  <c:v>-278.81965068057821</c:v>
                </c:pt>
                <c:pt idx="91">
                  <c:v>-273.61740443547876</c:v>
                </c:pt>
                <c:pt idx="92">
                  <c:v>-271.86856877547422</c:v>
                </c:pt>
                <c:pt idx="93">
                  <c:v>-270.96713784886219</c:v>
                </c:pt>
                <c:pt idx="94">
                  <c:v>-270.39771347250553</c:v>
                </c:pt>
                <c:pt idx="95">
                  <c:v>-269.98830652093648</c:v>
                </c:pt>
                <c:pt idx="96">
                  <c:v>-269.66373091280082</c:v>
                </c:pt>
                <c:pt idx="97">
                  <c:v>-269.38403224142286</c:v>
                </c:pt>
                <c:pt idx="98">
                  <c:v>-269.12347465353832</c:v>
                </c:pt>
                <c:pt idx="99">
                  <c:v>-268.86113192862496</c:v>
                </c:pt>
                <c:pt idx="100">
                  <c:v>-268.57465479642178</c:v>
                </c:pt>
                <c:pt idx="101">
                  <c:v>-268.23307218680452</c:v>
                </c:pt>
                <c:pt idx="102">
                  <c:v>-267.78334709801595</c:v>
                </c:pt>
                <c:pt idx="103">
                  <c:v>-267.11689923364213</c:v>
                </c:pt>
                <c:pt idx="104">
                  <c:v>-265.9640037417916</c:v>
                </c:pt>
                <c:pt idx="105">
                  <c:v>-263.43969241998786</c:v>
                </c:pt>
                <c:pt idx="106">
                  <c:v>-255.93545541074849</c:v>
                </c:pt>
                <c:pt idx="107">
                  <c:v>-249.96226474763668</c:v>
                </c:pt>
                <c:pt idx="108">
                  <c:v>-244.39641110497615</c:v>
                </c:pt>
                <c:pt idx="109">
                  <c:v>-238.32547650524214</c:v>
                </c:pt>
                <c:pt idx="110">
                  <c:v>-236.50337739856869</c:v>
                </c:pt>
                <c:pt idx="111">
                  <c:v>-235.76367497434177</c:v>
                </c:pt>
                <c:pt idx="112">
                  <c:v>-235.37956462040893</c:v>
                </c:pt>
                <c:pt idx="113">
                  <c:v>-235.14302893223916</c:v>
                </c:pt>
                <c:pt idx="114">
                  <c:v>-234.97563876310869</c:v>
                </c:pt>
                <c:pt idx="115">
                  <c:v>-234.84198207197682</c:v>
                </c:pt>
                <c:pt idx="116">
                  <c:v>-234.7235724197368</c:v>
                </c:pt>
                <c:pt idx="117">
                  <c:v>-234.6091719325191</c:v>
                </c:pt>
                <c:pt idx="118">
                  <c:v>-234.49074432070699</c:v>
                </c:pt>
                <c:pt idx="119">
                  <c:v>-234.36154814793798</c:v>
                </c:pt>
                <c:pt idx="120">
                  <c:v>-234.21557055078173</c:v>
                </c:pt>
                <c:pt idx="121">
                  <c:v>-234.04940389358669</c:v>
                </c:pt>
                <c:pt idx="122">
                  <c:v>-233.87448350536033</c:v>
                </c:pt>
                <c:pt idx="123">
                  <c:v>-233.79408038324578</c:v>
                </c:pt>
                <c:pt idx="124">
                  <c:v>-234.80902904959495</c:v>
                </c:pt>
                <c:pt idx="125">
                  <c:v>-240.26281643485879</c:v>
                </c:pt>
                <c:pt idx="126">
                  <c:v>-247.43609724984401</c:v>
                </c:pt>
                <c:pt idx="127">
                  <c:v>-252.63834349494343</c:v>
                </c:pt>
                <c:pt idx="128">
                  <c:v>-254.38717915494803</c:v>
                </c:pt>
                <c:pt idx="129">
                  <c:v>-255.28861008156005</c:v>
                </c:pt>
                <c:pt idx="130">
                  <c:v>-255.85803445791674</c:v>
                </c:pt>
                <c:pt idx="131">
                  <c:v>-256.26744140948568</c:v>
                </c:pt>
                <c:pt idx="132">
                  <c:v>-256.59201701762146</c:v>
                </c:pt>
                <c:pt idx="133">
                  <c:v>-256.87171568899936</c:v>
                </c:pt>
                <c:pt idx="134">
                  <c:v>-257.13227327688389</c:v>
                </c:pt>
                <c:pt idx="135">
                  <c:v>-257.39461600179726</c:v>
                </c:pt>
                <c:pt idx="136">
                  <c:v>-257.68109313400049</c:v>
                </c:pt>
                <c:pt idx="137">
                  <c:v>-258.0226757436177</c:v>
                </c:pt>
                <c:pt idx="138">
                  <c:v>-258.47240083240627</c:v>
                </c:pt>
                <c:pt idx="139">
                  <c:v>-259.13884869678009</c:v>
                </c:pt>
                <c:pt idx="140">
                  <c:v>-260.29174418863062</c:v>
                </c:pt>
                <c:pt idx="141">
                  <c:v>-262.81605551043435</c:v>
                </c:pt>
                <c:pt idx="142">
                  <c:v>-249.550828162513</c:v>
                </c:pt>
                <c:pt idx="143">
                  <c:v>-259.66041157178745</c:v>
                </c:pt>
                <c:pt idx="144">
                  <c:v>-267.01108739066933</c:v>
                </c:pt>
                <c:pt idx="145">
                  <c:v>-270.56439471495082</c:v>
                </c:pt>
                <c:pt idx="146">
                  <c:v>-272.43265583278469</c:v>
                </c:pt>
                <c:pt idx="147">
                  <c:v>-273.74675728432413</c:v>
                </c:pt>
                <c:pt idx="148">
                  <c:v>-274.83032284449001</c:v>
                </c:pt>
                <c:pt idx="149">
                  <c:v>-275.81159933766156</c:v>
                </c:pt>
                <c:pt idx="150">
                  <c:v>-276.75564140154557</c:v>
                </c:pt>
                <c:pt idx="151">
                  <c:v>-277.70421384946815</c:v>
                </c:pt>
                <c:pt idx="152">
                  <c:v>-278.64315293970157</c:v>
                </c:pt>
                <c:pt idx="153">
                  <c:v>-279.11928397010473</c:v>
                </c:pt>
                <c:pt idx="154">
                  <c:v>-279.0043253671389</c:v>
                </c:pt>
                <c:pt idx="155">
                  <c:v>-278.86670596412006</c:v>
                </c:pt>
                <c:pt idx="156">
                  <c:v>-278.70642441131474</c:v>
                </c:pt>
                <c:pt idx="157">
                  <c:v>-278.49560084952094</c:v>
                </c:pt>
                <c:pt idx="158">
                  <c:v>-278.05330865263494</c:v>
                </c:pt>
                <c:pt idx="159">
                  <c:v>-275.69018412211278</c:v>
                </c:pt>
                <c:pt idx="160">
                  <c:v>-268.45901193201502</c:v>
                </c:pt>
                <c:pt idx="161">
                  <c:v>-253.93151664149988</c:v>
                </c:pt>
                <c:pt idx="162">
                  <c:v>-245.88942990942053</c:v>
                </c:pt>
                <c:pt idx="163">
                  <c:v>-243.04018930871243</c:v>
                </c:pt>
                <c:pt idx="164">
                  <c:v>-241.38559523449152</c:v>
                </c:pt>
                <c:pt idx="165">
                  <c:v>-240.16793744555267</c:v>
                </c:pt>
                <c:pt idx="166">
                  <c:v>-239.1335655372132</c:v>
                </c:pt>
                <c:pt idx="167">
                  <c:v>-238.1637006821862</c:v>
                </c:pt>
                <c:pt idx="168">
                  <c:v>-236.38205994104322</c:v>
                </c:pt>
                <c:pt idx="169">
                  <c:v>-234.63009712043305</c:v>
                </c:pt>
                <c:pt idx="170">
                  <c:v>-233.33199692262616</c:v>
                </c:pt>
                <c:pt idx="171">
                  <c:v>-232.07344177885236</c:v>
                </c:pt>
                <c:pt idx="172">
                  <c:v>-230.78475508184073</c:v>
                </c:pt>
                <c:pt idx="173">
                  <c:v>-229.37020027208675</c:v>
                </c:pt>
                <c:pt idx="174">
                  <c:v>-227.65651691809791</c:v>
                </c:pt>
                <c:pt idx="175">
                  <c:v>-225.23276457176712</c:v>
                </c:pt>
                <c:pt idx="176">
                  <c:v>-220.74502890364192</c:v>
                </c:pt>
                <c:pt idx="177">
                  <c:v>-212.08809562122889</c:v>
                </c:pt>
                <c:pt idx="178">
                  <c:v>-201.0713755523422</c:v>
                </c:pt>
                <c:pt idx="179">
                  <c:v>-190.96179214306778</c:v>
                </c:pt>
                <c:pt idx="180">
                  <c:v>-183.61111632418593</c:v>
                </c:pt>
                <c:pt idx="181">
                  <c:v>-180.05780899990444</c:v>
                </c:pt>
                <c:pt idx="182">
                  <c:v>-178.18954788207054</c:v>
                </c:pt>
                <c:pt idx="183">
                  <c:v>-176.87544643053113</c:v>
                </c:pt>
                <c:pt idx="184">
                  <c:v>-175.79188087036519</c:v>
                </c:pt>
                <c:pt idx="185">
                  <c:v>-174.81060437719367</c:v>
                </c:pt>
                <c:pt idx="186">
                  <c:v>-173.8665623133096</c:v>
                </c:pt>
                <c:pt idx="187">
                  <c:v>-172.91798986538709</c:v>
                </c:pt>
                <c:pt idx="188">
                  <c:v>-171.97905077515361</c:v>
                </c:pt>
                <c:pt idx="189">
                  <c:v>-171.50291974475056</c:v>
                </c:pt>
                <c:pt idx="190">
                  <c:v>-171.61787834771638</c:v>
                </c:pt>
                <c:pt idx="191">
                  <c:v>-171.75549775073523</c:v>
                </c:pt>
                <c:pt idx="192">
                  <c:v>-171.91577930354052</c:v>
                </c:pt>
                <c:pt idx="193">
                  <c:v>-172.12660286533421</c:v>
                </c:pt>
                <c:pt idx="194">
                  <c:v>-172.56889506222029</c:v>
                </c:pt>
                <c:pt idx="195">
                  <c:v>-174.93201959274251</c:v>
                </c:pt>
                <c:pt idx="196">
                  <c:v>-182.16319178284022</c:v>
                </c:pt>
                <c:pt idx="197">
                  <c:v>-196.69068707335538</c:v>
                </c:pt>
                <c:pt idx="198">
                  <c:v>-204.7327738054347</c:v>
                </c:pt>
                <c:pt idx="199">
                  <c:v>-207.58201440614283</c:v>
                </c:pt>
                <c:pt idx="200">
                  <c:v>-209.23660848036371</c:v>
                </c:pt>
                <c:pt idx="201">
                  <c:v>-210.45426626930256</c:v>
                </c:pt>
                <c:pt idx="202">
                  <c:v>-211.48863817764206</c:v>
                </c:pt>
                <c:pt idx="203">
                  <c:v>-212.45850303266906</c:v>
                </c:pt>
                <c:pt idx="204">
                  <c:v>-214.24014377381206</c:v>
                </c:pt>
                <c:pt idx="205">
                  <c:v>-215.99210659442221</c:v>
                </c:pt>
                <c:pt idx="206">
                  <c:v>-217.2902067922291</c:v>
                </c:pt>
                <c:pt idx="207">
                  <c:v>-218.5487619360029</c:v>
                </c:pt>
                <c:pt idx="208">
                  <c:v>-219.8374486330145</c:v>
                </c:pt>
                <c:pt idx="209">
                  <c:v>-221.25200344276848</c:v>
                </c:pt>
                <c:pt idx="210">
                  <c:v>-222.96568679675732</c:v>
                </c:pt>
                <c:pt idx="211">
                  <c:v>-225.38943914308814</c:v>
                </c:pt>
                <c:pt idx="212">
                  <c:v>-229.87717481121337</c:v>
                </c:pt>
                <c:pt idx="213">
                  <c:v>-222.12080971354771</c:v>
                </c:pt>
                <c:pt idx="214">
                  <c:v>-231.64140080503392</c:v>
                </c:pt>
                <c:pt idx="215">
                  <c:v>-239.37639471491008</c:v>
                </c:pt>
                <c:pt idx="216">
                  <c:v>-245.38063054171272</c:v>
                </c:pt>
                <c:pt idx="217">
                  <c:v>-249.32094966111981</c:v>
                </c:pt>
                <c:pt idx="218">
                  <c:v>-251.89302015901552</c:v>
                </c:pt>
                <c:pt idx="219">
                  <c:v>-254.68863228117098</c:v>
                </c:pt>
                <c:pt idx="220">
                  <c:v>-256.56494132325929</c:v>
                </c:pt>
                <c:pt idx="221">
                  <c:v>-257.61845049299166</c:v>
                </c:pt>
                <c:pt idx="222">
                  <c:v>-258.58856666580385</c:v>
                </c:pt>
                <c:pt idx="223">
                  <c:v>-259.53962827039174</c:v>
                </c:pt>
                <c:pt idx="224">
                  <c:v>-260.52095135189313</c:v>
                </c:pt>
                <c:pt idx="225">
                  <c:v>-261.57790299364427</c:v>
                </c:pt>
                <c:pt idx="226">
                  <c:v>-262.75795947331636</c:v>
                </c:pt>
                <c:pt idx="227">
                  <c:v>-263.00908619292767</c:v>
                </c:pt>
                <c:pt idx="228">
                  <c:v>-262.16396555103404</c:v>
                </c:pt>
                <c:pt idx="229">
                  <c:v>-260.61799471174999</c:v>
                </c:pt>
                <c:pt idx="230">
                  <c:v>-256.69554047662746</c:v>
                </c:pt>
                <c:pt idx="231">
                  <c:v>-246.51385313609865</c:v>
                </c:pt>
                <c:pt idx="232">
                  <c:v>-230.61257291580873</c:v>
                </c:pt>
                <c:pt idx="233">
                  <c:v>-220.48349543618392</c:v>
                </c:pt>
                <c:pt idx="234">
                  <c:v>-216.03495084567487</c:v>
                </c:pt>
                <c:pt idx="235">
                  <c:v>-213.37540134223772</c:v>
                </c:pt>
                <c:pt idx="236">
                  <c:v>-210.01761676117704</c:v>
                </c:pt>
                <c:pt idx="237">
                  <c:v>-206.67307529821312</c:v>
                </c:pt>
                <c:pt idx="238">
                  <c:v>-203.80158666895079</c:v>
                </c:pt>
                <c:pt idx="239">
                  <c:v>-201.18152275676175</c:v>
                </c:pt>
                <c:pt idx="240">
                  <c:v>-198.66218013989911</c:v>
                </c:pt>
                <c:pt idx="241">
                  <c:v>-196.11588812175211</c:v>
                </c:pt>
                <c:pt idx="242">
                  <c:v>-193.40502127439015</c:v>
                </c:pt>
                <c:pt idx="243">
                  <c:v>-189.85667990405318</c:v>
                </c:pt>
                <c:pt idx="244">
                  <c:v>-186.51091550320797</c:v>
                </c:pt>
                <c:pt idx="245">
                  <c:v>-183.3976225131687</c:v>
                </c:pt>
                <c:pt idx="246">
                  <c:v>-178.74714998401967</c:v>
                </c:pt>
                <c:pt idx="247">
                  <c:v>-171.68078467273989</c:v>
                </c:pt>
                <c:pt idx="248">
                  <c:v>-162.99487164160274</c:v>
                </c:pt>
                <c:pt idx="249">
                  <c:v>-152.86784978574059</c:v>
                </c:pt>
                <c:pt idx="250">
                  <c:v>-143.34725869425432</c:v>
                </c:pt>
                <c:pt idx="251">
                  <c:v>-135.61226478437825</c:v>
                </c:pt>
                <c:pt idx="252">
                  <c:v>-129.60802895757558</c:v>
                </c:pt>
                <c:pt idx="253">
                  <c:v>-125.66770983816849</c:v>
                </c:pt>
                <c:pt idx="254">
                  <c:v>-123.09563934027284</c:v>
                </c:pt>
                <c:pt idx="255">
                  <c:v>-120.30002721811729</c:v>
                </c:pt>
                <c:pt idx="256">
                  <c:v>-118.423718176029</c:v>
                </c:pt>
                <c:pt idx="257">
                  <c:v>-117.37020900629659</c:v>
                </c:pt>
                <c:pt idx="258">
                  <c:v>-116.40009283348446</c:v>
                </c:pt>
                <c:pt idx="259">
                  <c:v>-115.44903122889656</c:v>
                </c:pt>
                <c:pt idx="260">
                  <c:v>-114.46770814739513</c:v>
                </c:pt>
                <c:pt idx="261">
                  <c:v>-113.41075650564399</c:v>
                </c:pt>
                <c:pt idx="262">
                  <c:v>-112.23070002597201</c:v>
                </c:pt>
                <c:pt idx="263">
                  <c:v>-111.97957330636066</c:v>
                </c:pt>
                <c:pt idx="264">
                  <c:v>-112.82469394825429</c:v>
                </c:pt>
                <c:pt idx="265">
                  <c:v>-114.37066478753829</c:v>
                </c:pt>
                <c:pt idx="266">
                  <c:v>-118.29311902266087</c:v>
                </c:pt>
                <c:pt idx="267">
                  <c:v>-128.47480636318971</c:v>
                </c:pt>
                <c:pt idx="268">
                  <c:v>-144.3760865834796</c:v>
                </c:pt>
                <c:pt idx="269">
                  <c:v>-154.50516406310433</c:v>
                </c:pt>
                <c:pt idx="270">
                  <c:v>-158.95370865361343</c:v>
                </c:pt>
                <c:pt idx="271">
                  <c:v>-161.61325815705055</c:v>
                </c:pt>
                <c:pt idx="272">
                  <c:v>-164.97104273811127</c:v>
                </c:pt>
                <c:pt idx="273">
                  <c:v>-168.31558420107518</c:v>
                </c:pt>
                <c:pt idx="274">
                  <c:v>-171.18707283033751</c:v>
                </c:pt>
                <c:pt idx="275">
                  <c:v>-173.80713674252655</c:v>
                </c:pt>
                <c:pt idx="276">
                  <c:v>-176.3264793593892</c:v>
                </c:pt>
                <c:pt idx="277">
                  <c:v>-178.8727713775362</c:v>
                </c:pt>
                <c:pt idx="278">
                  <c:v>-181.58363822489818</c:v>
                </c:pt>
                <c:pt idx="279">
                  <c:v>-185.13197959523512</c:v>
                </c:pt>
                <c:pt idx="280">
                  <c:v>-188.47774399608031</c:v>
                </c:pt>
                <c:pt idx="281">
                  <c:v>-191.59103698611958</c:v>
                </c:pt>
                <c:pt idx="282">
                  <c:v>-196.24150951526869</c:v>
                </c:pt>
                <c:pt idx="283">
                  <c:v>-203.3078748265485</c:v>
                </c:pt>
                <c:pt idx="284">
                  <c:v>-194.67200602538867</c:v>
                </c:pt>
                <c:pt idx="285">
                  <c:v>-203.64681413499216</c:v>
                </c:pt>
                <c:pt idx="286">
                  <c:v>-211.13634555974079</c:v>
                </c:pt>
                <c:pt idx="287">
                  <c:v>-217.11984604255329</c:v>
                </c:pt>
                <c:pt idx="288">
                  <c:v>-222.1534134729983</c:v>
                </c:pt>
                <c:pt idx="289">
                  <c:v>-226.31476107765451</c:v>
                </c:pt>
                <c:pt idx="290">
                  <c:v>-230.12109125569509</c:v>
                </c:pt>
                <c:pt idx="291">
                  <c:v>-233.48602131036372</c:v>
                </c:pt>
                <c:pt idx="292">
                  <c:v>-236.64171271124243</c:v>
                </c:pt>
                <c:pt idx="293">
                  <c:v>-239.52095469443773</c:v>
                </c:pt>
                <c:pt idx="294">
                  <c:v>-240.64838900012793</c:v>
                </c:pt>
                <c:pt idx="295">
                  <c:v>-241.73975324980609</c:v>
                </c:pt>
                <c:pt idx="296">
                  <c:v>-242.34219936463325</c:v>
                </c:pt>
                <c:pt idx="297">
                  <c:v>-242.76929232863534</c:v>
                </c:pt>
                <c:pt idx="298">
                  <c:v>-243.26258334626027</c:v>
                </c:pt>
                <c:pt idx="299">
                  <c:v>-243.38782073088836</c:v>
                </c:pt>
                <c:pt idx="300">
                  <c:v>-240.80406003104633</c:v>
                </c:pt>
                <c:pt idx="301">
                  <c:v>-234.7331911463703</c:v>
                </c:pt>
                <c:pt idx="302">
                  <c:v>-224.07447707262156</c:v>
                </c:pt>
                <c:pt idx="303">
                  <c:v>-209.13414950678242</c:v>
                </c:pt>
                <c:pt idx="304">
                  <c:v>-197.0664701877634</c:v>
                </c:pt>
                <c:pt idx="305">
                  <c:v>-190.98913114368349</c:v>
                </c:pt>
                <c:pt idx="306">
                  <c:v>-184.24775202605488</c:v>
                </c:pt>
                <c:pt idx="307">
                  <c:v>-178.32316750985626</c:v>
                </c:pt>
                <c:pt idx="308">
                  <c:v>-173.31663881303973</c:v>
                </c:pt>
                <c:pt idx="309">
                  <c:v>-169.15025363744547</c:v>
                </c:pt>
                <c:pt idx="310">
                  <c:v>-166.12979326803108</c:v>
                </c:pt>
                <c:pt idx="311">
                  <c:v>-163.20366863282078</c:v>
                </c:pt>
                <c:pt idx="312">
                  <c:v>-158.30074895723547</c:v>
                </c:pt>
                <c:pt idx="313">
                  <c:v>-153.07326517408427</c:v>
                </c:pt>
                <c:pt idx="314">
                  <c:v>-147.5120215115181</c:v>
                </c:pt>
                <c:pt idx="315">
                  <c:v>-141.24482230616249</c:v>
                </c:pt>
                <c:pt idx="316">
                  <c:v>-135.27669207864682</c:v>
                </c:pt>
                <c:pt idx="317">
                  <c:v>-129.20190597138836</c:v>
                </c:pt>
                <c:pt idx="318">
                  <c:v>-122.20623613979853</c:v>
                </c:pt>
                <c:pt idx="319">
                  <c:v>-114.01726526983849</c:v>
                </c:pt>
                <c:pt idx="320">
                  <c:v>-104.68310925833256</c:v>
                </c:pt>
                <c:pt idx="321">
                  <c:v>-95.708301148729106</c:v>
                </c:pt>
                <c:pt idx="322">
                  <c:v>-88.218769723980472</c:v>
                </c:pt>
                <c:pt idx="323">
                  <c:v>-82.235269241167956</c:v>
                </c:pt>
                <c:pt idx="324">
                  <c:v>-77.201701810722966</c:v>
                </c:pt>
                <c:pt idx="325">
                  <c:v>-73.04035420606678</c:v>
                </c:pt>
                <c:pt idx="326">
                  <c:v>-69.234024028026184</c:v>
                </c:pt>
                <c:pt idx="327">
                  <c:v>-65.869093973357565</c:v>
                </c:pt>
                <c:pt idx="328">
                  <c:v>-62.713402572478827</c:v>
                </c:pt>
                <c:pt idx="329">
                  <c:v>-59.834160589283556</c:v>
                </c:pt>
                <c:pt idx="330">
                  <c:v>-58.706726283593284</c:v>
                </c:pt>
                <c:pt idx="331">
                  <c:v>-57.615362033915176</c:v>
                </c:pt>
                <c:pt idx="332">
                  <c:v>-57.012915919087988</c:v>
                </c:pt>
                <c:pt idx="333">
                  <c:v>-56.585822955085902</c:v>
                </c:pt>
                <c:pt idx="334">
                  <c:v>-56.092531937461018</c:v>
                </c:pt>
                <c:pt idx="335">
                  <c:v>-55.967294552832868</c:v>
                </c:pt>
                <c:pt idx="336">
                  <c:v>-58.551055252674928</c:v>
                </c:pt>
                <c:pt idx="337">
                  <c:v>-64.621924137350959</c:v>
                </c:pt>
                <c:pt idx="338">
                  <c:v>-75.280638211099699</c:v>
                </c:pt>
                <c:pt idx="339">
                  <c:v>-90.220965776938826</c:v>
                </c:pt>
                <c:pt idx="340">
                  <c:v>-102.28864509595782</c:v>
                </c:pt>
                <c:pt idx="341">
                  <c:v>-108.36598414003777</c:v>
                </c:pt>
                <c:pt idx="342">
                  <c:v>-115.10736325766634</c:v>
                </c:pt>
                <c:pt idx="343">
                  <c:v>-121.03194777386499</c:v>
                </c:pt>
                <c:pt idx="344">
                  <c:v>-126.03847647068156</c:v>
                </c:pt>
                <c:pt idx="345">
                  <c:v>-130.20486164627584</c:v>
                </c:pt>
                <c:pt idx="346">
                  <c:v>-133.22532201569021</c:v>
                </c:pt>
                <c:pt idx="347">
                  <c:v>-136.15144665090048</c:v>
                </c:pt>
                <c:pt idx="348">
                  <c:v>-141.05436632648582</c:v>
                </c:pt>
                <c:pt idx="349">
                  <c:v>-146.28185010963699</c:v>
                </c:pt>
                <c:pt idx="350">
                  <c:v>-151.84309377220313</c:v>
                </c:pt>
                <c:pt idx="351">
                  <c:v>-158.11029297755874</c:v>
                </c:pt>
                <c:pt idx="352">
                  <c:v>-164.07842320507442</c:v>
                </c:pt>
                <c:pt idx="353">
                  <c:v>-170.1532093123329</c:v>
                </c:pt>
                <c:pt idx="354">
                  <c:v>-177.14887914392273</c:v>
                </c:pt>
                <c:pt idx="355">
                  <c:v>-167.13728340843926</c:v>
                </c:pt>
                <c:pt idx="356">
                  <c:v>-174.935238595638</c:v>
                </c:pt>
                <c:pt idx="357">
                  <c:v>-182.16564500423203</c:v>
                </c:pt>
                <c:pt idx="358">
                  <c:v>-188.724243827039</c:v>
                </c:pt>
                <c:pt idx="359">
                  <c:v>-195.7388410699283</c:v>
                </c:pt>
                <c:pt idx="360">
                  <c:v>-201.22294731621071</c:v>
                </c:pt>
                <c:pt idx="361">
                  <c:v>-205.48779190256948</c:v>
                </c:pt>
                <c:pt idx="362">
                  <c:v>-209.13235907585224</c:v>
                </c:pt>
                <c:pt idx="363">
                  <c:v>-212.45716262834856</c:v>
                </c:pt>
                <c:pt idx="364">
                  <c:v>-215.64222822849209</c:v>
                </c:pt>
                <c:pt idx="365">
                  <c:v>-218.6141712218548</c:v>
                </c:pt>
                <c:pt idx="366">
                  <c:v>-221.24984492470747</c:v>
                </c:pt>
                <c:pt idx="367">
                  <c:v>-221.82291283336417</c:v>
                </c:pt>
                <c:pt idx="368">
                  <c:v>-222.34173325317357</c:v>
                </c:pt>
                <c:pt idx="369">
                  <c:v>-222.52217888746793</c:v>
                </c:pt>
                <c:pt idx="370">
                  <c:v>-221.27990245657651</c:v>
                </c:pt>
                <c:pt idx="371">
                  <c:v>-218.40550466481977</c:v>
                </c:pt>
                <c:pt idx="372">
                  <c:v>-212.21549333558534</c:v>
                </c:pt>
                <c:pt idx="373">
                  <c:v>-201.61459467435589</c:v>
                </c:pt>
                <c:pt idx="374">
                  <c:v>-187.85056012845348</c:v>
                </c:pt>
                <c:pt idx="375">
                  <c:v>-175.99153313887649</c:v>
                </c:pt>
                <c:pt idx="376">
                  <c:v>-164.76646087199998</c:v>
                </c:pt>
                <c:pt idx="377">
                  <c:v>-154.31923575796486</c:v>
                </c:pt>
                <c:pt idx="378">
                  <c:v>-147.5068814235845</c:v>
                </c:pt>
                <c:pt idx="379">
                  <c:v>-142.071988103439</c:v>
                </c:pt>
                <c:pt idx="380">
                  <c:v>-137.12123693646257</c:v>
                </c:pt>
                <c:pt idx="381">
                  <c:v>-129.53142687251056</c:v>
                </c:pt>
                <c:pt idx="382">
                  <c:v>-122.42013849177923</c:v>
                </c:pt>
                <c:pt idx="383">
                  <c:v>-116.92515757233001</c:v>
                </c:pt>
                <c:pt idx="384">
                  <c:v>-111.32302830531708</c:v>
                </c:pt>
                <c:pt idx="385">
                  <c:v>-105.30772062728168</c:v>
                </c:pt>
                <c:pt idx="386">
                  <c:v>-98.425486139447145</c:v>
                </c:pt>
                <c:pt idx="387">
                  <c:v>-89.843847200045971</c:v>
                </c:pt>
                <c:pt idx="388">
                  <c:v>-79.828788505942356</c:v>
                </c:pt>
                <c:pt idx="389">
                  <c:v>-72.344573131915638</c:v>
                </c:pt>
                <c:pt idx="390">
                  <c:v>-64.567277740018667</c:v>
                </c:pt>
                <c:pt idx="391">
                  <c:v>-56.584287659714967</c:v>
                </c:pt>
                <c:pt idx="392">
                  <c:v>-48.786332472516214</c:v>
                </c:pt>
                <c:pt idx="393">
                  <c:v>-41.555926063922215</c:v>
                </c:pt>
                <c:pt idx="394">
                  <c:v>-34.997327241115258</c:v>
                </c:pt>
                <c:pt idx="395">
                  <c:v>-27.982729998226034</c:v>
                </c:pt>
                <c:pt idx="396">
                  <c:v>-22.498623751943583</c:v>
                </c:pt>
                <c:pt idx="397">
                  <c:v>-18.233779165584806</c:v>
                </c:pt>
                <c:pt idx="398">
                  <c:v>-14.589211992301969</c:v>
                </c:pt>
                <c:pt idx="399">
                  <c:v>-11.264408439805706</c:v>
                </c:pt>
                <c:pt idx="400">
                  <c:v>-8.0793428396621749</c:v>
                </c:pt>
                <c:pt idx="401">
                  <c:v>-5.1073998462994723</c:v>
                </c:pt>
                <c:pt idx="402">
                  <c:v>-2.4717261434467872</c:v>
                </c:pt>
                <c:pt idx="403">
                  <c:v>-1.8986582347900907</c:v>
                </c:pt>
                <c:pt idx="404">
                  <c:v>-1.3798378149807462</c:v>
                </c:pt>
                <c:pt idx="405">
                  <c:v>-1.1993921806863312</c:v>
                </c:pt>
                <c:pt idx="406">
                  <c:v>-2.4416686115777537</c:v>
                </c:pt>
                <c:pt idx="407">
                  <c:v>-5.3160664033345455</c:v>
                </c:pt>
                <c:pt idx="408">
                  <c:v>-11.506077732568926</c:v>
                </c:pt>
                <c:pt idx="409">
                  <c:v>-22.106976393798377</c:v>
                </c:pt>
                <c:pt idx="410">
                  <c:v>-35.871010939700753</c:v>
                </c:pt>
                <c:pt idx="411">
                  <c:v>-47.7300379292777</c:v>
                </c:pt>
                <c:pt idx="412">
                  <c:v>-58.955110196154266</c:v>
                </c:pt>
                <c:pt idx="413">
                  <c:v>-69.402335310189358</c:v>
                </c:pt>
                <c:pt idx="414">
                  <c:v>-76.214689644569717</c:v>
                </c:pt>
                <c:pt idx="415">
                  <c:v>-81.64958296471525</c:v>
                </c:pt>
                <c:pt idx="416">
                  <c:v>-86.60033413169171</c:v>
                </c:pt>
                <c:pt idx="417">
                  <c:v>-94.190144195643711</c:v>
                </c:pt>
                <c:pt idx="418">
                  <c:v>-101.30143257637502</c:v>
                </c:pt>
                <c:pt idx="419">
                  <c:v>-106.79641349582427</c:v>
                </c:pt>
                <c:pt idx="420">
                  <c:v>-112.39854276283717</c:v>
                </c:pt>
                <c:pt idx="421">
                  <c:v>-118.41385044087252</c:v>
                </c:pt>
                <c:pt idx="422">
                  <c:v>-125.29608492870705</c:v>
                </c:pt>
                <c:pt idx="423">
                  <c:v>-133.87772386810821</c:v>
                </c:pt>
                <c:pt idx="424">
                  <c:v>-143.89278256221192</c:v>
                </c:pt>
                <c:pt idx="425">
                  <c:v>-151.37699793623864</c:v>
                </c:pt>
                <c:pt idx="426">
                  <c:v>-139.3950833314118</c:v>
                </c:pt>
                <c:pt idx="427">
                  <c:v>-146.67708465657853</c:v>
                </c:pt>
                <c:pt idx="428">
                  <c:v>-153.63354225426673</c:v>
                </c:pt>
                <c:pt idx="429">
                  <c:v>-161.3713628764857</c:v>
                </c:pt>
                <c:pt idx="430">
                  <c:v>-168.79932335629772</c:v>
                </c:pt>
                <c:pt idx="431">
                  <c:v>-175.31665059608031</c:v>
                </c:pt>
                <c:pt idx="432">
                  <c:v>-180.28922545256833</c:v>
                </c:pt>
                <c:pt idx="433">
                  <c:v>-184.4008809411599</c:v>
                </c:pt>
                <c:pt idx="434">
                  <c:v>-187.9824889902639</c:v>
                </c:pt>
                <c:pt idx="435">
                  <c:v>-191.10951384175419</c:v>
                </c:pt>
                <c:pt idx="436">
                  <c:v>-194.1200250603421</c:v>
                </c:pt>
                <c:pt idx="437">
                  <c:v>-197.15596407340678</c:v>
                </c:pt>
                <c:pt idx="438">
                  <c:v>-200.34309689243503</c:v>
                </c:pt>
                <c:pt idx="439">
                  <c:v>-200.67042196878089</c:v>
                </c:pt>
                <c:pt idx="440">
                  <c:v>-199.79742791236268</c:v>
                </c:pt>
                <c:pt idx="441">
                  <c:v>-198.48666568396732</c:v>
                </c:pt>
                <c:pt idx="442">
                  <c:v>-195.93675397902197</c:v>
                </c:pt>
                <c:pt idx="443">
                  <c:v>-189.52997355557159</c:v>
                </c:pt>
                <c:pt idx="444">
                  <c:v>-179.0551395100095</c:v>
                </c:pt>
                <c:pt idx="445">
                  <c:v>-166.29360522974181</c:v>
                </c:pt>
                <c:pt idx="446">
                  <c:v>-154.59232190975462</c:v>
                </c:pt>
                <c:pt idx="447">
                  <c:v>-138.07617443169383</c:v>
                </c:pt>
                <c:pt idx="448">
                  <c:v>-126.97176892686784</c:v>
                </c:pt>
                <c:pt idx="449">
                  <c:v>-118.08734403146519</c:v>
                </c:pt>
                <c:pt idx="450">
                  <c:v>-109.77450838161703</c:v>
                </c:pt>
                <c:pt idx="451">
                  <c:v>-100.7552656230928</c:v>
                </c:pt>
                <c:pt idx="452">
                  <c:v>-92.42803938847976</c:v>
                </c:pt>
                <c:pt idx="453">
                  <c:v>-84.361429444158546</c:v>
                </c:pt>
                <c:pt idx="454">
                  <c:v>-76.182987718807425</c:v>
                </c:pt>
                <c:pt idx="455">
                  <c:v>-69.39694808642966</c:v>
                </c:pt>
                <c:pt idx="456">
                  <c:v>-62.624088840722635</c:v>
                </c:pt>
                <c:pt idx="457">
                  <c:v>-54.766299335764849</c:v>
                </c:pt>
                <c:pt idx="458">
                  <c:v>-45.020163749461553</c:v>
                </c:pt>
                <c:pt idx="459">
                  <c:v>-34.271084569783227</c:v>
                </c:pt>
                <c:pt idx="460">
                  <c:v>-23.620182759941571</c:v>
                </c:pt>
                <c:pt idx="461">
                  <c:v>-16.14035516554722</c:v>
                </c:pt>
                <c:pt idx="462">
                  <c:v>-8.6929435211754651</c:v>
                </c:pt>
                <c:pt idx="463">
                  <c:v>-1.4109421960087474</c:v>
                </c:pt>
                <c:pt idx="464">
                  <c:v>5.5455154016794097</c:v>
                </c:pt>
                <c:pt idx="465">
                  <c:v>13.283336023898372</c:v>
                </c:pt>
                <c:pt idx="466">
                  <c:v>20.711296503710344</c:v>
                </c:pt>
                <c:pt idx="467">
                  <c:v>27.228623743492989</c:v>
                </c:pt>
                <c:pt idx="468">
                  <c:v>32.201198599980984</c:v>
                </c:pt>
                <c:pt idx="469">
                  <c:v>36.312854088572536</c:v>
                </c:pt>
                <c:pt idx="470">
                  <c:v>39.894462137676641</c:v>
                </c:pt>
                <c:pt idx="471">
                  <c:v>43.021486989166917</c:v>
                </c:pt>
                <c:pt idx="472">
                  <c:v>46.03199820775481</c:v>
                </c:pt>
                <c:pt idx="473">
                  <c:v>49.067937220819488</c:v>
                </c:pt>
                <c:pt idx="474">
                  <c:v>52.255070039847723</c:v>
                </c:pt>
                <c:pt idx="475">
                  <c:v>52.582395116193567</c:v>
                </c:pt>
                <c:pt idx="476">
                  <c:v>51.709401059775416</c:v>
                </c:pt>
                <c:pt idx="477">
                  <c:v>50.398638831380026</c:v>
                </c:pt>
                <c:pt idx="478">
                  <c:v>47.84872712643471</c:v>
                </c:pt>
                <c:pt idx="479">
                  <c:v>41.441946702984339</c:v>
                </c:pt>
                <c:pt idx="480">
                  <c:v>30.967112657422263</c:v>
                </c:pt>
                <c:pt idx="481">
                  <c:v>18.205578377154609</c:v>
                </c:pt>
                <c:pt idx="482">
                  <c:v>6.5042950571674396</c:v>
                </c:pt>
                <c:pt idx="483">
                  <c:v>-10.011852420893419</c:v>
                </c:pt>
                <c:pt idx="484">
                  <c:v>-21.11625792571936</c:v>
                </c:pt>
                <c:pt idx="485">
                  <c:v>-30.000682821122069</c:v>
                </c:pt>
                <c:pt idx="486">
                  <c:v>-38.31351847097033</c:v>
                </c:pt>
                <c:pt idx="487">
                  <c:v>-47.332761229494523</c:v>
                </c:pt>
                <c:pt idx="488">
                  <c:v>-55.659987464107523</c:v>
                </c:pt>
                <c:pt idx="489">
                  <c:v>-63.726597408428752</c:v>
                </c:pt>
                <c:pt idx="490">
                  <c:v>-71.905039133779894</c:v>
                </c:pt>
                <c:pt idx="491">
                  <c:v>-78.691078766157659</c:v>
                </c:pt>
                <c:pt idx="492">
                  <c:v>-85.463938011864613</c:v>
                </c:pt>
                <c:pt idx="493">
                  <c:v>-93.321727516822421</c:v>
                </c:pt>
                <c:pt idx="494">
                  <c:v>-103.06786310312572</c:v>
                </c:pt>
                <c:pt idx="495">
                  <c:v>-113.81694228280412</c:v>
                </c:pt>
                <c:pt idx="496">
                  <c:v>-124.46784409264575</c:v>
                </c:pt>
                <c:pt idx="497">
                  <c:v>-111.2676226983946</c:v>
                </c:pt>
                <c:pt idx="498">
                  <c:v>-118.7970250296691</c:v>
                </c:pt>
                <c:pt idx="499">
                  <c:v>-126.394527898587</c:v>
                </c:pt>
                <c:pt idx="500">
                  <c:v>-134.00857432154231</c:v>
                </c:pt>
                <c:pt idx="501">
                  <c:v>-141.1997976160813</c:v>
                </c:pt>
                <c:pt idx="502">
                  <c:v>-148.1541649709263</c:v>
                </c:pt>
                <c:pt idx="503">
                  <c:v>-154.14670688277852</c:v>
                </c:pt>
                <c:pt idx="504">
                  <c:v>-158.9007689724771</c:v>
                </c:pt>
                <c:pt idx="505">
                  <c:v>-162.73840416608056</c:v>
                </c:pt>
                <c:pt idx="506">
                  <c:v>-166.19955546230452</c:v>
                </c:pt>
                <c:pt idx="507">
                  <c:v>-169.3864354449766</c:v>
                </c:pt>
                <c:pt idx="508">
                  <c:v>-171.15017450837715</c:v>
                </c:pt>
                <c:pt idx="509">
                  <c:v>-173.28191956892061</c:v>
                </c:pt>
                <c:pt idx="510">
                  <c:v>-176.06693761370758</c:v>
                </c:pt>
                <c:pt idx="511">
                  <c:v>-176.72166554809314</c:v>
                </c:pt>
                <c:pt idx="512">
                  <c:v>-175.27671110953602</c:v>
                </c:pt>
                <c:pt idx="513">
                  <c:v>-172.29304126286243</c:v>
                </c:pt>
                <c:pt idx="514">
                  <c:v>-166.08942127598812</c:v>
                </c:pt>
                <c:pt idx="515">
                  <c:v>-156.28114550356781</c:v>
                </c:pt>
                <c:pt idx="516">
                  <c:v>-144.82273390937914</c:v>
                </c:pt>
                <c:pt idx="517">
                  <c:v>-129.18452188291042</c:v>
                </c:pt>
                <c:pt idx="518">
                  <c:v>-111.7640905955214</c:v>
                </c:pt>
                <c:pt idx="519">
                  <c:v>-99.618067838561217</c:v>
                </c:pt>
                <c:pt idx="520">
                  <c:v>-88.863350199533755</c:v>
                </c:pt>
                <c:pt idx="521">
                  <c:v>-75.483124555232138</c:v>
                </c:pt>
                <c:pt idx="522">
                  <c:v>-63.805218594877068</c:v>
                </c:pt>
                <c:pt idx="523">
                  <c:v>-55.291965680063043</c:v>
                </c:pt>
                <c:pt idx="524">
                  <c:v>-46.754683169235413</c:v>
                </c:pt>
                <c:pt idx="525">
                  <c:v>-38.038213897988712</c:v>
                </c:pt>
                <c:pt idx="526">
                  <c:v>-29.079790818913381</c:v>
                </c:pt>
                <c:pt idx="527">
                  <c:v>-19.377591928477514</c:v>
                </c:pt>
                <c:pt idx="528">
                  <c:v>-10.088165998187186</c:v>
                </c:pt>
                <c:pt idx="529">
                  <c:v>0.13224499279529311</c:v>
                </c:pt>
                <c:pt idx="530">
                  <c:v>10.258899326192982</c:v>
                </c:pt>
                <c:pt idx="531">
                  <c:v>20.650386079790927</c:v>
                </c:pt>
                <c:pt idx="532">
                  <c:v>30.863587878817292</c:v>
                </c:pt>
                <c:pt idx="533">
                  <c:v>38.813140061374334</c:v>
                </c:pt>
                <c:pt idx="534">
                  <c:v>46.34254239264876</c:v>
                </c:pt>
                <c:pt idx="535">
                  <c:v>53.940045261566716</c:v>
                </c:pt>
                <c:pt idx="536">
                  <c:v>61.554091684521957</c:v>
                </c:pt>
                <c:pt idx="537">
                  <c:v>68.745314979060964</c:v>
                </c:pt>
                <c:pt idx="538">
                  <c:v>75.699682333905969</c:v>
                </c:pt>
                <c:pt idx="539">
                  <c:v>81.692224245758212</c:v>
                </c:pt>
                <c:pt idx="540">
                  <c:v>86.44628633545679</c:v>
                </c:pt>
                <c:pt idx="541">
                  <c:v>90.283921529060194</c:v>
                </c:pt>
                <c:pt idx="542">
                  <c:v>93.745072825284211</c:v>
                </c:pt>
                <c:pt idx="543">
                  <c:v>96.931952807956264</c:v>
                </c:pt>
                <c:pt idx="544">
                  <c:v>98.695691871356871</c:v>
                </c:pt>
                <c:pt idx="545">
                  <c:v>100.82743693190034</c:v>
                </c:pt>
                <c:pt idx="546">
                  <c:v>103.6124549766873</c:v>
                </c:pt>
                <c:pt idx="547">
                  <c:v>104.26718291107284</c:v>
                </c:pt>
                <c:pt idx="548">
                  <c:v>102.82222847251566</c:v>
                </c:pt>
                <c:pt idx="549">
                  <c:v>99.838558625842154</c:v>
                </c:pt>
                <c:pt idx="550">
                  <c:v>93.634938638967725</c:v>
                </c:pt>
                <c:pt idx="551">
                  <c:v>83.826662866547593</c:v>
                </c:pt>
                <c:pt idx="552">
                  <c:v>72.368251272358833</c:v>
                </c:pt>
                <c:pt idx="553">
                  <c:v>56.73003924589019</c:v>
                </c:pt>
                <c:pt idx="554">
                  <c:v>39.309607958501111</c:v>
                </c:pt>
                <c:pt idx="555">
                  <c:v>27.163585201541011</c:v>
                </c:pt>
                <c:pt idx="556">
                  <c:v>16.408867562513528</c:v>
                </c:pt>
                <c:pt idx="557">
                  <c:v>3.0286419182117896</c:v>
                </c:pt>
                <c:pt idx="558">
                  <c:v>-8.649264042143237</c:v>
                </c:pt>
                <c:pt idx="559">
                  <c:v>-17.162516956957241</c:v>
                </c:pt>
                <c:pt idx="560">
                  <c:v>-25.699799467784885</c:v>
                </c:pt>
                <c:pt idx="561">
                  <c:v>-34.416268739031608</c:v>
                </c:pt>
                <c:pt idx="562">
                  <c:v>-43.374691818106918</c:v>
                </c:pt>
                <c:pt idx="563">
                  <c:v>-53.076890708542699</c:v>
                </c:pt>
                <c:pt idx="564">
                  <c:v>-62.366316638833055</c:v>
                </c:pt>
                <c:pt idx="565">
                  <c:v>-72.586727629815542</c:v>
                </c:pt>
                <c:pt idx="566">
                  <c:v>-82.713381963213322</c:v>
                </c:pt>
                <c:pt idx="567">
                  <c:v>-93.104868716811239</c:v>
                </c:pt>
                <c:pt idx="568">
                  <c:v>-82.282637841930011</c:v>
                </c:pt>
                <c:pt idx="569">
                  <c:v>-90.516680516468512</c:v>
                </c:pt>
                <c:pt idx="570">
                  <c:v>-97.948638088169446</c:v>
                </c:pt>
                <c:pt idx="571">
                  <c:v>-104.86747141063506</c:v>
                </c:pt>
                <c:pt idx="572">
                  <c:v>-110.99166420985769</c:v>
                </c:pt>
                <c:pt idx="573">
                  <c:v>-117.44348535723024</c:v>
                </c:pt>
                <c:pt idx="574">
                  <c:v>-124.14725909014557</c:v>
                </c:pt>
                <c:pt idx="575">
                  <c:v>-128.80106242433396</c:v>
                </c:pt>
                <c:pt idx="576">
                  <c:v>-131.01058954977896</c:v>
                </c:pt>
                <c:pt idx="577">
                  <c:v>-133.07766237899901</c:v>
                </c:pt>
                <c:pt idx="578">
                  <c:v>-135.58706157617789</c:v>
                </c:pt>
                <c:pt idx="579">
                  <c:v>-137.29812295796336</c:v>
                </c:pt>
                <c:pt idx="580">
                  <c:v>-139.46420818579011</c:v>
                </c:pt>
                <c:pt idx="581">
                  <c:v>-142.19878668303349</c:v>
                </c:pt>
                <c:pt idx="582">
                  <c:v>-145.71888698666982</c:v>
                </c:pt>
                <c:pt idx="583">
                  <c:v>-148.72760232491692</c:v>
                </c:pt>
                <c:pt idx="584">
                  <c:v>-148.07087597769916</c:v>
                </c:pt>
                <c:pt idx="585">
                  <c:v>-142.41239606096653</c:v>
                </c:pt>
                <c:pt idx="586">
                  <c:v>-133.13969169134418</c:v>
                </c:pt>
                <c:pt idx="587">
                  <c:v>-122.39345685409748</c:v>
                </c:pt>
                <c:pt idx="588">
                  <c:v>-103.56613154099541</c:v>
                </c:pt>
                <c:pt idx="589">
                  <c:v>-84.138586683116003</c:v>
                </c:pt>
                <c:pt idx="590">
                  <c:v>-68.697193691913597</c:v>
                </c:pt>
                <c:pt idx="591">
                  <c:v>-52.994171842687742</c:v>
                </c:pt>
                <c:pt idx="592">
                  <c:v>-39.825850940924276</c:v>
                </c:pt>
                <c:pt idx="593">
                  <c:v>-28.118092118347324</c:v>
                </c:pt>
                <c:pt idx="594">
                  <c:v>-16.75973925473453</c:v>
                </c:pt>
                <c:pt idx="595">
                  <c:v>-7.5922426190787649</c:v>
                </c:pt>
                <c:pt idx="596">
                  <c:v>1.8608840924817924</c:v>
                </c:pt>
                <c:pt idx="597">
                  <c:v>12.260684729067815</c:v>
                </c:pt>
                <c:pt idx="598">
                  <c:v>24.139235058084356</c:v>
                </c:pt>
                <c:pt idx="599">
                  <c:v>36.513096324179308</c:v>
                </c:pt>
                <c:pt idx="600">
                  <c:v>46.175621476906493</c:v>
                </c:pt>
                <c:pt idx="601">
                  <c:v>54.909229383474759</c:v>
                </c:pt>
                <c:pt idx="602">
                  <c:v>64.464560314095465</c:v>
                </c:pt>
                <c:pt idx="603">
                  <c:v>74.490230755182353</c:v>
                </c:pt>
                <c:pt idx="604">
                  <c:v>85.461699420476734</c:v>
                </c:pt>
                <c:pt idx="605">
                  <c:v>93.695742095015191</c:v>
                </c:pt>
                <c:pt idx="606">
                  <c:v>101.12769966671614</c:v>
                </c:pt>
                <c:pt idx="607">
                  <c:v>108.04653298918173</c:v>
                </c:pt>
                <c:pt idx="608">
                  <c:v>114.17072578840437</c:v>
                </c:pt>
                <c:pt idx="609">
                  <c:v>120.62254693577694</c:v>
                </c:pt>
                <c:pt idx="610">
                  <c:v>127.32632066869228</c:v>
                </c:pt>
                <c:pt idx="611">
                  <c:v>131.98012400288067</c:v>
                </c:pt>
                <c:pt idx="612">
                  <c:v>134.18965112832566</c:v>
                </c:pt>
                <c:pt idx="613">
                  <c:v>136.25672395754569</c:v>
                </c:pt>
                <c:pt idx="614">
                  <c:v>138.76612315472448</c:v>
                </c:pt>
                <c:pt idx="615">
                  <c:v>140.47718453651009</c:v>
                </c:pt>
                <c:pt idx="616">
                  <c:v>142.64326976433688</c:v>
                </c:pt>
                <c:pt idx="617">
                  <c:v>145.37784826158011</c:v>
                </c:pt>
                <c:pt idx="618">
                  <c:v>148.89794856521652</c:v>
                </c:pt>
                <c:pt idx="619">
                  <c:v>151.9066639034636</c:v>
                </c:pt>
                <c:pt idx="620">
                  <c:v>151.24993755624587</c:v>
                </c:pt>
                <c:pt idx="621">
                  <c:v>145.59145763951318</c:v>
                </c:pt>
                <c:pt idx="622">
                  <c:v>136.31875326989092</c:v>
                </c:pt>
                <c:pt idx="623">
                  <c:v>125.57251843264419</c:v>
                </c:pt>
                <c:pt idx="624">
                  <c:v>106.74519311954226</c:v>
                </c:pt>
                <c:pt idx="625">
                  <c:v>87.317648261662768</c:v>
                </c:pt>
                <c:pt idx="626">
                  <c:v>71.876255270460391</c:v>
                </c:pt>
                <c:pt idx="627">
                  <c:v>56.173233421234478</c:v>
                </c:pt>
                <c:pt idx="628">
                  <c:v>43.004912519470928</c:v>
                </c:pt>
                <c:pt idx="629">
                  <c:v>31.297153696893982</c:v>
                </c:pt>
                <c:pt idx="630">
                  <c:v>19.938800833281267</c:v>
                </c:pt>
                <c:pt idx="631">
                  <c:v>10.771304197625465</c:v>
                </c:pt>
                <c:pt idx="632">
                  <c:v>1.3181774860648927</c:v>
                </c:pt>
                <c:pt idx="633">
                  <c:v>-9.0816231505211213</c:v>
                </c:pt>
                <c:pt idx="634">
                  <c:v>-20.960173479537577</c:v>
                </c:pt>
                <c:pt idx="635">
                  <c:v>-33.3340347456326</c:v>
                </c:pt>
                <c:pt idx="636">
                  <c:v>-42.996559898359706</c:v>
                </c:pt>
                <c:pt idx="637">
                  <c:v>-51.730167804928094</c:v>
                </c:pt>
                <c:pt idx="638">
                  <c:v>-61.285498735548806</c:v>
                </c:pt>
                <c:pt idx="639">
                  <c:v>-51.172273269952242</c:v>
                </c:pt>
                <c:pt idx="640">
                  <c:v>-59.199620836129853</c:v>
                </c:pt>
                <c:pt idx="641">
                  <c:v>-66.510734101341754</c:v>
                </c:pt>
                <c:pt idx="642">
                  <c:v>-73.366130113322001</c:v>
                </c:pt>
                <c:pt idx="643">
                  <c:v>-79.951892398658643</c:v>
                </c:pt>
                <c:pt idx="644">
                  <c:v>-85.557248904510871</c:v>
                </c:pt>
                <c:pt idx="645">
                  <c:v>-89.176070671582764</c:v>
                </c:pt>
                <c:pt idx="646">
                  <c:v>-92.380825986880168</c:v>
                </c:pt>
                <c:pt idx="647">
                  <c:v>-94.948665241315595</c:v>
                </c:pt>
                <c:pt idx="648">
                  <c:v>-96.692212539106279</c:v>
                </c:pt>
                <c:pt idx="649">
                  <c:v>-99.232535512720446</c:v>
                </c:pt>
                <c:pt idx="650">
                  <c:v>-101.93160334222078</c:v>
                </c:pt>
                <c:pt idx="651">
                  <c:v>-105.33501959644097</c:v>
                </c:pt>
                <c:pt idx="652">
                  <c:v>-108.64724676917207</c:v>
                </c:pt>
                <c:pt idx="653">
                  <c:v>-112.14240791303568</c:v>
                </c:pt>
                <c:pt idx="654">
                  <c:v>-116.04026303433214</c:v>
                </c:pt>
                <c:pt idx="655">
                  <c:v>-119.01050883746716</c:v>
                </c:pt>
                <c:pt idx="656">
                  <c:v>-117.76610736866807</c:v>
                </c:pt>
                <c:pt idx="657">
                  <c:v>-109.32990624897074</c:v>
                </c:pt>
                <c:pt idx="658">
                  <c:v>-94.899985869131783</c:v>
                </c:pt>
                <c:pt idx="659">
                  <c:v>-74.350709772947354</c:v>
                </c:pt>
                <c:pt idx="660">
                  <c:v>-53.84541631375005</c:v>
                </c:pt>
                <c:pt idx="661">
                  <c:v>-34.008960591817186</c:v>
                </c:pt>
                <c:pt idx="662">
                  <c:v>-17.748735208287314</c:v>
                </c:pt>
                <c:pt idx="663">
                  <c:v>-3.7237514781364709</c:v>
                </c:pt>
                <c:pt idx="664">
                  <c:v>8.7537811132203913</c:v>
                </c:pt>
                <c:pt idx="665">
                  <c:v>20.885493124339042</c:v>
                </c:pt>
                <c:pt idx="666">
                  <c:v>33.007191067183712</c:v>
                </c:pt>
                <c:pt idx="667">
                  <c:v>43.175540278665267</c:v>
                </c:pt>
                <c:pt idx="668">
                  <c:v>54.036753520696934</c:v>
                </c:pt>
                <c:pt idx="669">
                  <c:v>66.804818710208309</c:v>
                </c:pt>
                <c:pt idx="670">
                  <c:v>80.472791824139961</c:v>
                </c:pt>
                <c:pt idx="671">
                  <c:v>91.693512636370741</c:v>
                </c:pt>
                <c:pt idx="672">
                  <c:v>100.86340087257798</c:v>
                </c:pt>
                <c:pt idx="673">
                  <c:v>110.06684679336044</c:v>
                </c:pt>
                <c:pt idx="674">
                  <c:v>119.63270094136935</c:v>
                </c:pt>
                <c:pt idx="675">
                  <c:v>129.98487906406595</c:v>
                </c:pt>
                <c:pt idx="676">
                  <c:v>138.01222663024356</c:v>
                </c:pt>
                <c:pt idx="677">
                  <c:v>145.32333989545538</c:v>
                </c:pt>
                <c:pt idx="678">
                  <c:v>152.17873590743568</c:v>
                </c:pt>
                <c:pt idx="679">
                  <c:v>158.76449819277229</c:v>
                </c:pt>
                <c:pt idx="680">
                  <c:v>164.36985469862452</c:v>
                </c:pt>
                <c:pt idx="681">
                  <c:v>167.98867646569647</c:v>
                </c:pt>
                <c:pt idx="682">
                  <c:v>171.19343178099388</c:v>
                </c:pt>
                <c:pt idx="683">
                  <c:v>173.76127103542927</c:v>
                </c:pt>
                <c:pt idx="684">
                  <c:v>175.50481833321999</c:v>
                </c:pt>
                <c:pt idx="685">
                  <c:v>178.04514130683413</c:v>
                </c:pt>
                <c:pt idx="686">
                  <c:v>180.74420913633452</c:v>
                </c:pt>
                <c:pt idx="687">
                  <c:v>184.14762539055471</c:v>
                </c:pt>
                <c:pt idx="688">
                  <c:v>187.45985256328572</c:v>
                </c:pt>
                <c:pt idx="689">
                  <c:v>190.95501370714931</c:v>
                </c:pt>
                <c:pt idx="690">
                  <c:v>194.85286882844582</c:v>
                </c:pt>
                <c:pt idx="691">
                  <c:v>197.82311463158089</c:v>
                </c:pt>
                <c:pt idx="692">
                  <c:v>196.5787131627817</c:v>
                </c:pt>
                <c:pt idx="693">
                  <c:v>188.14251204308454</c:v>
                </c:pt>
                <c:pt idx="694">
                  <c:v>173.71259166324546</c:v>
                </c:pt>
                <c:pt idx="695">
                  <c:v>153.16331556706109</c:v>
                </c:pt>
                <c:pt idx="696">
                  <c:v>132.65802210786381</c:v>
                </c:pt>
                <c:pt idx="697">
                  <c:v>112.82156638593102</c:v>
                </c:pt>
                <c:pt idx="698">
                  <c:v>96.561341002401093</c:v>
                </c:pt>
                <c:pt idx="699">
                  <c:v>82.5363572722501</c:v>
                </c:pt>
                <c:pt idx="700">
                  <c:v>70.058824680893252</c:v>
                </c:pt>
                <c:pt idx="701">
                  <c:v>57.927112669774708</c:v>
                </c:pt>
                <c:pt idx="702">
                  <c:v>45.805414726929968</c:v>
                </c:pt>
                <c:pt idx="703">
                  <c:v>35.637065515448413</c:v>
                </c:pt>
                <c:pt idx="704">
                  <c:v>24.775852273416774</c:v>
                </c:pt>
                <c:pt idx="705">
                  <c:v>12.007787083905484</c:v>
                </c:pt>
                <c:pt idx="706">
                  <c:v>-1.6601860300261961</c:v>
                </c:pt>
                <c:pt idx="707">
                  <c:v>-12.880906842256969</c:v>
                </c:pt>
                <c:pt idx="708">
                  <c:v>-22.05079507846429</c:v>
                </c:pt>
                <c:pt idx="709">
                  <c:v>-31.254240999246775</c:v>
                </c:pt>
                <c:pt idx="710">
                  <c:v>-19.897614326882177</c:v>
                </c:pt>
                <c:pt idx="711">
                  <c:v>-27.703881832834725</c:v>
                </c:pt>
                <c:pt idx="712">
                  <c:v>-34.872303202286318</c:v>
                </c:pt>
                <c:pt idx="713">
                  <c:v>-40.974567608073215</c:v>
                </c:pt>
                <c:pt idx="714">
                  <c:v>-44.602050809702533</c:v>
                </c:pt>
                <c:pt idx="715">
                  <c:v>-48.310383722208897</c:v>
                </c:pt>
                <c:pt idx="716">
                  <c:v>-51.68577225035078</c:v>
                </c:pt>
                <c:pt idx="717">
                  <c:v>-55.165516373629615</c:v>
                </c:pt>
                <c:pt idx="718">
                  <c:v>-57.730546447927267</c:v>
                </c:pt>
                <c:pt idx="719">
                  <c:v>-60.714961316812364</c:v>
                </c:pt>
                <c:pt idx="720">
                  <c:v>-63.495084971672426</c:v>
                </c:pt>
                <c:pt idx="721">
                  <c:v>-66.328326955330837</c:v>
                </c:pt>
                <c:pt idx="722">
                  <c:v>-69.450664686155292</c:v>
                </c:pt>
                <c:pt idx="723">
                  <c:v>-73.187513054161187</c:v>
                </c:pt>
                <c:pt idx="724">
                  <c:v>-77.33844555387752</c:v>
                </c:pt>
                <c:pt idx="725">
                  <c:v>-81.297740718887653</c:v>
                </c:pt>
                <c:pt idx="726">
                  <c:v>-83.541491983327248</c:v>
                </c:pt>
                <c:pt idx="727">
                  <c:v>-85.646331386002586</c:v>
                </c:pt>
                <c:pt idx="728">
                  <c:v>-84.714205614166829</c:v>
                </c:pt>
                <c:pt idx="729">
                  <c:v>-60.88454922411303</c:v>
                </c:pt>
                <c:pt idx="730">
                  <c:v>-40.861250223550826</c:v>
                </c:pt>
                <c:pt idx="731">
                  <c:v>-22.011515972044336</c:v>
                </c:pt>
                <c:pt idx="732">
                  <c:v>0.1633045352628244</c:v>
                </c:pt>
                <c:pt idx="733">
                  <c:v>18.739233103457678</c:v>
                </c:pt>
                <c:pt idx="734">
                  <c:v>33.414367408303072</c:v>
                </c:pt>
                <c:pt idx="735">
                  <c:v>46.488228239509141</c:v>
                </c:pt>
                <c:pt idx="736">
                  <c:v>58.816398172494907</c:v>
                </c:pt>
                <c:pt idx="737">
                  <c:v>71.182033050679323</c:v>
                </c:pt>
                <c:pt idx="738">
                  <c:v>84.323639934465902</c:v>
                </c:pt>
                <c:pt idx="739">
                  <c:v>96.62703179343103</c:v>
                </c:pt>
                <c:pt idx="740">
                  <c:v>109.10511551706202</c:v>
                </c:pt>
                <c:pt idx="741">
                  <c:v>120.60538441171315</c:v>
                </c:pt>
                <c:pt idx="742">
                  <c:v>133.25467576411211</c:v>
                </c:pt>
                <c:pt idx="743">
                  <c:v>146.09168615164651</c:v>
                </c:pt>
                <c:pt idx="744">
                  <c:v>155.34135801647085</c:v>
                </c:pt>
                <c:pt idx="745">
                  <c:v>164.52179021048323</c:v>
                </c:pt>
                <c:pt idx="746">
                  <c:v>174.34376433656286</c:v>
                </c:pt>
                <c:pt idx="747">
                  <c:v>182.15003184251538</c:v>
                </c:pt>
                <c:pt idx="748">
                  <c:v>189.31845321196698</c:v>
                </c:pt>
                <c:pt idx="749">
                  <c:v>195.42071761775389</c:v>
                </c:pt>
                <c:pt idx="750">
                  <c:v>199.04820081938317</c:v>
                </c:pt>
                <c:pt idx="751">
                  <c:v>202.75653373188953</c:v>
                </c:pt>
                <c:pt idx="752">
                  <c:v>206.13192226003144</c:v>
                </c:pt>
                <c:pt idx="753">
                  <c:v>209.61166638331031</c:v>
                </c:pt>
                <c:pt idx="754">
                  <c:v>212.17669645760799</c:v>
                </c:pt>
                <c:pt idx="755">
                  <c:v>215.16111132649303</c:v>
                </c:pt>
                <c:pt idx="756">
                  <c:v>217.94123498135309</c:v>
                </c:pt>
                <c:pt idx="757">
                  <c:v>220.77447696501156</c:v>
                </c:pt>
                <c:pt idx="758">
                  <c:v>223.89681469583599</c:v>
                </c:pt>
                <c:pt idx="759">
                  <c:v>227.63366306384177</c:v>
                </c:pt>
                <c:pt idx="760">
                  <c:v>231.78459556355818</c:v>
                </c:pt>
                <c:pt idx="761">
                  <c:v>235.74389072856832</c:v>
                </c:pt>
                <c:pt idx="762">
                  <c:v>237.98764199300791</c:v>
                </c:pt>
                <c:pt idx="763">
                  <c:v>240.09248139568325</c:v>
                </c:pt>
                <c:pt idx="764">
                  <c:v>239.16035562384752</c:v>
                </c:pt>
                <c:pt idx="765">
                  <c:v>215.33069923379372</c:v>
                </c:pt>
                <c:pt idx="766">
                  <c:v>195.30740023323162</c:v>
                </c:pt>
                <c:pt idx="767">
                  <c:v>176.45766598172509</c:v>
                </c:pt>
                <c:pt idx="768">
                  <c:v>154.28284547441797</c:v>
                </c:pt>
                <c:pt idx="769">
                  <c:v>135.70691690622309</c:v>
                </c:pt>
                <c:pt idx="770">
                  <c:v>121.0317826013775</c:v>
                </c:pt>
                <c:pt idx="771">
                  <c:v>107.95792177017142</c:v>
                </c:pt>
                <c:pt idx="772">
                  <c:v>95.629751837185836</c:v>
                </c:pt>
                <c:pt idx="773">
                  <c:v>83.264116959001385</c:v>
                </c:pt>
                <c:pt idx="774">
                  <c:v>70.122510075214819</c:v>
                </c:pt>
                <c:pt idx="775">
                  <c:v>57.819118216249663</c:v>
                </c:pt>
                <c:pt idx="776">
                  <c:v>45.341034492618761</c:v>
                </c:pt>
                <c:pt idx="777">
                  <c:v>33.840765597967604</c:v>
                </c:pt>
                <c:pt idx="778">
                  <c:v>21.191474245568685</c:v>
                </c:pt>
                <c:pt idx="779">
                  <c:v>8.354463858034137</c:v>
                </c:pt>
                <c:pt idx="780">
                  <c:v>-0.89520800679018464</c:v>
                </c:pt>
                <c:pt idx="781">
                  <c:v>11.632394516660014</c:v>
                </c:pt>
                <c:pt idx="782">
                  <c:v>4.063246365759781</c:v>
                </c:pt>
                <c:pt idx="783">
                  <c:v>1.1637105828252174</c:v>
                </c:pt>
                <c:pt idx="784">
                  <c:v>-2.8802106331043973</c:v>
                </c:pt>
                <c:pt idx="785">
                  <c:v>-6.6327712328877624</c:v>
                </c:pt>
                <c:pt idx="786">
                  <c:v>-10.211167106251509</c:v>
                </c:pt>
                <c:pt idx="787">
                  <c:v>-12.986236307985124</c:v>
                </c:pt>
                <c:pt idx="788">
                  <c:v>-16.615998052747571</c:v>
                </c:pt>
                <c:pt idx="789">
                  <c:v>-20.439245835952377</c:v>
                </c:pt>
                <c:pt idx="790">
                  <c:v>-23.749644638701497</c:v>
                </c:pt>
                <c:pt idx="791">
                  <c:v>-26.757515471944899</c:v>
                </c:pt>
                <c:pt idx="792">
                  <c:v>-29.525918290514014</c:v>
                </c:pt>
                <c:pt idx="793">
                  <c:v>-32.397898397981734</c:v>
                </c:pt>
                <c:pt idx="794">
                  <c:v>-35.664738165587792</c:v>
                </c:pt>
                <c:pt idx="795">
                  <c:v>-39.709520799370964</c:v>
                </c:pt>
                <c:pt idx="796">
                  <c:v>-43.879875485120309</c:v>
                </c:pt>
                <c:pt idx="797">
                  <c:v>-46.097551818662438</c:v>
                </c:pt>
                <c:pt idx="798">
                  <c:v>-47.214803708545887</c:v>
                </c:pt>
                <c:pt idx="799">
                  <c:v>-49.008687108040547</c:v>
                </c:pt>
                <c:pt idx="800">
                  <c:v>-25.060474320405021</c:v>
                </c:pt>
                <c:pt idx="801">
                  <c:v>-7.5009644378877027</c:v>
                </c:pt>
                <c:pt idx="802">
                  <c:v>13.261311574764619</c:v>
                </c:pt>
                <c:pt idx="803">
                  <c:v>35.934098747783082</c:v>
                </c:pt>
                <c:pt idx="804">
                  <c:v>54.260982646277206</c:v>
                </c:pt>
                <c:pt idx="805">
                  <c:v>69.912390184175166</c:v>
                </c:pt>
                <c:pt idx="806">
                  <c:v>83.852055148036158</c:v>
                </c:pt>
                <c:pt idx="807">
                  <c:v>97.22166275651108</c:v>
                </c:pt>
                <c:pt idx="808">
                  <c:v>110.22069305326092</c:v>
                </c:pt>
                <c:pt idx="809">
                  <c:v>123.88134327550473</c:v>
                </c:pt>
                <c:pt idx="810">
                  <c:v>138.58939302229103</c:v>
                </c:pt>
                <c:pt idx="811">
                  <c:v>150.75524469420222</c:v>
                </c:pt>
                <c:pt idx="812">
                  <c:v>161.31796995447255</c:v>
                </c:pt>
                <c:pt idx="813">
                  <c:v>172.64664327549602</c:v>
                </c:pt>
                <c:pt idx="814">
                  <c:v>184.56089811377456</c:v>
                </c:pt>
                <c:pt idx="815">
                  <c:v>197.52889583107856</c:v>
                </c:pt>
                <c:pt idx="816">
                  <c:v>209.06582029860388</c:v>
                </c:pt>
                <c:pt idx="817">
                  <c:v>218.44729970858771</c:v>
                </c:pt>
                <c:pt idx="818">
                  <c:v>226.01644785948787</c:v>
                </c:pt>
                <c:pt idx="819">
                  <c:v>228.91598364242247</c:v>
                </c:pt>
                <c:pt idx="820">
                  <c:v>232.95990485835205</c:v>
                </c:pt>
                <c:pt idx="821">
                  <c:v>236.7124654581354</c:v>
                </c:pt>
                <c:pt idx="822">
                  <c:v>240.29086133149917</c:v>
                </c:pt>
                <c:pt idx="823">
                  <c:v>243.0659305332328</c:v>
                </c:pt>
                <c:pt idx="824">
                  <c:v>246.69569227799519</c:v>
                </c:pt>
                <c:pt idx="825">
                  <c:v>250.51894006120011</c:v>
                </c:pt>
                <c:pt idx="826">
                  <c:v>253.82933886394915</c:v>
                </c:pt>
                <c:pt idx="827">
                  <c:v>256.83720969719258</c:v>
                </c:pt>
                <c:pt idx="828">
                  <c:v>259.60561251576178</c:v>
                </c:pt>
                <c:pt idx="829">
                  <c:v>262.47759262322938</c:v>
                </c:pt>
                <c:pt idx="830">
                  <c:v>265.74443239083547</c:v>
                </c:pt>
                <c:pt idx="831">
                  <c:v>269.78921502461861</c:v>
                </c:pt>
                <c:pt idx="832">
                  <c:v>273.95956971036793</c:v>
                </c:pt>
                <c:pt idx="833">
                  <c:v>276.17724604391015</c:v>
                </c:pt>
                <c:pt idx="834">
                  <c:v>277.29449793379354</c:v>
                </c:pt>
                <c:pt idx="835">
                  <c:v>279.08838133328823</c:v>
                </c:pt>
                <c:pt idx="836">
                  <c:v>255.14016854565267</c:v>
                </c:pt>
                <c:pt idx="837">
                  <c:v>237.58065866313541</c:v>
                </c:pt>
                <c:pt idx="838">
                  <c:v>216.81838265048304</c:v>
                </c:pt>
                <c:pt idx="839">
                  <c:v>194.14559547746472</c:v>
                </c:pt>
                <c:pt idx="840">
                  <c:v>175.81871157897058</c:v>
                </c:pt>
                <c:pt idx="841">
                  <c:v>160.16730404107244</c:v>
                </c:pt>
                <c:pt idx="842">
                  <c:v>146.22763907721139</c:v>
                </c:pt>
                <c:pt idx="843">
                  <c:v>132.85803146873661</c:v>
                </c:pt>
                <c:pt idx="844">
                  <c:v>119.85900117198675</c:v>
                </c:pt>
                <c:pt idx="845">
                  <c:v>106.19835094974296</c:v>
                </c:pt>
                <c:pt idx="846">
                  <c:v>91.490301202956658</c:v>
                </c:pt>
                <c:pt idx="847">
                  <c:v>79.324449531045531</c:v>
                </c:pt>
                <c:pt idx="848">
                  <c:v>68.761724270775204</c:v>
                </c:pt>
                <c:pt idx="849">
                  <c:v>57.433050949751753</c:v>
                </c:pt>
                <c:pt idx="850">
                  <c:v>45.518796111473065</c:v>
                </c:pt>
                <c:pt idx="851">
                  <c:v>32.550798394169121</c:v>
                </c:pt>
                <c:pt idx="852">
                  <c:v>46.552527979757315</c:v>
                </c:pt>
                <c:pt idx="853">
                  <c:v>43.531985198202591</c:v>
                </c:pt>
                <c:pt idx="854">
                  <c:v>39.455708411985</c:v>
                </c:pt>
                <c:pt idx="855">
                  <c:v>36.133864981276844</c:v>
                </c:pt>
                <c:pt idx="856">
                  <c:v>33.831415233178845</c:v>
                </c:pt>
                <c:pt idx="857">
                  <c:v>30.728323162871533</c:v>
                </c:pt>
                <c:pt idx="858">
                  <c:v>27.047536001530489</c:v>
                </c:pt>
                <c:pt idx="859">
                  <c:v>23.226501765558481</c:v>
                </c:pt>
                <c:pt idx="860">
                  <c:v>19.454812289001467</c:v>
                </c:pt>
                <c:pt idx="861">
                  <c:v>16.058634588891437</c:v>
                </c:pt>
                <c:pt idx="862">
                  <c:v>12.959360422921577</c:v>
                </c:pt>
                <c:pt idx="863">
                  <c:v>9.8904369956500204</c:v>
                </c:pt>
                <c:pt idx="864">
                  <c:v>6.5801512156948831</c:v>
                </c:pt>
                <c:pt idx="865">
                  <c:v>3.1773314339535261</c:v>
                </c:pt>
                <c:pt idx="866">
                  <c:v>-1.3736497875406997</c:v>
                </c:pt>
                <c:pt idx="867">
                  <c:v>-4.9535117779155655</c:v>
                </c:pt>
                <c:pt idx="868">
                  <c:v>-6.9531898533941217</c:v>
                </c:pt>
                <c:pt idx="869">
                  <c:v>-7.6107363379449566</c:v>
                </c:pt>
                <c:pt idx="870">
                  <c:v>-8.4427329436993546</c:v>
                </c:pt>
                <c:pt idx="871">
                  <c:v>11.981953818629137</c:v>
                </c:pt>
                <c:pt idx="872">
                  <c:v>30.564472423939634</c:v>
                </c:pt>
                <c:pt idx="873">
                  <c:v>50.58989159358805</c:v>
                </c:pt>
                <c:pt idx="874">
                  <c:v>70.77060860950607</c:v>
                </c:pt>
                <c:pt idx="875">
                  <c:v>91.113151109179086</c:v>
                </c:pt>
                <c:pt idx="876">
                  <c:v>107.26468123665401</c:v>
                </c:pt>
                <c:pt idx="877">
                  <c:v>121.99473825526431</c:v>
                </c:pt>
                <c:pt idx="878">
                  <c:v>135.9687790465016</c:v>
                </c:pt>
                <c:pt idx="879">
                  <c:v>150.10713369548643</c:v>
                </c:pt>
                <c:pt idx="880">
                  <c:v>165.07950973737991</c:v>
                </c:pt>
                <c:pt idx="881">
                  <c:v>177.89622739415671</c:v>
                </c:pt>
                <c:pt idx="882">
                  <c:v>190.70242594788965</c:v>
                </c:pt>
                <c:pt idx="883">
                  <c:v>202.67655027619202</c:v>
                </c:pt>
                <c:pt idx="884">
                  <c:v>212.59013808825156</c:v>
                </c:pt>
                <c:pt idx="885">
                  <c:v>222.33633044471128</c:v>
                </c:pt>
                <c:pt idx="886">
                  <c:v>233.3399457582108</c:v>
                </c:pt>
                <c:pt idx="887">
                  <c:v>245.99507509134949</c:v>
                </c:pt>
                <c:pt idx="888">
                  <c:v>259.16071046105742</c:v>
                </c:pt>
                <c:pt idx="889">
                  <c:v>262.18125324261212</c:v>
                </c:pt>
                <c:pt idx="890">
                  <c:v>266.25753002882971</c:v>
                </c:pt>
                <c:pt idx="891">
                  <c:v>269.57937345953781</c:v>
                </c:pt>
                <c:pt idx="892">
                  <c:v>271.88182320763576</c:v>
                </c:pt>
                <c:pt idx="893">
                  <c:v>274.98491527794317</c:v>
                </c:pt>
                <c:pt idx="894">
                  <c:v>278.66570243928413</c:v>
                </c:pt>
                <c:pt idx="895">
                  <c:v>282.48673667525611</c:v>
                </c:pt>
                <c:pt idx="896">
                  <c:v>286.2584261518133</c:v>
                </c:pt>
                <c:pt idx="897">
                  <c:v>289.6546038519233</c:v>
                </c:pt>
                <c:pt idx="898">
                  <c:v>292.75387801789304</c:v>
                </c:pt>
                <c:pt idx="899">
                  <c:v>295.82280144516471</c:v>
                </c:pt>
                <c:pt idx="900">
                  <c:v>299.13308722511988</c:v>
                </c:pt>
                <c:pt idx="901">
                  <c:v>302.53590700686118</c:v>
                </c:pt>
                <c:pt idx="902">
                  <c:v>307.08688822835535</c:v>
                </c:pt>
                <c:pt idx="903">
                  <c:v>310.66675021873021</c:v>
                </c:pt>
                <c:pt idx="904">
                  <c:v>312.66642829420891</c:v>
                </c:pt>
                <c:pt idx="905">
                  <c:v>313.32397477875963</c:v>
                </c:pt>
                <c:pt idx="906">
                  <c:v>314.15597138451415</c:v>
                </c:pt>
                <c:pt idx="907">
                  <c:v>293.73128462218557</c:v>
                </c:pt>
                <c:pt idx="908">
                  <c:v>275.14876601687519</c:v>
                </c:pt>
                <c:pt idx="909">
                  <c:v>255.12334684722671</c:v>
                </c:pt>
                <c:pt idx="910">
                  <c:v>234.94262983130884</c:v>
                </c:pt>
                <c:pt idx="911">
                  <c:v>214.60008733163573</c:v>
                </c:pt>
                <c:pt idx="912">
                  <c:v>198.44855720416058</c:v>
                </c:pt>
                <c:pt idx="913">
                  <c:v>183.71850018555034</c:v>
                </c:pt>
                <c:pt idx="914">
                  <c:v>169.74445939431311</c:v>
                </c:pt>
                <c:pt idx="915">
                  <c:v>155.60610474532822</c:v>
                </c:pt>
                <c:pt idx="916">
                  <c:v>140.63372870343477</c:v>
                </c:pt>
                <c:pt idx="917">
                  <c:v>127.81701104665794</c:v>
                </c:pt>
                <c:pt idx="918">
                  <c:v>115.01081249292511</c:v>
                </c:pt>
                <c:pt idx="919">
                  <c:v>103.03668816462269</c:v>
                </c:pt>
                <c:pt idx="920">
                  <c:v>93.123100352563156</c:v>
                </c:pt>
                <c:pt idx="921">
                  <c:v>83.376907996103355</c:v>
                </c:pt>
                <c:pt idx="922">
                  <c:v>72.373292682603861</c:v>
                </c:pt>
                <c:pt idx="923">
                  <c:v>88.067002097186389</c:v>
                </c:pt>
                <c:pt idx="924">
                  <c:v>84.490430746596346</c:v>
                </c:pt>
                <c:pt idx="925">
                  <c:v>81.15382087620543</c:v>
                </c:pt>
                <c:pt idx="926">
                  <c:v>78.763292457021535</c:v>
                </c:pt>
                <c:pt idx="927">
                  <c:v>75.443091006283368</c:v>
                </c:pt>
                <c:pt idx="928">
                  <c:v>71.588734704705544</c:v>
                </c:pt>
                <c:pt idx="929">
                  <c:v>67.802277187678882</c:v>
                </c:pt>
                <c:pt idx="930">
                  <c:v>64.245675891699534</c:v>
                </c:pt>
                <c:pt idx="931">
                  <c:v>60.601700239412963</c:v>
                </c:pt>
                <c:pt idx="932">
                  <c:v>56.84126197786938</c:v>
                </c:pt>
                <c:pt idx="933">
                  <c:v>53.22598799474045</c:v>
                </c:pt>
                <c:pt idx="934">
                  <c:v>49.763838901727894</c:v>
                </c:pt>
                <c:pt idx="935">
                  <c:v>46.659408199154683</c:v>
                </c:pt>
                <c:pt idx="936">
                  <c:v>42.773142018331384</c:v>
                </c:pt>
                <c:pt idx="937">
                  <c:v>39.048373003375161</c:v>
                </c:pt>
                <c:pt idx="938">
                  <c:v>36.669928990418015</c:v>
                </c:pt>
                <c:pt idx="939">
                  <c:v>34.287532268206121</c:v>
                </c:pt>
                <c:pt idx="940">
                  <c:v>33.677772996511123</c:v>
                </c:pt>
                <c:pt idx="941">
                  <c:v>33.842963828043992</c:v>
                </c:pt>
                <c:pt idx="942">
                  <c:v>51.892908605059091</c:v>
                </c:pt>
                <c:pt idx="943">
                  <c:v>71.565650594631833</c:v>
                </c:pt>
                <c:pt idx="944">
                  <c:v>90.200999950774815</c:v>
                </c:pt>
                <c:pt idx="945">
                  <c:v>108.0789675233531</c:v>
                </c:pt>
                <c:pt idx="946">
                  <c:v>127.52531340754052</c:v>
                </c:pt>
                <c:pt idx="947">
                  <c:v>145.28171557272884</c:v>
                </c:pt>
                <c:pt idx="948">
                  <c:v>160.34561518177532</c:v>
                </c:pt>
                <c:pt idx="949">
                  <c:v>175.2188042827172</c:v>
                </c:pt>
                <c:pt idx="950">
                  <c:v>189.55135151191041</c:v>
                </c:pt>
                <c:pt idx="951">
                  <c:v>203.95959060547244</c:v>
                </c:pt>
                <c:pt idx="952">
                  <c:v>217.00581868101457</c:v>
                </c:pt>
                <c:pt idx="953">
                  <c:v>229.18978621205656</c:v>
                </c:pt>
                <c:pt idx="954">
                  <c:v>240.50491713606715</c:v>
                </c:pt>
                <c:pt idx="955">
                  <c:v>251.66593647347861</c:v>
                </c:pt>
                <c:pt idx="956">
                  <c:v>261.3054499339371</c:v>
                </c:pt>
                <c:pt idx="957">
                  <c:v>270.58775149087103</c:v>
                </c:pt>
                <c:pt idx="958">
                  <c:v>281.19810105069655</c:v>
                </c:pt>
                <c:pt idx="959">
                  <c:v>293.27978055919527</c:v>
                </c:pt>
                <c:pt idx="960">
                  <c:v>296.85635190978536</c:v>
                </c:pt>
                <c:pt idx="961">
                  <c:v>300.19296178017623</c:v>
                </c:pt>
                <c:pt idx="962">
                  <c:v>302.58349019936009</c:v>
                </c:pt>
                <c:pt idx="963">
                  <c:v>305.90369165009827</c:v>
                </c:pt>
                <c:pt idx="964">
                  <c:v>309.75804795167613</c:v>
                </c:pt>
                <c:pt idx="965">
                  <c:v>313.54450546870277</c:v>
                </c:pt>
                <c:pt idx="966">
                  <c:v>317.10110676468213</c:v>
                </c:pt>
                <c:pt idx="967">
                  <c:v>320.74508241696878</c:v>
                </c:pt>
                <c:pt idx="968">
                  <c:v>324.50552067851231</c:v>
                </c:pt>
                <c:pt idx="969">
                  <c:v>328.12079466164118</c:v>
                </c:pt>
                <c:pt idx="970">
                  <c:v>331.58294375465385</c:v>
                </c:pt>
                <c:pt idx="971">
                  <c:v>334.68737445722707</c:v>
                </c:pt>
                <c:pt idx="972">
                  <c:v>338.57364063805028</c:v>
                </c:pt>
                <c:pt idx="973">
                  <c:v>342.2984096530065</c:v>
                </c:pt>
                <c:pt idx="974">
                  <c:v>344.67685366596368</c:v>
                </c:pt>
                <c:pt idx="975">
                  <c:v>347.05925038817566</c:v>
                </c:pt>
                <c:pt idx="976">
                  <c:v>347.66900965987054</c:v>
                </c:pt>
                <c:pt idx="977">
                  <c:v>347.50381882833773</c:v>
                </c:pt>
                <c:pt idx="978">
                  <c:v>329.4538740513226</c:v>
                </c:pt>
                <c:pt idx="979">
                  <c:v>309.78113206174993</c:v>
                </c:pt>
                <c:pt idx="980">
                  <c:v>291.1457827056069</c:v>
                </c:pt>
                <c:pt idx="981">
                  <c:v>273.26781513302876</c:v>
                </c:pt>
                <c:pt idx="982">
                  <c:v>253.82146924884125</c:v>
                </c:pt>
                <c:pt idx="983">
                  <c:v>236.06506708365279</c:v>
                </c:pt>
                <c:pt idx="984">
                  <c:v>221.00116747460626</c:v>
                </c:pt>
                <c:pt idx="985">
                  <c:v>206.12797837366455</c:v>
                </c:pt>
                <c:pt idx="986">
                  <c:v>191.79543114447125</c:v>
                </c:pt>
                <c:pt idx="987">
                  <c:v>177.38719205090922</c:v>
                </c:pt>
                <c:pt idx="988">
                  <c:v>164.34096397536715</c:v>
                </c:pt>
                <c:pt idx="989">
                  <c:v>152.15699644432516</c:v>
                </c:pt>
                <c:pt idx="990">
                  <c:v>140.84186552031463</c:v>
                </c:pt>
                <c:pt idx="991">
                  <c:v>129.68084618290317</c:v>
                </c:pt>
                <c:pt idx="992">
                  <c:v>120.04133272244452</c:v>
                </c:pt>
                <c:pt idx="993">
                  <c:v>110.75903116551058</c:v>
                </c:pt>
                <c:pt idx="994">
                  <c:v>131.83727078182423</c:v>
                </c:pt>
                <c:pt idx="995">
                  <c:v>128.32461092183991</c:v>
                </c:pt>
                <c:pt idx="996">
                  <c:v>125.08779010307465</c:v>
                </c:pt>
                <c:pt idx="997">
                  <c:v>121.15017875964625</c:v>
                </c:pt>
                <c:pt idx="998">
                  <c:v>117.42700674232081</c:v>
                </c:pt>
                <c:pt idx="999">
                  <c:v>113.78580966438145</c:v>
                </c:pt>
                <c:pt idx="1000">
                  <c:v>110.11879045666542</c:v>
                </c:pt>
                <c:pt idx="1001">
                  <c:v>106.37676106499634</c:v>
                </c:pt>
                <c:pt idx="1002">
                  <c:v>102.53085463584253</c:v>
                </c:pt>
                <c:pt idx="1003">
                  <c:v>98.837146602663154</c:v>
                </c:pt>
                <c:pt idx="1004">
                  <c:v>94.070589714206903</c:v>
                </c:pt>
                <c:pt idx="1005">
                  <c:v>90.084875076564657</c:v>
                </c:pt>
                <c:pt idx="1006">
                  <c:v>86.035570300122174</c:v>
                </c:pt>
                <c:pt idx="1007">
                  <c:v>82.398777242293363</c:v>
                </c:pt>
                <c:pt idx="1008">
                  <c:v>80.016540293104185</c:v>
                </c:pt>
                <c:pt idx="1009">
                  <c:v>78.947930276991542</c:v>
                </c:pt>
                <c:pt idx="1010">
                  <c:v>78.275811453919403</c:v>
                </c:pt>
                <c:pt idx="1011">
                  <c:v>78.567993046685046</c:v>
                </c:pt>
                <c:pt idx="1012">
                  <c:v>79.025558395870348</c:v>
                </c:pt>
                <c:pt idx="1013">
                  <c:v>97.483507129566476</c:v>
                </c:pt>
                <c:pt idx="1014">
                  <c:v>114.18485014241463</c:v>
                </c:pt>
                <c:pt idx="1015">
                  <c:v>130.06372197259384</c:v>
                </c:pt>
                <c:pt idx="1016">
                  <c:v>145.91138775835526</c:v>
                </c:pt>
                <c:pt idx="1017">
                  <c:v>163.64842798025987</c:v>
                </c:pt>
                <c:pt idx="1018">
                  <c:v>182.33578706479813</c:v>
                </c:pt>
                <c:pt idx="1019">
                  <c:v>199.3752797717035</c:v>
                </c:pt>
                <c:pt idx="1020">
                  <c:v>214.2935561688283</c:v>
                </c:pt>
                <c:pt idx="1021">
                  <c:v>229.79955839235106</c:v>
                </c:pt>
                <c:pt idx="1022">
                  <c:v>243.10586869330933</c:v>
                </c:pt>
                <c:pt idx="1023">
                  <c:v>255.06694394044712</c:v>
                </c:pt>
                <c:pt idx="1024">
                  <c:v>266.13627864408897</c:v>
                </c:pt>
                <c:pt idx="1025">
                  <c:v>276.667610320986</c:v>
                </c:pt>
                <c:pt idx="1026">
                  <c:v>286.9475783567176</c:v>
                </c:pt>
                <c:pt idx="1027">
                  <c:v>297.16768850185179</c:v>
                </c:pt>
                <c:pt idx="1028">
                  <c:v>307.35657705233155</c:v>
                </c:pt>
                <c:pt idx="1029">
                  <c:v>316.48656993757953</c:v>
                </c:pt>
                <c:pt idx="1030">
                  <c:v>325.14305609012439</c:v>
                </c:pt>
                <c:pt idx="1031">
                  <c:v>328.65571595010869</c:v>
                </c:pt>
                <c:pt idx="1032">
                  <c:v>331.89253676887398</c:v>
                </c:pt>
                <c:pt idx="1033">
                  <c:v>335.83014811230237</c:v>
                </c:pt>
                <c:pt idx="1034">
                  <c:v>339.55332012962776</c:v>
                </c:pt>
                <c:pt idx="1035">
                  <c:v>343.19451720756706</c:v>
                </c:pt>
                <c:pt idx="1036">
                  <c:v>346.86153641528313</c:v>
                </c:pt>
                <c:pt idx="1037">
                  <c:v>350.60356580695225</c:v>
                </c:pt>
                <c:pt idx="1038">
                  <c:v>354.44947223610609</c:v>
                </c:pt>
                <c:pt idx="1039">
                  <c:v>358.14318026928549</c:v>
                </c:pt>
                <c:pt idx="1040">
                  <c:v>362.90973715774169</c:v>
                </c:pt>
                <c:pt idx="1041">
                  <c:v>366.89545179538402</c:v>
                </c:pt>
                <c:pt idx="1042">
                  <c:v>370.94475657182647</c:v>
                </c:pt>
                <c:pt idx="1043">
                  <c:v>374.58154962965523</c:v>
                </c:pt>
                <c:pt idx="1044">
                  <c:v>376.96378657884441</c:v>
                </c:pt>
                <c:pt idx="1045">
                  <c:v>378.03239659495705</c:v>
                </c:pt>
                <c:pt idx="1046">
                  <c:v>378.70451541802925</c:v>
                </c:pt>
                <c:pt idx="1047">
                  <c:v>378.41233382526354</c:v>
                </c:pt>
                <c:pt idx="1048">
                  <c:v>377.9547684760783</c:v>
                </c:pt>
                <c:pt idx="1049">
                  <c:v>359.49681974238217</c:v>
                </c:pt>
                <c:pt idx="1050">
                  <c:v>342.79547672953407</c:v>
                </c:pt>
                <c:pt idx="1051">
                  <c:v>326.91660489935481</c:v>
                </c:pt>
                <c:pt idx="1052">
                  <c:v>311.0689391135935</c:v>
                </c:pt>
                <c:pt idx="1053">
                  <c:v>293.33189889168887</c:v>
                </c:pt>
                <c:pt idx="1054">
                  <c:v>274.64453980715035</c:v>
                </c:pt>
                <c:pt idx="1055">
                  <c:v>257.60504710024503</c:v>
                </c:pt>
                <c:pt idx="1056">
                  <c:v>242.68677070312037</c:v>
                </c:pt>
                <c:pt idx="1057">
                  <c:v>227.18076847959753</c:v>
                </c:pt>
                <c:pt idx="1058">
                  <c:v>213.87445817863926</c:v>
                </c:pt>
                <c:pt idx="1059">
                  <c:v>201.91338293150153</c:v>
                </c:pt>
                <c:pt idx="1060">
                  <c:v>190.8440482278597</c:v>
                </c:pt>
                <c:pt idx="1061">
                  <c:v>180.31271655096268</c:v>
                </c:pt>
                <c:pt idx="1062">
                  <c:v>170.03274851523113</c:v>
                </c:pt>
                <c:pt idx="1063">
                  <c:v>159.81263837009678</c:v>
                </c:pt>
                <c:pt idx="1064">
                  <c:v>149.62374981961705</c:v>
                </c:pt>
                <c:pt idx="1065">
                  <c:v>177.43685405934099</c:v>
                </c:pt>
                <c:pt idx="1066">
                  <c:v>172.8112996899136</c:v>
                </c:pt>
                <c:pt idx="1067">
                  <c:v>168.32411451701344</c:v>
                </c:pt>
                <c:pt idx="1068">
                  <c:v>164.10320674779109</c:v>
                </c:pt>
                <c:pt idx="1069">
                  <c:v>160.21757805377334</c:v>
                </c:pt>
                <c:pt idx="1070">
                  <c:v>156.01422489818111</c:v>
                </c:pt>
                <c:pt idx="1071">
                  <c:v>151.73077935032433</c:v>
                </c:pt>
                <c:pt idx="1072">
                  <c:v>147.30980712482457</c:v>
                </c:pt>
                <c:pt idx="1073">
                  <c:v>142.6942489918635</c:v>
                </c:pt>
                <c:pt idx="1074">
                  <c:v>138.23188855029952</c:v>
                </c:pt>
                <c:pt idx="1075">
                  <c:v>133.08021292712124</c:v>
                </c:pt>
                <c:pt idx="1076">
                  <c:v>128.01270384970667</c:v>
                </c:pt>
                <c:pt idx="1077">
                  <c:v>123.4103468206323</c:v>
                </c:pt>
                <c:pt idx="1078">
                  <c:v>119.88218379895142</c:v>
                </c:pt>
                <c:pt idx="1079">
                  <c:v>118.10203518259164</c:v>
                </c:pt>
                <c:pt idx="1080">
                  <c:v>117.36650162064979</c:v>
                </c:pt>
                <c:pt idx="1081">
                  <c:v>117.55382427130047</c:v>
                </c:pt>
                <c:pt idx="1082">
                  <c:v>118.07623750372977</c:v>
                </c:pt>
                <c:pt idx="1083">
                  <c:v>119.51012049715979</c:v>
                </c:pt>
                <c:pt idx="1084">
                  <c:v>136.40931864460501</c:v>
                </c:pt>
                <c:pt idx="1085">
                  <c:v>151.80310920444686</c:v>
                </c:pt>
                <c:pt idx="1086">
                  <c:v>167.23093651973892</c:v>
                </c:pt>
                <c:pt idx="1087">
                  <c:v>183.15551252547948</c:v>
                </c:pt>
                <c:pt idx="1088">
                  <c:v>199.54686289252683</c:v>
                </c:pt>
                <c:pt idx="1089">
                  <c:v>218.64580029615425</c:v>
                </c:pt>
                <c:pt idx="1090">
                  <c:v>237.43007547819244</c:v>
                </c:pt>
                <c:pt idx="1091">
                  <c:v>254.53985080130676</c:v>
                </c:pt>
                <c:pt idx="1092">
                  <c:v>269.86454152851979</c:v>
                </c:pt>
                <c:pt idx="1093">
                  <c:v>282.19487751459417</c:v>
                </c:pt>
                <c:pt idx="1094">
                  <c:v>293.52705004274179</c:v>
                </c:pt>
                <c:pt idx="1095">
                  <c:v>303.74705831693927</c:v>
                </c:pt>
                <c:pt idx="1096">
                  <c:v>313.2136773552968</c:v>
                </c:pt>
                <c:pt idx="1097">
                  <c:v>322.19877911747534</c:v>
                </c:pt>
                <c:pt idx="1098">
                  <c:v>330.33082096292338</c:v>
                </c:pt>
                <c:pt idx="1099">
                  <c:v>338.98181928697488</c:v>
                </c:pt>
                <c:pt idx="1100">
                  <c:v>347.60337591095629</c:v>
                </c:pt>
                <c:pt idx="1101">
                  <c:v>355.17701702817465</c:v>
                </c:pt>
                <c:pt idx="1102">
                  <c:v>359.80257139760198</c:v>
                </c:pt>
                <c:pt idx="1103">
                  <c:v>364.28975657050216</c:v>
                </c:pt>
                <c:pt idx="1104">
                  <c:v>368.51066433972449</c:v>
                </c:pt>
                <c:pt idx="1105">
                  <c:v>372.39629303374227</c:v>
                </c:pt>
                <c:pt idx="1106">
                  <c:v>376.59964618933446</c:v>
                </c:pt>
                <c:pt idx="1107">
                  <c:v>380.88309173719125</c:v>
                </c:pt>
                <c:pt idx="1108">
                  <c:v>385.30406396269098</c:v>
                </c:pt>
                <c:pt idx="1109">
                  <c:v>389.91962209565213</c:v>
                </c:pt>
                <c:pt idx="1110">
                  <c:v>394.38198253721606</c:v>
                </c:pt>
                <c:pt idx="1111">
                  <c:v>399.53365816039434</c:v>
                </c:pt>
                <c:pt idx="1112">
                  <c:v>404.60116723780891</c:v>
                </c:pt>
                <c:pt idx="1113">
                  <c:v>409.20352426688328</c:v>
                </c:pt>
                <c:pt idx="1114">
                  <c:v>412.73168728856422</c:v>
                </c:pt>
                <c:pt idx="1115">
                  <c:v>414.51183590492394</c:v>
                </c:pt>
                <c:pt idx="1116">
                  <c:v>415.24736946686573</c:v>
                </c:pt>
                <c:pt idx="1117">
                  <c:v>415.06004681621516</c:v>
                </c:pt>
                <c:pt idx="1118">
                  <c:v>414.53763358378581</c:v>
                </c:pt>
                <c:pt idx="1119">
                  <c:v>413.1037505903559</c:v>
                </c:pt>
                <c:pt idx="1120">
                  <c:v>396.20455244291054</c:v>
                </c:pt>
                <c:pt idx="1121">
                  <c:v>380.81076188306878</c:v>
                </c:pt>
                <c:pt idx="1122">
                  <c:v>365.38293456777672</c:v>
                </c:pt>
                <c:pt idx="1123">
                  <c:v>349.45835856203621</c:v>
                </c:pt>
                <c:pt idx="1124">
                  <c:v>333.06700819498883</c:v>
                </c:pt>
                <c:pt idx="1125">
                  <c:v>313.96807079136124</c:v>
                </c:pt>
                <c:pt idx="1126">
                  <c:v>295.18379560932306</c:v>
                </c:pt>
                <c:pt idx="1127">
                  <c:v>278.07402028620891</c:v>
                </c:pt>
                <c:pt idx="1128">
                  <c:v>262.74932955899578</c:v>
                </c:pt>
                <c:pt idx="1129">
                  <c:v>250.41899357292141</c:v>
                </c:pt>
                <c:pt idx="1130">
                  <c:v>239.08682104477379</c:v>
                </c:pt>
                <c:pt idx="1131">
                  <c:v>228.86681277057636</c:v>
                </c:pt>
                <c:pt idx="1132">
                  <c:v>219.4001937322189</c:v>
                </c:pt>
                <c:pt idx="1133">
                  <c:v>210.41509197004035</c:v>
                </c:pt>
                <c:pt idx="1134">
                  <c:v>202.28305012459217</c:v>
                </c:pt>
                <c:pt idx="1135">
                  <c:v>193.63205180054069</c:v>
                </c:pt>
                <c:pt idx="1136">
                  <c:v>217.8889023459484</c:v>
                </c:pt>
                <c:pt idx="1137">
                  <c:v>213.05780759480567</c:v>
                </c:pt>
                <c:pt idx="1138">
                  <c:v>208.34448828608777</c:v>
                </c:pt>
                <c:pt idx="1139">
                  <c:v>203.99922041522996</c:v>
                </c:pt>
                <c:pt idx="1140">
                  <c:v>199.74281035027667</c:v>
                </c:pt>
                <c:pt idx="1141">
                  <c:v>195.74756775586138</c:v>
                </c:pt>
                <c:pt idx="1142">
                  <c:v>191.37500678126295</c:v>
                </c:pt>
                <c:pt idx="1143">
                  <c:v>186.85501405913641</c:v>
                </c:pt>
                <c:pt idx="1144">
                  <c:v>182.54765979488073</c:v>
                </c:pt>
                <c:pt idx="1145">
                  <c:v>177.5549600133603</c:v>
                </c:pt>
                <c:pt idx="1146">
                  <c:v>172.25921313816576</c:v>
                </c:pt>
                <c:pt idx="1147">
                  <c:v>166.69296352511714</c:v>
                </c:pt>
                <c:pt idx="1148">
                  <c:v>161.76595439331717</c:v>
                </c:pt>
                <c:pt idx="1149">
                  <c:v>158.61603467368622</c:v>
                </c:pt>
                <c:pt idx="1150">
                  <c:v>156.85929980065472</c:v>
                </c:pt>
                <c:pt idx="1151">
                  <c:v>156.43597735324019</c:v>
                </c:pt>
                <c:pt idx="1152">
                  <c:v>157.01512970353204</c:v>
                </c:pt>
                <c:pt idx="1153">
                  <c:v>158.36534697984064</c:v>
                </c:pt>
                <c:pt idx="1154">
                  <c:v>159.90932415959094</c:v>
                </c:pt>
                <c:pt idx="1155">
                  <c:v>175.48522341285363</c:v>
                </c:pt>
                <c:pt idx="1156">
                  <c:v>190.35068479788521</c:v>
                </c:pt>
                <c:pt idx="1157">
                  <c:v>205.1245585315923</c:v>
                </c:pt>
                <c:pt idx="1158">
                  <c:v>220.51489417804166</c:v>
                </c:pt>
                <c:pt idx="1159">
                  <c:v>237.21880846703755</c:v>
                </c:pt>
                <c:pt idx="1160">
                  <c:v>255.22869103175759</c:v>
                </c:pt>
                <c:pt idx="1161">
                  <c:v>275.00164935421367</c:v>
                </c:pt>
                <c:pt idx="1162">
                  <c:v>293.61253096767803</c:v>
                </c:pt>
                <c:pt idx="1163">
                  <c:v>308.69144020709575</c:v>
                </c:pt>
                <c:pt idx="1164">
                  <c:v>321.38247835732102</c:v>
                </c:pt>
                <c:pt idx="1165">
                  <c:v>331.86221057425547</c:v>
                </c:pt>
                <c:pt idx="1166">
                  <c:v>341.81249767441858</c:v>
                </c:pt>
                <c:pt idx="1167">
                  <c:v>350.99587912633342</c:v>
                </c:pt>
                <c:pt idx="1168">
                  <c:v>359.0847238995492</c:v>
                </c:pt>
                <c:pt idx="1169">
                  <c:v>367.47599230186745</c:v>
                </c:pt>
                <c:pt idx="1170">
                  <c:v>375.72028822643767</c:v>
                </c:pt>
                <c:pt idx="1171">
                  <c:v>383.58315868459124</c:v>
                </c:pt>
                <c:pt idx="1172">
                  <c:v>390.35851295713434</c:v>
                </c:pt>
                <c:pt idx="1173">
                  <c:v>395.18960770827704</c:v>
                </c:pt>
                <c:pt idx="1174">
                  <c:v>399.90292701699497</c:v>
                </c:pt>
                <c:pt idx="1175">
                  <c:v>404.24819488785272</c:v>
                </c:pt>
                <c:pt idx="1176">
                  <c:v>408.50460495280601</c:v>
                </c:pt>
                <c:pt idx="1177">
                  <c:v>412.49984754722135</c:v>
                </c:pt>
                <c:pt idx="1178">
                  <c:v>416.87240852181975</c:v>
                </c:pt>
                <c:pt idx="1179">
                  <c:v>421.39240124394632</c:v>
                </c:pt>
                <c:pt idx="1180">
                  <c:v>425.69975550820197</c:v>
                </c:pt>
                <c:pt idx="1181">
                  <c:v>430.69245528972249</c:v>
                </c:pt>
                <c:pt idx="1182">
                  <c:v>435.98820216491686</c:v>
                </c:pt>
                <c:pt idx="1183">
                  <c:v>441.55445177796554</c:v>
                </c:pt>
                <c:pt idx="1184">
                  <c:v>446.48146090976553</c:v>
                </c:pt>
                <c:pt idx="1185">
                  <c:v>449.63138062939646</c:v>
                </c:pt>
                <c:pt idx="1186">
                  <c:v>451.38811550242792</c:v>
                </c:pt>
                <c:pt idx="1187">
                  <c:v>451.81143794984246</c:v>
                </c:pt>
                <c:pt idx="1188">
                  <c:v>451.23228559955066</c:v>
                </c:pt>
                <c:pt idx="1189">
                  <c:v>449.88206832324204</c:v>
                </c:pt>
                <c:pt idx="1190">
                  <c:v>448.33809114349174</c:v>
                </c:pt>
                <c:pt idx="1191">
                  <c:v>432.76219189022913</c:v>
                </c:pt>
                <c:pt idx="1192">
                  <c:v>417.89673050519758</c:v>
                </c:pt>
                <c:pt idx="1193">
                  <c:v>403.12285677149038</c:v>
                </c:pt>
                <c:pt idx="1194">
                  <c:v>387.7325211250411</c:v>
                </c:pt>
                <c:pt idx="1195">
                  <c:v>371.02860683604524</c:v>
                </c:pt>
                <c:pt idx="1196">
                  <c:v>353.01872427132497</c:v>
                </c:pt>
                <c:pt idx="1197">
                  <c:v>333.24576594886884</c:v>
                </c:pt>
                <c:pt idx="1198">
                  <c:v>314.63488433540476</c:v>
                </c:pt>
                <c:pt idx="1199">
                  <c:v>299.55597509598698</c:v>
                </c:pt>
                <c:pt idx="1200">
                  <c:v>286.86493694576166</c:v>
                </c:pt>
                <c:pt idx="1201">
                  <c:v>276.38520472882726</c:v>
                </c:pt>
                <c:pt idx="1202">
                  <c:v>266.43491762866415</c:v>
                </c:pt>
                <c:pt idx="1203">
                  <c:v>257.25153617674931</c:v>
                </c:pt>
                <c:pt idx="1204">
                  <c:v>249.16269140353359</c:v>
                </c:pt>
                <c:pt idx="1205">
                  <c:v>240.77142300121523</c:v>
                </c:pt>
                <c:pt idx="1206">
                  <c:v>232.527127076645</c:v>
                </c:pt>
                <c:pt idx="1207">
                  <c:v>258.36036143247276</c:v>
                </c:pt>
                <c:pt idx="1208">
                  <c:v>253.49633438486438</c:v>
                </c:pt>
                <c:pt idx="1209">
                  <c:v>248.78247802891792</c:v>
                </c:pt>
                <c:pt idx="1210">
                  <c:v>244.19721167283413</c:v>
                </c:pt>
                <c:pt idx="1211">
                  <c:v>239.89757550269186</c:v>
                </c:pt>
                <c:pt idx="1212">
                  <c:v>235.56238647019978</c:v>
                </c:pt>
                <c:pt idx="1213">
                  <c:v>231.13226389291452</c:v>
                </c:pt>
                <c:pt idx="1214">
                  <c:v>227.26548982427505</c:v>
                </c:pt>
                <c:pt idx="1215">
                  <c:v>222.46469610699288</c:v>
                </c:pt>
                <c:pt idx="1216">
                  <c:v>217.39014857536586</c:v>
                </c:pt>
                <c:pt idx="1217">
                  <c:v>211.99896414582255</c:v>
                </c:pt>
                <c:pt idx="1218">
                  <c:v>206.29976919659077</c:v>
                </c:pt>
                <c:pt idx="1219">
                  <c:v>201.14436560650628</c:v>
                </c:pt>
                <c:pt idx="1220">
                  <c:v>198.33263941014656</c:v>
                </c:pt>
                <c:pt idx="1221">
                  <c:v>196.82748251302542</c:v>
                </c:pt>
                <c:pt idx="1222">
                  <c:v>196.53578308640613</c:v>
                </c:pt>
                <c:pt idx="1223">
                  <c:v>197.20183855784546</c:v>
                </c:pt>
                <c:pt idx="1224">
                  <c:v>198.83544103142336</c:v>
                </c:pt>
                <c:pt idx="1225">
                  <c:v>200.74954979199484</c:v>
                </c:pt>
                <c:pt idx="1226">
                  <c:v>215.44927122356711</c:v>
                </c:pt>
                <c:pt idx="1227">
                  <c:v>229.64992473944721</c:v>
                </c:pt>
                <c:pt idx="1228">
                  <c:v>243.93728918646681</c:v>
                </c:pt>
                <c:pt idx="1229">
                  <c:v>258.9256280724104</c:v>
                </c:pt>
                <c:pt idx="1230">
                  <c:v>275.27807964244573</c:v>
                </c:pt>
                <c:pt idx="1231">
                  <c:v>292.17616931724149</c:v>
                </c:pt>
                <c:pt idx="1232">
                  <c:v>313.45157487385472</c:v>
                </c:pt>
                <c:pt idx="1233">
                  <c:v>331.96491361094377</c:v>
                </c:pt>
                <c:pt idx="1234">
                  <c:v>346.84985244192126</c:v>
                </c:pt>
                <c:pt idx="1235">
                  <c:v>359.33857029571141</c:v>
                </c:pt>
                <c:pt idx="1236">
                  <c:v>370.19155461266718</c:v>
                </c:pt>
                <c:pt idx="1237">
                  <c:v>378.75603943351194</c:v>
                </c:pt>
                <c:pt idx="1238">
                  <c:v>387.69359278882189</c:v>
                </c:pt>
                <c:pt idx="1239">
                  <c:v>396.11336695173839</c:v>
                </c:pt>
                <c:pt idx="1240">
                  <c:v>404.2269409267974</c:v>
                </c:pt>
                <c:pt idx="1241">
                  <c:v>411.97812540132168</c:v>
                </c:pt>
                <c:pt idx="1242">
                  <c:v>419.06175662686661</c:v>
                </c:pt>
                <c:pt idx="1243">
                  <c:v>425.52059808617696</c:v>
                </c:pt>
                <c:pt idx="1244">
                  <c:v>430.38462513378528</c:v>
                </c:pt>
                <c:pt idx="1245">
                  <c:v>435.0984814897318</c:v>
                </c:pt>
                <c:pt idx="1246">
                  <c:v>439.6837478458155</c:v>
                </c:pt>
                <c:pt idx="1247">
                  <c:v>443.98338401595777</c:v>
                </c:pt>
                <c:pt idx="1248">
                  <c:v>448.31857304844988</c:v>
                </c:pt>
                <c:pt idx="1249">
                  <c:v>452.74869562573514</c:v>
                </c:pt>
                <c:pt idx="1250">
                  <c:v>456.61546969437461</c:v>
                </c:pt>
                <c:pt idx="1251">
                  <c:v>461.41626341165693</c:v>
                </c:pt>
                <c:pt idx="1252">
                  <c:v>466.49081094328392</c:v>
                </c:pt>
                <c:pt idx="1253">
                  <c:v>471.88199537282702</c:v>
                </c:pt>
                <c:pt idx="1254">
                  <c:v>477.58119032205894</c:v>
                </c:pt>
                <c:pt idx="1255">
                  <c:v>482.73659391214335</c:v>
                </c:pt>
                <c:pt idx="1256">
                  <c:v>485.54832010850305</c:v>
                </c:pt>
                <c:pt idx="1257">
                  <c:v>487.05347700562425</c:v>
                </c:pt>
                <c:pt idx="1258">
                  <c:v>487.34517643224353</c:v>
                </c:pt>
                <c:pt idx="1259">
                  <c:v>486.6791209608042</c:v>
                </c:pt>
                <c:pt idx="1260">
                  <c:v>485.04551848722633</c:v>
                </c:pt>
                <c:pt idx="1261">
                  <c:v>483.13140972665485</c:v>
                </c:pt>
                <c:pt idx="1262">
                  <c:v>468.43168829508261</c:v>
                </c:pt>
                <c:pt idx="1263">
                  <c:v>454.2310347792025</c:v>
                </c:pt>
                <c:pt idx="1264">
                  <c:v>439.94367033218288</c:v>
                </c:pt>
                <c:pt idx="1265">
                  <c:v>424.95533144623937</c:v>
                </c:pt>
                <c:pt idx="1266">
                  <c:v>408.6028798762041</c:v>
                </c:pt>
                <c:pt idx="1267">
                  <c:v>391.70479020140806</c:v>
                </c:pt>
                <c:pt idx="1268">
                  <c:v>370.42938464479482</c:v>
                </c:pt>
                <c:pt idx="1269">
                  <c:v>351.91604590770606</c:v>
                </c:pt>
                <c:pt idx="1270">
                  <c:v>337.0311070767284</c:v>
                </c:pt>
                <c:pt idx="1271">
                  <c:v>324.54238922293825</c:v>
                </c:pt>
                <c:pt idx="1272">
                  <c:v>313.68940490598254</c:v>
                </c:pt>
                <c:pt idx="1273">
                  <c:v>305.12492008513777</c:v>
                </c:pt>
                <c:pt idx="1274">
                  <c:v>296.18736672982789</c:v>
                </c:pt>
                <c:pt idx="1275">
                  <c:v>287.76759256691139</c:v>
                </c:pt>
                <c:pt idx="1276">
                  <c:v>279.65401859185232</c:v>
                </c:pt>
                <c:pt idx="1277">
                  <c:v>271.90283411732798</c:v>
                </c:pt>
                <c:pt idx="1278">
                  <c:v>299.16311552173886</c:v>
                </c:pt>
                <c:pt idx="1279">
                  <c:v>294.28901518303758</c:v>
                </c:pt>
                <c:pt idx="1280">
                  <c:v>289.58522244578592</c:v>
                </c:pt>
                <c:pt idx="1281">
                  <c:v>284.94297477510293</c:v>
                </c:pt>
                <c:pt idx="1282">
                  <c:v>280.47500595049246</c:v>
                </c:pt>
                <c:pt idx="1283">
                  <c:v>276.57822110916885</c:v>
                </c:pt>
                <c:pt idx="1284">
                  <c:v>272.12424716054528</c:v>
                </c:pt>
                <c:pt idx="1285">
                  <c:v>267.51010544352829</c:v>
                </c:pt>
                <c:pt idx="1286">
                  <c:v>262.93643250337294</c:v>
                </c:pt>
                <c:pt idx="1287">
                  <c:v>257.82041026799232</c:v>
                </c:pt>
                <c:pt idx="1288">
                  <c:v>252.37907656476443</c:v>
                </c:pt>
                <c:pt idx="1289">
                  <c:v>246.67090732817903</c:v>
                </c:pt>
                <c:pt idx="1290">
                  <c:v>242.13762389138051</c:v>
                </c:pt>
                <c:pt idx="1291">
                  <c:v>239.20030077866369</c:v>
                </c:pt>
                <c:pt idx="1292">
                  <c:v>237.8452708841296</c:v>
                </c:pt>
                <c:pt idx="1293">
                  <c:v>237.72650611337659</c:v>
                </c:pt>
                <c:pt idx="1294">
                  <c:v>238.59680479111037</c:v>
                </c:pt>
                <c:pt idx="1295">
                  <c:v>240.28169473340628</c:v>
                </c:pt>
                <c:pt idx="1296">
                  <c:v>242.48742359548476</c:v>
                </c:pt>
                <c:pt idx="1297">
                  <c:v>256.23799489810858</c:v>
                </c:pt>
                <c:pt idx="1298">
                  <c:v>269.93898194376573</c:v>
                </c:pt>
                <c:pt idx="1299">
                  <c:v>283.81474324557757</c:v>
                </c:pt>
                <c:pt idx="1300">
                  <c:v>298.48705592633951</c:v>
                </c:pt>
                <c:pt idx="1301">
                  <c:v>314.59296604425231</c:v>
                </c:pt>
                <c:pt idx="1302">
                  <c:v>332.15931151994272</c:v>
                </c:pt>
                <c:pt idx="1303">
                  <c:v>351.3003212876398</c:v>
                </c:pt>
                <c:pt idx="1304">
                  <c:v>369.52472987341883</c:v>
                </c:pt>
                <c:pt idx="1305">
                  <c:v>384.26359596072933</c:v>
                </c:pt>
                <c:pt idx="1306">
                  <c:v>396.59525125144773</c:v>
                </c:pt>
                <c:pt idx="1307">
                  <c:v>406.66694339118419</c:v>
                </c:pt>
                <c:pt idx="1308">
                  <c:v>416.20021934112526</c:v>
                </c:pt>
                <c:pt idx="1309">
                  <c:v>424.93715040719843</c:v>
                </c:pt>
                <c:pt idx="1310">
                  <c:v>432.61401925516327</c:v>
                </c:pt>
                <c:pt idx="1311">
                  <c:v>440.35392825413817</c:v>
                </c:pt>
                <c:pt idx="1312">
                  <c:v>447.79564543070944</c:v>
                </c:pt>
                <c:pt idx="1313">
                  <c:v>454.16528772608137</c:v>
                </c:pt>
                <c:pt idx="1314">
                  <c:v>460.35138821247779</c:v>
                </c:pt>
                <c:pt idx="1315">
                  <c:v>465.22548855117907</c:v>
                </c:pt>
                <c:pt idx="1316">
                  <c:v>469.92928128843073</c:v>
                </c:pt>
                <c:pt idx="1317">
                  <c:v>474.57152895911372</c:v>
                </c:pt>
                <c:pt idx="1318">
                  <c:v>479.03949778372413</c:v>
                </c:pt>
                <c:pt idx="1319">
                  <c:v>482.93628262504774</c:v>
                </c:pt>
                <c:pt idx="1320">
                  <c:v>487.39025657367131</c:v>
                </c:pt>
                <c:pt idx="1321">
                  <c:v>492.0043982906883</c:v>
                </c:pt>
                <c:pt idx="1322">
                  <c:v>496.57807123084376</c:v>
                </c:pt>
                <c:pt idx="1323">
                  <c:v>501.69409346622427</c:v>
                </c:pt>
                <c:pt idx="1324">
                  <c:v>507.1354271694521</c:v>
                </c:pt>
                <c:pt idx="1325">
                  <c:v>512.8435964060377</c:v>
                </c:pt>
                <c:pt idx="1326">
                  <c:v>517.37687984283616</c:v>
                </c:pt>
                <c:pt idx="1327">
                  <c:v>520.3142029555529</c:v>
                </c:pt>
                <c:pt idx="1328">
                  <c:v>521.66923285008704</c:v>
                </c:pt>
                <c:pt idx="1329">
                  <c:v>521.78799762084009</c:v>
                </c:pt>
                <c:pt idx="1330">
                  <c:v>520.91769894310642</c:v>
                </c:pt>
                <c:pt idx="1331">
                  <c:v>519.23280900081045</c:v>
                </c:pt>
                <c:pt idx="1332">
                  <c:v>517.027080138732</c:v>
                </c:pt>
                <c:pt idx="1333">
                  <c:v>503.27650883610806</c:v>
                </c:pt>
                <c:pt idx="1334">
                  <c:v>489.57552179045103</c:v>
                </c:pt>
                <c:pt idx="1335">
                  <c:v>475.69976048863907</c:v>
                </c:pt>
                <c:pt idx="1336">
                  <c:v>461.02744780787737</c:v>
                </c:pt>
                <c:pt idx="1337">
                  <c:v>444.92153768996445</c:v>
                </c:pt>
                <c:pt idx="1338">
                  <c:v>427.35519221427387</c:v>
                </c:pt>
                <c:pt idx="1339">
                  <c:v>408.21418244657684</c:v>
                </c:pt>
                <c:pt idx="1340">
                  <c:v>389.98977386079792</c:v>
                </c:pt>
                <c:pt idx="1341">
                  <c:v>375.25090777348737</c:v>
                </c:pt>
                <c:pt idx="1342">
                  <c:v>362.91925248276891</c:v>
                </c:pt>
                <c:pt idx="1343">
                  <c:v>352.84756034303251</c:v>
                </c:pt>
                <c:pt idx="1344">
                  <c:v>343.31428439309144</c:v>
                </c:pt>
                <c:pt idx="1345">
                  <c:v>334.57735332701827</c:v>
                </c:pt>
                <c:pt idx="1346">
                  <c:v>326.90048447905343</c:v>
                </c:pt>
                <c:pt idx="1347">
                  <c:v>319.16057548007848</c:v>
                </c:pt>
                <c:pt idx="1348">
                  <c:v>311.7188583035072</c:v>
                </c:pt>
                <c:pt idx="1349">
                  <c:v>340.40079925223534</c:v>
                </c:pt>
                <c:pt idx="1350">
                  <c:v>335.53933548446832</c:v>
                </c:pt>
                <c:pt idx="1351">
                  <c:v>330.84646938177275</c:v>
                </c:pt>
                <c:pt idx="1352">
                  <c:v>326.71105550163406</c:v>
                </c:pt>
                <c:pt idx="1353">
                  <c:v>322.11810289923426</c:v>
                </c:pt>
                <c:pt idx="1354">
                  <c:v>317.70039786562791</c:v>
                </c:pt>
                <c:pt idx="1355">
                  <c:v>313.25336621419797</c:v>
                </c:pt>
                <c:pt idx="1356">
                  <c:v>308.64295681688191</c:v>
                </c:pt>
                <c:pt idx="1357">
                  <c:v>303.80755011259089</c:v>
                </c:pt>
                <c:pt idx="1358">
                  <c:v>298.68760982493245</c:v>
                </c:pt>
                <c:pt idx="1359">
                  <c:v>293.47698348901628</c:v>
                </c:pt>
                <c:pt idx="1360">
                  <c:v>288.46719608321399</c:v>
                </c:pt>
                <c:pt idx="1361">
                  <c:v>284.26230864410343</c:v>
                </c:pt>
                <c:pt idx="1362">
                  <c:v>281.37761440493091</c:v>
                </c:pt>
                <c:pt idx="1363">
                  <c:v>280.05612165191746</c:v>
                </c:pt>
                <c:pt idx="1364">
                  <c:v>280.01268547834854</c:v>
                </c:pt>
                <c:pt idx="1365">
                  <c:v>280.98273441662127</c:v>
                </c:pt>
                <c:pt idx="1366">
                  <c:v>282.64497279032975</c:v>
                </c:pt>
                <c:pt idx="1367">
                  <c:v>286.0860842411451</c:v>
                </c:pt>
                <c:pt idx="1368">
                  <c:v>298.48481562810349</c:v>
                </c:pt>
                <c:pt idx="1369">
                  <c:v>311.29669557166682</c:v>
                </c:pt>
                <c:pt idx="1370">
                  <c:v>324.87729080786642</c:v>
                </c:pt>
                <c:pt idx="1371">
                  <c:v>339.33791308363448</c:v>
                </c:pt>
                <c:pt idx="1372">
                  <c:v>354.6166337179319</c:v>
                </c:pt>
                <c:pt idx="1373">
                  <c:v>372.60930105706143</c:v>
                </c:pt>
                <c:pt idx="1374">
                  <c:v>390.15888800937631</c:v>
                </c:pt>
                <c:pt idx="1375">
                  <c:v>406.22228374078111</c:v>
                </c:pt>
                <c:pt idx="1376">
                  <c:v>420.22689543749931</c:v>
                </c:pt>
                <c:pt idx="1377">
                  <c:v>432.43982222228027</c:v>
                </c:pt>
                <c:pt idx="1378">
                  <c:v>442.99292103497697</c:v>
                </c:pt>
                <c:pt idx="1379">
                  <c:v>452.38640502714259</c:v>
                </c:pt>
                <c:pt idx="1380">
                  <c:v>460.969251668504</c:v>
                </c:pt>
                <c:pt idx="1381">
                  <c:v>468.93313159099841</c:v>
                </c:pt>
                <c:pt idx="1382">
                  <c:v>476.3451749872508</c:v>
                </c:pt>
                <c:pt idx="1383">
                  <c:v>482.81814422362436</c:v>
                </c:pt>
                <c:pt idx="1384">
                  <c:v>488.7909774885066</c:v>
                </c:pt>
                <c:pt idx="1385">
                  <c:v>494.74724869754834</c:v>
                </c:pt>
                <c:pt idx="1386">
                  <c:v>499.60871246531531</c:v>
                </c:pt>
                <c:pt idx="1387">
                  <c:v>504.301578568011</c:v>
                </c:pt>
                <c:pt idx="1388">
                  <c:v>508.43699244814957</c:v>
                </c:pt>
                <c:pt idx="1389">
                  <c:v>513.02994505054937</c:v>
                </c:pt>
                <c:pt idx="1390">
                  <c:v>517.44765008415573</c:v>
                </c:pt>
                <c:pt idx="1391">
                  <c:v>521.89468173558566</c:v>
                </c:pt>
                <c:pt idx="1392">
                  <c:v>526.50509113290173</c:v>
                </c:pt>
                <c:pt idx="1393">
                  <c:v>531.34049783719286</c:v>
                </c:pt>
                <c:pt idx="1394">
                  <c:v>536.46043812485118</c:v>
                </c:pt>
                <c:pt idx="1395">
                  <c:v>541.6710644607673</c:v>
                </c:pt>
                <c:pt idx="1396">
                  <c:v>546.6808518665697</c:v>
                </c:pt>
                <c:pt idx="1397">
                  <c:v>550.8857393056802</c:v>
                </c:pt>
                <c:pt idx="1398">
                  <c:v>553.77043354485272</c:v>
                </c:pt>
                <c:pt idx="1399">
                  <c:v>555.09192629786617</c:v>
                </c:pt>
                <c:pt idx="1400">
                  <c:v>555.13536247143509</c:v>
                </c:pt>
                <c:pt idx="1401">
                  <c:v>554.16531353316236</c:v>
                </c:pt>
                <c:pt idx="1402">
                  <c:v>552.50307515945394</c:v>
                </c:pt>
                <c:pt idx="1403">
                  <c:v>549.06196370863859</c:v>
                </c:pt>
                <c:pt idx="1404">
                  <c:v>536.6632323216802</c:v>
                </c:pt>
                <c:pt idx="1405">
                  <c:v>523.85135237811687</c:v>
                </c:pt>
                <c:pt idx="1406">
                  <c:v>510.27075714191722</c:v>
                </c:pt>
                <c:pt idx="1407">
                  <c:v>495.81013486614927</c:v>
                </c:pt>
                <c:pt idx="1408">
                  <c:v>480.53141423185184</c:v>
                </c:pt>
                <c:pt idx="1409">
                  <c:v>462.53874689272209</c:v>
                </c:pt>
                <c:pt idx="1410">
                  <c:v>444.98915994040726</c:v>
                </c:pt>
                <c:pt idx="1411">
                  <c:v>428.92576420900264</c:v>
                </c:pt>
                <c:pt idx="1412">
                  <c:v>414.92115251228444</c:v>
                </c:pt>
                <c:pt idx="1413">
                  <c:v>402.70822572750336</c:v>
                </c:pt>
                <c:pt idx="1414">
                  <c:v>392.15512691480671</c:v>
                </c:pt>
                <c:pt idx="1415">
                  <c:v>382.7616429226411</c:v>
                </c:pt>
                <c:pt idx="1416">
                  <c:v>374.17879628127969</c:v>
                </c:pt>
                <c:pt idx="1417">
                  <c:v>366.21491635878527</c:v>
                </c:pt>
                <c:pt idx="1418">
                  <c:v>358.80287296253283</c:v>
                </c:pt>
                <c:pt idx="1419">
                  <c:v>352.32990372615922</c:v>
                </c:pt>
                <c:pt idx="1420">
                  <c:v>382.1796274830856</c:v>
                </c:pt>
                <c:pt idx="1421">
                  <c:v>377.85262089463475</c:v>
                </c:pt>
                <c:pt idx="1422">
                  <c:v>373.18593391274135</c:v>
                </c:pt>
                <c:pt idx="1423">
                  <c:v>368.60663961342379</c:v>
                </c:pt>
                <c:pt idx="1424">
                  <c:v>364.0512189011489</c:v>
                </c:pt>
                <c:pt idx="1425">
                  <c:v>359.46098039008132</c:v>
                </c:pt>
                <c:pt idx="1426">
                  <c:v>355.04779568657301</c:v>
                </c:pt>
                <c:pt idx="1427">
                  <c:v>350.46955093296549</c:v>
                </c:pt>
                <c:pt idx="1428">
                  <c:v>345.66509295333668</c:v>
                </c:pt>
                <c:pt idx="1429">
                  <c:v>340.57527453683053</c:v>
                </c:pt>
                <c:pt idx="1430">
                  <c:v>335.62241890116462</c:v>
                </c:pt>
                <c:pt idx="1431">
                  <c:v>331.33065748034403</c:v>
                </c:pt>
                <c:pt idx="1432">
                  <c:v>327.69416308313805</c:v>
                </c:pt>
                <c:pt idx="1433">
                  <c:v>324.99538389906741</c:v>
                </c:pt>
                <c:pt idx="1434">
                  <c:v>323.66933482203348</c:v>
                </c:pt>
                <c:pt idx="1435">
                  <c:v>323.54309847791615</c:v>
                </c:pt>
                <c:pt idx="1436">
                  <c:v>324.39833917497646</c:v>
                </c:pt>
                <c:pt idx="1437">
                  <c:v>326.36580069433523</c:v>
                </c:pt>
                <c:pt idx="1438">
                  <c:v>330.64865885101875</c:v>
                </c:pt>
                <c:pt idx="1439">
                  <c:v>341.47916120193645</c:v>
                </c:pt>
                <c:pt idx="1440">
                  <c:v>354.38264563294689</c:v>
                </c:pt>
                <c:pt idx="1441">
                  <c:v>367.26922997405461</c:v>
                </c:pt>
                <c:pt idx="1442">
                  <c:v>380.98808282722234</c:v>
                </c:pt>
                <c:pt idx="1443">
                  <c:v>396.87794235258082</c:v>
                </c:pt>
                <c:pt idx="1444">
                  <c:v>413.45939022852281</c:v>
                </c:pt>
                <c:pt idx="1445">
                  <c:v>428.60240519630185</c:v>
                </c:pt>
                <c:pt idx="1446">
                  <c:v>442.49171720070177</c:v>
                </c:pt>
                <c:pt idx="1447">
                  <c:v>455.90210714707905</c:v>
                </c:pt>
                <c:pt idx="1448">
                  <c:v>468.03795065296885</c:v>
                </c:pt>
                <c:pt idx="1449">
                  <c:v>478.50044586810787</c:v>
                </c:pt>
                <c:pt idx="1450">
                  <c:v>487.79004456430573</c:v>
                </c:pt>
                <c:pt idx="1451">
                  <c:v>496.25498618778562</c:v>
                </c:pt>
                <c:pt idx="1452">
                  <c:v>503.89330106663732</c:v>
                </c:pt>
                <c:pt idx="1453">
                  <c:v>511.14668867115768</c:v>
                </c:pt>
                <c:pt idx="1454">
                  <c:v>517.47990686056244</c:v>
                </c:pt>
                <c:pt idx="1455">
                  <c:v>523.27783314687906</c:v>
                </c:pt>
                <c:pt idx="1456">
                  <c:v>528.60196468226491</c:v>
                </c:pt>
                <c:pt idx="1457">
                  <c:v>532.92897127071569</c:v>
                </c:pt>
                <c:pt idx="1458">
                  <c:v>537.59565825260916</c:v>
                </c:pt>
                <c:pt idx="1459">
                  <c:v>542.17495255192671</c:v>
                </c:pt>
                <c:pt idx="1460">
                  <c:v>546.7303732642016</c:v>
                </c:pt>
                <c:pt idx="1461">
                  <c:v>551.3206117752693</c:v>
                </c:pt>
                <c:pt idx="1462">
                  <c:v>555.73379647877755</c:v>
                </c:pt>
                <c:pt idx="1463">
                  <c:v>560.31204123238501</c:v>
                </c:pt>
                <c:pt idx="1464">
                  <c:v>565.11649921201388</c:v>
                </c:pt>
                <c:pt idx="1465">
                  <c:v>570.20631762851997</c:v>
                </c:pt>
                <c:pt idx="1466">
                  <c:v>575.15917326418582</c:v>
                </c:pt>
                <c:pt idx="1467">
                  <c:v>579.45093468500659</c:v>
                </c:pt>
                <c:pt idx="1468">
                  <c:v>583.08742908221245</c:v>
                </c:pt>
                <c:pt idx="1469">
                  <c:v>585.7862082662831</c:v>
                </c:pt>
                <c:pt idx="1470">
                  <c:v>587.11225734331697</c:v>
                </c:pt>
                <c:pt idx="1471">
                  <c:v>587.23849368743447</c:v>
                </c:pt>
                <c:pt idx="1472">
                  <c:v>586.3832529903741</c:v>
                </c:pt>
                <c:pt idx="1473">
                  <c:v>584.41579147101527</c:v>
                </c:pt>
                <c:pt idx="1474">
                  <c:v>580.13293331433181</c:v>
                </c:pt>
                <c:pt idx="1475">
                  <c:v>569.30243096341417</c:v>
                </c:pt>
                <c:pt idx="1476">
                  <c:v>556.39894653240367</c:v>
                </c:pt>
                <c:pt idx="1477">
                  <c:v>543.51236219129601</c:v>
                </c:pt>
                <c:pt idx="1478">
                  <c:v>529.79350933812827</c:v>
                </c:pt>
                <c:pt idx="1479">
                  <c:v>513.90364981276991</c:v>
                </c:pt>
                <c:pt idx="1480">
                  <c:v>497.32220193682764</c:v>
                </c:pt>
                <c:pt idx="1481">
                  <c:v>482.1791869690486</c:v>
                </c:pt>
                <c:pt idx="1482">
                  <c:v>468.28987496464885</c:v>
                </c:pt>
                <c:pt idx="1483">
                  <c:v>454.87948501827157</c:v>
                </c:pt>
                <c:pt idx="1484">
                  <c:v>442.74364151238166</c:v>
                </c:pt>
                <c:pt idx="1485">
                  <c:v>432.28114629724269</c:v>
                </c:pt>
                <c:pt idx="1486">
                  <c:v>422.99154760104483</c:v>
                </c:pt>
                <c:pt idx="1487">
                  <c:v>414.52660597756494</c:v>
                </c:pt>
                <c:pt idx="1488">
                  <c:v>406.8882910987133</c:v>
                </c:pt>
                <c:pt idx="1489">
                  <c:v>399.63490349419283</c:v>
                </c:pt>
                <c:pt idx="1490">
                  <c:v>393.30168530478812</c:v>
                </c:pt>
                <c:pt idx="1491">
                  <c:v>424.71330364609759</c:v>
                </c:pt>
                <c:pt idx="1492">
                  <c:v>419.94386369584038</c:v>
                </c:pt>
                <c:pt idx="1493">
                  <c:v>415.32447402617908</c:v>
                </c:pt>
                <c:pt idx="1494">
                  <c:v>411.19248198846691</c:v>
                </c:pt>
                <c:pt idx="1495">
                  <c:v>406.69445673281695</c:v>
                </c:pt>
                <c:pt idx="1496">
                  <c:v>402.15294730013477</c:v>
                </c:pt>
                <c:pt idx="1497">
                  <c:v>397.59335991006026</c:v>
                </c:pt>
                <c:pt idx="1498">
                  <c:v>393.07247577860323</c:v>
                </c:pt>
                <c:pt idx="1499">
                  <c:v>388.32597649116519</c:v>
                </c:pt>
                <c:pt idx="1500">
                  <c:v>383.65396686426163</c:v>
                </c:pt>
                <c:pt idx="1501">
                  <c:v>379.21728028795224</c:v>
                </c:pt>
                <c:pt idx="1502">
                  <c:v>375.50519053630978</c:v>
                </c:pt>
                <c:pt idx="1503">
                  <c:v>372.53208719919178</c:v>
                </c:pt>
                <c:pt idx="1504">
                  <c:v>370.12741758241452</c:v>
                </c:pt>
                <c:pt idx="1505">
                  <c:v>368.72877113347062</c:v>
                </c:pt>
                <c:pt idx="1506">
                  <c:v>368.50863124193296</c:v>
                </c:pt>
                <c:pt idx="1507">
                  <c:v>369.28187620308773</c:v>
                </c:pt>
                <c:pt idx="1508">
                  <c:v>371.56910042532633</c:v>
                </c:pt>
                <c:pt idx="1509">
                  <c:v>376.36917033375795</c:v>
                </c:pt>
                <c:pt idx="1510">
                  <c:v>385.93602153197327</c:v>
                </c:pt>
                <c:pt idx="1511">
                  <c:v>398.38436603996638</c:v>
                </c:pt>
                <c:pt idx="1512">
                  <c:v>411.11024318434642</c:v>
                </c:pt>
                <c:pt idx="1513">
                  <c:v>424.86756676335222</c:v>
                </c:pt>
                <c:pt idx="1514">
                  <c:v>440.44261514915081</c:v>
                </c:pt>
                <c:pt idx="1515">
                  <c:v>454.60564852080824</c:v>
                </c:pt>
                <c:pt idx="1516">
                  <c:v>466.92857186066044</c:v>
                </c:pt>
                <c:pt idx="1517">
                  <c:v>479.15495476743371</c:v>
                </c:pt>
                <c:pt idx="1518">
                  <c:v>491.38986947881017</c:v>
                </c:pt>
                <c:pt idx="1519">
                  <c:v>502.70985254241617</c:v>
                </c:pt>
                <c:pt idx="1520">
                  <c:v>513.11403991163638</c:v>
                </c:pt>
                <c:pt idx="1521">
                  <c:v>522.33187871587188</c:v>
                </c:pt>
                <c:pt idx="1522">
                  <c:v>530.52435151701252</c:v>
                </c:pt>
                <c:pt idx="1523">
                  <c:v>538.04805120866536</c:v>
                </c:pt>
                <c:pt idx="1524">
                  <c:v>545.12222165312846</c:v>
                </c:pt>
                <c:pt idx="1525">
                  <c:v>550.43389912189718</c:v>
                </c:pt>
                <c:pt idx="1526">
                  <c:v>556.09448484442066</c:v>
                </c:pt>
                <c:pt idx="1527">
                  <c:v>561.70183273481996</c:v>
                </c:pt>
                <c:pt idx="1528">
                  <c:v>566.47127268507711</c:v>
                </c:pt>
                <c:pt idx="1529">
                  <c:v>571.09066235473847</c:v>
                </c:pt>
                <c:pt idx="1530">
                  <c:v>575.22265439245052</c:v>
                </c:pt>
                <c:pt idx="1531">
                  <c:v>579.72067964810049</c:v>
                </c:pt>
                <c:pt idx="1532">
                  <c:v>584.26218908078272</c:v>
                </c:pt>
                <c:pt idx="1533">
                  <c:v>588.82177647085712</c:v>
                </c:pt>
                <c:pt idx="1534">
                  <c:v>593.34266060231425</c:v>
                </c:pt>
                <c:pt idx="1535">
                  <c:v>598.08915988975241</c:v>
                </c:pt>
                <c:pt idx="1536">
                  <c:v>602.76116951665597</c:v>
                </c:pt>
                <c:pt idx="1537">
                  <c:v>607.19785609296525</c:v>
                </c:pt>
                <c:pt idx="1538">
                  <c:v>610.90994584460782</c:v>
                </c:pt>
                <c:pt idx="1539">
                  <c:v>613.88304918172571</c:v>
                </c:pt>
                <c:pt idx="1540">
                  <c:v>616.28771879850297</c:v>
                </c:pt>
                <c:pt idx="1541">
                  <c:v>617.68636524744693</c:v>
                </c:pt>
                <c:pt idx="1542">
                  <c:v>617.90650513898458</c:v>
                </c:pt>
                <c:pt idx="1543">
                  <c:v>617.13326017782981</c:v>
                </c:pt>
                <c:pt idx="1544">
                  <c:v>614.84603595559122</c:v>
                </c:pt>
                <c:pt idx="1545">
                  <c:v>610.04596604715971</c:v>
                </c:pt>
                <c:pt idx="1546">
                  <c:v>600.47911484894428</c:v>
                </c:pt>
                <c:pt idx="1547">
                  <c:v>588.03077034095122</c:v>
                </c:pt>
                <c:pt idx="1548">
                  <c:v>575.30489319657113</c:v>
                </c:pt>
                <c:pt idx="1549">
                  <c:v>561.54756961756539</c:v>
                </c:pt>
                <c:pt idx="1550">
                  <c:v>545.97252123176679</c:v>
                </c:pt>
                <c:pt idx="1551">
                  <c:v>531.80948786010913</c:v>
                </c:pt>
                <c:pt idx="1552">
                  <c:v>519.48656452025705</c:v>
                </c:pt>
                <c:pt idx="1553">
                  <c:v>507.26018161348389</c:v>
                </c:pt>
                <c:pt idx="1554">
                  <c:v>495.02526690210738</c:v>
                </c:pt>
                <c:pt idx="1555">
                  <c:v>483.70528383850132</c:v>
                </c:pt>
                <c:pt idx="1556">
                  <c:v>473.30109646928116</c:v>
                </c:pt>
                <c:pt idx="1557">
                  <c:v>464.08325766504566</c:v>
                </c:pt>
                <c:pt idx="1558">
                  <c:v>455.89078486390508</c:v>
                </c:pt>
                <c:pt idx="1559">
                  <c:v>448.36708517225225</c:v>
                </c:pt>
                <c:pt idx="1560">
                  <c:v>441.29291472778903</c:v>
                </c:pt>
                <c:pt idx="1561">
                  <c:v>435.9812372590203</c:v>
                </c:pt>
                <c:pt idx="1562">
                  <c:v>467.94176786628032</c:v>
                </c:pt>
                <c:pt idx="1563">
                  <c:v>463.24410626003242</c:v>
                </c:pt>
                <c:pt idx="1564">
                  <c:v>458.68795366537728</c:v>
                </c:pt>
                <c:pt idx="1565">
                  <c:v>454.20403468738891</c:v>
                </c:pt>
                <c:pt idx="1566">
                  <c:v>449.75925554343314</c:v>
                </c:pt>
                <c:pt idx="1567">
                  <c:v>445.67075518203904</c:v>
                </c:pt>
                <c:pt idx="1568">
                  <c:v>441.09380949588467</c:v>
                </c:pt>
                <c:pt idx="1569">
                  <c:v>436.5304871179784</c:v>
                </c:pt>
                <c:pt idx="1570">
                  <c:v>432.21527785761486</c:v>
                </c:pt>
                <c:pt idx="1571">
                  <c:v>427.97991989816478</c:v>
                </c:pt>
                <c:pt idx="1572">
                  <c:v>424.43916287691655</c:v>
                </c:pt>
                <c:pt idx="1573">
                  <c:v>421.42391431050044</c:v>
                </c:pt>
                <c:pt idx="1574">
                  <c:v>418.85528725338344</c:v>
                </c:pt>
                <c:pt idx="1575">
                  <c:v>416.75763096802211</c:v>
                </c:pt>
                <c:pt idx="1576">
                  <c:v>415.37480653431635</c:v>
                </c:pt>
                <c:pt idx="1577">
                  <c:v>415.05652875800274</c:v>
                </c:pt>
                <c:pt idx="1578">
                  <c:v>416.09256860096514</c:v>
                </c:pt>
                <c:pt idx="1579">
                  <c:v>418.24358466386445</c:v>
                </c:pt>
                <c:pt idx="1580">
                  <c:v>423.43447323636792</c:v>
                </c:pt>
                <c:pt idx="1581">
                  <c:v>431.94844070401871</c:v>
                </c:pt>
                <c:pt idx="1582">
                  <c:v>443.61411848001899</c:v>
                </c:pt>
                <c:pt idx="1583">
                  <c:v>456.6801691632532</c:v>
                </c:pt>
                <c:pt idx="1584">
                  <c:v>471.0339554895408</c:v>
                </c:pt>
                <c:pt idx="1585">
                  <c:v>483.88591729667456</c:v>
                </c:pt>
                <c:pt idx="1586">
                  <c:v>495.61880385002877</c:v>
                </c:pt>
                <c:pt idx="1587">
                  <c:v>506.26392600355319</c:v>
                </c:pt>
                <c:pt idx="1588">
                  <c:v>516.41559427254674</c:v>
                </c:pt>
                <c:pt idx="1589">
                  <c:v>526.53153531940995</c:v>
                </c:pt>
                <c:pt idx="1590">
                  <c:v>537.04391066383573</c:v>
                </c:pt>
                <c:pt idx="1591">
                  <c:v>546.76224098848525</c:v>
                </c:pt>
                <c:pt idx="1592">
                  <c:v>555.82484029332954</c:v>
                </c:pt>
                <c:pt idx="1593">
                  <c:v>563.86881446650932</c:v>
                </c:pt>
                <c:pt idx="1594">
                  <c:v>570.78930204507583</c:v>
                </c:pt>
                <c:pt idx="1595">
                  <c:v>577.32230868741919</c:v>
                </c:pt>
                <c:pt idx="1596">
                  <c:v>583.05508489630176</c:v>
                </c:pt>
                <c:pt idx="1597">
                  <c:v>588.61468573880688</c:v>
                </c:pt>
                <c:pt idx="1598">
                  <c:v>594.10691273020427</c:v>
                </c:pt>
                <c:pt idx="1599">
                  <c:v>598.80457433645211</c:v>
                </c:pt>
                <c:pt idx="1600">
                  <c:v>603.36072693110725</c:v>
                </c:pt>
                <c:pt idx="1601">
                  <c:v>607.84464590909556</c:v>
                </c:pt>
                <c:pt idx="1602">
                  <c:v>612.28942505305133</c:v>
                </c:pt>
                <c:pt idx="1603">
                  <c:v>616.37792541444549</c:v>
                </c:pt>
                <c:pt idx="1604">
                  <c:v>620.9548711005998</c:v>
                </c:pt>
                <c:pt idx="1605">
                  <c:v>625.51819347850608</c:v>
                </c:pt>
                <c:pt idx="1606">
                  <c:v>629.83340273886972</c:v>
                </c:pt>
                <c:pt idx="1607">
                  <c:v>634.06876069831969</c:v>
                </c:pt>
                <c:pt idx="1608">
                  <c:v>637.60951771956786</c:v>
                </c:pt>
                <c:pt idx="1609">
                  <c:v>640.62476628598415</c:v>
                </c:pt>
                <c:pt idx="1610">
                  <c:v>643.19339334310098</c:v>
                </c:pt>
                <c:pt idx="1611">
                  <c:v>645.29104962846236</c:v>
                </c:pt>
                <c:pt idx="1612">
                  <c:v>646.67387406216812</c:v>
                </c:pt>
                <c:pt idx="1613">
                  <c:v>646.99215183848173</c:v>
                </c:pt>
                <c:pt idx="1614">
                  <c:v>645.95611199551945</c:v>
                </c:pt>
                <c:pt idx="1615">
                  <c:v>643.80509593262002</c:v>
                </c:pt>
                <c:pt idx="1616">
                  <c:v>638.61420736011655</c:v>
                </c:pt>
                <c:pt idx="1617">
                  <c:v>630.10023989246588</c:v>
                </c:pt>
                <c:pt idx="1618">
                  <c:v>618.4345621164656</c:v>
                </c:pt>
                <c:pt idx="1619">
                  <c:v>605.36851143323133</c:v>
                </c:pt>
                <c:pt idx="1620">
                  <c:v>591.01472510694384</c:v>
                </c:pt>
                <c:pt idx="1621">
                  <c:v>578.16276329981008</c:v>
                </c:pt>
                <c:pt idx="1622">
                  <c:v>566.42987674645565</c:v>
                </c:pt>
                <c:pt idx="1623">
                  <c:v>555.78475459293122</c:v>
                </c:pt>
                <c:pt idx="1624">
                  <c:v>545.63308632393773</c:v>
                </c:pt>
                <c:pt idx="1625">
                  <c:v>535.51714527707463</c:v>
                </c:pt>
                <c:pt idx="1626">
                  <c:v>525.00476993264874</c:v>
                </c:pt>
                <c:pt idx="1627">
                  <c:v>515.28643960799923</c:v>
                </c:pt>
                <c:pt idx="1628">
                  <c:v>506.22384030315504</c:v>
                </c:pt>
                <c:pt idx="1629">
                  <c:v>498.17986612997515</c:v>
                </c:pt>
                <c:pt idx="1630">
                  <c:v>491.25937855140882</c:v>
                </c:pt>
                <c:pt idx="1631">
                  <c:v>484.72637190906528</c:v>
                </c:pt>
                <c:pt idx="1632">
                  <c:v>478.99359570018271</c:v>
                </c:pt>
                <c:pt idx="1633">
                  <c:v>512.02471713116938</c:v>
                </c:pt>
                <c:pt idx="1634">
                  <c:v>507.41289325604214</c:v>
                </c:pt>
                <c:pt idx="1635">
                  <c:v>502.93430472156632</c:v>
                </c:pt>
                <c:pt idx="1636">
                  <c:v>498.521674988217</c:v>
                </c:pt>
                <c:pt idx="1637">
                  <c:v>494.11971022389645</c:v>
                </c:pt>
                <c:pt idx="1638">
                  <c:v>489.74528533697787</c:v>
                </c:pt>
                <c:pt idx="1639">
                  <c:v>485.63695056292801</c:v>
                </c:pt>
                <c:pt idx="1640">
                  <c:v>480.98969509719541</c:v>
                </c:pt>
                <c:pt idx="1641">
                  <c:v>477.38402338003664</c:v>
                </c:pt>
                <c:pt idx="1642">
                  <c:v>474.17369170829681</c:v>
                </c:pt>
                <c:pt idx="1643">
                  <c:v>471.44507295405623</c:v>
                </c:pt>
                <c:pt idx="1644">
                  <c:v>469.06692552521474</c:v>
                </c:pt>
                <c:pt idx="1645">
                  <c:v>466.9716062732179</c:v>
                </c:pt>
                <c:pt idx="1646">
                  <c:v>465.2113539200252</c:v>
                </c:pt>
                <c:pt idx="1647">
                  <c:v>463.82474307097209</c:v>
                </c:pt>
                <c:pt idx="1648">
                  <c:v>463.42011759386537</c:v>
                </c:pt>
                <c:pt idx="1649">
                  <c:v>464.47701380332495</c:v>
                </c:pt>
                <c:pt idx="1650">
                  <c:v>466.70730788055943</c:v>
                </c:pt>
                <c:pt idx="1651">
                  <c:v>472.02059747235808</c:v>
                </c:pt>
                <c:pt idx="1652">
                  <c:v>479.86990255407272</c:v>
                </c:pt>
                <c:pt idx="1653">
                  <c:v>491.14981977479795</c:v>
                </c:pt>
                <c:pt idx="1654">
                  <c:v>503.85182875065789</c:v>
                </c:pt>
                <c:pt idx="1655">
                  <c:v>517.32254094375321</c:v>
                </c:pt>
                <c:pt idx="1656">
                  <c:v>528.41861087316181</c:v>
                </c:pt>
                <c:pt idx="1657">
                  <c:v>537.44074949369372</c:v>
                </c:pt>
                <c:pt idx="1658">
                  <c:v>546.10251294148691</c:v>
                </c:pt>
                <c:pt idx="1659">
                  <c:v>554.33569997471272</c:v>
                </c:pt>
                <c:pt idx="1660">
                  <c:v>562.49718488058454</c:v>
                </c:pt>
                <c:pt idx="1661">
                  <c:v>570.92178239443592</c:v>
                </c:pt>
                <c:pt idx="1662">
                  <c:v>579.41304927321528</c:v>
                </c:pt>
                <c:pt idx="1663">
                  <c:v>588.2620481475434</c:v>
                </c:pt>
                <c:pt idx="1664">
                  <c:v>595.66309029489435</c:v>
                </c:pt>
                <c:pt idx="1665">
                  <c:v>603.05215000785847</c:v>
                </c:pt>
                <c:pt idx="1666">
                  <c:v>609.09550745923661</c:v>
                </c:pt>
                <c:pt idx="1667">
                  <c:v>614.76444491202847</c:v>
                </c:pt>
                <c:pt idx="1668">
                  <c:v>620.25064811633615</c:v>
                </c:pt>
                <c:pt idx="1669">
                  <c:v>625.6575076808823</c:v>
                </c:pt>
                <c:pt idx="1670">
                  <c:v>630.26933155600943</c:v>
                </c:pt>
                <c:pt idx="1671">
                  <c:v>634.74792009048531</c:v>
                </c:pt>
                <c:pt idx="1672">
                  <c:v>639.16054982383457</c:v>
                </c:pt>
                <c:pt idx="1673">
                  <c:v>643.56251458815518</c:v>
                </c:pt>
                <c:pt idx="1674">
                  <c:v>647.93693947507359</c:v>
                </c:pt>
                <c:pt idx="1675">
                  <c:v>652.04527424912362</c:v>
                </c:pt>
                <c:pt idx="1676">
                  <c:v>656.69252971485616</c:v>
                </c:pt>
                <c:pt idx="1677">
                  <c:v>660.29820143201505</c:v>
                </c:pt>
                <c:pt idx="1678">
                  <c:v>663.50853310375487</c:v>
                </c:pt>
                <c:pt idx="1679">
                  <c:v>666.23715185799529</c:v>
                </c:pt>
                <c:pt idx="1680">
                  <c:v>668.61529928683694</c:v>
                </c:pt>
                <c:pt idx="1681">
                  <c:v>670.71061853883373</c:v>
                </c:pt>
                <c:pt idx="1682">
                  <c:v>672.47087089202648</c:v>
                </c:pt>
                <c:pt idx="1683">
                  <c:v>673.85748174107937</c:v>
                </c:pt>
                <c:pt idx="1684">
                  <c:v>674.2621072181862</c:v>
                </c:pt>
                <c:pt idx="1685">
                  <c:v>673.20521100872668</c:v>
                </c:pt>
                <c:pt idx="1686">
                  <c:v>670.97491693149209</c:v>
                </c:pt>
                <c:pt idx="1687">
                  <c:v>665.6616273396935</c:v>
                </c:pt>
                <c:pt idx="1688">
                  <c:v>657.81232225797885</c:v>
                </c:pt>
                <c:pt idx="1689">
                  <c:v>646.53240503725374</c:v>
                </c:pt>
                <c:pt idx="1690">
                  <c:v>633.83039606139369</c:v>
                </c:pt>
                <c:pt idx="1691">
                  <c:v>620.35968386829859</c:v>
                </c:pt>
                <c:pt idx="1692">
                  <c:v>609.26361393888988</c:v>
                </c:pt>
                <c:pt idx="1693">
                  <c:v>600.24147531835786</c:v>
                </c:pt>
                <c:pt idx="1694">
                  <c:v>591.57971187056467</c:v>
                </c:pt>
                <c:pt idx="1695">
                  <c:v>583.34652483733896</c:v>
                </c:pt>
                <c:pt idx="1696">
                  <c:v>575.18503993146714</c:v>
                </c:pt>
                <c:pt idx="1697">
                  <c:v>566.76044241761565</c:v>
                </c:pt>
                <c:pt idx="1698">
                  <c:v>558.26917553883629</c:v>
                </c:pt>
                <c:pt idx="1699">
                  <c:v>549.42017666450829</c:v>
                </c:pt>
                <c:pt idx="1700">
                  <c:v>542.01913451715734</c:v>
                </c:pt>
                <c:pt idx="1701">
                  <c:v>534.63007480419321</c:v>
                </c:pt>
                <c:pt idx="1702">
                  <c:v>528.58671735281507</c:v>
                </c:pt>
                <c:pt idx="1703">
                  <c:v>522.91777990002322</c:v>
                </c:pt>
                <c:pt idx="1704">
                  <c:v>557.05347948263284</c:v>
                </c:pt>
                <c:pt idx="1705">
                  <c:v>552.53871552713042</c:v>
                </c:pt>
                <c:pt idx="1706">
                  <c:v>548.14922187142224</c:v>
                </c:pt>
                <c:pt idx="1707">
                  <c:v>543.81981294431284</c:v>
                </c:pt>
                <c:pt idx="1708">
                  <c:v>539.89554790672355</c:v>
                </c:pt>
                <c:pt idx="1709">
                  <c:v>535.5848019291293</c:v>
                </c:pt>
                <c:pt idx="1710">
                  <c:v>531.24055172485794</c:v>
                </c:pt>
                <c:pt idx="1711">
                  <c:v>527.52030699801003</c:v>
                </c:pt>
                <c:pt idx="1712">
                  <c:v>524.50179363269012</c:v>
                </c:pt>
                <c:pt idx="1713">
                  <c:v>522.22129434431952</c:v>
                </c:pt>
                <c:pt idx="1714">
                  <c:v>520.23373152650584</c:v>
                </c:pt>
                <c:pt idx="1715">
                  <c:v>518.69310505511214</c:v>
                </c:pt>
                <c:pt idx="1716">
                  <c:v>517.04296389810372</c:v>
                </c:pt>
                <c:pt idx="1717">
                  <c:v>515.52007441996693</c:v>
                </c:pt>
                <c:pt idx="1718">
                  <c:v>514.22474678377398</c:v>
                </c:pt>
                <c:pt idx="1719">
                  <c:v>513.87639836377559</c:v>
                </c:pt>
                <c:pt idx="1720">
                  <c:v>514.68490601392284</c:v>
                </c:pt>
                <c:pt idx="1721">
                  <c:v>517.36761737340373</c:v>
                </c:pt>
                <c:pt idx="1722">
                  <c:v>522.29031681223637</c:v>
                </c:pt>
                <c:pt idx="1723">
                  <c:v>529.25691365919079</c:v>
                </c:pt>
                <c:pt idx="1724">
                  <c:v>540.33181881230405</c:v>
                </c:pt>
                <c:pt idx="1725">
                  <c:v>553.21713280271251</c:v>
                </c:pt>
                <c:pt idx="1726">
                  <c:v>563.86800477710199</c:v>
                </c:pt>
                <c:pt idx="1727">
                  <c:v>572.60165471245045</c:v>
                </c:pt>
                <c:pt idx="1728">
                  <c:v>580.11200859344876</c:v>
                </c:pt>
                <c:pt idx="1729">
                  <c:v>586.91488928700676</c:v>
                </c:pt>
                <c:pt idx="1730">
                  <c:v>592.66739272578059</c:v>
                </c:pt>
                <c:pt idx="1731">
                  <c:v>599.00608714461998</c:v>
                </c:pt>
                <c:pt idx="1732">
                  <c:v>605.48978861856665</c:v>
                </c:pt>
                <c:pt idx="1733">
                  <c:v>612.18365641325079</c:v>
                </c:pt>
                <c:pt idx="1734">
                  <c:v>619.55238937091349</c:v>
                </c:pt>
                <c:pt idx="1735">
                  <c:v>627.47408571032781</c:v>
                </c:pt>
                <c:pt idx="1736">
                  <c:v>634.46603256846606</c:v>
                </c:pt>
                <c:pt idx="1737">
                  <c:v>639.85114101317936</c:v>
                </c:pt>
                <c:pt idx="1738">
                  <c:v>645.47859549005602</c:v>
                </c:pt>
                <c:pt idx="1739">
                  <c:v>650.9151328237557</c:v>
                </c:pt>
                <c:pt idx="1740">
                  <c:v>656.26228954498595</c:v>
                </c:pt>
                <c:pt idx="1741">
                  <c:v>660.77705350048825</c:v>
                </c:pt>
                <c:pt idx="1742">
                  <c:v>665.16654715619643</c:v>
                </c:pt>
                <c:pt idx="1743">
                  <c:v>669.49595608330583</c:v>
                </c:pt>
                <c:pt idx="1744">
                  <c:v>673.42022112089512</c:v>
                </c:pt>
                <c:pt idx="1745">
                  <c:v>677.73096709848937</c:v>
                </c:pt>
                <c:pt idx="1746">
                  <c:v>682.07521730276073</c:v>
                </c:pt>
                <c:pt idx="1747">
                  <c:v>685.79546202960864</c:v>
                </c:pt>
                <c:pt idx="1748">
                  <c:v>688.81397539492855</c:v>
                </c:pt>
                <c:pt idx="1749">
                  <c:v>691.09447468329927</c:v>
                </c:pt>
                <c:pt idx="1750">
                  <c:v>693.08203750111284</c:v>
                </c:pt>
                <c:pt idx="1751">
                  <c:v>694.62266397250653</c:v>
                </c:pt>
                <c:pt idx="1752">
                  <c:v>696.27280512951506</c:v>
                </c:pt>
                <c:pt idx="1753">
                  <c:v>697.79569460765185</c:v>
                </c:pt>
                <c:pt idx="1754">
                  <c:v>699.09102224384469</c:v>
                </c:pt>
                <c:pt idx="1755">
                  <c:v>699.43937066384296</c:v>
                </c:pt>
                <c:pt idx="1756">
                  <c:v>698.63086301369594</c:v>
                </c:pt>
                <c:pt idx="1757">
                  <c:v>695.94815165421494</c:v>
                </c:pt>
                <c:pt idx="1758">
                  <c:v>691.0254522153823</c:v>
                </c:pt>
                <c:pt idx="1759">
                  <c:v>684.05885536842788</c:v>
                </c:pt>
                <c:pt idx="1760">
                  <c:v>672.98395021531474</c:v>
                </c:pt>
                <c:pt idx="1761">
                  <c:v>660.09863622490616</c:v>
                </c:pt>
                <c:pt idx="1762">
                  <c:v>649.4477642505168</c:v>
                </c:pt>
                <c:pt idx="1763">
                  <c:v>640.71411431516833</c:v>
                </c:pt>
                <c:pt idx="1764">
                  <c:v>633.20376043416991</c:v>
                </c:pt>
                <c:pt idx="1765">
                  <c:v>626.40087974061191</c:v>
                </c:pt>
                <c:pt idx="1766">
                  <c:v>620.6483763018382</c:v>
                </c:pt>
                <c:pt idx="1767">
                  <c:v>614.3096818829988</c:v>
                </c:pt>
                <c:pt idx="1768">
                  <c:v>607.82598040905202</c:v>
                </c:pt>
                <c:pt idx="1769">
                  <c:v>601.13211261436788</c:v>
                </c:pt>
                <c:pt idx="1770">
                  <c:v>593.7633796567053</c:v>
                </c:pt>
                <c:pt idx="1771">
                  <c:v>585.84168331729097</c:v>
                </c:pt>
                <c:pt idx="1772">
                  <c:v>578.84973645915272</c:v>
                </c:pt>
                <c:pt idx="1773">
                  <c:v>573.46462801443943</c:v>
                </c:pt>
                <c:pt idx="1774">
                  <c:v>567.83717353756265</c:v>
                </c:pt>
                <c:pt idx="1775">
                  <c:v>603.11205003003101</c:v>
                </c:pt>
                <c:pt idx="1776">
                  <c:v>599.1347446376127</c:v>
                </c:pt>
                <c:pt idx="1777">
                  <c:v>594.84654995053734</c:v>
                </c:pt>
                <c:pt idx="1778">
                  <c:v>590.61281854238143</c:v>
                </c:pt>
                <c:pt idx="1779">
                  <c:v>586.3750057936312</c:v>
                </c:pt>
                <c:pt idx="1780">
                  <c:v>582.28045744362828</c:v>
                </c:pt>
                <c:pt idx="1781">
                  <c:v>579.24679632131244</c:v>
                </c:pt>
                <c:pt idx="1782">
                  <c:v>576.80956399645459</c:v>
                </c:pt>
                <c:pt idx="1783">
                  <c:v>574.72675601808419</c:v>
                </c:pt>
                <c:pt idx="1784">
                  <c:v>572.94222677467314</c:v>
                </c:pt>
                <c:pt idx="1785">
                  <c:v>571.5833172378251</c:v>
                </c:pt>
                <c:pt idx="1786">
                  <c:v>570.29815190612635</c:v>
                </c:pt>
                <c:pt idx="1787">
                  <c:v>569.04159127763842</c:v>
                </c:pt>
                <c:pt idx="1788">
                  <c:v>567.90931519662581</c:v>
                </c:pt>
                <c:pt idx="1789">
                  <c:v>567.07002271676527</c:v>
                </c:pt>
                <c:pt idx="1790">
                  <c:v>566.45784039384182</c:v>
                </c:pt>
                <c:pt idx="1791">
                  <c:v>566.71601073712816</c:v>
                </c:pt>
                <c:pt idx="1792">
                  <c:v>569.44844150401218</c:v>
                </c:pt>
                <c:pt idx="1793">
                  <c:v>574.52665913665908</c:v>
                </c:pt>
                <c:pt idx="1794">
                  <c:v>582.01616429508897</c:v>
                </c:pt>
                <c:pt idx="1795">
                  <c:v>591.84688544785422</c:v>
                </c:pt>
                <c:pt idx="1796">
                  <c:v>602.63781084249501</c:v>
                </c:pt>
                <c:pt idx="1797">
                  <c:v>610.50001961569785</c:v>
                </c:pt>
                <c:pt idx="1798">
                  <c:v>616.88068351574145</c:v>
                </c:pt>
                <c:pt idx="1799">
                  <c:v>622.52486386645967</c:v>
                </c:pt>
                <c:pt idx="1800">
                  <c:v>627.69121845689176</c:v>
                </c:pt>
                <c:pt idx="1801">
                  <c:v>632.55478009227545</c:v>
                </c:pt>
                <c:pt idx="1802">
                  <c:v>637.29881419191327</c:v>
                </c:pt>
                <c:pt idx="1803">
                  <c:v>641.95890724703168</c:v>
                </c:pt>
                <c:pt idx="1804">
                  <c:v>646.76487893950264</c:v>
                </c:pt>
                <c:pt idx="1805">
                  <c:v>651.97594106181168</c:v>
                </c:pt>
                <c:pt idx="1806">
                  <c:v>657.82492623535791</c:v>
                </c:pt>
                <c:pt idx="1807">
                  <c:v>664.11038087110353</c:v>
                </c:pt>
                <c:pt idx="1808">
                  <c:v>670.02646082897797</c:v>
                </c:pt>
                <c:pt idx="1809">
                  <c:v>675.6308459933822</c:v>
                </c:pt>
                <c:pt idx="1810">
                  <c:v>681.0371108705599</c:v>
                </c:pt>
                <c:pt idx="1811">
                  <c:v>685.83726321315464</c:v>
                </c:pt>
                <c:pt idx="1812">
                  <c:v>689.81456860557273</c:v>
                </c:pt>
                <c:pt idx="1813">
                  <c:v>694.10276329264821</c:v>
                </c:pt>
                <c:pt idx="1814">
                  <c:v>698.33649470080411</c:v>
                </c:pt>
                <c:pt idx="1815">
                  <c:v>702.57430744955434</c:v>
                </c:pt>
                <c:pt idx="1816">
                  <c:v>706.66885579955726</c:v>
                </c:pt>
                <c:pt idx="1817">
                  <c:v>709.70251692187344</c:v>
                </c:pt>
                <c:pt idx="1818">
                  <c:v>712.13974924673096</c:v>
                </c:pt>
                <c:pt idx="1819">
                  <c:v>714.22255722510135</c:v>
                </c:pt>
                <c:pt idx="1820">
                  <c:v>716.0070864685124</c:v>
                </c:pt>
                <c:pt idx="1821">
                  <c:v>717.36599600536033</c:v>
                </c:pt>
                <c:pt idx="1822">
                  <c:v>718.65116133705919</c:v>
                </c:pt>
                <c:pt idx="1823">
                  <c:v>719.90772196554713</c:v>
                </c:pt>
                <c:pt idx="1824">
                  <c:v>721.03999804655973</c:v>
                </c:pt>
                <c:pt idx="1825">
                  <c:v>721.87929052642028</c:v>
                </c:pt>
                <c:pt idx="1826">
                  <c:v>722.49147284934384</c:v>
                </c:pt>
                <c:pt idx="1827">
                  <c:v>722.23330250605738</c:v>
                </c:pt>
                <c:pt idx="1828">
                  <c:v>719.50087173917336</c:v>
                </c:pt>
                <c:pt idx="1829">
                  <c:v>714.42265410652658</c:v>
                </c:pt>
                <c:pt idx="1830">
                  <c:v>706.93314894809657</c:v>
                </c:pt>
                <c:pt idx="1831">
                  <c:v>697.10242779533132</c:v>
                </c:pt>
                <c:pt idx="1832">
                  <c:v>686.31150240069053</c:v>
                </c:pt>
                <c:pt idx="1833">
                  <c:v>678.4492936274878</c:v>
                </c:pt>
                <c:pt idx="1834">
                  <c:v>672.06862972744409</c:v>
                </c:pt>
                <c:pt idx="1835">
                  <c:v>666.42444937672587</c:v>
                </c:pt>
                <c:pt idx="1836">
                  <c:v>661.25809478629378</c:v>
                </c:pt>
                <c:pt idx="1837">
                  <c:v>656.39453315091021</c:v>
                </c:pt>
                <c:pt idx="1838">
                  <c:v>651.65049905127228</c:v>
                </c:pt>
                <c:pt idx="1839">
                  <c:v>646.99040599615387</c:v>
                </c:pt>
                <c:pt idx="1840">
                  <c:v>642.18443430368302</c:v>
                </c:pt>
                <c:pt idx="1841">
                  <c:v>636.97337218137397</c:v>
                </c:pt>
                <c:pt idx="1842">
                  <c:v>631.12438700782764</c:v>
                </c:pt>
                <c:pt idx="1843">
                  <c:v>624.83893237208213</c:v>
                </c:pt>
                <c:pt idx="1844">
                  <c:v>618.92285241420757</c:v>
                </c:pt>
                <c:pt idx="1845">
                  <c:v>613.31846724980335</c:v>
                </c:pt>
                <c:pt idx="1846">
                  <c:v>607.91220237262564</c:v>
                </c:pt>
                <c:pt idx="1847">
                  <c:v>603.11205003003101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B4D-4984-B106-1700280D5561}"/>
            </c:ext>
          </c:extLst>
        </c:ser>
        <c:ser>
          <c:idx val="4"/>
          <c:order val="4"/>
          <c:tx>
            <c:v>User Load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failure_surface!$L$19</c:f>
              <c:numCache>
                <c:formatCode>General</c:formatCode>
                <c:ptCount val="1"/>
                <c:pt idx="0">
                  <c:v>-25.88456146283556</c:v>
                </c:pt>
              </c:numCache>
            </c:numRef>
          </c:xVal>
          <c:yVal>
            <c:numRef>
              <c:f>failure_surface!$M$19</c:f>
              <c:numCache>
                <c:formatCode>General</c:formatCode>
                <c:ptCount val="1"/>
                <c:pt idx="0">
                  <c:v>111.82022371257179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B4D-4984-B106-1700280D5561}"/>
            </c:ext>
          </c:extLst>
        </c:ser>
        <c:ser>
          <c:idx val="5"/>
          <c:order val="5"/>
          <c:tx>
            <c:v>Calculated Interaction Point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7"/>
            <c:spPr>
              <a:solidFill>
                <a:srgbClr val="92D05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failure_surface!$L$20</c:f>
              <c:numCache>
                <c:formatCode>General</c:formatCode>
                <c:ptCount val="1"/>
                <c:pt idx="0">
                  <c:v>-92.075143875374934</c:v>
                </c:pt>
              </c:numCache>
            </c:numRef>
          </c:xVal>
          <c:yVal>
            <c:numRef>
              <c:f>failure_surface!$M$20</c:f>
              <c:numCache>
                <c:formatCode>General</c:formatCode>
                <c:ptCount val="1"/>
                <c:pt idx="0">
                  <c:v>397.76021831149404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C4-4828-94BE-D10A935BED30}"/>
            </c:ext>
          </c:extLst>
        </c:ser>
        <c:ser>
          <c:idx val="6"/>
          <c:order val="6"/>
          <c:tx>
            <c:v>P-M Slice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diamond"/>
            <c:size val="4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failure_surface!$AC$19:$AC$119</c:f>
              <c:numCache>
                <c:formatCode>General</c:formatCode>
                <c:ptCount val="101"/>
                <c:pt idx="0">
                  <c:v>-6.9234792282575647E-2</c:v>
                </c:pt>
                <c:pt idx="1">
                  <c:v>-3.4887017839527741</c:v>
                </c:pt>
                <c:pt idx="2">
                  <c:v>-7.0395401411409662</c:v>
                </c:pt>
                <c:pt idx="3">
                  <c:v>-10.718030984139206</c:v>
                </c:pt>
                <c:pt idx="4">
                  <c:v>-18.9849787390357</c:v>
                </c:pt>
                <c:pt idx="5">
                  <c:v>-32.211092311652017</c:v>
                </c:pt>
                <c:pt idx="6">
                  <c:v>-41.930261944125171</c:v>
                </c:pt>
                <c:pt idx="7">
                  <c:v>-49.35401971732999</c:v>
                </c:pt>
                <c:pt idx="8">
                  <c:v>-54.913397363796996</c:v>
                </c:pt>
                <c:pt idx="9">
                  <c:v>-61.000759814365118</c:v>
                </c:pt>
                <c:pt idx="10">
                  <c:v>-69.08197033225683</c:v>
                </c:pt>
                <c:pt idx="11">
                  <c:v>-76.504551264906212</c:v>
                </c:pt>
                <c:pt idx="12">
                  <c:v>-83.410202228923467</c:v>
                </c:pt>
                <c:pt idx="13">
                  <c:v>-89.334780672356871</c:v>
                </c:pt>
                <c:pt idx="14">
                  <c:v>-91.570301980587004</c:v>
                </c:pt>
                <c:pt idx="15">
                  <c:v>-93.926220512520842</c:v>
                </c:pt>
                <c:pt idx="16">
                  <c:v>-95.738172071683437</c:v>
                </c:pt>
                <c:pt idx="17">
                  <c:v>-96.102701589310371</c:v>
                </c:pt>
                <c:pt idx="18">
                  <c:v>-96.127174444459499</c:v>
                </c:pt>
                <c:pt idx="19">
                  <c:v>-95.316972299844593</c:v>
                </c:pt>
                <c:pt idx="20">
                  <c:v>-94.323803601658199</c:v>
                </c:pt>
                <c:pt idx="21">
                  <c:v>-93.263434304877649</c:v>
                </c:pt>
                <c:pt idx="22">
                  <c:v>-91.956154480532021</c:v>
                </c:pt>
                <c:pt idx="23">
                  <c:v>-92.075365021422996</c:v>
                </c:pt>
                <c:pt idx="24">
                  <c:v>-91.941051417018613</c:v>
                </c:pt>
                <c:pt idx="25">
                  <c:v>-91.296799231483803</c:v>
                </c:pt>
                <c:pt idx="26">
                  <c:v>-90.348749889130971</c:v>
                </c:pt>
                <c:pt idx="27">
                  <c:v>-89.000368564592748</c:v>
                </c:pt>
                <c:pt idx="28">
                  <c:v>-87.332140414733388</c:v>
                </c:pt>
                <c:pt idx="29">
                  <c:v>-85.019268515289625</c:v>
                </c:pt>
                <c:pt idx="30">
                  <c:v>-82.090137540166523</c:v>
                </c:pt>
                <c:pt idx="31">
                  <c:v>-78.470486100876428</c:v>
                </c:pt>
                <c:pt idx="32">
                  <c:v>-74.272232048211947</c:v>
                </c:pt>
                <c:pt idx="33">
                  <c:v>-69.939397135807923</c:v>
                </c:pt>
                <c:pt idx="34">
                  <c:v>-64.693347766609051</c:v>
                </c:pt>
                <c:pt idx="35">
                  <c:v>-59.01006285980754</c:v>
                </c:pt>
                <c:pt idx="36">
                  <c:v>-52.883137282196692</c:v>
                </c:pt>
                <c:pt idx="37">
                  <c:v>-47.165397807385951</c:v>
                </c:pt>
                <c:pt idx="38">
                  <c:v>-41.159228095889766</c:v>
                </c:pt>
                <c:pt idx="39">
                  <c:v>-35.711135773520944</c:v>
                </c:pt>
                <c:pt idx="40">
                  <c:v>-30.982703002132745</c:v>
                </c:pt>
                <c:pt idx="41">
                  <c:v>-27.055140841659206</c:v>
                </c:pt>
                <c:pt idx="42">
                  <c:v>-23.791208619511266</c:v>
                </c:pt>
                <c:pt idx="43">
                  <c:v>-21.055331819998997</c:v>
                </c:pt>
                <c:pt idx="44">
                  <c:v>-18.735436775807663</c:v>
                </c:pt>
                <c:pt idx="45">
                  <c:v>-16.750806264697559</c:v>
                </c:pt>
                <c:pt idx="46">
                  <c:v>-15.048222125805372</c:v>
                </c:pt>
                <c:pt idx="47">
                  <c:v>-13.598452602453669</c:v>
                </c:pt>
                <c:pt idx="48">
                  <c:v>-12.39436990051091</c:v>
                </c:pt>
                <c:pt idx="49">
                  <c:v>-11.417875327933809</c:v>
                </c:pt>
                <c:pt idx="50">
                  <c:v>-10.785546165889873</c:v>
                </c:pt>
                <c:pt idx="51">
                  <c:v>-10.386854601398708</c:v>
                </c:pt>
                <c:pt idx="52">
                  <c:v>-10.00347966619316</c:v>
                </c:pt>
                <c:pt idx="53">
                  <c:v>-9.6345282450391903</c:v>
                </c:pt>
                <c:pt idx="54">
                  <c:v>-9.2792221283144158</c:v>
                </c:pt>
                <c:pt idx="55">
                  <c:v>-8.936795765383593</c:v>
                </c:pt>
                <c:pt idx="56">
                  <c:v>-8.6065657030871439</c:v>
                </c:pt>
                <c:pt idx="57">
                  <c:v>-8.2878995811323879</c:v>
                </c:pt>
                <c:pt idx="58">
                  <c:v>-7.9801888014710265</c:v>
                </c:pt>
                <c:pt idx="59">
                  <c:v>-7.6828632557467333</c:v>
                </c:pt>
                <c:pt idx="60">
                  <c:v>-7.395437756383763</c:v>
                </c:pt>
                <c:pt idx="61">
                  <c:v>-7.1173842523265645</c:v>
                </c:pt>
                <c:pt idx="62">
                  <c:v>-6.8482752318021616</c:v>
                </c:pt>
                <c:pt idx="63">
                  <c:v>-6.5876890840894387</c:v>
                </c:pt>
                <c:pt idx="64">
                  <c:v>-6.2430197947450088</c:v>
                </c:pt>
                <c:pt idx="65">
                  <c:v>-5.8760386915025071</c:v>
                </c:pt>
                <c:pt idx="66">
                  <c:v>-5.5178315912619489</c:v>
                </c:pt>
                <c:pt idx="67">
                  <c:v>-5.1680003449629899</c:v>
                </c:pt>
                <c:pt idx="68">
                  <c:v>-4.8260868989316403</c:v>
                </c:pt>
                <c:pt idx="69">
                  <c:v>-4.4917147370055535</c:v>
                </c:pt>
                <c:pt idx="70">
                  <c:v>-4.1645133898179862</c:v>
                </c:pt>
                <c:pt idx="71">
                  <c:v>-3.8441057588766911</c:v>
                </c:pt>
                <c:pt idx="72">
                  <c:v>-3.5301688618469029</c:v>
                </c:pt>
                <c:pt idx="73">
                  <c:v>-3.2223940469112096</c:v>
                </c:pt>
                <c:pt idx="74">
                  <c:v>-2.9204545754314881</c:v>
                </c:pt>
                <c:pt idx="75">
                  <c:v>-2.6240518884498263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xVal>
          <c:yVal>
            <c:numRef>
              <c:f>failure_surface!$AD$19:$AD$119</c:f>
              <c:numCache>
                <c:formatCode>General</c:formatCode>
                <c:ptCount val="101"/>
                <c:pt idx="0">
                  <c:v>-301.41407696175997</c:v>
                </c:pt>
                <c:pt idx="1">
                  <c:v>-289.54507896996648</c:v>
                </c:pt>
                <c:pt idx="2">
                  <c:v>-276.94776944157508</c:v>
                </c:pt>
                <c:pt idx="3">
                  <c:v>-263.59922813077816</c:v>
                </c:pt>
                <c:pt idx="4">
                  <c:v>-231.26416183487953</c:v>
                </c:pt>
                <c:pt idx="5">
                  <c:v>-175.8377619096504</c:v>
                </c:pt>
                <c:pt idx="6">
                  <c:v>-133.14908992082914</c:v>
                </c:pt>
                <c:pt idx="7">
                  <c:v>-99.67645408699579</c:v>
                </c:pt>
                <c:pt idx="8">
                  <c:v>-74.376965178977287</c:v>
                </c:pt>
                <c:pt idx="9">
                  <c:v>-46.572653049550311</c:v>
                </c:pt>
                <c:pt idx="10">
                  <c:v>-2.5771541685957686</c:v>
                </c:pt>
                <c:pt idx="11">
                  <c:v>37.864014416407088</c:v>
                </c:pt>
                <c:pt idx="12">
                  <c:v>75.732183649886792</c:v>
                </c:pt>
                <c:pt idx="13">
                  <c:v>109.70255700224274</c:v>
                </c:pt>
                <c:pt idx="14">
                  <c:v>140.68640178541398</c:v>
                </c:pt>
                <c:pt idx="15">
                  <c:v>179.07745709555803</c:v>
                </c:pt>
                <c:pt idx="16">
                  <c:v>211.75631469540537</c:v>
                </c:pt>
                <c:pt idx="17">
                  <c:v>243.99262396038802</c:v>
                </c:pt>
                <c:pt idx="18">
                  <c:v>273.18972031325336</c:v>
                </c:pt>
                <c:pt idx="19">
                  <c:v>296.14970961158332</c:v>
                </c:pt>
                <c:pt idx="20">
                  <c:v>321.49334776660902</c:v>
                </c:pt>
                <c:pt idx="21">
                  <c:v>344.46163366446535</c:v>
                </c:pt>
                <c:pt idx="22">
                  <c:v>366.75896977579049</c:v>
                </c:pt>
                <c:pt idx="23">
                  <c:v>396.31133111915369</c:v>
                </c:pt>
                <c:pt idx="24">
                  <c:v>425.35057973594309</c:v>
                </c:pt>
                <c:pt idx="25">
                  <c:v>453.60822194515509</c:v>
                </c:pt>
                <c:pt idx="26">
                  <c:v>481.11660896960797</c:v>
                </c:pt>
                <c:pt idx="27">
                  <c:v>508.32573769318788</c:v>
                </c:pt>
                <c:pt idx="28">
                  <c:v>532.4634903465959</c:v>
                </c:pt>
                <c:pt idx="29">
                  <c:v>559.1267297729371</c:v>
                </c:pt>
                <c:pt idx="30">
                  <c:v>585.52963506274648</c:v>
                </c:pt>
                <c:pt idx="31">
                  <c:v>611.50203094266192</c:v>
                </c:pt>
                <c:pt idx="32">
                  <c:v>635.82501627012857</c:v>
                </c:pt>
                <c:pt idx="33">
                  <c:v>656.69982892586074</c:v>
                </c:pt>
                <c:pt idx="34">
                  <c:v>677.37042789165241</c:v>
                </c:pt>
                <c:pt idx="35">
                  <c:v>696.12951395455718</c:v>
                </c:pt>
                <c:pt idx="36">
                  <c:v>712.45307774447178</c:v>
                </c:pt>
                <c:pt idx="37">
                  <c:v>725.31208670084186</c:v>
                </c:pt>
                <c:pt idx="38">
                  <c:v>736.79677844774346</c:v>
                </c:pt>
                <c:pt idx="39">
                  <c:v>745.83753518433014</c:v>
                </c:pt>
                <c:pt idx="40">
                  <c:v>753.0808158933462</c:v>
                </c:pt>
                <c:pt idx="41">
                  <c:v>758.19976999944299</c:v>
                </c:pt>
                <c:pt idx="42">
                  <c:v>762.12081378530058</c:v>
                </c:pt>
                <c:pt idx="43">
                  <c:v>765.22364325347701</c:v>
                </c:pt>
                <c:pt idx="44">
                  <c:v>767.77031066209884</c:v>
                </c:pt>
                <c:pt idx="45">
                  <c:v>769.93701135692106</c:v>
                </c:pt>
                <c:pt idx="46">
                  <c:v>771.84511489622025</c:v>
                </c:pt>
                <c:pt idx="47">
                  <c:v>773.58349199833151</c:v>
                </c:pt>
                <c:pt idx="48">
                  <c:v>775.226186277446</c:v>
                </c:pt>
                <c:pt idx="49">
                  <c:v>776.80644279232376</c:v>
                </c:pt>
                <c:pt idx="50">
                  <c:v>778.20697311273648</c:v>
                </c:pt>
                <c:pt idx="51">
                  <c:v>779.51658895316507</c:v>
                </c:pt>
                <c:pt idx="52">
                  <c:v>780.77594074300828</c:v>
                </c:pt>
                <c:pt idx="53">
                  <c:v>781.98789350056359</c:v>
                </c:pt>
                <c:pt idx="54">
                  <c:v>783.15505997870582</c:v>
                </c:pt>
                <c:pt idx="55">
                  <c:v>784.27990063307186</c:v>
                </c:pt>
                <c:pt idx="56">
                  <c:v>785.3646767161074</c:v>
                </c:pt>
                <c:pt idx="57">
                  <c:v>786.41148819537591</c:v>
                </c:pt>
                <c:pt idx="58">
                  <c:v>787.42230719863062</c:v>
                </c:pt>
                <c:pt idx="59">
                  <c:v>788.39897449619116</c:v>
                </c:pt>
                <c:pt idx="60">
                  <c:v>789.34316825805888</c:v>
                </c:pt>
                <c:pt idx="61">
                  <c:v>790.25652014843104</c:v>
                </c:pt>
                <c:pt idx="62">
                  <c:v>791.14050008370623</c:v>
                </c:pt>
                <c:pt idx="63">
                  <c:v>791.99650276448472</c:v>
                </c:pt>
                <c:pt idx="64">
                  <c:v>792.87842832939521</c:v>
                </c:pt>
                <c:pt idx="65">
                  <c:v>793.75569814852383</c:v>
                </c:pt>
                <c:pt idx="66">
                  <c:v>794.6119716891518</c:v>
                </c:pt>
                <c:pt idx="67">
                  <c:v>795.44826568378858</c:v>
                </c:pt>
                <c:pt idx="68">
                  <c:v>796.26560860830705</c:v>
                </c:pt>
                <c:pt idx="69">
                  <c:v>797.06492808658106</c:v>
                </c:pt>
                <c:pt idx="70">
                  <c:v>797.8471150774642</c:v>
                </c:pt>
                <c:pt idx="71">
                  <c:v>798.61303859864438</c:v>
                </c:pt>
                <c:pt idx="72">
                  <c:v>799.36349474580322</c:v>
                </c:pt>
                <c:pt idx="73">
                  <c:v>800.09924253098472</c:v>
                </c:pt>
                <c:pt idx="74">
                  <c:v>800.82103620092585</c:v>
                </c:pt>
                <c:pt idx="75">
                  <c:v>801.52958536617712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D7-4F4D-A7CD-C8FC387B8FF6}"/>
            </c:ext>
          </c:extLst>
        </c:ser>
        <c:ser>
          <c:idx val="7"/>
          <c:order val="7"/>
          <c:tx>
            <c:v>user-calc line</c:v>
          </c:tx>
          <c:spPr>
            <a:ln w="19050" cap="rnd">
              <a:solidFill>
                <a:schemeClr val="tx1">
                  <a:lumMod val="75000"/>
                  <a:lumOff val="2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failure_surface!$L$19:$L$20</c:f>
              <c:numCache>
                <c:formatCode>General</c:formatCode>
                <c:ptCount val="2"/>
                <c:pt idx="0">
                  <c:v>-25.88456146283556</c:v>
                </c:pt>
                <c:pt idx="1">
                  <c:v>-92.075143875374934</c:v>
                </c:pt>
              </c:numCache>
            </c:numRef>
          </c:xVal>
          <c:yVal>
            <c:numRef>
              <c:f>failure_surface!$M$19:$M$20</c:f>
              <c:numCache>
                <c:formatCode>General</c:formatCode>
                <c:ptCount val="2"/>
                <c:pt idx="0">
                  <c:v>111.82022371257179</c:v>
                </c:pt>
                <c:pt idx="1">
                  <c:v>397.76021831149404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9D7-4F4D-A7CD-C8FC387B8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4525071"/>
        <c:axId val="1358811903"/>
      </c:scatterChart>
      <c:valAx>
        <c:axId val="1564525071"/>
        <c:scaling>
          <c:orientation val="minMax"/>
          <c:max val="942"/>
          <c:min val="-942"/>
        </c:scaling>
        <c:delete val="1"/>
        <c:axPos val="b"/>
        <c:numFmt formatCode="General" sourceLinked="1"/>
        <c:majorTickMark val="none"/>
        <c:minorTickMark val="none"/>
        <c:tickLblPos val="nextTo"/>
        <c:crossAx val="1358811903"/>
        <c:crosses val="autoZero"/>
        <c:crossBetween val="midCat"/>
        <c:majorUnit val="25"/>
      </c:valAx>
      <c:valAx>
        <c:axId val="1358811903"/>
        <c:scaling>
          <c:orientation val="minMax"/>
          <c:max val="942"/>
          <c:min val="-942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564525071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croll" dx="22" fmlaLink="$I$5" horiz="1" max="360" page="10" val="45"/>
</file>

<file path=xl/ctrlProps/ctrlProp8.xml><?xml version="1.0" encoding="utf-8"?>
<formControlPr xmlns="http://schemas.microsoft.com/office/spreadsheetml/2009/9/main" objectType="Scroll" dx="22" fmlaLink="$J$5" horiz="1" max="360" page="10" val="180"/>
</file>

<file path=xl/ctrlProps/ctrlProp9.xml><?xml version="1.0" encoding="utf-8"?>
<formControlPr xmlns="http://schemas.microsoft.com/office/spreadsheetml/2009/9/main" objectType="Scroll" dx="22" fmlaLink="$K$5" horiz="1" max="360" page="10" val="2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38102</xdr:colOff>
      <xdr:row>1</xdr:row>
      <xdr:rowOff>19050</xdr:rowOff>
    </xdr:from>
    <xdr:to>
      <xdr:col>16</xdr:col>
      <xdr:colOff>581025</xdr:colOff>
      <xdr:row>34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19051</xdr:colOff>
      <xdr:row>46</xdr:row>
      <xdr:rowOff>26362</xdr:rowOff>
    </xdr:from>
    <xdr:to>
      <xdr:col>16</xdr:col>
      <xdr:colOff>561975</xdr:colOff>
      <xdr:row>84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25400</xdr:colOff>
      <xdr:row>116</xdr:row>
      <xdr:rowOff>152400</xdr:rowOff>
    </xdr:from>
    <xdr:to>
      <xdr:col>5</xdr:col>
      <xdr:colOff>698500</xdr:colOff>
      <xdr:row>119</xdr:row>
      <xdr:rowOff>157070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771525</xdr:colOff>
          <xdr:row>121</xdr:row>
          <xdr:rowOff>66675</xdr:rowOff>
        </xdr:from>
        <xdr:to>
          <xdr:col>2</xdr:col>
          <xdr:colOff>885825</xdr:colOff>
          <xdr:row>126</xdr:row>
          <xdr:rowOff>47625</xdr:rowOff>
        </xdr:to>
        <xdr:sp macro="" textlink="">
          <xdr:nvSpPr>
            <xdr:cNvPr id="1027" name="Button 3" descr="Attempt to Find&#10;Interaction point for Goal&#10;(Form Button)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to find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Interaction point for Goal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(Interaction Point only does not update the plots below)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60699</xdr:colOff>
      <xdr:row>127</xdr:row>
      <xdr:rowOff>69850</xdr:rowOff>
    </xdr:from>
    <xdr:to>
      <xdr:col>14</xdr:col>
      <xdr:colOff>616324</xdr:colOff>
      <xdr:row>170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121</xdr:row>
          <xdr:rowOff>47625</xdr:rowOff>
        </xdr:from>
        <xdr:to>
          <xdr:col>5</xdr:col>
          <xdr:colOff>1152525</xdr:colOff>
          <xdr:row>126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try to build mx vs my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(recommend running this prior to P-M curve)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121</xdr:row>
          <xdr:rowOff>152400</xdr:rowOff>
        </xdr:from>
        <xdr:to>
          <xdr:col>13</xdr:col>
          <xdr:colOff>342900</xdr:colOff>
          <xdr:row>125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a P-M curve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(Can take several seconds up to minutes)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19050</xdr:colOff>
      <xdr:row>170</xdr:row>
      <xdr:rowOff>180975</xdr:rowOff>
    </xdr:from>
    <xdr:to>
      <xdr:col>14</xdr:col>
      <xdr:colOff>552450</xdr:colOff>
      <xdr:row>214</xdr:row>
      <xdr:rowOff>142875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9525</xdr:colOff>
      <xdr:row>215</xdr:row>
      <xdr:rowOff>38100</xdr:rowOff>
    </xdr:from>
    <xdr:to>
      <xdr:col>14</xdr:col>
      <xdr:colOff>565150</xdr:colOff>
      <xdr:row>259</xdr:row>
      <xdr:rowOff>6350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180975</xdr:colOff>
          <xdr:row>20</xdr:row>
          <xdr:rowOff>104775</xdr:rowOff>
        </xdr:from>
        <xdr:to>
          <xdr:col>19</xdr:col>
          <xdr:colOff>828675</xdr:colOff>
          <xdr:row>23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Bars From Pattern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123265</xdr:colOff>
      <xdr:row>47</xdr:row>
      <xdr:rowOff>1118</xdr:rowOff>
    </xdr:from>
    <xdr:to>
      <xdr:col>43</xdr:col>
      <xdr:colOff>112059</xdr:colOff>
      <xdr:row>80</xdr:row>
      <xdr:rowOff>67235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447675</xdr:colOff>
          <xdr:row>122</xdr:row>
          <xdr:rowOff>66675</xdr:rowOff>
        </xdr:from>
        <xdr:to>
          <xdr:col>18</xdr:col>
          <xdr:colOff>266700</xdr:colOff>
          <xdr:row>125</xdr:row>
          <xdr:rowOff>142875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to find an interaction point with the same 3d unit vector of the applied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</xdr:colOff>
          <xdr:row>122</xdr:row>
          <xdr:rowOff>76200</xdr:rowOff>
        </xdr:from>
        <xdr:to>
          <xdr:col>21</xdr:col>
          <xdr:colOff>266700</xdr:colOff>
          <xdr:row>125</xdr:row>
          <xdr:rowOff>114300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Failure Surface Slices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(takes a very long time to run)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67236</xdr:colOff>
      <xdr:row>82</xdr:row>
      <xdr:rowOff>34735</xdr:rowOff>
    </xdr:from>
    <xdr:to>
      <xdr:col>24</xdr:col>
      <xdr:colOff>78441</xdr:colOff>
      <xdr:row>107</xdr:row>
      <xdr:rowOff>134469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7</xdr:row>
      <xdr:rowOff>38100</xdr:rowOff>
    </xdr:from>
    <xdr:to>
      <xdr:col>23</xdr:col>
      <xdr:colOff>28575</xdr:colOff>
      <xdr:row>48</xdr:row>
      <xdr:rowOff>123825</xdr:rowOff>
    </xdr:to>
    <xdr:graphicFrame macro="">
      <xdr:nvGraphicFramePr>
        <xdr:cNvPr id="2" name="Chart_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600075</xdr:colOff>
          <xdr:row>1</xdr:row>
          <xdr:rowOff>9525</xdr:rowOff>
        </xdr:from>
        <xdr:to>
          <xdr:col>26</xdr:col>
          <xdr:colOff>0</xdr:colOff>
          <xdr:row>2</xdr:row>
          <xdr:rowOff>0</xdr:rowOff>
        </xdr:to>
        <xdr:sp macro="" textlink="">
          <xdr:nvSpPr>
            <xdr:cNvPr id="2052" name="Scroll Bar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3</xdr:row>
          <xdr:rowOff>0</xdr:rowOff>
        </xdr:from>
        <xdr:to>
          <xdr:col>26</xdr:col>
          <xdr:colOff>0</xdr:colOff>
          <xdr:row>3</xdr:row>
          <xdr:rowOff>180975</xdr:rowOff>
        </xdr:to>
        <xdr:sp macro="" textlink="">
          <xdr:nvSpPr>
            <xdr:cNvPr id="2054" name="Scroll Bar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600075</xdr:colOff>
          <xdr:row>5</xdr:row>
          <xdr:rowOff>0</xdr:rowOff>
        </xdr:from>
        <xdr:to>
          <xdr:col>26</xdr:col>
          <xdr:colOff>0</xdr:colOff>
          <xdr:row>5</xdr:row>
          <xdr:rowOff>180975</xdr:rowOff>
        </xdr:to>
        <xdr:sp macro="" textlink="">
          <xdr:nvSpPr>
            <xdr:cNvPr id="2055" name="Scroll Bar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F3883-D7DC-4528-8AF2-C728ADB69584}">
  <sheetPr codeName="Sheet1"/>
  <dimension ref="A1:AD490"/>
  <sheetViews>
    <sheetView topLeftCell="A136" zoomScale="85" zoomScaleNormal="85" workbookViewId="0">
      <selection activeCell="S11" sqref="S11"/>
    </sheetView>
  </sheetViews>
  <sheetFormatPr defaultColWidth="8.85546875" defaultRowHeight="15" x14ac:dyDescent="0.25"/>
  <cols>
    <col min="1" max="1" width="16.42578125" customWidth="1"/>
    <col min="2" max="2" width="18.7109375" bestFit="1" customWidth="1"/>
    <col min="3" max="3" width="13.85546875" customWidth="1"/>
    <col min="4" max="4" width="10.7109375" customWidth="1"/>
    <col min="5" max="5" width="10.42578125" customWidth="1"/>
    <col min="6" max="6" width="19.85546875" customWidth="1"/>
    <col min="7" max="7" width="20.28515625" bestFit="1" customWidth="1"/>
    <col min="8" max="8" width="14.7109375" bestFit="1" customWidth="1"/>
    <col min="9" max="9" width="13.7109375" bestFit="1" customWidth="1"/>
    <col min="10" max="10" width="10.140625" customWidth="1"/>
    <col min="11" max="11" width="11.7109375" customWidth="1"/>
    <col min="12" max="12" width="12.28515625" bestFit="1" customWidth="1"/>
    <col min="13" max="13" width="12.7109375" bestFit="1" customWidth="1"/>
    <col min="14" max="14" width="12.42578125" customWidth="1"/>
    <col min="15" max="15" width="9.7109375" bestFit="1" customWidth="1"/>
    <col min="16" max="16" width="12.7109375" bestFit="1" customWidth="1"/>
    <col min="17" max="17" width="10.42578125" bestFit="1" customWidth="1"/>
    <col min="18" max="18" width="9.7109375" bestFit="1" customWidth="1"/>
    <col min="19" max="19" width="17.140625" customWidth="1"/>
    <col min="20" max="20" width="20.28515625" bestFit="1" customWidth="1"/>
    <col min="21" max="21" width="11.42578125" customWidth="1"/>
    <col min="22" max="22" width="11.85546875" customWidth="1"/>
    <col min="23" max="23" width="12.28515625" customWidth="1"/>
    <col min="24" max="24" width="11.7109375" bestFit="1" customWidth="1"/>
    <col min="25" max="25" width="12.140625" bestFit="1" customWidth="1"/>
    <col min="26" max="26" width="9" bestFit="1" customWidth="1"/>
    <col min="29" max="29" width="12.28515625" bestFit="1" customWidth="1"/>
    <col min="30" max="30" width="12.85546875" bestFit="1" customWidth="1"/>
  </cols>
  <sheetData>
    <row r="1" spans="1:21" ht="15.75" thickBot="1" x14ac:dyDescent="0.3">
      <c r="D1" t="s">
        <v>7</v>
      </c>
      <c r="G1" t="s">
        <v>14</v>
      </c>
    </row>
    <row r="2" spans="1:21" x14ac:dyDescent="0.25">
      <c r="A2" s="2" t="s">
        <v>4</v>
      </c>
      <c r="B2" s="34">
        <v>4</v>
      </c>
      <c r="C2" t="s">
        <v>5</v>
      </c>
      <c r="D2" s="1" t="s">
        <v>0</v>
      </c>
      <c r="E2" s="1" t="s">
        <v>1</v>
      </c>
      <c r="G2" t="s">
        <v>0</v>
      </c>
      <c r="H2" t="s">
        <v>1</v>
      </c>
      <c r="S2" s="56" t="s">
        <v>96</v>
      </c>
      <c r="T2" s="59" t="s">
        <v>97</v>
      </c>
      <c r="U2" s="39"/>
    </row>
    <row r="3" spans="1:21" x14ac:dyDescent="0.25">
      <c r="A3" s="2" t="s">
        <v>13</v>
      </c>
      <c r="B3" s="3">
        <f>(POWER(145,1.5)*33*SQRT(1000*B2))/1000</f>
        <v>3644.1474311558795</v>
      </c>
      <c r="C3" t="s">
        <v>5</v>
      </c>
      <c r="D3" s="5">
        <v>0</v>
      </c>
      <c r="E3" s="5">
        <v>0</v>
      </c>
      <c r="G3" s="6">
        <f>MAX(MAX(D3:D7),MAX(E3:E7))+1</f>
        <v>25</v>
      </c>
      <c r="H3" s="6">
        <f>G3</f>
        <v>25</v>
      </c>
      <c r="S3" s="60">
        <v>8</v>
      </c>
      <c r="T3" s="45" t="s">
        <v>100</v>
      </c>
      <c r="U3" s="43"/>
    </row>
    <row r="4" spans="1:21" x14ac:dyDescent="0.25">
      <c r="A4" s="2" t="s">
        <v>35</v>
      </c>
      <c r="B4" s="1">
        <f>IF(B2&lt;=4,0.85,IF(B2&lt;=8,0.85 - ((0.05*(B2-4))/1),0.65))</f>
        <v>0.85</v>
      </c>
      <c r="D4" s="5">
        <f>B5</f>
        <v>16</v>
      </c>
      <c r="E4" s="5">
        <v>0</v>
      </c>
      <c r="G4">
        <v>-1</v>
      </c>
      <c r="H4">
        <v>-1</v>
      </c>
      <c r="S4" s="44">
        <f ca="1">OFFSET(Reference!A$1,MATCH('Cross Section Analysis'!S3,Reference!A$1:A$12,0)-1,1)</f>
        <v>1</v>
      </c>
      <c r="T4" s="45" t="s">
        <v>103</v>
      </c>
      <c r="U4" s="43"/>
    </row>
    <row r="5" spans="1:21" x14ac:dyDescent="0.25">
      <c r="A5" s="2" t="s">
        <v>2</v>
      </c>
      <c r="B5" s="34">
        <v>16</v>
      </c>
      <c r="C5" t="s">
        <v>6</v>
      </c>
      <c r="D5" s="5">
        <f>B5</f>
        <v>16</v>
      </c>
      <c r="E5" s="5">
        <f>B6</f>
        <v>24</v>
      </c>
      <c r="G5" t="s">
        <v>33</v>
      </c>
      <c r="S5" s="60">
        <v>3</v>
      </c>
      <c r="T5" s="45" t="s">
        <v>101</v>
      </c>
      <c r="U5" s="43"/>
    </row>
    <row r="6" spans="1:21" x14ac:dyDescent="0.25">
      <c r="A6" s="2" t="s">
        <v>3</v>
      </c>
      <c r="B6" s="34">
        <v>24</v>
      </c>
      <c r="C6" t="s">
        <v>6</v>
      </c>
      <c r="D6" s="5">
        <v>0</v>
      </c>
      <c r="E6" s="5">
        <f>B6</f>
        <v>24</v>
      </c>
      <c r="G6" t="s">
        <v>0</v>
      </c>
      <c r="H6" t="s">
        <v>1</v>
      </c>
      <c r="S6" s="44">
        <f ca="1">OFFSET(Reference!A$1,MATCH('Cross Section Analysis'!S5,Reference!A$1:A$12,0)-1,1)</f>
        <v>0.375</v>
      </c>
      <c r="T6" s="45" t="s">
        <v>105</v>
      </c>
      <c r="U6" s="43"/>
    </row>
    <row r="7" spans="1:21" x14ac:dyDescent="0.25">
      <c r="D7" s="5">
        <v>0</v>
      </c>
      <c r="E7" s="5">
        <v>0</v>
      </c>
      <c r="G7">
        <f>B5/2</f>
        <v>8</v>
      </c>
      <c r="H7">
        <f>B6/2</f>
        <v>12</v>
      </c>
      <c r="S7" s="57">
        <v>2</v>
      </c>
      <c r="T7" s="45" t="s">
        <v>106</v>
      </c>
      <c r="U7" s="43"/>
    </row>
    <row r="8" spans="1:21" x14ac:dyDescent="0.25">
      <c r="S8" s="44" t="s">
        <v>115</v>
      </c>
      <c r="T8" s="45"/>
      <c r="U8" s="43"/>
    </row>
    <row r="9" spans="1:21" x14ac:dyDescent="0.25">
      <c r="A9" t="s">
        <v>8</v>
      </c>
      <c r="S9" s="57">
        <v>4</v>
      </c>
      <c r="T9" s="45" t="s">
        <v>98</v>
      </c>
      <c r="U9" s="43"/>
    </row>
    <row r="10" spans="1:21" x14ac:dyDescent="0.25">
      <c r="A10" t="s">
        <v>9</v>
      </c>
      <c r="B10" s="34">
        <v>60</v>
      </c>
      <c r="C10" t="s">
        <v>5</v>
      </c>
      <c r="F10" s="25" t="s">
        <v>85</v>
      </c>
      <c r="S10" s="57">
        <v>3</v>
      </c>
      <c r="T10" s="45" t="s">
        <v>99</v>
      </c>
      <c r="U10" s="43"/>
    </row>
    <row r="11" spans="1:21" x14ac:dyDescent="0.25">
      <c r="A11" t="s">
        <v>12</v>
      </c>
      <c r="B11" s="3">
        <v>29000</v>
      </c>
      <c r="C11" t="s">
        <v>5</v>
      </c>
      <c r="F11" s="25" t="s">
        <v>86</v>
      </c>
      <c r="S11" s="44">
        <f>(2*S9)+((2*S10)-4)</f>
        <v>10</v>
      </c>
      <c r="T11" s="45" t="s">
        <v>104</v>
      </c>
      <c r="U11" s="43"/>
    </row>
    <row r="12" spans="1:21" x14ac:dyDescent="0.25">
      <c r="B12" s="1" t="s">
        <v>10</v>
      </c>
      <c r="C12" t="s">
        <v>11</v>
      </c>
      <c r="D12" s="1" t="s">
        <v>0</v>
      </c>
      <c r="E12" s="1" t="s">
        <v>1</v>
      </c>
      <c r="F12" s="25" t="s">
        <v>87</v>
      </c>
      <c r="S12" s="44" t="s">
        <v>113</v>
      </c>
      <c r="T12" s="58" t="s">
        <v>114</v>
      </c>
      <c r="U12" s="43"/>
    </row>
    <row r="13" spans="1:21" x14ac:dyDescent="0.25">
      <c r="A13">
        <v>1</v>
      </c>
      <c r="B13" s="33">
        <v>8</v>
      </c>
      <c r="C13" s="4">
        <f ca="1">OFFSET(Reference!A$1,MATCH('Cross Section Analysis'!B13,Reference!A$1:A$12,0)-1,2)</f>
        <v>0.79</v>
      </c>
      <c r="D13" s="34">
        <v>3.125</v>
      </c>
      <c r="E13" s="34">
        <v>3.125</v>
      </c>
      <c r="F13" s="25" t="s">
        <v>88</v>
      </c>
      <c r="S13" s="64">
        <f ca="1">2*S6</f>
        <v>0.75</v>
      </c>
      <c r="T13" s="58" t="s">
        <v>120</v>
      </c>
      <c r="U13" s="43"/>
    </row>
    <row r="14" spans="1:21" x14ac:dyDescent="0.25">
      <c r="A14">
        <v>2</v>
      </c>
      <c r="B14" s="33">
        <v>8</v>
      </c>
      <c r="C14" s="4">
        <f ca="1">OFFSET(Reference!A$1,MATCH('Cross Section Analysis'!B14,Reference!A$1:A$12,0)-1,2)</f>
        <v>0.79</v>
      </c>
      <c r="D14" s="34">
        <v>8</v>
      </c>
      <c r="E14" s="34">
        <v>3.125</v>
      </c>
      <c r="F14" s="25" t="s">
        <v>89</v>
      </c>
      <c r="S14" s="64">
        <f ca="1">0.5*S4</f>
        <v>0.5</v>
      </c>
      <c r="T14" s="58" t="s">
        <v>102</v>
      </c>
      <c r="U14" s="43"/>
    </row>
    <row r="15" spans="1:21" x14ac:dyDescent="0.25">
      <c r="A15">
        <v>3</v>
      </c>
      <c r="B15" s="33">
        <v>8</v>
      </c>
      <c r="C15" s="4">
        <f ca="1">OFFSET(Reference!A$1,MATCH('Cross Section Analysis'!B15,Reference!A$1:A$12,0)-1,2)</f>
        <v>0.79</v>
      </c>
      <c r="D15" s="34">
        <v>12.875</v>
      </c>
      <c r="E15" s="34">
        <v>3.125</v>
      </c>
      <c r="S15" s="64">
        <f ca="1">MAX(S13:S14)</f>
        <v>0.75</v>
      </c>
      <c r="T15" s="58" t="s">
        <v>107</v>
      </c>
      <c r="U15" s="43"/>
    </row>
    <row r="16" spans="1:21" x14ac:dyDescent="0.25">
      <c r="A16">
        <v>4</v>
      </c>
      <c r="B16" s="33">
        <v>8</v>
      </c>
      <c r="C16" s="4">
        <f ca="1">OFFSET(Reference!A$1,MATCH('Cross Section Analysis'!B16,Reference!A$1:A$12,0)-1,2)</f>
        <v>0.79</v>
      </c>
      <c r="D16" s="34">
        <v>3.125</v>
      </c>
      <c r="E16" s="34">
        <v>9.0416666666666679</v>
      </c>
      <c r="S16" s="64">
        <f ca="1">S7+S6+S15</f>
        <v>3.125</v>
      </c>
      <c r="T16" s="58" t="s">
        <v>109</v>
      </c>
      <c r="U16" s="43"/>
    </row>
    <row r="17" spans="1:21" x14ac:dyDescent="0.25">
      <c r="A17">
        <v>5</v>
      </c>
      <c r="B17" s="33">
        <v>8</v>
      </c>
      <c r="C17" s="4">
        <f ca="1">OFFSET(Reference!A$1,MATCH('Cross Section Analysis'!B17,Reference!A$1:A$12,0)-1,2)</f>
        <v>0.79</v>
      </c>
      <c r="D17" s="34">
        <v>12.875</v>
      </c>
      <c r="E17" s="34">
        <v>9.0416666666666679</v>
      </c>
      <c r="S17" s="64">
        <f ca="1">B5-S16</f>
        <v>12.875</v>
      </c>
      <c r="T17" s="58" t="s">
        <v>108</v>
      </c>
      <c r="U17" s="43"/>
    </row>
    <row r="18" spans="1:21" x14ac:dyDescent="0.25">
      <c r="A18">
        <v>6</v>
      </c>
      <c r="B18" s="33">
        <v>8</v>
      </c>
      <c r="C18" s="4">
        <f ca="1">OFFSET(Reference!A$1,MATCH('Cross Section Analysis'!B18,Reference!A$1:A$12,0)-1,2)</f>
        <v>0.79</v>
      </c>
      <c r="D18" s="34">
        <v>3.125</v>
      </c>
      <c r="E18" s="34">
        <v>14.958333333333334</v>
      </c>
      <c r="S18" s="64">
        <f ca="1">B6-S16</f>
        <v>20.875</v>
      </c>
      <c r="T18" s="58" t="s">
        <v>110</v>
      </c>
      <c r="U18" s="43"/>
    </row>
    <row r="19" spans="1:21" x14ac:dyDescent="0.25">
      <c r="A19">
        <v>7</v>
      </c>
      <c r="B19" s="33">
        <v>8</v>
      </c>
      <c r="C19" s="4">
        <f ca="1">OFFSET(Reference!A$1,MATCH('Cross Section Analysis'!B19,Reference!A$1:A$12,0)-1,2)</f>
        <v>0.79</v>
      </c>
      <c r="D19" s="34">
        <v>12.875</v>
      </c>
      <c r="E19" s="34">
        <v>14.958333333333334</v>
      </c>
      <c r="S19" s="64">
        <f ca="1">(B5-(2*S16))/(S10-1)</f>
        <v>4.875</v>
      </c>
      <c r="T19" s="58" t="s">
        <v>111</v>
      </c>
      <c r="U19" s="43"/>
    </row>
    <row r="20" spans="1:21" x14ac:dyDescent="0.25">
      <c r="A20">
        <v>8</v>
      </c>
      <c r="B20" s="33">
        <v>8</v>
      </c>
      <c r="C20" s="4">
        <f ca="1">OFFSET(Reference!A$1,MATCH('Cross Section Analysis'!B20,Reference!A$1:A$12,0)-1,2)</f>
        <v>0.79</v>
      </c>
      <c r="D20" s="34">
        <v>3.125</v>
      </c>
      <c r="E20" s="34">
        <v>20.875</v>
      </c>
      <c r="S20" s="64">
        <f ca="1">(B6 - (2*S16))/(S9-1)</f>
        <v>5.916666666666667</v>
      </c>
      <c r="T20" s="58" t="s">
        <v>112</v>
      </c>
      <c r="U20" s="43"/>
    </row>
    <row r="21" spans="1:21" x14ac:dyDescent="0.25">
      <c r="A21">
        <v>9</v>
      </c>
      <c r="B21" s="33">
        <v>8</v>
      </c>
      <c r="C21" s="4">
        <f ca="1">OFFSET(Reference!A$1,MATCH('Cross Section Analysis'!B21,Reference!A$1:A$12,0)-1,2)</f>
        <v>0.79</v>
      </c>
      <c r="D21" s="34">
        <v>8</v>
      </c>
      <c r="E21" s="34">
        <v>20.875</v>
      </c>
      <c r="S21" s="44"/>
      <c r="T21" s="45"/>
      <c r="U21" s="43"/>
    </row>
    <row r="22" spans="1:21" x14ac:dyDescent="0.25">
      <c r="A22">
        <v>10</v>
      </c>
      <c r="B22" s="33">
        <v>8</v>
      </c>
      <c r="C22" s="4">
        <f ca="1">OFFSET(Reference!A$1,MATCH('Cross Section Analysis'!B22,Reference!A$1:A$12,0)-1,2)</f>
        <v>0.79</v>
      </c>
      <c r="D22" s="34">
        <v>12.875</v>
      </c>
      <c r="E22" s="34">
        <v>20.875</v>
      </c>
      <c r="S22" s="44"/>
      <c r="T22" s="45"/>
      <c r="U22" s="43"/>
    </row>
    <row r="23" spans="1:21" x14ac:dyDescent="0.25">
      <c r="A23">
        <v>11</v>
      </c>
      <c r="B23" s="33">
        <v>0</v>
      </c>
      <c r="C23" s="4">
        <f ca="1">OFFSET(Reference!A$1,MATCH('Cross Section Analysis'!B23,Reference!A$1:A$12,0)-1,2)</f>
        <v>0</v>
      </c>
      <c r="D23" s="34">
        <v>0</v>
      </c>
      <c r="E23" s="34">
        <v>0</v>
      </c>
      <c r="S23" s="44"/>
      <c r="T23" s="45"/>
      <c r="U23" s="43"/>
    </row>
    <row r="24" spans="1:21" x14ac:dyDescent="0.25">
      <c r="A24">
        <v>12</v>
      </c>
      <c r="B24" s="33">
        <v>0</v>
      </c>
      <c r="C24" s="4">
        <f ca="1">OFFSET(Reference!A$1,MATCH('Cross Section Analysis'!B24,Reference!A$1:A$12,0)-1,2)</f>
        <v>0</v>
      </c>
      <c r="D24" s="34">
        <v>0</v>
      </c>
      <c r="E24" s="34">
        <v>0</v>
      </c>
      <c r="S24" s="44"/>
      <c r="T24" s="45"/>
      <c r="U24" s="43"/>
    </row>
    <row r="25" spans="1:21" ht="15.75" thickBot="1" x14ac:dyDescent="0.3">
      <c r="C25" s="4">
        <f ca="1">SUM(C13:C24)</f>
        <v>7.9</v>
      </c>
      <c r="D25" s="65">
        <f ca="1">(C25/(B5*B6))*100</f>
        <v>2.0572916666666665</v>
      </c>
      <c r="E25" s="66" t="str">
        <f>"=%As"</f>
        <v>=%As</v>
      </c>
      <c r="F25" s="67" t="str">
        <f ca="1">IF(AND(D25&gt;=1,D25&lt;=4),"OK","NG")</f>
        <v>OK</v>
      </c>
      <c r="S25" s="40"/>
      <c r="T25" s="61"/>
      <c r="U25" s="41"/>
    </row>
    <row r="26" spans="1:21" x14ac:dyDescent="0.25">
      <c r="A26" s="24" t="s">
        <v>15</v>
      </c>
    </row>
    <row r="27" spans="1:21" x14ac:dyDescent="0.25">
      <c r="A27" s="2" t="s">
        <v>16</v>
      </c>
    </row>
    <row r="28" spans="1:21" x14ac:dyDescent="0.25">
      <c r="A28" s="2" t="s">
        <v>17</v>
      </c>
      <c r="B28">
        <f>B5*B6</f>
        <v>384</v>
      </c>
      <c r="C28" t="s">
        <v>18</v>
      </c>
      <c r="D28">
        <v>1</v>
      </c>
    </row>
    <row r="29" spans="1:21" x14ac:dyDescent="0.25">
      <c r="A29" s="2" t="s">
        <v>19</v>
      </c>
      <c r="B29">
        <f>B28*0.85*B2*D28</f>
        <v>1305.5999999999999</v>
      </c>
      <c r="C29" t="s">
        <v>20</v>
      </c>
    </row>
    <row r="30" spans="1:21" x14ac:dyDescent="0.25">
      <c r="A30" s="2" t="s">
        <v>21</v>
      </c>
      <c r="B30">
        <f>B29*(B6/2)</f>
        <v>15667.199999999999</v>
      </c>
      <c r="C30" t="s">
        <v>23</v>
      </c>
    </row>
    <row r="31" spans="1:21" x14ac:dyDescent="0.25">
      <c r="A31" s="2" t="s">
        <v>22</v>
      </c>
      <c r="B31">
        <f>B29*(B5/2)</f>
        <v>10444.799999999999</v>
      </c>
      <c r="C31" t="s">
        <v>23</v>
      </c>
    </row>
    <row r="33" spans="1:30" x14ac:dyDescent="0.25">
      <c r="A33" s="2" t="s">
        <v>24</v>
      </c>
      <c r="C33" s="1" t="s">
        <v>70</v>
      </c>
      <c r="D33" s="1" t="s">
        <v>25</v>
      </c>
      <c r="E33" s="1" t="s">
        <v>26</v>
      </c>
      <c r="F33" s="1" t="s">
        <v>27</v>
      </c>
      <c r="S33" s="1" t="s">
        <v>70</v>
      </c>
      <c r="T33" s="1" t="s">
        <v>25</v>
      </c>
      <c r="U33" s="1" t="s">
        <v>26</v>
      </c>
      <c r="V33" s="1" t="s">
        <v>27</v>
      </c>
    </row>
    <row r="34" spans="1:30" x14ac:dyDescent="0.25">
      <c r="A34">
        <f>A13</f>
        <v>1</v>
      </c>
      <c r="B34" s="7">
        <f ca="1">C13</f>
        <v>0.79</v>
      </c>
      <c r="C34" s="6">
        <f>($B$10-((0.85*$B$2)*$D$28))</f>
        <v>56.6</v>
      </c>
      <c r="D34" s="6">
        <f ca="1">B34*C34</f>
        <v>44.714000000000006</v>
      </c>
      <c r="E34" s="6">
        <f ca="1">D34*E13</f>
        <v>139.73125000000002</v>
      </c>
      <c r="F34" s="6">
        <f ca="1">D34*D13</f>
        <v>139.73125000000002</v>
      </c>
      <c r="S34" s="6">
        <v>60</v>
      </c>
      <c r="T34" s="6">
        <f ca="1">B34*S34</f>
        <v>47.400000000000006</v>
      </c>
      <c r="U34" s="6">
        <f ca="1">T34*E13</f>
        <v>148.12500000000003</v>
      </c>
      <c r="V34" s="6">
        <f ca="1">T34*D13</f>
        <v>148.12500000000003</v>
      </c>
    </row>
    <row r="35" spans="1:30" x14ac:dyDescent="0.25">
      <c r="A35">
        <f t="shared" ref="A35:A45" si="0">A14</f>
        <v>2</v>
      </c>
      <c r="B35" s="7">
        <f t="shared" ref="B35:B45" ca="1" si="1">C14</f>
        <v>0.79</v>
      </c>
      <c r="C35" s="6">
        <f t="shared" ref="C35:C45" si="2">($B$10-((0.85*$B$2)*$D$28))</f>
        <v>56.6</v>
      </c>
      <c r="D35" s="6">
        <f t="shared" ref="D35:D45" ca="1" si="3">B35*C35</f>
        <v>44.714000000000006</v>
      </c>
      <c r="E35" s="6">
        <f t="shared" ref="E35:E45" ca="1" si="4">D35*E14</f>
        <v>139.73125000000002</v>
      </c>
      <c r="F35" s="6">
        <f t="shared" ref="F35:F45" ca="1" si="5">D35*D14</f>
        <v>357.71200000000005</v>
      </c>
      <c r="S35" s="6">
        <v>60</v>
      </c>
      <c r="T35" s="6">
        <f t="shared" ref="T35:T45" ca="1" si="6">B35*S35</f>
        <v>47.400000000000006</v>
      </c>
      <c r="U35" s="6">
        <f t="shared" ref="U35:U45" ca="1" si="7">T35*E14</f>
        <v>148.12500000000003</v>
      </c>
      <c r="V35" s="6">
        <f t="shared" ref="V35:V45" ca="1" si="8">T35*D14</f>
        <v>379.20000000000005</v>
      </c>
    </row>
    <row r="36" spans="1:30" x14ac:dyDescent="0.25">
      <c r="A36">
        <f t="shared" si="0"/>
        <v>3</v>
      </c>
      <c r="B36" s="7">
        <f t="shared" ca="1" si="1"/>
        <v>0.79</v>
      </c>
      <c r="C36" s="6">
        <f t="shared" si="2"/>
        <v>56.6</v>
      </c>
      <c r="D36" s="6">
        <f t="shared" ca="1" si="3"/>
        <v>44.714000000000006</v>
      </c>
      <c r="E36" s="6">
        <f t="shared" ca="1" si="4"/>
        <v>139.73125000000002</v>
      </c>
      <c r="F36" s="6">
        <f t="shared" ca="1" si="5"/>
        <v>575.69275000000005</v>
      </c>
      <c r="S36" s="6">
        <v>60</v>
      </c>
      <c r="T36" s="6">
        <f t="shared" ca="1" si="6"/>
        <v>47.400000000000006</v>
      </c>
      <c r="U36" s="6">
        <f t="shared" ca="1" si="7"/>
        <v>148.12500000000003</v>
      </c>
      <c r="V36" s="6">
        <f t="shared" ca="1" si="8"/>
        <v>610.27500000000009</v>
      </c>
    </row>
    <row r="37" spans="1:30" x14ac:dyDescent="0.25">
      <c r="A37">
        <f t="shared" si="0"/>
        <v>4</v>
      </c>
      <c r="B37" s="7">
        <f t="shared" ca="1" si="1"/>
        <v>0.79</v>
      </c>
      <c r="C37" s="6">
        <f t="shared" si="2"/>
        <v>56.6</v>
      </c>
      <c r="D37" s="6">
        <f t="shared" ca="1" si="3"/>
        <v>44.714000000000006</v>
      </c>
      <c r="E37" s="6">
        <f t="shared" ca="1" si="4"/>
        <v>404.28908333333345</v>
      </c>
      <c r="F37" s="6">
        <f t="shared" ca="1" si="5"/>
        <v>139.73125000000002</v>
      </c>
      <c r="S37" s="6">
        <v>60</v>
      </c>
      <c r="T37" s="6">
        <f t="shared" ca="1" si="6"/>
        <v>47.400000000000006</v>
      </c>
      <c r="U37" s="6">
        <f t="shared" ca="1" si="7"/>
        <v>428.5750000000001</v>
      </c>
      <c r="V37" s="6">
        <f t="shared" ca="1" si="8"/>
        <v>148.12500000000003</v>
      </c>
    </row>
    <row r="38" spans="1:30" x14ac:dyDescent="0.25">
      <c r="A38">
        <f t="shared" si="0"/>
        <v>5</v>
      </c>
      <c r="B38" s="7">
        <f t="shared" ca="1" si="1"/>
        <v>0.79</v>
      </c>
      <c r="C38" s="6">
        <f t="shared" si="2"/>
        <v>56.6</v>
      </c>
      <c r="D38" s="6">
        <f t="shared" ca="1" si="3"/>
        <v>44.714000000000006</v>
      </c>
      <c r="E38" s="6">
        <f t="shared" ca="1" si="4"/>
        <v>404.28908333333345</v>
      </c>
      <c r="F38" s="6">
        <f t="shared" ca="1" si="5"/>
        <v>575.69275000000005</v>
      </c>
      <c r="S38" s="6">
        <v>60</v>
      </c>
      <c r="T38" s="6">
        <f t="shared" ca="1" si="6"/>
        <v>47.400000000000006</v>
      </c>
      <c r="U38" s="6">
        <f t="shared" ca="1" si="7"/>
        <v>428.5750000000001</v>
      </c>
      <c r="V38" s="6">
        <f t="shared" ca="1" si="8"/>
        <v>610.27500000000009</v>
      </c>
    </row>
    <row r="39" spans="1:30" x14ac:dyDescent="0.25">
      <c r="A39">
        <f t="shared" si="0"/>
        <v>6</v>
      </c>
      <c r="B39" s="7">
        <f t="shared" ca="1" si="1"/>
        <v>0.79</v>
      </c>
      <c r="C39" s="6">
        <f t="shared" si="2"/>
        <v>56.6</v>
      </c>
      <c r="D39" s="6">
        <f t="shared" ca="1" si="3"/>
        <v>44.714000000000006</v>
      </c>
      <c r="E39" s="6">
        <f t="shared" ca="1" si="4"/>
        <v>668.84691666666674</v>
      </c>
      <c r="F39" s="6">
        <f t="shared" ca="1" si="5"/>
        <v>139.73125000000002</v>
      </c>
      <c r="S39" s="6">
        <v>60</v>
      </c>
      <c r="T39" s="6">
        <f t="shared" ca="1" si="6"/>
        <v>47.400000000000006</v>
      </c>
      <c r="U39" s="6">
        <f t="shared" ca="1" si="7"/>
        <v>709.02500000000009</v>
      </c>
      <c r="V39" s="6">
        <f t="shared" ca="1" si="8"/>
        <v>148.12500000000003</v>
      </c>
    </row>
    <row r="40" spans="1:30" x14ac:dyDescent="0.25">
      <c r="A40">
        <f t="shared" si="0"/>
        <v>7</v>
      </c>
      <c r="B40" s="7">
        <f t="shared" ca="1" si="1"/>
        <v>0.79</v>
      </c>
      <c r="C40" s="6">
        <f t="shared" si="2"/>
        <v>56.6</v>
      </c>
      <c r="D40" s="6">
        <f t="shared" ca="1" si="3"/>
        <v>44.714000000000006</v>
      </c>
      <c r="E40" s="6">
        <f ca="1">D40*E19</f>
        <v>668.84691666666674</v>
      </c>
      <c r="F40" s="6">
        <f t="shared" ca="1" si="5"/>
        <v>575.69275000000005</v>
      </c>
      <c r="S40" s="6">
        <v>60</v>
      </c>
      <c r="T40" s="6">
        <f t="shared" ca="1" si="6"/>
        <v>47.400000000000006</v>
      </c>
      <c r="U40" s="6">
        <f t="shared" ca="1" si="7"/>
        <v>709.02500000000009</v>
      </c>
      <c r="V40" s="6">
        <f t="shared" ca="1" si="8"/>
        <v>610.27500000000009</v>
      </c>
    </row>
    <row r="41" spans="1:30" x14ac:dyDescent="0.25">
      <c r="A41">
        <f t="shared" si="0"/>
        <v>8</v>
      </c>
      <c r="B41" s="7">
        <f t="shared" ca="1" si="1"/>
        <v>0.79</v>
      </c>
      <c r="C41" s="6">
        <f t="shared" si="2"/>
        <v>56.6</v>
      </c>
      <c r="D41" s="6">
        <f t="shared" ca="1" si="3"/>
        <v>44.714000000000006</v>
      </c>
      <c r="E41" s="6">
        <f t="shared" ca="1" si="4"/>
        <v>933.40475000000015</v>
      </c>
      <c r="F41" s="6">
        <f t="shared" ca="1" si="5"/>
        <v>139.73125000000002</v>
      </c>
      <c r="S41" s="6">
        <v>60</v>
      </c>
      <c r="T41" s="6">
        <f t="shared" ca="1" si="6"/>
        <v>47.400000000000006</v>
      </c>
      <c r="U41" s="6">
        <f t="shared" ca="1" si="7"/>
        <v>989.47500000000014</v>
      </c>
      <c r="V41" s="6">
        <f t="shared" ca="1" si="8"/>
        <v>148.12500000000003</v>
      </c>
    </row>
    <row r="42" spans="1:30" x14ac:dyDescent="0.25">
      <c r="A42">
        <f t="shared" si="0"/>
        <v>9</v>
      </c>
      <c r="B42" s="7">
        <f t="shared" ca="1" si="1"/>
        <v>0.79</v>
      </c>
      <c r="C42" s="6">
        <f t="shared" si="2"/>
        <v>56.6</v>
      </c>
      <c r="D42" s="6">
        <f t="shared" ca="1" si="3"/>
        <v>44.714000000000006</v>
      </c>
      <c r="E42" s="6">
        <f t="shared" ca="1" si="4"/>
        <v>933.40475000000015</v>
      </c>
      <c r="F42" s="6">
        <f t="shared" ca="1" si="5"/>
        <v>357.71200000000005</v>
      </c>
      <c r="S42" s="6">
        <v>60</v>
      </c>
      <c r="T42" s="6">
        <f t="shared" ca="1" si="6"/>
        <v>47.400000000000006</v>
      </c>
      <c r="U42" s="6">
        <f t="shared" ca="1" si="7"/>
        <v>989.47500000000014</v>
      </c>
      <c r="V42" s="6">
        <f t="shared" ca="1" si="8"/>
        <v>379.20000000000005</v>
      </c>
    </row>
    <row r="43" spans="1:30" x14ac:dyDescent="0.25">
      <c r="A43">
        <f t="shared" si="0"/>
        <v>10</v>
      </c>
      <c r="B43" s="7">
        <f t="shared" ca="1" si="1"/>
        <v>0.79</v>
      </c>
      <c r="C43" s="6">
        <f t="shared" si="2"/>
        <v>56.6</v>
      </c>
      <c r="D43" s="6">
        <f t="shared" ca="1" si="3"/>
        <v>44.714000000000006</v>
      </c>
      <c r="E43" s="6">
        <f t="shared" ca="1" si="4"/>
        <v>933.40475000000015</v>
      </c>
      <c r="F43" s="6">
        <f t="shared" ca="1" si="5"/>
        <v>575.69275000000005</v>
      </c>
      <c r="S43" s="6">
        <v>60</v>
      </c>
      <c r="T43" s="6">
        <f t="shared" ca="1" si="6"/>
        <v>47.400000000000006</v>
      </c>
      <c r="U43" s="6">
        <f t="shared" ca="1" si="7"/>
        <v>989.47500000000014</v>
      </c>
      <c r="V43" s="6">
        <f t="shared" ca="1" si="8"/>
        <v>610.27500000000009</v>
      </c>
    </row>
    <row r="44" spans="1:30" x14ac:dyDescent="0.25">
      <c r="A44">
        <f t="shared" si="0"/>
        <v>11</v>
      </c>
      <c r="B44" s="7">
        <f t="shared" ca="1" si="1"/>
        <v>0</v>
      </c>
      <c r="C44" s="6">
        <f t="shared" si="2"/>
        <v>56.6</v>
      </c>
      <c r="D44" s="6">
        <f t="shared" ca="1" si="3"/>
        <v>0</v>
      </c>
      <c r="E44" s="6">
        <f t="shared" ca="1" si="4"/>
        <v>0</v>
      </c>
      <c r="F44" s="6">
        <f t="shared" ca="1" si="5"/>
        <v>0</v>
      </c>
      <c r="S44" s="6">
        <v>60</v>
      </c>
      <c r="T44" s="6">
        <f t="shared" ca="1" si="6"/>
        <v>0</v>
      </c>
      <c r="U44" s="6">
        <f t="shared" ca="1" si="7"/>
        <v>0</v>
      </c>
      <c r="V44" s="6">
        <f t="shared" ca="1" si="8"/>
        <v>0</v>
      </c>
    </row>
    <row r="45" spans="1:30" ht="15.75" thickBot="1" x14ac:dyDescent="0.3">
      <c r="A45">
        <f t="shared" si="0"/>
        <v>12</v>
      </c>
      <c r="B45" s="7">
        <f t="shared" ca="1" si="1"/>
        <v>0</v>
      </c>
      <c r="C45" s="6">
        <f t="shared" si="2"/>
        <v>56.6</v>
      </c>
      <c r="D45" s="23">
        <f t="shared" ca="1" si="3"/>
        <v>0</v>
      </c>
      <c r="E45" s="23">
        <f t="shared" ca="1" si="4"/>
        <v>0</v>
      </c>
      <c r="F45" s="23">
        <f t="shared" ca="1" si="5"/>
        <v>0</v>
      </c>
      <c r="S45" s="6">
        <v>60</v>
      </c>
      <c r="T45" s="6">
        <f t="shared" ca="1" si="6"/>
        <v>0</v>
      </c>
      <c r="U45" s="6">
        <f t="shared" ca="1" si="7"/>
        <v>0</v>
      </c>
      <c r="V45" s="6">
        <f t="shared" ca="1" si="8"/>
        <v>0</v>
      </c>
    </row>
    <row r="46" spans="1:30" ht="15.75" thickTop="1" x14ac:dyDescent="0.25">
      <c r="C46" s="6"/>
      <c r="D46" s="6">
        <f ca="1">SUM(D34:D45)</f>
        <v>447.14000000000004</v>
      </c>
      <c r="E46" s="6">
        <f t="shared" ref="E46:F46" ca="1" si="9">SUM(E34:E45)</f>
        <v>5365.68</v>
      </c>
      <c r="F46" s="6">
        <f t="shared" ca="1" si="9"/>
        <v>3577.12</v>
      </c>
      <c r="S46" s="6"/>
      <c r="T46" s="6">
        <f ca="1">SUM(T34:T45)</f>
        <v>474</v>
      </c>
      <c r="U46" s="6">
        <f t="shared" ref="U46:V46" ca="1" si="10">SUM(U34:U45)</f>
        <v>5688.0000000000018</v>
      </c>
      <c r="V46" s="6">
        <f t="shared" ca="1" si="10"/>
        <v>3792.0000000000005</v>
      </c>
    </row>
    <row r="47" spans="1:30" x14ac:dyDescent="0.25">
      <c r="U47" t="s">
        <v>172</v>
      </c>
      <c r="V47" t="s">
        <v>173</v>
      </c>
      <c r="AC47" s="1" t="s">
        <v>119</v>
      </c>
      <c r="AD47" s="1" t="s">
        <v>74</v>
      </c>
    </row>
    <row r="48" spans="1:30" x14ac:dyDescent="0.25">
      <c r="A48" s="2" t="s">
        <v>28</v>
      </c>
      <c r="B48" s="6">
        <f ca="1">B29+D46</f>
        <v>1752.74</v>
      </c>
      <c r="D48" t="s">
        <v>31</v>
      </c>
      <c r="E48" t="s">
        <v>32</v>
      </c>
      <c r="U48" s="7">
        <f ca="1">V46/T46</f>
        <v>8.0000000000000018</v>
      </c>
      <c r="V48" s="7">
        <f ca="1">U46/T46</f>
        <v>12.000000000000004</v>
      </c>
      <c r="AC48">
        <v>1E-4</v>
      </c>
      <c r="AD48">
        <v>-511.47999996574822</v>
      </c>
    </row>
    <row r="49" spans="1:30" x14ac:dyDescent="0.25">
      <c r="A49" s="2" t="s">
        <v>29</v>
      </c>
      <c r="B49" s="6">
        <f ca="1">E46+B30</f>
        <v>21032.879999999997</v>
      </c>
      <c r="D49" s="1">
        <f ca="1">B50/B48</f>
        <v>7.9999999999999991</v>
      </c>
      <c r="E49" s="4">
        <f ca="1">B49/B48</f>
        <v>11.999999999999998</v>
      </c>
      <c r="AC49">
        <v>0.84846400599152683</v>
      </c>
      <c r="AD49">
        <v>-509.0142463865194</v>
      </c>
    </row>
    <row r="50" spans="1:30" x14ac:dyDescent="0.25">
      <c r="A50" s="2" t="s">
        <v>30</v>
      </c>
      <c r="B50" s="6">
        <f ca="1">F46+B31</f>
        <v>14021.919999999998</v>
      </c>
      <c r="AC50">
        <v>1.6968280119830537</v>
      </c>
      <c r="AD50">
        <v>-501.61814796708427</v>
      </c>
    </row>
    <row r="51" spans="1:30" x14ac:dyDescent="0.25">
      <c r="AC51">
        <v>2.5451920179745806</v>
      </c>
      <c r="AD51">
        <v>-481.14919045340156</v>
      </c>
    </row>
    <row r="52" spans="1:30" x14ac:dyDescent="0.25">
      <c r="A52" s="25" t="s">
        <v>34</v>
      </c>
      <c r="AC52">
        <v>3.3935560239661076</v>
      </c>
      <c r="AD52">
        <v>-423.92395872645216</v>
      </c>
    </row>
    <row r="53" spans="1:30" x14ac:dyDescent="0.25">
      <c r="A53" s="2" t="s">
        <v>36</v>
      </c>
      <c r="B53" s="32">
        <v>1.129639967958934</v>
      </c>
      <c r="C53" t="s">
        <v>136</v>
      </c>
      <c r="F53">
        <f>B53-360</f>
        <v>-358.87036003204105</v>
      </c>
      <c r="AC53">
        <v>4.2419200299576341</v>
      </c>
      <c r="AD53">
        <v>-377.75538272001813</v>
      </c>
    </row>
    <row r="54" spans="1:30" x14ac:dyDescent="0.25">
      <c r="AC54">
        <v>5.0902840359491615</v>
      </c>
      <c r="AD54">
        <v>-334.65011918820323</v>
      </c>
    </row>
    <row r="55" spans="1:30" x14ac:dyDescent="0.25">
      <c r="A55" s="2" t="s">
        <v>16</v>
      </c>
      <c r="AC55">
        <v>5.938648041940688</v>
      </c>
      <c r="AD55">
        <v>-273.62580501049058</v>
      </c>
    </row>
    <row r="56" spans="1:30" x14ac:dyDescent="0.25">
      <c r="A56" s="1" t="s">
        <v>0</v>
      </c>
      <c r="B56" s="1" t="s">
        <v>1</v>
      </c>
      <c r="C56" s="1" t="s">
        <v>37</v>
      </c>
      <c r="D56" s="1" t="s">
        <v>38</v>
      </c>
      <c r="AC56">
        <v>6.7870120479322145</v>
      </c>
      <c r="AD56">
        <v>-209.88208545196227</v>
      </c>
    </row>
    <row r="57" spans="1:30" x14ac:dyDescent="0.25">
      <c r="A57" s="6">
        <f ca="1">D3-$D$49</f>
        <v>-7.9999999999999991</v>
      </c>
      <c r="B57" s="7">
        <f ca="1">E3-$E$49</f>
        <v>-11.999999999999998</v>
      </c>
      <c r="C57" s="4">
        <f ca="1">A57*COS($B$53)+B57*SIN($B$53)</f>
        <v>-14.266985415868973</v>
      </c>
      <c r="D57" s="4">
        <f ca="1">-1*A57*SIN($B$53)+B57*COS($B$53)</f>
        <v>2.1102433848686672</v>
      </c>
      <c r="F57" t="s">
        <v>39</v>
      </c>
      <c r="G57">
        <f ca="1">MAX(D57:D61)-MIN(D57:D61)</f>
        <v>24.715785856320672</v>
      </c>
      <c r="H57" t="s">
        <v>6</v>
      </c>
      <c r="T57" t="s">
        <v>79</v>
      </c>
      <c r="AC57">
        <v>7.6353760539237419</v>
      </c>
      <c r="AD57">
        <v>-147.15584362017046</v>
      </c>
    </row>
    <row r="58" spans="1:30" x14ac:dyDescent="0.25">
      <c r="A58" s="6">
        <f ca="1">D4-$D$49</f>
        <v>8</v>
      </c>
      <c r="B58" s="7">
        <f t="shared" ref="B58:B61" ca="1" si="11">E4-$E$49</f>
        <v>-11.999999999999998</v>
      </c>
      <c r="C58" s="4">
        <f t="shared" ref="C58:C61" ca="1" si="12">A58*COS($B$53)+B58*SIN($B$53)</f>
        <v>-7.435219053674528</v>
      </c>
      <c r="D58" s="4">
        <f t="shared" ref="D58:D61" ca="1" si="13">-1*A58*SIN($B$53)+B58*COS($B$53)</f>
        <v>-12.357892928160336</v>
      </c>
      <c r="F58" t="s">
        <v>61</v>
      </c>
      <c r="G58" s="7">
        <f ca="1">MAX(D57:D61)</f>
        <v>12.357892928160336</v>
      </c>
      <c r="T58" t="s">
        <v>0</v>
      </c>
      <c r="U58" t="s">
        <v>1</v>
      </c>
      <c r="AC58">
        <v>8.4837400599152684</v>
      </c>
      <c r="AD58">
        <v>-71.527273923512126</v>
      </c>
    </row>
    <row r="59" spans="1:30" x14ac:dyDescent="0.25">
      <c r="A59" s="6">
        <f ca="1">D5-$D$49</f>
        <v>8</v>
      </c>
      <c r="B59" s="7">
        <f t="shared" ca="1" si="11"/>
        <v>12.000000000000002</v>
      </c>
      <c r="C59" s="4">
        <f t="shared" ca="1" si="12"/>
        <v>14.266985415868977</v>
      </c>
      <c r="D59" s="4">
        <f t="shared" ca="1" si="13"/>
        <v>-2.1102433848686664</v>
      </c>
      <c r="T59">
        <f ca="1">MAX(MAX(C57:C61),MAX(D57:D61))</f>
        <v>14.266985415868977</v>
      </c>
      <c r="U59">
        <f ca="1">T59</f>
        <v>14.266985415868977</v>
      </c>
      <c r="AC59">
        <v>9.3321040659067958</v>
      </c>
      <c r="AD59">
        <v>8.0394099633140996</v>
      </c>
    </row>
    <row r="60" spans="1:30" x14ac:dyDescent="0.25">
      <c r="A60" s="6">
        <f ca="1">D6-$D$49</f>
        <v>-7.9999999999999991</v>
      </c>
      <c r="B60" s="7">
        <f t="shared" ca="1" si="11"/>
        <v>12.000000000000002</v>
      </c>
      <c r="C60" s="4">
        <f t="shared" ca="1" si="12"/>
        <v>7.4352190536745306</v>
      </c>
      <c r="D60" s="4">
        <f t="shared" ca="1" si="13"/>
        <v>12.357892928160336</v>
      </c>
      <c r="T60">
        <f ca="1">-1*T59</f>
        <v>-14.266985415868977</v>
      </c>
      <c r="U60">
        <f ca="1">-1*U59</f>
        <v>-14.266985415868977</v>
      </c>
      <c r="AC60">
        <v>10.180468071898321</v>
      </c>
      <c r="AD60">
        <v>85.994597556448355</v>
      </c>
    </row>
    <row r="61" spans="1:30" x14ac:dyDescent="0.25">
      <c r="A61" s="6">
        <f ca="1">D7-$D$49</f>
        <v>-7.9999999999999991</v>
      </c>
      <c r="B61" s="7">
        <f t="shared" ca="1" si="11"/>
        <v>-11.999999999999998</v>
      </c>
      <c r="C61" s="4">
        <f t="shared" ca="1" si="12"/>
        <v>-14.266985415868973</v>
      </c>
      <c r="D61" s="4">
        <f t="shared" ca="1" si="13"/>
        <v>2.1102433848686672</v>
      </c>
      <c r="AC61">
        <v>11.028832077889849</v>
      </c>
      <c r="AD61">
        <v>156.79029312164562</v>
      </c>
    </row>
    <row r="62" spans="1:30" x14ac:dyDescent="0.25">
      <c r="A62" s="6"/>
      <c r="AC62">
        <v>11.877196083881376</v>
      </c>
      <c r="AD62">
        <v>225.26442853695733</v>
      </c>
    </row>
    <row r="63" spans="1:30" x14ac:dyDescent="0.25">
      <c r="A63" s="26" t="s">
        <v>24</v>
      </c>
      <c r="F63" s="1" t="s">
        <v>37</v>
      </c>
      <c r="G63" s="1" t="s">
        <v>38</v>
      </c>
      <c r="AC63">
        <v>12.725560089872902</v>
      </c>
      <c r="AD63">
        <v>289.74523792278285</v>
      </c>
    </row>
    <row r="64" spans="1:30" x14ac:dyDescent="0.25">
      <c r="A64" s="8">
        <f t="shared" ref="A64:C75" si="14">A13</f>
        <v>1</v>
      </c>
      <c r="B64" s="6">
        <f t="shared" si="14"/>
        <v>8</v>
      </c>
      <c r="C64" s="6">
        <f t="shared" ca="1" si="14"/>
        <v>0.79</v>
      </c>
      <c r="D64" s="6">
        <f ca="1">D13-$D$49</f>
        <v>-4.8749999999999991</v>
      </c>
      <c r="E64" s="6">
        <f ca="1">E13-$E$49</f>
        <v>-8.8749999999999982</v>
      </c>
      <c r="F64" s="4">
        <f ca="1">IF(C64&gt;0,D64*COS($B$53)+E64*SIN($B$53),0)</f>
        <v>-10.106848174614393</v>
      </c>
      <c r="G64" s="4">
        <f ca="1">IF(C64&gt;0,-1*D64*SIN($B$53)+E64*COS($B$53),0)</f>
        <v>0.61876487884629228</v>
      </c>
      <c r="AC64">
        <v>13.573924095864429</v>
      </c>
      <c r="AD64">
        <v>357.56913058445247</v>
      </c>
    </row>
    <row r="65" spans="1:30" x14ac:dyDescent="0.25">
      <c r="A65" s="8">
        <f t="shared" si="14"/>
        <v>2</v>
      </c>
      <c r="B65" s="6">
        <f t="shared" si="14"/>
        <v>8</v>
      </c>
      <c r="C65" s="6">
        <f t="shared" ca="1" si="14"/>
        <v>0.79</v>
      </c>
      <c r="D65" s="6">
        <f t="shared" ref="D65:D75" ca="1" si="15">D14-$D$49</f>
        <v>0</v>
      </c>
      <c r="E65" s="6">
        <f t="shared" ref="E65:E75" ca="1" si="16">E14-$E$49</f>
        <v>-8.8749999999999982</v>
      </c>
      <c r="F65" s="4">
        <f t="shared" ref="F65:F75" ca="1" si="17">IF(C65&gt;0,D65*COS($B$53)+E65*SIN($B$53),0)</f>
        <v>-8.0252943611332732</v>
      </c>
      <c r="G65" s="4">
        <f t="shared" ref="G65:G75" ca="1" si="18">IF(C65&gt;0,-1*D65*SIN($B$53)+E65*COS($B$53),0)</f>
        <v>-3.7894954040297311</v>
      </c>
      <c r="S65" t="s">
        <v>161</v>
      </c>
      <c r="T65">
        <f ca="1">(MIN(E98:E109)*B96)/(0.002-B96)</f>
        <v>-12.480411723763739</v>
      </c>
      <c r="AC65">
        <v>14.422288101855957</v>
      </c>
      <c r="AD65">
        <v>420.94762248794086</v>
      </c>
    </row>
    <row r="66" spans="1:30" x14ac:dyDescent="0.25">
      <c r="A66" s="8">
        <f t="shared" si="14"/>
        <v>3</v>
      </c>
      <c r="B66" s="6">
        <f t="shared" si="14"/>
        <v>8</v>
      </c>
      <c r="C66" s="6">
        <f t="shared" ca="1" si="14"/>
        <v>0.79</v>
      </c>
      <c r="D66" s="6">
        <f t="shared" ca="1" si="15"/>
        <v>4.8750000000000009</v>
      </c>
      <c r="E66" s="6">
        <f t="shared" ca="1" si="16"/>
        <v>-8.8749999999999982</v>
      </c>
      <c r="F66" s="4">
        <f t="shared" ca="1" si="17"/>
        <v>-5.943740547652153</v>
      </c>
      <c r="G66" s="4">
        <f t="shared" ca="1" si="18"/>
        <v>-8.1977556869057562</v>
      </c>
      <c r="S66" t="s">
        <v>160</v>
      </c>
      <c r="T66">
        <f ca="1">(MAX(E98:E109)*B96)/(0.002-B96)</f>
        <v>-61.666945845198271</v>
      </c>
      <c r="AC66">
        <v>15.270652107847484</v>
      </c>
      <c r="AD66">
        <v>480.52826342919457</v>
      </c>
    </row>
    <row r="67" spans="1:30" x14ac:dyDescent="0.25">
      <c r="A67" s="8">
        <f t="shared" si="14"/>
        <v>4</v>
      </c>
      <c r="B67" s="6">
        <f t="shared" si="14"/>
        <v>8</v>
      </c>
      <c r="C67" s="6">
        <f t="shared" ca="1" si="14"/>
        <v>0.79</v>
      </c>
      <c r="D67" s="6">
        <f t="shared" ca="1" si="15"/>
        <v>-4.8749999999999991</v>
      </c>
      <c r="E67" s="6">
        <f t="shared" ca="1" si="16"/>
        <v>-2.9583333333333304</v>
      </c>
      <c r="F67" s="4">
        <f t="shared" ca="1" si="17"/>
        <v>-4.7566519338588753</v>
      </c>
      <c r="G67" s="4">
        <f t="shared" ca="1" si="18"/>
        <v>3.1450951481994474</v>
      </c>
      <c r="S67" t="s">
        <v>156</v>
      </c>
      <c r="T67" s="7">
        <f ca="1">G57</f>
        <v>24.715785856320672</v>
      </c>
      <c r="AC67">
        <v>16.11901611383901</v>
      </c>
      <c r="AD67">
        <v>554.50569764896204</v>
      </c>
    </row>
    <row r="68" spans="1:30" x14ac:dyDescent="0.25">
      <c r="A68" s="8">
        <f t="shared" si="14"/>
        <v>5</v>
      </c>
      <c r="B68" s="6">
        <f t="shared" si="14"/>
        <v>8</v>
      </c>
      <c r="C68" s="6">
        <f t="shared" ca="1" si="14"/>
        <v>0.79</v>
      </c>
      <c r="D68" s="6">
        <f t="shared" ca="1" si="15"/>
        <v>4.8750000000000009</v>
      </c>
      <c r="E68" s="6">
        <f t="shared" ca="1" si="16"/>
        <v>-2.9583333333333304</v>
      </c>
      <c r="F68" s="4">
        <f t="shared" ca="1" si="17"/>
        <v>-0.59354430689663484</v>
      </c>
      <c r="G68" s="4">
        <f t="shared" ca="1" si="18"/>
        <v>-5.6714254175526015</v>
      </c>
      <c r="S68" t="s">
        <v>155</v>
      </c>
      <c r="T68">
        <f ca="1">(MAX(E98:E109)*B96)/(-0.002-B96)</f>
        <v>-12.333389169039654</v>
      </c>
      <c r="AC68">
        <v>16.967380119830537</v>
      </c>
      <c r="AD68">
        <v>631.19785127691489</v>
      </c>
    </row>
    <row r="69" spans="1:30" x14ac:dyDescent="0.25">
      <c r="A69" s="8">
        <f t="shared" si="14"/>
        <v>6</v>
      </c>
      <c r="B69" s="6">
        <f t="shared" si="14"/>
        <v>8</v>
      </c>
      <c r="C69" s="6">
        <f t="shared" ca="1" si="14"/>
        <v>0.79</v>
      </c>
      <c r="D69" s="6">
        <f t="shared" ca="1" si="15"/>
        <v>-4.8749999999999991</v>
      </c>
      <c r="E69" s="6">
        <f t="shared" ca="1" si="16"/>
        <v>2.9583333333333357</v>
      </c>
      <c r="F69" s="4">
        <f t="shared" ca="1" si="17"/>
        <v>0.59354430689664062</v>
      </c>
      <c r="G69" s="4">
        <f t="shared" ca="1" si="18"/>
        <v>5.6714254175526015</v>
      </c>
      <c r="S69" t="s">
        <v>157</v>
      </c>
      <c r="T69">
        <f ca="1">(MAX(E98:E109)*B96)/(-0.005-B96)</f>
        <v>-7.7083682306497838</v>
      </c>
      <c r="AC69">
        <v>17.815744125822064</v>
      </c>
      <c r="AD69">
        <v>709.57150994149004</v>
      </c>
    </row>
    <row r="70" spans="1:30" x14ac:dyDescent="0.25">
      <c r="A70" s="8">
        <f t="shared" si="14"/>
        <v>7</v>
      </c>
      <c r="B70" s="6">
        <f t="shared" si="14"/>
        <v>8</v>
      </c>
      <c r="C70" s="6">
        <f t="shared" ca="1" si="14"/>
        <v>0.79</v>
      </c>
      <c r="D70" s="6">
        <f t="shared" ca="1" si="15"/>
        <v>4.8750000000000009</v>
      </c>
      <c r="E70" s="6">
        <f t="shared" ca="1" si="16"/>
        <v>2.9583333333333357</v>
      </c>
      <c r="F70" s="4">
        <f t="shared" ca="1" si="17"/>
        <v>4.7566519338588815</v>
      </c>
      <c r="G70" s="4">
        <f t="shared" ca="1" si="18"/>
        <v>-3.1450951481994469</v>
      </c>
      <c r="S70" t="s">
        <v>159</v>
      </c>
      <c r="T70">
        <f ca="1">(MIN(E98:E109)*B96)/(-0.002-B96)</f>
        <v>-2.4960823447527476</v>
      </c>
      <c r="AC70">
        <v>18.664108131813592</v>
      </c>
      <c r="AD70">
        <v>786.36741593930969</v>
      </c>
    </row>
    <row r="71" spans="1:30" x14ac:dyDescent="0.25">
      <c r="A71" s="8">
        <f t="shared" si="14"/>
        <v>8</v>
      </c>
      <c r="B71" s="6">
        <f t="shared" si="14"/>
        <v>8</v>
      </c>
      <c r="C71" s="6">
        <f t="shared" ca="1" si="14"/>
        <v>0.79</v>
      </c>
      <c r="D71" s="6">
        <f t="shared" ca="1" si="15"/>
        <v>-4.8749999999999991</v>
      </c>
      <c r="E71" s="6">
        <f t="shared" ca="1" si="16"/>
        <v>8.8750000000000018</v>
      </c>
      <c r="F71" s="4">
        <f t="shared" ca="1" si="17"/>
        <v>5.9437405476521565</v>
      </c>
      <c r="G71" s="4">
        <f t="shared" ca="1" si="18"/>
        <v>8.1977556869057562</v>
      </c>
      <c r="S71" t="s">
        <v>162</v>
      </c>
      <c r="T71">
        <f ca="1">(MIN(E98:E109)*B96)/((-1*B10/B11)-B96)</f>
        <v>-2.4621220407425062</v>
      </c>
      <c r="AC71">
        <v>19.512472137805116</v>
      </c>
      <c r="AD71">
        <v>861.79136204179383</v>
      </c>
    </row>
    <row r="72" spans="1:30" x14ac:dyDescent="0.25">
      <c r="A72" s="8">
        <f t="shared" si="14"/>
        <v>9</v>
      </c>
      <c r="B72" s="6">
        <f t="shared" si="14"/>
        <v>8</v>
      </c>
      <c r="C72" s="6">
        <f t="shared" ca="1" si="14"/>
        <v>0.79</v>
      </c>
      <c r="D72" s="6">
        <f t="shared" ca="1" si="15"/>
        <v>0</v>
      </c>
      <c r="E72" s="6">
        <f t="shared" ca="1" si="16"/>
        <v>8.8750000000000018</v>
      </c>
      <c r="F72" s="4">
        <f t="shared" ca="1" si="17"/>
        <v>8.0252943611332768</v>
      </c>
      <c r="G72" s="4">
        <f t="shared" ca="1" si="18"/>
        <v>3.7894954040297324</v>
      </c>
      <c r="AC72">
        <v>20.360836143796643</v>
      </c>
      <c r="AD72">
        <v>936.0148423935816</v>
      </c>
    </row>
    <row r="73" spans="1:30" x14ac:dyDescent="0.25">
      <c r="A73" s="8">
        <f t="shared" si="14"/>
        <v>10</v>
      </c>
      <c r="B73" s="6">
        <f t="shared" si="14"/>
        <v>8</v>
      </c>
      <c r="C73" s="6">
        <f t="shared" ca="1" si="14"/>
        <v>0.79</v>
      </c>
      <c r="D73" s="6">
        <f t="shared" ca="1" si="15"/>
        <v>4.8750000000000009</v>
      </c>
      <c r="E73" s="6">
        <f t="shared" ca="1" si="16"/>
        <v>8.8750000000000018</v>
      </c>
      <c r="F73" s="4">
        <f t="shared" ca="1" si="17"/>
        <v>10.106848174614397</v>
      </c>
      <c r="G73" s="4">
        <f t="shared" ca="1" si="18"/>
        <v>-0.61876487884629272</v>
      </c>
      <c r="AC73">
        <v>21.20920014978817</v>
      </c>
      <c r="AD73">
        <v>1005.6735372055418</v>
      </c>
    </row>
    <row r="74" spans="1:30" x14ac:dyDescent="0.25">
      <c r="A74" s="8">
        <f t="shared" si="14"/>
        <v>11</v>
      </c>
      <c r="B74" s="6">
        <f t="shared" si="14"/>
        <v>0</v>
      </c>
      <c r="C74" s="6">
        <f t="shared" ca="1" si="14"/>
        <v>0</v>
      </c>
      <c r="D74" s="6">
        <f t="shared" ca="1" si="15"/>
        <v>-7.9999999999999991</v>
      </c>
      <c r="E74" s="6">
        <f t="shared" ca="1" si="16"/>
        <v>-11.999999999999998</v>
      </c>
      <c r="F74" s="4">
        <f t="shared" ca="1" si="17"/>
        <v>0</v>
      </c>
      <c r="G74" s="4">
        <f t="shared" ca="1" si="18"/>
        <v>0</v>
      </c>
      <c r="AC74">
        <v>22.057564155779698</v>
      </c>
      <c r="AD74">
        <v>1077.9060894488857</v>
      </c>
    </row>
    <row r="75" spans="1:30" x14ac:dyDescent="0.25">
      <c r="A75" s="8">
        <f t="shared" si="14"/>
        <v>12</v>
      </c>
      <c r="B75" s="6">
        <f t="shared" si="14"/>
        <v>0</v>
      </c>
      <c r="C75" s="6">
        <f t="shared" ca="1" si="14"/>
        <v>0</v>
      </c>
      <c r="D75" s="6">
        <f t="shared" ca="1" si="15"/>
        <v>-7.9999999999999991</v>
      </c>
      <c r="E75" s="6">
        <f t="shared" ca="1" si="16"/>
        <v>-11.999999999999998</v>
      </c>
      <c r="F75" s="4">
        <f t="shared" ca="1" si="17"/>
        <v>0</v>
      </c>
      <c r="G75" s="4">
        <f t="shared" ca="1" si="18"/>
        <v>0</v>
      </c>
      <c r="AC75">
        <v>22.905928161771225</v>
      </c>
      <c r="AD75">
        <v>1149.3079589557024</v>
      </c>
    </row>
    <row r="76" spans="1:30" x14ac:dyDescent="0.25">
      <c r="G76" s="7">
        <f ca="1">MIN(G64:G75)</f>
        <v>-8.1977556869057562</v>
      </c>
      <c r="AC76">
        <v>23.754292167762753</v>
      </c>
      <c r="AD76">
        <v>1218.723444480265</v>
      </c>
    </row>
    <row r="77" spans="1:30" x14ac:dyDescent="0.25">
      <c r="D77" t="s">
        <v>0</v>
      </c>
      <c r="E77" t="s">
        <v>1</v>
      </c>
      <c r="AC77">
        <v>24.60265617375428</v>
      </c>
      <c r="AD77">
        <v>1283.9609792646324</v>
      </c>
    </row>
    <row r="78" spans="1:30" x14ac:dyDescent="0.25">
      <c r="A78" s="2" t="s">
        <v>40</v>
      </c>
      <c r="B78" s="80">
        <v>12.915718198046569</v>
      </c>
      <c r="C78" t="s">
        <v>6</v>
      </c>
      <c r="D78" s="4">
        <f ca="1">MIN(C57:C61)</f>
        <v>-14.266985415868973</v>
      </c>
      <c r="E78" s="4">
        <f ca="1">MAX(D57:D61)-B78</f>
        <v>-0.5578252698862336</v>
      </c>
      <c r="F78" s="2" t="s">
        <v>165</v>
      </c>
      <c r="G78" s="1">
        <f ca="1">B78/G57</f>
        <v>0.52256959471687514</v>
      </c>
      <c r="S78" s="7">
        <f ca="1">S79</f>
        <v>-12.357892928160336</v>
      </c>
      <c r="T78">
        <v>0</v>
      </c>
      <c r="AC78">
        <v>25.451020179745804</v>
      </c>
      <c r="AD78">
        <v>1345.0392487446311</v>
      </c>
    </row>
    <row r="79" spans="1:30" x14ac:dyDescent="0.25">
      <c r="A79" s="2"/>
      <c r="D79" s="4">
        <f ca="1">MAX(C57:C61)</f>
        <v>14.266985415868977</v>
      </c>
      <c r="E79" s="4">
        <f ca="1">E78</f>
        <v>-0.5578252698862336</v>
      </c>
      <c r="S79" s="7">
        <f ca="1">MIN(D57:D61)</f>
        <v>-12.357892928160336</v>
      </c>
      <c r="T79" s="7">
        <f ca="1">((B78-(S80-S79))/B78)*B96</f>
        <v>-2.7408621365071586E-3</v>
      </c>
      <c r="U79">
        <v>0</v>
      </c>
      <c r="AC79">
        <v>26.299384185737331</v>
      </c>
      <c r="AD79">
        <v>1402.0161682514208</v>
      </c>
    </row>
    <row r="80" spans="1:30" x14ac:dyDescent="0.25">
      <c r="A80" s="2"/>
      <c r="S80" s="7">
        <f ca="1">MAX(D57:D61)</f>
        <v>12.357892928160336</v>
      </c>
      <c r="T80">
        <f>B96</f>
        <v>3.0000000000000001E-3</v>
      </c>
      <c r="U80">
        <v>0</v>
      </c>
      <c r="AC80">
        <v>27.147748191728859</v>
      </c>
      <c r="AD80">
        <v>1446.9038</v>
      </c>
    </row>
    <row r="81" spans="1:30" x14ac:dyDescent="0.25">
      <c r="A81" s="2" t="s">
        <v>41</v>
      </c>
      <c r="B81" s="1">
        <f>B78*B4</f>
        <v>10.978360468339584</v>
      </c>
      <c r="C81" t="s">
        <v>6</v>
      </c>
      <c r="D81" t="s">
        <v>0</v>
      </c>
      <c r="E81" t="s">
        <v>1</v>
      </c>
      <c r="S81" s="7">
        <f ca="1">S80</f>
        <v>12.357892928160336</v>
      </c>
      <c r="T81">
        <v>0</v>
      </c>
      <c r="AC81">
        <v>27.996112197720386</v>
      </c>
      <c r="AD81">
        <v>1446.9038</v>
      </c>
    </row>
    <row r="82" spans="1:30" x14ac:dyDescent="0.25">
      <c r="D82" s="4">
        <f ca="1">MIN(C57:C61)</f>
        <v>-14.266985415868973</v>
      </c>
      <c r="E82" s="4">
        <f ca="1">MAX(D57:D61)-B81</f>
        <v>1.3795324598207515</v>
      </c>
      <c r="AC82">
        <v>28.844476203711913</v>
      </c>
      <c r="AD82">
        <v>1446.9038</v>
      </c>
    </row>
    <row r="83" spans="1:30" x14ac:dyDescent="0.25">
      <c r="D83" s="4">
        <f ca="1">MAX(C57:C61)</f>
        <v>14.266985415868977</v>
      </c>
      <c r="E83" s="4">
        <f ca="1">E82</f>
        <v>1.3795324598207515</v>
      </c>
      <c r="AC83">
        <v>29.692840209703441</v>
      </c>
      <c r="AD83">
        <v>1446.9038</v>
      </c>
    </row>
    <row r="84" spans="1:30" x14ac:dyDescent="0.25">
      <c r="A84" t="s">
        <v>46</v>
      </c>
      <c r="AC84">
        <v>30.541204215694965</v>
      </c>
      <c r="AD84">
        <v>1446.9038</v>
      </c>
    </row>
    <row r="85" spans="1:30" x14ac:dyDescent="0.25">
      <c r="A85" s="2" t="s">
        <v>54</v>
      </c>
      <c r="B85" s="1">
        <f>0.85*B2</f>
        <v>3.4</v>
      </c>
      <c r="C85" t="s">
        <v>5</v>
      </c>
      <c r="AC85">
        <v>31.389568221686492</v>
      </c>
      <c r="AD85">
        <v>1446.9038</v>
      </c>
    </row>
    <row r="86" spans="1:30" x14ac:dyDescent="0.25">
      <c r="AC86">
        <v>32.237932227678023</v>
      </c>
      <c r="AD86">
        <v>1446.9038</v>
      </c>
    </row>
    <row r="87" spans="1:30" x14ac:dyDescent="0.25">
      <c r="A87" t="s">
        <v>47</v>
      </c>
      <c r="B87" t="s">
        <v>42</v>
      </c>
      <c r="C87" t="s">
        <v>43</v>
      </c>
      <c r="D87" t="s">
        <v>44</v>
      </c>
      <c r="E87" t="s">
        <v>45</v>
      </c>
      <c r="G87" s="1" t="s">
        <v>48</v>
      </c>
      <c r="H87" s="1" t="s">
        <v>49</v>
      </c>
      <c r="I87" s="1" t="s">
        <v>50</v>
      </c>
      <c r="J87" s="1" t="s">
        <v>51</v>
      </c>
      <c r="K87" s="1" t="s">
        <v>52</v>
      </c>
      <c r="L87" s="1" t="s">
        <v>53</v>
      </c>
      <c r="AC87">
        <v>33.086296233669543</v>
      </c>
      <c r="AD87">
        <v>1446.9038</v>
      </c>
    </row>
    <row r="88" spans="1:30" x14ac:dyDescent="0.25">
      <c r="A88">
        <v>1</v>
      </c>
      <c r="B88" s="4">
        <f t="shared" ref="B88:C91" ca="1" si="19">C57</f>
        <v>-14.266985415868973</v>
      </c>
      <c r="C88" s="4">
        <f t="shared" ca="1" si="19"/>
        <v>2.1102433848686672</v>
      </c>
      <c r="D88" s="4">
        <f t="shared" ref="D88:E91" ca="1" si="20">C58</f>
        <v>-7.435219053674528</v>
      </c>
      <c r="E88" s="4">
        <f t="shared" ca="1" si="20"/>
        <v>-12.357892928160336</v>
      </c>
      <c r="F88" s="1">
        <f ca="1">IF(AND(E88&gt;=E$82,C88&lt;=E$82),1,IF(AND(C88&gt;=E$82,E88&gt;=E$82),3,IF(AND(E88&lt;=E$82,C88&gt;=E$82),2,0)))</f>
        <v>2</v>
      </c>
      <c r="G88" s="1">
        <f ca="1">IF(E88=C88,"H",IF(B88=D88,"V",(E88-C88)/(D88-B88)))</f>
        <v>-2.1177738736928444</v>
      </c>
      <c r="H88" s="4">
        <f ca="1">IF(OR(F88=1,F88=2),IF(G88="V",B88,(E$82-C88+(G88*B88))/G88),NA())</f>
        <v>-13.92194814152875</v>
      </c>
      <c r="I88" s="4">
        <f ca="1">IF(OR(F88=1,F88=2),E$82,NA())</f>
        <v>1.3795324598207515</v>
      </c>
      <c r="J88" s="5">
        <f ca="1">IF(F88=0,0,IF(F88=1,-0.5*B$85*(H88+D88)*(I88-E88),IF(F88=2,-0.5*B$85*(B88+H88)*(C88-I88),IF(F88=3,-0.5*B$85*(B88+D88)*(C88-E88),0))))</f>
        <v>35.016534916928556</v>
      </c>
      <c r="K88" s="5">
        <f ca="1">IF(F88=1,(1/6)*B$85*(E88-I88)*((H88*(2*I88+E88))+(D88*(I88+2*E88))),IF(F88=2,(1/6)*B$85*(I88-C88)*((B88*(2*C88+I88))+(H88*(C88+2*I88))),IF(F88=3,(1/6)*B$85*(E88-C88)*((B88*(2*C88+E88))+(D88*(C88+2*E88))),0)))</f>
        <v>61.152126981940619</v>
      </c>
      <c r="L88" s="5">
        <f ca="1">IF(F88=1,(1/6)*B$85*(POWER(H88,2)+H88*D88+POWER(D88,2))*(E88-I88),IF(F88=2,(1/6)*B$85*(POWER(B88,2)+B88*H88+POWER(H88,2))*(I88-C88),IF(F88=3,(1/6)*B$85*(POWER(B88,2)+B88*D88+POWER(D88,2))*(E88-C88),0)))</f>
        <v>-246.78201786471621</v>
      </c>
      <c r="AC88">
        <v>33.934660239661071</v>
      </c>
      <c r="AD88">
        <v>1446.9038</v>
      </c>
    </row>
    <row r="89" spans="1:30" x14ac:dyDescent="0.25">
      <c r="A89">
        <v>2</v>
      </c>
      <c r="B89" s="4">
        <f t="shared" ca="1" si="19"/>
        <v>-7.435219053674528</v>
      </c>
      <c r="C89" s="4">
        <f t="shared" ca="1" si="19"/>
        <v>-12.357892928160336</v>
      </c>
      <c r="D89" s="4">
        <f t="shared" ca="1" si="20"/>
        <v>14.266985415868977</v>
      </c>
      <c r="E89" s="4">
        <f t="shared" ca="1" si="20"/>
        <v>-2.1102433848686664</v>
      </c>
      <c r="F89" s="1">
        <f t="shared" ref="F89:F91" ca="1" si="21">IF(AND(E89&gt;=E$82,C89&lt;=E$82),1,IF(AND(C89&gt;=E$82,E89&gt;=E$82),3,IF(AND(E89&lt;=E$82,C89&gt;=E$82),2,0)))</f>
        <v>0</v>
      </c>
      <c r="G89" s="1">
        <f t="shared" ref="G89:G91" ca="1" si="22">IF(E89=C89,"H",IF(B89=D89,"V",(E89-C89)/(D89-B89)))</f>
        <v>0.47219394498254968</v>
      </c>
      <c r="H89" s="4" t="e">
        <f t="shared" ref="H89:H91" ca="1" si="23">IF(OR(F89=1,F89=2),IF(G89="V",B89,(E$82-C89+(G89*B89))/G89),NA())</f>
        <v>#N/A</v>
      </c>
      <c r="I89" s="4" t="e">
        <f t="shared" ref="I89:I91" ca="1" si="24">IF(OR(F89=1,F89=2),E$82,NA())</f>
        <v>#N/A</v>
      </c>
      <c r="J89" s="5">
        <f ca="1">IF(F89=0,0,IF(F89=1,-0.5*B$85*(H89+D89)*(I89-E89),IF(F89=2,-0.5*B$85*(B89+H89)*(C89-I89),IF(F89=3,-0.5*B$85*(B89+D89)*(C89-E89),0))))</f>
        <v>0</v>
      </c>
      <c r="K89" s="5">
        <f t="shared" ref="K89:K91" ca="1" si="25">IF(F89=1,(1/6)*B$85*(E89-I89)*((H89*(2*I89+E89))+(D89*(I89+2*E89))),IF(F89=2,(1/6)*B$85*(I89-C89)*((B89*(2*C89+I89))+(H89*(C89+2*I89))),IF(F89=3,(1/6)*B$85*(E89-C89)*((B89*(2*C89+E89))+(D89*(C89+2*E89))),0)))</f>
        <v>0</v>
      </c>
      <c r="L89" s="5">
        <f t="shared" ref="L89:L90" ca="1" si="26">IF(F89=1,(1/6)*B$85*(POWER(H89,2)+H89*D89+POWER(D89,2))*(E89-I89),IF(F89=2,(1/6)*B$85*(POWER(B89,2)+B89*H89+POWER(H89,2))*(I89-C89),IF(F89=3,(1/6)*B$85*(POWER(B89,2)+B89*D89+POWER(D89,2))*(E89-C89),0)))</f>
        <v>0</v>
      </c>
      <c r="AC89">
        <v>34.783024245652598</v>
      </c>
      <c r="AD89">
        <v>1446.9038</v>
      </c>
    </row>
    <row r="90" spans="1:30" x14ac:dyDescent="0.25">
      <c r="A90">
        <v>3</v>
      </c>
      <c r="B90" s="4">
        <f t="shared" ca="1" si="19"/>
        <v>14.266985415868977</v>
      </c>
      <c r="C90" s="4">
        <f t="shared" ca="1" si="19"/>
        <v>-2.1102433848686664</v>
      </c>
      <c r="D90" s="4">
        <f t="shared" ca="1" si="20"/>
        <v>7.4352190536745306</v>
      </c>
      <c r="E90" s="4">
        <f t="shared" ca="1" si="20"/>
        <v>12.357892928160336</v>
      </c>
      <c r="F90" s="1">
        <f t="shared" ca="1" si="21"/>
        <v>1</v>
      </c>
      <c r="G90" s="1">
        <f t="shared" ca="1" si="22"/>
        <v>-2.1177738736928444</v>
      </c>
      <c r="H90" s="4">
        <f t="shared" ca="1" si="23"/>
        <v>12.619134392660271</v>
      </c>
      <c r="I90" s="4">
        <f t="shared" ca="1" si="24"/>
        <v>1.3795324598207515</v>
      </c>
      <c r="J90" s="5">
        <f t="shared" ref="J90:J91" ca="1" si="27">IF(F90=0,0,IF(F90=1,-0.5*B$85*(H90+D90)*(I90-E90),IF(F90=2,-0.5*B$85*(B90+H90)*(C90-I90),IF(F90=3,-0.5*B$85*(B90+D90)*(C90-E90),0))))</f>
        <v>374.27866585869782</v>
      </c>
      <c r="K90" s="5">
        <f t="shared" ca="1" si="25"/>
        <v>2393.789277703137</v>
      </c>
      <c r="L90" s="5">
        <f t="shared" ca="1" si="26"/>
        <v>1918.273839087678</v>
      </c>
      <c r="AC90">
        <v>35.631388251644125</v>
      </c>
      <c r="AD90">
        <v>1446.9038</v>
      </c>
    </row>
    <row r="91" spans="1:30" ht="15.75" thickBot="1" x14ac:dyDescent="0.3">
      <c r="A91">
        <v>4</v>
      </c>
      <c r="B91" s="4">
        <f t="shared" ca="1" si="19"/>
        <v>7.4352190536745306</v>
      </c>
      <c r="C91" s="4">
        <f t="shared" ca="1" si="19"/>
        <v>12.357892928160336</v>
      </c>
      <c r="D91" s="4">
        <f t="shared" ca="1" si="20"/>
        <v>-14.266985415868973</v>
      </c>
      <c r="E91" s="4">
        <f t="shared" ca="1" si="20"/>
        <v>2.1102433848686672</v>
      </c>
      <c r="F91" s="1">
        <f t="shared" ca="1" si="21"/>
        <v>3</v>
      </c>
      <c r="G91" s="1">
        <f t="shared" ca="1" si="22"/>
        <v>0.47219394498254968</v>
      </c>
      <c r="H91" s="4" t="e">
        <f t="shared" ca="1" si="23"/>
        <v>#N/A</v>
      </c>
      <c r="I91" s="4" t="e">
        <f t="shared" ca="1" si="24"/>
        <v>#N/A</v>
      </c>
      <c r="J91" s="22">
        <f t="shared" ca="1" si="27"/>
        <v>119.01623065040936</v>
      </c>
      <c r="K91" s="22">
        <f t="shared" ca="1" si="25"/>
        <v>215.24288106412763</v>
      </c>
      <c r="L91" s="22">
        <f ca="1">IF(F91=1,(1/6)*B$85*(POWER(H91,2)+H91*D91+POWER(D91,2))*(E91-I91),IF(F91=2,(1/6)*B$85*(POWER(B91,2)+B91*H91+POWER(H91,2))*(I91-C91),IF(F91=3,(1/6)*B$85*(POWER(B91,2)+B91*D91+POWER(D91,2))*(E91-C91),0)))</f>
        <v>-887.02639530214014</v>
      </c>
      <c r="M91" s="1" t="s">
        <v>170</v>
      </c>
      <c r="N91" s="1" t="s">
        <v>171</v>
      </c>
      <c r="V91" s="69"/>
      <c r="AC91">
        <v>36.479752257635653</v>
      </c>
      <c r="AD91">
        <v>1446.9038</v>
      </c>
    </row>
    <row r="92" spans="1:30" ht="15.75" thickTop="1" x14ac:dyDescent="0.25">
      <c r="B92" s="1"/>
      <c r="C92" s="1"/>
      <c r="D92" s="1"/>
      <c r="E92" s="1"/>
      <c r="F92" s="1"/>
      <c r="G92" s="1"/>
      <c r="H92" s="1"/>
      <c r="I92" s="1"/>
      <c r="J92" s="5">
        <f ca="1">IF($B$78=0,0,SUM(J88:J91))</f>
        <v>528.31143142603571</v>
      </c>
      <c r="K92" s="5">
        <f t="shared" ref="K92" ca="1" si="28">IF($B$78=0,0,SUM(K88:K91))</f>
        <v>2670.1842857492052</v>
      </c>
      <c r="L92" s="5">
        <f ca="1">IF($B$78=0,0,-1*SUM(L88:L91))</f>
        <v>-784.46542592082164</v>
      </c>
      <c r="M92" s="77">
        <f ca="1">(-1*L92)/J92</f>
        <v>1.4848541584712005</v>
      </c>
      <c r="N92" s="77">
        <f ca="1">K92/J92</f>
        <v>5.0541860859261654</v>
      </c>
      <c r="V92" s="69"/>
      <c r="AC92">
        <v>37.32811626362718</v>
      </c>
      <c r="AD92">
        <v>1446.9038</v>
      </c>
    </row>
    <row r="93" spans="1:30" x14ac:dyDescent="0.25">
      <c r="V93" s="69"/>
      <c r="AC93">
        <v>38.176480269618708</v>
      </c>
      <c r="AD93">
        <v>1446.9038</v>
      </c>
    </row>
    <row r="94" spans="1:30" x14ac:dyDescent="0.25">
      <c r="T94" s="45"/>
      <c r="U94" s="45"/>
      <c r="V94" s="45"/>
      <c r="W94" s="45"/>
      <c r="X94" s="45"/>
      <c r="Y94" s="45"/>
      <c r="Z94" s="45"/>
      <c r="AC94">
        <v>39.024844275610235</v>
      </c>
      <c r="AD94">
        <v>1446.9038</v>
      </c>
    </row>
    <row r="95" spans="1:30" x14ac:dyDescent="0.25">
      <c r="A95" t="s">
        <v>55</v>
      </c>
      <c r="T95" s="45"/>
      <c r="U95" s="45"/>
      <c r="V95" s="70"/>
      <c r="W95" s="70"/>
      <c r="X95" s="70"/>
      <c r="Y95" s="45"/>
      <c r="Z95" s="45"/>
      <c r="AC95">
        <v>39.873208281601762</v>
      </c>
      <c r="AD95">
        <v>1446.9038</v>
      </c>
    </row>
    <row r="96" spans="1:30" x14ac:dyDescent="0.25">
      <c r="A96" s="2" t="s">
        <v>57</v>
      </c>
      <c r="B96" s="1">
        <v>3.0000000000000001E-3</v>
      </c>
      <c r="T96" s="45"/>
      <c r="U96" s="45"/>
      <c r="V96" s="45"/>
      <c r="W96" s="45"/>
      <c r="X96" s="45"/>
      <c r="Y96" s="45"/>
      <c r="Z96" s="45"/>
      <c r="AC96">
        <v>40.72157228759329</v>
      </c>
      <c r="AD96">
        <v>1446.9038</v>
      </c>
    </row>
    <row r="97" spans="1:30" x14ac:dyDescent="0.25">
      <c r="A97" t="s">
        <v>56</v>
      </c>
      <c r="B97" t="s">
        <v>59</v>
      </c>
      <c r="C97" t="str">
        <f t="shared" ref="C97:C109" si="29">F63</f>
        <v>x'</v>
      </c>
      <c r="D97" t="str">
        <f t="shared" ref="D97:D109" si="30">G63</f>
        <v>y'</v>
      </c>
      <c r="E97" t="s">
        <v>60</v>
      </c>
      <c r="F97" t="s">
        <v>58</v>
      </c>
      <c r="G97" t="s">
        <v>62</v>
      </c>
      <c r="H97" s="1" t="s">
        <v>63</v>
      </c>
      <c r="I97" s="1" t="s">
        <v>64</v>
      </c>
      <c r="J97" s="1" t="s">
        <v>65</v>
      </c>
      <c r="M97" t="s">
        <v>134</v>
      </c>
      <c r="T97" s="45"/>
      <c r="U97" s="45"/>
      <c r="V97" s="45"/>
      <c r="W97" s="45"/>
      <c r="X97" s="45"/>
      <c r="Y97" s="45"/>
      <c r="Z97" s="45"/>
      <c r="AC97">
        <v>41.569936293584817</v>
      </c>
      <c r="AD97">
        <v>1446.9038</v>
      </c>
    </row>
    <row r="98" spans="1:30" x14ac:dyDescent="0.25">
      <c r="A98" s="8">
        <f>A64</f>
        <v>1</v>
      </c>
      <c r="B98" s="7">
        <f ca="1">C13</f>
        <v>0.79</v>
      </c>
      <c r="C98">
        <f t="shared" ca="1" si="29"/>
        <v>-10.106848174614393</v>
      </c>
      <c r="D98">
        <f t="shared" ca="1" si="30"/>
        <v>0.61876487884629228</v>
      </c>
      <c r="E98" s="7">
        <f ca="1">G$58-D98</f>
        <v>11.739128049314044</v>
      </c>
      <c r="F98" s="10">
        <f ca="1">IF($B$78=0,-1,IF(B98=0,0,((B$78-E98)/B$78)*B$96)*IF(B$78&lt;0,-1,1))</f>
        <v>2.7329261850350965E-4</v>
      </c>
      <c r="G98" s="4">
        <f ca="1">IF(AND(F98&gt;0,E98&lt;=B$81),MIN((F98*B$11),B$10)-B$85,MAX(F98*B$11,-1*B$10))</f>
        <v>7.9254859366017802</v>
      </c>
      <c r="H98" s="4">
        <f ca="1">G98*B98</f>
        <v>6.2611338899154063</v>
      </c>
      <c r="I98" s="4">
        <f ca="1">H98*D98</f>
        <v>3.8741697528339212</v>
      </c>
      <c r="J98" s="4">
        <f ca="1">H98*C98*-1</f>
        <v>63.280329626307839</v>
      </c>
      <c r="M98" s="1" t="s">
        <v>124</v>
      </c>
      <c r="N98" s="1" t="s">
        <v>125</v>
      </c>
      <c r="O98" s="1" t="s">
        <v>126</v>
      </c>
      <c r="P98" s="1" t="s">
        <v>135</v>
      </c>
      <c r="Q98" s="1" t="s">
        <v>127</v>
      </c>
      <c r="R98" s="1" t="s">
        <v>129</v>
      </c>
      <c r="S98" s="1" t="s">
        <v>128</v>
      </c>
      <c r="T98" s="45"/>
      <c r="U98" s="45"/>
      <c r="V98" s="45"/>
      <c r="W98" s="45"/>
      <c r="X98" s="71"/>
      <c r="Y98" s="71"/>
      <c r="Z98" s="71"/>
      <c r="AC98">
        <v>42.418300299576345</v>
      </c>
      <c r="AD98">
        <v>1446.9038</v>
      </c>
    </row>
    <row r="99" spans="1:30" x14ac:dyDescent="0.25">
      <c r="A99" s="8">
        <f t="shared" ref="A99:A108" si="31">A65</f>
        <v>2</v>
      </c>
      <c r="B99" s="7">
        <f t="shared" ref="B99:B109" ca="1" si="32">C14</f>
        <v>0.79</v>
      </c>
      <c r="C99">
        <f t="shared" ca="1" si="29"/>
        <v>-8.0252943611332732</v>
      </c>
      <c r="D99">
        <f t="shared" ca="1" si="30"/>
        <v>-3.7894954040297311</v>
      </c>
      <c r="E99" s="7">
        <f t="shared" ref="E99:E109" ca="1" si="33">G$58-D99</f>
        <v>16.147388332190069</v>
      </c>
      <c r="F99" s="10">
        <f t="shared" ref="F99:F109" ca="1" si="34">IF($B$78=0,-1,IF(B99=0,0,((B$78-E99)/B$78)*B$96)*IF(B$78&lt;0,-1,1))</f>
        <v>-7.5063656962543628E-4</v>
      </c>
      <c r="G99" s="4">
        <f ca="1">IF(AND(F99&gt;0,E99&lt;=B$81),MIN((F99*B$11),B$10)-B$85,MAX(F99*B$11,-1*B$10))</f>
        <v>-21.768460519137651</v>
      </c>
      <c r="H99" s="4">
        <f t="shared" ref="H99:H109" ca="1" si="35">G99*B99</f>
        <v>-17.197083810118745</v>
      </c>
      <c r="I99" s="4">
        <f t="shared" ref="I99:I109" ca="1" si="36">H99*D99</f>
        <v>65.168270061159077</v>
      </c>
      <c r="J99" s="4">
        <f t="shared" ref="J99:J109" ca="1" si="37">H99*C99*-1</f>
        <v>-138.01165972928226</v>
      </c>
      <c r="M99" s="77">
        <v>-381</v>
      </c>
      <c r="N99" s="77">
        <v>-69.849999999999994</v>
      </c>
      <c r="O99" s="77">
        <v>0</v>
      </c>
      <c r="P99" s="77">
        <f>SQRT((N99*N99)+(O99*O99)+(M99*M99))</f>
        <v>387.34999999999997</v>
      </c>
      <c r="Q99" s="77">
        <f>N99/P99</f>
        <v>-0.18032786885245902</v>
      </c>
      <c r="R99" s="77">
        <f>O99/P99</f>
        <v>0</v>
      </c>
      <c r="S99" s="77">
        <f>M99/P99</f>
        <v>-0.98360655737704927</v>
      </c>
      <c r="T99" s="70"/>
      <c r="U99" s="70"/>
      <c r="V99" s="70"/>
      <c r="W99" s="68"/>
      <c r="X99" s="68"/>
      <c r="Y99" s="68"/>
      <c r="Z99" s="68"/>
      <c r="AC99">
        <v>43.266664305567872</v>
      </c>
      <c r="AD99">
        <v>1446.9038</v>
      </c>
    </row>
    <row r="100" spans="1:30" x14ac:dyDescent="0.25">
      <c r="A100" s="8">
        <f t="shared" si="31"/>
        <v>3</v>
      </c>
      <c r="B100" s="7">
        <f t="shared" ca="1" si="32"/>
        <v>0.79</v>
      </c>
      <c r="C100">
        <f t="shared" ca="1" si="29"/>
        <v>-5.943740547652153</v>
      </c>
      <c r="D100">
        <f t="shared" ca="1" si="30"/>
        <v>-8.1977556869057562</v>
      </c>
      <c r="E100" s="7">
        <f t="shared" ca="1" si="33"/>
        <v>20.55564861506609</v>
      </c>
      <c r="F100" s="10">
        <f t="shared" ca="1" si="34"/>
        <v>-1.7745657577543815E-3</v>
      </c>
      <c r="G100" s="4">
        <f t="shared" ref="G100:G109" ca="1" si="38">IF(AND(F100&gt;0,E100&lt;=B$81),MIN((F100*B$11),B$10)-B$85,MAX(F100*B$11,-1*B$10))</f>
        <v>-51.462406974877062</v>
      </c>
      <c r="H100" s="4">
        <f t="shared" ca="1" si="35"/>
        <v>-40.655301510152881</v>
      </c>
      <c r="I100" s="4">
        <f t="shared" ca="1" si="36"/>
        <v>333.28222915772398</v>
      </c>
      <c r="J100" s="4">
        <f t="shared" ca="1" si="37"/>
        <v>-241.6445640629195</v>
      </c>
      <c r="M100" s="78">
        <v>2904.0124999999998</v>
      </c>
      <c r="N100" s="78">
        <v>64.902000000000001</v>
      </c>
      <c r="O100" s="78">
        <v>0</v>
      </c>
      <c r="P100" s="77">
        <f>SQRT((N100*N100)+(O100*O100)+(M100*M100))</f>
        <v>2904.7376593696458</v>
      </c>
      <c r="Q100" s="78">
        <f>N100/P100</f>
        <v>2.2343497971546358E-2</v>
      </c>
      <c r="R100" s="78">
        <f>O100/P100</f>
        <v>0</v>
      </c>
      <c r="S100" s="78">
        <f>M100/P100</f>
        <v>0.99975035288735736</v>
      </c>
      <c r="T100" s="70"/>
      <c r="U100" s="70"/>
      <c r="V100" s="70"/>
      <c r="W100" s="68"/>
      <c r="X100" s="68"/>
      <c r="Y100" s="68"/>
      <c r="Z100" s="68"/>
      <c r="AC100">
        <v>44.115028311559392</v>
      </c>
      <c r="AD100">
        <v>1446.9038</v>
      </c>
    </row>
    <row r="101" spans="1:30" x14ac:dyDescent="0.25">
      <c r="A101" s="8">
        <f t="shared" si="31"/>
        <v>4</v>
      </c>
      <c r="B101" s="7">
        <f t="shared" ca="1" si="32"/>
        <v>0.79</v>
      </c>
      <c r="C101">
        <f t="shared" ca="1" si="29"/>
        <v>-4.7566519338588753</v>
      </c>
      <c r="D101">
        <f t="shared" ca="1" si="30"/>
        <v>3.1450951481994474</v>
      </c>
      <c r="E101" s="7">
        <f t="shared" ca="1" si="33"/>
        <v>9.2127977799608889</v>
      </c>
      <c r="F101" s="10">
        <f t="shared" ca="1" si="34"/>
        <v>8.6009628608474755E-4</v>
      </c>
      <c r="G101" s="4">
        <f t="shared" ca="1" si="38"/>
        <v>21.54279229645768</v>
      </c>
      <c r="H101" s="4">
        <f t="shared" ca="1" si="35"/>
        <v>17.018805914201568</v>
      </c>
      <c r="I101" s="4">
        <f t="shared" ca="1" si="36"/>
        <v>53.525763908903414</v>
      </c>
      <c r="J101" s="4">
        <f t="shared" ca="1" si="37"/>
        <v>80.952536063755758</v>
      </c>
      <c r="T101" s="45"/>
      <c r="U101" s="45"/>
      <c r="V101" s="45"/>
      <c r="W101" s="45"/>
      <c r="X101" s="71"/>
      <c r="Y101" s="71"/>
      <c r="Z101" s="71"/>
      <c r="AA101" s="45"/>
      <c r="AC101">
        <v>44.96339231755092</v>
      </c>
      <c r="AD101">
        <v>1446.9038</v>
      </c>
    </row>
    <row r="102" spans="1:30" x14ac:dyDescent="0.25">
      <c r="A102" s="8">
        <f t="shared" si="31"/>
        <v>5</v>
      </c>
      <c r="B102" s="7">
        <f t="shared" ca="1" si="32"/>
        <v>0.79</v>
      </c>
      <c r="C102">
        <f t="shared" ca="1" si="29"/>
        <v>-0.59354430689663484</v>
      </c>
      <c r="D102">
        <f t="shared" ca="1" si="30"/>
        <v>-5.6714254175526015</v>
      </c>
      <c r="E102" s="7">
        <f t="shared" ca="1" si="33"/>
        <v>18.029318345712937</v>
      </c>
      <c r="F102" s="10">
        <f t="shared" ca="1" si="34"/>
        <v>-1.1877620901731439E-3</v>
      </c>
      <c r="G102" s="4">
        <f t="shared" ca="1" si="38"/>
        <v>-34.445100615021175</v>
      </c>
      <c r="H102" s="4">
        <f t="shared" ca="1" si="35"/>
        <v>-27.21162948586673</v>
      </c>
      <c r="I102" s="4">
        <f t="shared" ca="1" si="36"/>
        <v>154.32872711916841</v>
      </c>
      <c r="J102" s="4">
        <f t="shared" ca="1" si="37"/>
        <v>-16.151307762716801</v>
      </c>
      <c r="T102" s="45"/>
      <c r="U102" s="45"/>
      <c r="V102" s="45"/>
      <c r="W102" s="70"/>
      <c r="X102" s="71"/>
      <c r="Y102" s="71"/>
      <c r="Z102" s="71"/>
      <c r="AA102" s="45"/>
      <c r="AC102">
        <v>45.811756323542447</v>
      </c>
      <c r="AD102">
        <v>1446.9038</v>
      </c>
    </row>
    <row r="103" spans="1:30" x14ac:dyDescent="0.25">
      <c r="A103" s="8">
        <f t="shared" si="31"/>
        <v>6</v>
      </c>
      <c r="B103" s="7">
        <f t="shared" ca="1" si="32"/>
        <v>0.79</v>
      </c>
      <c r="C103">
        <f t="shared" ca="1" si="29"/>
        <v>0.59354430689664062</v>
      </c>
      <c r="D103">
        <f t="shared" ca="1" si="30"/>
        <v>5.6714254175526015</v>
      </c>
      <c r="E103" s="7">
        <f t="shared" ca="1" si="33"/>
        <v>6.6864675106077343</v>
      </c>
      <c r="F103" s="10">
        <f t="shared" ca="1" si="34"/>
        <v>1.4468999536659853E-3</v>
      </c>
      <c r="G103" s="4">
        <f t="shared" ca="1" si="38"/>
        <v>38.560098656313578</v>
      </c>
      <c r="H103" s="4">
        <f t="shared" ca="1" si="35"/>
        <v>30.462477938487726</v>
      </c>
      <c r="I103" s="4">
        <f t="shared" ca="1" si="36"/>
        <v>172.76567166197466</v>
      </c>
      <c r="J103" s="4">
        <f t="shared" ca="1" si="37"/>
        <v>-18.080830354353903</v>
      </c>
      <c r="T103" s="45"/>
      <c r="U103" s="45"/>
      <c r="V103" s="45"/>
      <c r="W103" s="70"/>
      <c r="X103" s="71"/>
      <c r="Y103" s="71"/>
      <c r="Z103" s="71"/>
      <c r="AA103" s="45"/>
      <c r="AC103">
        <v>46.660120329533974</v>
      </c>
      <c r="AD103">
        <v>1446.9038</v>
      </c>
    </row>
    <row r="104" spans="1:30" x14ac:dyDescent="0.25">
      <c r="A104" s="8">
        <f t="shared" si="31"/>
        <v>7</v>
      </c>
      <c r="B104" s="7">
        <f t="shared" ca="1" si="32"/>
        <v>0.79</v>
      </c>
      <c r="C104">
        <f t="shared" ca="1" si="29"/>
        <v>4.7566519338588815</v>
      </c>
      <c r="D104">
        <f t="shared" ca="1" si="30"/>
        <v>-3.1450951481994469</v>
      </c>
      <c r="E104" s="7">
        <f t="shared" ca="1" si="33"/>
        <v>15.502988076359783</v>
      </c>
      <c r="F104" s="10">
        <f t="shared" ca="1" si="34"/>
        <v>-6.0095842259190598E-4</v>
      </c>
      <c r="G104" s="4">
        <f t="shared" ca="1" si="38"/>
        <v>-17.427794255165274</v>
      </c>
      <c r="H104" s="4">
        <f t="shared" ca="1" si="35"/>
        <v>-13.767957461580567</v>
      </c>
      <c r="I104" s="4">
        <f t="shared" ca="1" si="36"/>
        <v>43.301536213033415</v>
      </c>
      <c r="J104" s="4">
        <f t="shared" ca="1" si="37"/>
        <v>65.48938148491402</v>
      </c>
      <c r="T104" s="45"/>
      <c r="U104" s="45"/>
      <c r="V104" s="45"/>
      <c r="W104" s="70"/>
      <c r="X104" s="45"/>
      <c r="Y104" s="45"/>
      <c r="Z104" s="45"/>
      <c r="AC104">
        <v>47.508484335525502</v>
      </c>
      <c r="AD104">
        <v>1446.9038</v>
      </c>
    </row>
    <row r="105" spans="1:30" x14ac:dyDescent="0.25">
      <c r="A105" s="8">
        <f t="shared" si="31"/>
        <v>8</v>
      </c>
      <c r="B105" s="7">
        <f t="shared" ca="1" si="32"/>
        <v>0.79</v>
      </c>
      <c r="C105">
        <f t="shared" ca="1" si="29"/>
        <v>5.9437405476521565</v>
      </c>
      <c r="D105">
        <f t="shared" ca="1" si="30"/>
        <v>8.1977556869057562</v>
      </c>
      <c r="E105" s="7">
        <f t="shared" ca="1" si="33"/>
        <v>4.1601372412545796</v>
      </c>
      <c r="F105" s="10">
        <f t="shared" ca="1" si="34"/>
        <v>2.0337036212472234E-3</v>
      </c>
      <c r="G105" s="4">
        <f t="shared" ca="1" si="38"/>
        <v>55.577405016169479</v>
      </c>
      <c r="H105" s="4">
        <f t="shared" ca="1" si="35"/>
        <v>43.906149962773888</v>
      </c>
      <c r="I105" s="4">
        <f t="shared" ca="1" si="36"/>
        <v>359.93189054746659</v>
      </c>
      <c r="J105" s="4">
        <f t="shared" ca="1" si="37"/>
        <v>-260.9667638250354</v>
      </c>
      <c r="T105" s="45"/>
      <c r="U105" s="45"/>
      <c r="V105" s="45"/>
      <c r="W105" s="45"/>
      <c r="X105" s="45"/>
      <c r="Y105" s="45"/>
      <c r="Z105" s="45"/>
      <c r="AC105">
        <v>48.356848341517029</v>
      </c>
      <c r="AD105">
        <v>1446.9038</v>
      </c>
    </row>
    <row r="106" spans="1:30" x14ac:dyDescent="0.25">
      <c r="A106" s="8">
        <f t="shared" si="31"/>
        <v>9</v>
      </c>
      <c r="B106" s="7">
        <f t="shared" ca="1" si="32"/>
        <v>0.79</v>
      </c>
      <c r="C106">
        <f t="shared" ca="1" si="29"/>
        <v>8.0252943611332768</v>
      </c>
      <c r="D106">
        <f t="shared" ca="1" si="30"/>
        <v>3.7894954040297324</v>
      </c>
      <c r="E106" s="7">
        <f t="shared" ca="1" si="33"/>
        <v>8.568397524130603</v>
      </c>
      <c r="F106" s="10">
        <f t="shared" ca="1" si="34"/>
        <v>1.0097744331182777E-3</v>
      </c>
      <c r="G106" s="4">
        <f t="shared" ca="1" si="38"/>
        <v>25.883458560430057</v>
      </c>
      <c r="H106" s="4">
        <f t="shared" ca="1" si="35"/>
        <v>20.447932262739744</v>
      </c>
      <c r="I106" s="4">
        <f t="shared" ca="1" si="36"/>
        <v>77.487345331563546</v>
      </c>
      <c r="J106" s="4">
        <f t="shared" ca="1" si="37"/>
        <v>-164.10067548500047</v>
      </c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C106">
        <v>49.205212347508557</v>
      </c>
      <c r="AD106">
        <v>1446.9038</v>
      </c>
    </row>
    <row r="107" spans="1:30" x14ac:dyDescent="0.25">
      <c r="A107" s="8">
        <f t="shared" si="31"/>
        <v>10</v>
      </c>
      <c r="B107" s="7">
        <f t="shared" ca="1" si="32"/>
        <v>0.79</v>
      </c>
      <c r="C107">
        <f t="shared" ca="1" si="29"/>
        <v>10.106848174614397</v>
      </c>
      <c r="D107">
        <f t="shared" ca="1" si="30"/>
        <v>-0.61876487884629272</v>
      </c>
      <c r="E107" s="7">
        <f t="shared" ca="1" si="33"/>
        <v>12.976657807006628</v>
      </c>
      <c r="F107" s="10">
        <f t="shared" ca="1" si="34"/>
        <v>-1.4154755010668038E-5</v>
      </c>
      <c r="G107" s="4">
        <f t="shared" ca="1" si="38"/>
        <v>-0.41048789530937313</v>
      </c>
      <c r="H107" s="4">
        <f t="shared" ca="1" si="35"/>
        <v>-0.32428543729440479</v>
      </c>
      <c r="I107" s="4">
        <f t="shared" ca="1" si="36"/>
        <v>0.20065643931908944</v>
      </c>
      <c r="J107" s="4">
        <f t="shared" ca="1" si="37"/>
        <v>3.2775036799729866</v>
      </c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C107">
        <v>50.053576353500084</v>
      </c>
      <c r="AD107">
        <v>1446.9038</v>
      </c>
    </row>
    <row r="108" spans="1:30" x14ac:dyDescent="0.25">
      <c r="A108" s="8">
        <f t="shared" si="31"/>
        <v>11</v>
      </c>
      <c r="B108" s="7">
        <f t="shared" ca="1" si="32"/>
        <v>0</v>
      </c>
      <c r="C108">
        <f t="shared" ca="1" si="29"/>
        <v>0</v>
      </c>
      <c r="D108">
        <f t="shared" ca="1" si="30"/>
        <v>0</v>
      </c>
      <c r="E108" s="7">
        <f t="shared" ca="1" si="33"/>
        <v>12.357892928160336</v>
      </c>
      <c r="F108" s="10">
        <f t="shared" ca="1" si="34"/>
        <v>0</v>
      </c>
      <c r="G108" s="4">
        <f t="shared" ca="1" si="38"/>
        <v>0</v>
      </c>
      <c r="H108" s="4">
        <f t="shared" ca="1" si="35"/>
        <v>0</v>
      </c>
      <c r="I108" s="4">
        <f t="shared" ca="1" si="36"/>
        <v>0</v>
      </c>
      <c r="J108" s="4">
        <f t="shared" ca="1" si="37"/>
        <v>0</v>
      </c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C108">
        <v>50.901940359491611</v>
      </c>
      <c r="AD108">
        <v>1446.9038</v>
      </c>
    </row>
    <row r="109" spans="1:30" ht="15.75" thickBot="1" x14ac:dyDescent="0.3">
      <c r="A109" s="8">
        <f>A75</f>
        <v>12</v>
      </c>
      <c r="B109" s="7">
        <f t="shared" ca="1" si="32"/>
        <v>0</v>
      </c>
      <c r="C109">
        <f t="shared" ca="1" si="29"/>
        <v>0</v>
      </c>
      <c r="D109">
        <f t="shared" ca="1" si="30"/>
        <v>0</v>
      </c>
      <c r="E109" s="7">
        <f t="shared" ca="1" si="33"/>
        <v>12.357892928160336</v>
      </c>
      <c r="F109" s="21">
        <f t="shared" ca="1" si="34"/>
        <v>0</v>
      </c>
      <c r="G109" s="4">
        <f t="shared" ca="1" si="38"/>
        <v>0</v>
      </c>
      <c r="H109" s="20">
        <f t="shared" ca="1" si="35"/>
        <v>0</v>
      </c>
      <c r="I109" s="20">
        <f t="shared" ca="1" si="36"/>
        <v>0</v>
      </c>
      <c r="J109" s="20">
        <f t="shared" ca="1" si="37"/>
        <v>0</v>
      </c>
      <c r="AC109">
        <v>51.750304365483139</v>
      </c>
      <c r="AD109">
        <v>1446.9038</v>
      </c>
    </row>
    <row r="110" spans="1:30" ht="15.75" thickTop="1" x14ac:dyDescent="0.25">
      <c r="F110" s="10">
        <f ca="1">MIN(F98:F109)</f>
        <v>-1.7745657577543815E-3</v>
      </c>
      <c r="H110" s="4">
        <f ca="1">SUM(H98:H109)</f>
        <v>18.940242263104999</v>
      </c>
      <c r="I110" s="4">
        <f ca="1">SUM(I98:I109)</f>
        <v>1263.8662601931462</v>
      </c>
      <c r="J110" s="4">
        <f ca="1">SUM(J98:J109)</f>
        <v>-625.95605036435779</v>
      </c>
      <c r="M110" t="s">
        <v>121</v>
      </c>
      <c r="S110" t="s">
        <v>122</v>
      </c>
      <c r="Y110" t="s">
        <v>123</v>
      </c>
      <c r="AC110">
        <v>52.598668371474666</v>
      </c>
      <c r="AD110">
        <v>1446.9038</v>
      </c>
    </row>
    <row r="111" spans="1:30" x14ac:dyDescent="0.25">
      <c r="M111">
        <f ca="1">SQRT((J114*J114)+(J115*J115)+(J116*J116))</f>
        <v>421.63729709134941</v>
      </c>
      <c r="N111" s="46">
        <f ca="1">J114/M111</f>
        <v>0.37964285606872339</v>
      </c>
      <c r="O111" s="46">
        <f ca="1">J115/M111</f>
        <v>0.37964305839033097</v>
      </c>
      <c r="P111" s="46">
        <f ca="1">J116/M111</f>
        <v>0.84364829760512072</v>
      </c>
      <c r="Q111">
        <f ca="1">SQRT((N111*N111)+(O111*O111)+(P111*P111))</f>
        <v>1</v>
      </c>
      <c r="S111">
        <f>SQRT((B119*B119)+(B120*B120)+(B118*B118))</f>
        <v>118.53269591129698</v>
      </c>
      <c r="T111" s="62">
        <f>B119/S111</f>
        <v>0.37964208654863801</v>
      </c>
      <c r="U111" s="62">
        <f>B120/S111</f>
        <v>0.37964208654863801</v>
      </c>
      <c r="V111" s="62">
        <f>B118/S111</f>
        <v>0.84364908121919557</v>
      </c>
      <c r="W111">
        <f>SQRT((T111*T111)+(U111*U111)+(V111*V111))</f>
        <v>1</v>
      </c>
      <c r="Y111" s="62">
        <f ca="1">N111-T111</f>
        <v>7.6952008537523042E-7</v>
      </c>
      <c r="Z111" s="62">
        <f t="shared" ref="Z111:AA111" ca="1" si="39">O111-U111</f>
        <v>9.7184169295383427E-7</v>
      </c>
      <c r="AA111" s="62">
        <f t="shared" ca="1" si="39"/>
        <v>-7.8361407485072476E-7</v>
      </c>
      <c r="AB111" s="1">
        <f ca="1">SQRT((Y111*Y111)+(Z111*Z111)+(AA111*AA111))</f>
        <v>1.4665225727084577E-6</v>
      </c>
      <c r="AC111">
        <v>53.447032377466194</v>
      </c>
      <c r="AD111">
        <v>1446.9038</v>
      </c>
    </row>
    <row r="112" spans="1:30" x14ac:dyDescent="0.25">
      <c r="AC112">
        <v>54.295396383457721</v>
      </c>
      <c r="AD112">
        <v>1446.9038</v>
      </c>
    </row>
    <row r="113" spans="1:30" x14ac:dyDescent="0.25">
      <c r="A113" s="2" t="s">
        <v>66</v>
      </c>
      <c r="B113" s="29">
        <f ca="1">J92+H110</f>
        <v>547.25167368914072</v>
      </c>
      <c r="C113" t="s">
        <v>20</v>
      </c>
      <c r="D113" t="s">
        <v>67</v>
      </c>
      <c r="I113" s="2" t="s">
        <v>72</v>
      </c>
      <c r="J113" s="1">
        <f ca="1">IF(ABS(F110)&lt;0.002,0.65,IF(ABS(F110)&gt;0.005,0.9,0.65+((ABS(F110)-0.002)*(250/3))))</f>
        <v>0.65</v>
      </c>
      <c r="AC113">
        <v>55.143760389449241</v>
      </c>
      <c r="AD113">
        <v>1446.9038</v>
      </c>
    </row>
    <row r="114" spans="1:30" ht="15.75" thickBot="1" x14ac:dyDescent="0.3">
      <c r="A114" s="2" t="s">
        <v>68</v>
      </c>
      <c r="B114" s="4">
        <f ca="1">(((K92+I110)*COS(-1*B53))+((L92+J110)*SIN(-1*B53)))</f>
        <v>2955.167772791202</v>
      </c>
      <c r="C114" t="s">
        <v>23</v>
      </c>
      <c r="D114" s="4">
        <f ca="1">(B113*(E49-H7))</f>
        <v>-9.7211425343093921E-13</v>
      </c>
      <c r="E114" t="s">
        <v>23</v>
      </c>
      <c r="F114" s="4">
        <f ca="1">B114+D114</f>
        <v>2955.1677727912011</v>
      </c>
      <c r="G114" s="9" t="str">
        <f>"= Mnx,gc"</f>
        <v>= Mnx,gc</v>
      </c>
      <c r="H114" s="4">
        <f ca="1">F114/12</f>
        <v>246.26398106593342</v>
      </c>
      <c r="I114" t="s">
        <v>71</v>
      </c>
      <c r="J114" s="27">
        <f ca="1">H114*J113</f>
        <v>160.07158769285672</v>
      </c>
      <c r="K114" t="s">
        <v>71</v>
      </c>
      <c r="P114" t="s">
        <v>84</v>
      </c>
      <c r="V114">
        <v>-3.2390229327379E-10</v>
      </c>
      <c r="W114" s="6"/>
      <c r="AC114">
        <v>55.992124395440769</v>
      </c>
      <c r="AD114">
        <v>1446.9038</v>
      </c>
    </row>
    <row r="115" spans="1:30" ht="15.75" thickBot="1" x14ac:dyDescent="0.3">
      <c r="A115" s="2" t="s">
        <v>69</v>
      </c>
      <c r="B115" s="4">
        <f ca="1">(-1*(K92+I110)*SIN(-1*B53))+((L92+J110)*COS(-1*B53))</f>
        <v>2955.1693476773989</v>
      </c>
      <c r="C115" t="s">
        <v>23</v>
      </c>
      <c r="D115" s="1">
        <f ca="1">-1*B113*(D49-G7)</f>
        <v>4.860571267154696E-13</v>
      </c>
      <c r="E115" t="s">
        <v>23</v>
      </c>
      <c r="F115" s="4">
        <f ca="1">B115+D115</f>
        <v>2955.1693476773994</v>
      </c>
      <c r="G115" s="9" t="str">
        <f>"= Mny,gc"</f>
        <v>= Mny,gc</v>
      </c>
      <c r="H115" s="4">
        <f ca="1">F115/12</f>
        <v>246.26411230644996</v>
      </c>
      <c r="I115" t="s">
        <v>71</v>
      </c>
      <c r="J115" s="27">
        <f ca="1">H115*J113</f>
        <v>160.07167299919249</v>
      </c>
      <c r="K115" t="s">
        <v>71</v>
      </c>
      <c r="M115" s="74" t="s">
        <v>132</v>
      </c>
      <c r="N115" s="75">
        <f ca="1">IF(AND(J114=0,J115=0),0,ATAN2(J114,J115))</f>
        <v>0.78539842986045483</v>
      </c>
      <c r="P115">
        <f ca="1">(-1*0.003*MAX(E98:E109))/(0.002-0.003)</f>
        <v>61.666945845198271</v>
      </c>
      <c r="V115">
        <v>-2.1593349171383562E-10</v>
      </c>
      <c r="W115" s="6"/>
      <c r="X115" s="6"/>
      <c r="AC115">
        <v>56.840488401432296</v>
      </c>
      <c r="AD115">
        <v>1446.9038</v>
      </c>
    </row>
    <row r="116" spans="1:30" ht="15.75" thickBot="1" x14ac:dyDescent="0.3">
      <c r="J116" s="28">
        <f ca="1">B113*J113</f>
        <v>355.71358789794147</v>
      </c>
      <c r="K116" t="s">
        <v>20</v>
      </c>
      <c r="T116" s="2" t="s">
        <v>118</v>
      </c>
      <c r="U116" s="63">
        <v>9.9999999999999995E-7</v>
      </c>
      <c r="AC116">
        <v>57.688852407423823</v>
      </c>
      <c r="AD116">
        <v>1446.9038</v>
      </c>
    </row>
    <row r="117" spans="1:30" ht="15.75" thickBot="1" x14ac:dyDescent="0.3">
      <c r="A117" s="19" t="s">
        <v>73</v>
      </c>
      <c r="B117" t="s">
        <v>90</v>
      </c>
      <c r="G117" s="2" t="s">
        <v>139</v>
      </c>
      <c r="H117" s="5">
        <f ca="1">B48</f>
        <v>1752.74</v>
      </c>
      <c r="I117" t="s">
        <v>80</v>
      </c>
      <c r="J117" s="1">
        <f ca="1">0.65*((0.85*B2*B5*B6)+((B10-0.85*B2)*SUM(C13:C24)))*0.8</f>
        <v>911.4248</v>
      </c>
      <c r="K117" t="s">
        <v>20</v>
      </c>
      <c r="L117" s="72" t="s">
        <v>130</v>
      </c>
      <c r="M117" s="73">
        <f ca="1">SQRT((J114*J114)+(J115*J115))</f>
        <v>226.37547058652873</v>
      </c>
      <c r="N117" t="s">
        <v>91</v>
      </c>
      <c r="O117">
        <f ca="1">J114/M117</f>
        <v>0.70710659276872356</v>
      </c>
      <c r="P117">
        <f ca="1">J115/M117</f>
        <v>0.70710696960432118</v>
      </c>
      <c r="T117" s="2" t="s">
        <v>93</v>
      </c>
      <c r="U117" s="51">
        <f ca="1">B118-J116</f>
        <v>-255.71358789794147</v>
      </c>
      <c r="V117">
        <f ca="1">ABS(U117)</f>
        <v>255.71358789794147</v>
      </c>
      <c r="AC117">
        <v>58.537216413415351</v>
      </c>
      <c r="AD117">
        <v>1446.9038</v>
      </c>
    </row>
    <row r="118" spans="1:30" ht="15.75" thickBot="1" x14ac:dyDescent="0.3">
      <c r="A118" s="2" t="s">
        <v>74</v>
      </c>
      <c r="B118" s="32">
        <v>100</v>
      </c>
      <c r="C118" t="s">
        <v>20</v>
      </c>
      <c r="I118" t="s">
        <v>81</v>
      </c>
      <c r="J118" s="1">
        <f ca="1">-1*0.9*B10*SUM(C13:C24)</f>
        <v>-426.6</v>
      </c>
      <c r="K118" t="s">
        <v>20</v>
      </c>
      <c r="O118">
        <f ca="1">ABS(O117)/O117</f>
        <v>1</v>
      </c>
      <c r="P118">
        <f ca="1">ABS(P117)/P117</f>
        <v>1</v>
      </c>
      <c r="Q118">
        <f ca="1">P118*O118</f>
        <v>1</v>
      </c>
      <c r="T118" s="2" t="s">
        <v>95</v>
      </c>
      <c r="U118" s="54">
        <f ca="1">B121-N115</f>
        <v>-2.6646300654853405E-7</v>
      </c>
      <c r="AC118">
        <v>59.385580419406878</v>
      </c>
      <c r="AD118">
        <v>1446.9038</v>
      </c>
    </row>
    <row r="119" spans="1:30" ht="15.75" thickBot="1" x14ac:dyDescent="0.3">
      <c r="A119" s="2" t="s">
        <v>75</v>
      </c>
      <c r="B119" s="32">
        <v>45</v>
      </c>
      <c r="C119" t="s">
        <v>71</v>
      </c>
      <c r="G119" s="2" t="s">
        <v>77</v>
      </c>
      <c r="H119" s="31">
        <v>25</v>
      </c>
      <c r="L119">
        <f ca="1">B118-J116</f>
        <v>-255.71358789794147</v>
      </c>
      <c r="M119" s="42">
        <f ca="1">N115-B121</f>
        <v>2.6646300654853405E-7</v>
      </c>
      <c r="O119">
        <f>B119/E120</f>
        <v>0.70710678118654746</v>
      </c>
      <c r="P119">
        <f>B120/E120</f>
        <v>0.70710678118654746</v>
      </c>
      <c r="AC119">
        <v>60.233944425398406</v>
      </c>
      <c r="AD119">
        <v>1446.9038</v>
      </c>
    </row>
    <row r="120" spans="1:30" ht="15.75" thickBot="1" x14ac:dyDescent="0.3">
      <c r="A120" s="2" t="s">
        <v>76</v>
      </c>
      <c r="B120" s="32">
        <v>45</v>
      </c>
      <c r="C120" t="s">
        <v>71</v>
      </c>
      <c r="D120">
        <f>B118</f>
        <v>100</v>
      </c>
      <c r="E120" s="74">
        <f>SQRT((B119*B119)+(B120*B120))</f>
        <v>63.63961030678928</v>
      </c>
      <c r="F120" s="73" t="s">
        <v>131</v>
      </c>
      <c r="G120" s="2" t="s">
        <v>78</v>
      </c>
      <c r="H120" s="50">
        <v>26</v>
      </c>
      <c r="I120" s="50">
        <v>1</v>
      </c>
      <c r="J120">
        <v>24.079572812875831</v>
      </c>
      <c r="O120">
        <f>ABS(O119)/O119</f>
        <v>1</v>
      </c>
      <c r="P120">
        <f>ABS(P119)/P119</f>
        <v>1</v>
      </c>
      <c r="Q120">
        <f>P120*O120</f>
        <v>1</v>
      </c>
      <c r="S120" t="s">
        <v>166</v>
      </c>
      <c r="AC120">
        <v>61.082308431389933</v>
      </c>
      <c r="AD120">
        <v>1446.9038</v>
      </c>
    </row>
    <row r="121" spans="1:30" ht="15.75" thickBot="1" x14ac:dyDescent="0.3">
      <c r="A121" s="72" t="s">
        <v>133</v>
      </c>
      <c r="B121" s="76">
        <f>IF(AND(B119=0,B120=0),0,ATAN2(B119,B120))</f>
        <v>0.78539816339744828</v>
      </c>
      <c r="G121" s="2" t="s">
        <v>117</v>
      </c>
      <c r="H121" s="1">
        <v>0</v>
      </c>
      <c r="I121" s="1" t="s">
        <v>169</v>
      </c>
      <c r="J121">
        <v>24.079572796149495</v>
      </c>
      <c r="O121">
        <f ca="1">O117-O119</f>
        <v>-1.8841782389866779E-7</v>
      </c>
      <c r="P121">
        <f ca="1">P117-P119</f>
        <v>1.8841777371658708E-7</v>
      </c>
      <c r="S121" s="2" t="s">
        <v>167</v>
      </c>
      <c r="T121">
        <v>1.1564254760742188E-2</v>
      </c>
      <c r="U121" t="s">
        <v>6</v>
      </c>
      <c r="AC121">
        <v>61.93067243738146</v>
      </c>
      <c r="AD121">
        <v>1446.9038</v>
      </c>
    </row>
    <row r="122" spans="1:30" x14ac:dyDescent="0.25">
      <c r="G122" s="2" t="s">
        <v>116</v>
      </c>
      <c r="H122" s="1">
        <v>7</v>
      </c>
      <c r="S122" s="2" t="s">
        <v>168</v>
      </c>
      <c r="T122">
        <v>42.000000953674316</v>
      </c>
      <c r="U122" s="82" t="s">
        <v>6</v>
      </c>
      <c r="AC122">
        <v>62.779036443372988</v>
      </c>
      <c r="AD122">
        <v>1446.9038</v>
      </c>
    </row>
    <row r="123" spans="1:30" x14ac:dyDescent="0.25">
      <c r="A123" s="12"/>
      <c r="B123" s="13"/>
      <c r="C123" s="13"/>
      <c r="D123" s="13"/>
      <c r="E123" s="13"/>
      <c r="F123" s="13"/>
      <c r="G123" s="13"/>
      <c r="H123" s="13"/>
      <c r="I123" s="13"/>
      <c r="AC123">
        <v>63.627400449364515</v>
      </c>
      <c r="AD123">
        <v>1446.9038</v>
      </c>
    </row>
    <row r="124" spans="1:30" x14ac:dyDescent="0.25">
      <c r="A124" s="14"/>
      <c r="B124" s="13"/>
      <c r="C124" s="13"/>
      <c r="D124" s="13"/>
      <c r="E124" s="13"/>
      <c r="F124" s="13"/>
      <c r="G124" s="13"/>
      <c r="H124" s="15">
        <v>0</v>
      </c>
      <c r="I124" s="30">
        <v>0</v>
      </c>
      <c r="J124" s="13"/>
      <c r="K124" s="13"/>
      <c r="L124" s="11"/>
      <c r="M124" s="13"/>
      <c r="N124" s="13"/>
      <c r="AC124">
        <v>64.475764455356043</v>
      </c>
      <c r="AD124">
        <v>1446.9038</v>
      </c>
    </row>
    <row r="125" spans="1:30" x14ac:dyDescent="0.25">
      <c r="A125" s="14"/>
      <c r="B125" s="18"/>
      <c r="C125" s="13"/>
      <c r="D125" s="14"/>
      <c r="E125" s="15"/>
      <c r="F125" s="15"/>
      <c r="G125" s="14">
        <v>25</v>
      </c>
      <c r="H125" s="81">
        <f ca="1">J114</f>
        <v>160.07158769285672</v>
      </c>
      <c r="I125" s="3">
        <f ca="1">J115</f>
        <v>160.07167299919249</v>
      </c>
      <c r="J125" s="14"/>
      <c r="K125" s="15"/>
      <c r="L125" s="11"/>
      <c r="M125" s="14"/>
      <c r="N125" s="15"/>
      <c r="AC125">
        <v>65.32412846134757</v>
      </c>
      <c r="AD125">
        <v>1446.9038</v>
      </c>
    </row>
    <row r="126" spans="1:30" x14ac:dyDescent="0.25">
      <c r="A126" s="14"/>
      <c r="B126" s="16"/>
      <c r="C126" s="15"/>
      <c r="D126" s="14"/>
      <c r="E126" s="18"/>
      <c r="F126" s="13"/>
      <c r="G126" s="14">
        <v>72</v>
      </c>
      <c r="H126" s="81">
        <v>42</v>
      </c>
      <c r="I126" s="11"/>
      <c r="J126" s="14"/>
      <c r="K126" s="15"/>
      <c r="L126" s="11"/>
      <c r="M126" s="14"/>
      <c r="N126" s="15"/>
      <c r="AC126">
        <v>66.172492467339097</v>
      </c>
      <c r="AD126">
        <v>1446.9038</v>
      </c>
    </row>
    <row r="127" spans="1:30" ht="15.75" thickBot="1" x14ac:dyDescent="0.3">
      <c r="A127" s="14">
        <f>(2*PI())/360</f>
        <v>1.7453292519943295E-2</v>
      </c>
      <c r="B127" s="15"/>
      <c r="C127" s="16"/>
      <c r="D127" s="14"/>
      <c r="E127" s="15"/>
      <c r="F127" s="13"/>
      <c r="G127" s="14">
        <v>1847</v>
      </c>
      <c r="H127" s="15">
        <v>42.000000953674316</v>
      </c>
      <c r="I127" s="11"/>
      <c r="J127" s="14"/>
      <c r="K127" s="15"/>
      <c r="L127" s="11"/>
      <c r="M127" s="14"/>
      <c r="N127" s="15"/>
      <c r="Q127" s="2" t="s">
        <v>83</v>
      </c>
      <c r="R127" s="55">
        <v>75</v>
      </c>
      <c r="AC127">
        <v>67.020856473330625</v>
      </c>
      <c r="AD127">
        <v>1446.9038</v>
      </c>
    </row>
    <row r="128" spans="1:30" ht="17.25" x14ac:dyDescent="0.25">
      <c r="A128" s="14" t="s">
        <v>82</v>
      </c>
      <c r="B128" s="15" t="s">
        <v>75</v>
      </c>
      <c r="C128" s="16" t="s">
        <v>76</v>
      </c>
      <c r="D128" s="14" t="s">
        <v>92</v>
      </c>
      <c r="E128" s="15"/>
      <c r="F128" s="13"/>
      <c r="G128" s="14"/>
      <c r="H128" s="15"/>
      <c r="I128" s="11"/>
      <c r="J128" s="14"/>
      <c r="K128" s="15"/>
      <c r="L128" s="11"/>
      <c r="M128" s="14"/>
      <c r="N128" s="15"/>
      <c r="Q128" t="s">
        <v>74</v>
      </c>
      <c r="R128" t="s">
        <v>48</v>
      </c>
      <c r="T128" t="s">
        <v>137</v>
      </c>
      <c r="U128" t="s">
        <v>138</v>
      </c>
      <c r="V128" s="38" t="s">
        <v>94</v>
      </c>
      <c r="W128" s="39"/>
      <c r="X128" s="58" t="s">
        <v>163</v>
      </c>
      <c r="Y128" s="58" t="s">
        <v>164</v>
      </c>
      <c r="AC128">
        <v>67.869220479322152</v>
      </c>
      <c r="AD128">
        <v>1446.9038</v>
      </c>
    </row>
    <row r="129" spans="1:30" x14ac:dyDescent="0.25">
      <c r="A129" s="35">
        <v>-3.1415926535897931</v>
      </c>
      <c r="B129" s="47">
        <v>-378.87891389934816</v>
      </c>
      <c r="C129" s="47">
        <v>-9.17400986209147E-15</v>
      </c>
      <c r="D129" s="48">
        <f>ATAN2(B129,C129)</f>
        <v>-3.1415926535897931</v>
      </c>
      <c r="E129" s="15"/>
      <c r="F129" s="13"/>
      <c r="G129" s="14"/>
      <c r="H129" s="15"/>
      <c r="I129" s="11"/>
      <c r="J129" s="14"/>
      <c r="K129" s="15"/>
      <c r="L129" s="11"/>
      <c r="M129" s="14"/>
      <c r="N129" s="15"/>
      <c r="P129" s="37"/>
      <c r="Q129" s="37">
        <f ca="1">J118</f>
        <v>-426.6</v>
      </c>
      <c r="R129" s="37" t="e">
        <v>#N/A</v>
      </c>
      <c r="S129" s="37">
        <v>0.58902408434038966</v>
      </c>
      <c r="V129" s="52" t="s">
        <v>74</v>
      </c>
      <c r="W129" s="53" t="s">
        <v>48</v>
      </c>
      <c r="AC129">
        <v>68.717584485313679</v>
      </c>
      <c r="AD129">
        <v>1446.9038</v>
      </c>
    </row>
    <row r="130" spans="1:30" x14ac:dyDescent="0.25">
      <c r="A130" s="36">
        <v>-3.12413936106985</v>
      </c>
      <c r="B130" s="47">
        <v>-378.0467155906137</v>
      </c>
      <c r="C130" s="47">
        <v>-2.7977428591448019</v>
      </c>
      <c r="D130" s="48">
        <f t="shared" ref="D130:D193" si="40">ATAN2(B130,C130)</f>
        <v>-3.1341922671557496</v>
      </c>
      <c r="E130" s="15"/>
      <c r="F130" s="13"/>
      <c r="G130" s="14"/>
      <c r="H130" s="15"/>
      <c r="I130" s="11"/>
      <c r="J130" s="14"/>
      <c r="K130" s="15"/>
      <c r="L130" s="11"/>
      <c r="M130" s="14"/>
      <c r="N130" s="15"/>
      <c r="P130" s="37">
        <v>1</v>
      </c>
      <c r="Q130">
        <v>-426.41937976036593</v>
      </c>
      <c r="R130">
        <v>0.17022051075908731</v>
      </c>
      <c r="S130" s="37">
        <v>0.78539897910708012</v>
      </c>
      <c r="T130">
        <v>-473.79931084485099</v>
      </c>
      <c r="U130">
        <v>0.18913390084343032</v>
      </c>
      <c r="V130" s="44">
        <v>0</v>
      </c>
      <c r="W130" s="43">
        <v>0</v>
      </c>
      <c r="X130">
        <v>1.5699778650912528</v>
      </c>
      <c r="Y130">
        <v>1.1564254760742188E-2</v>
      </c>
      <c r="AC130">
        <v>69.565948491305207</v>
      </c>
      <c r="AD130">
        <v>1446.9038</v>
      </c>
    </row>
    <row r="131" spans="1:30" x14ac:dyDescent="0.25">
      <c r="A131" s="36">
        <v>-3.1066860685499065</v>
      </c>
      <c r="B131" s="47">
        <v>-377.22702787653554</v>
      </c>
      <c r="C131" s="47">
        <v>-5.5355741585416887</v>
      </c>
      <c r="D131" s="48">
        <f t="shared" si="40"/>
        <v>-3.1269193230438361</v>
      </c>
      <c r="E131" s="13"/>
      <c r="F131" s="13"/>
      <c r="G131" s="13"/>
      <c r="H131" s="13"/>
      <c r="I131" s="13"/>
      <c r="P131" s="37">
        <v>2</v>
      </c>
      <c r="Q131">
        <v>-417.31433429619966</v>
      </c>
      <c r="R131">
        <v>8.5773027913905011</v>
      </c>
      <c r="S131">
        <v>0.78539836249273287</v>
      </c>
      <c r="T131">
        <v>-463.68259366244405</v>
      </c>
      <c r="U131">
        <v>9.5303364348783344</v>
      </c>
      <c r="V131" s="44">
        <f>D120</f>
        <v>100</v>
      </c>
      <c r="W131" s="43">
        <f>E120</f>
        <v>63.63961030678928</v>
      </c>
      <c r="X131">
        <v>1.5318872935974865</v>
      </c>
      <c r="Y131">
        <v>0.57141007741292316</v>
      </c>
      <c r="AC131">
        <v>70.414312497296734</v>
      </c>
      <c r="AD131">
        <v>1446.9038</v>
      </c>
    </row>
    <row r="132" spans="1:30" ht="15.75" thickBot="1" x14ac:dyDescent="0.3">
      <c r="A132" s="36">
        <v>-3.0892327760299634</v>
      </c>
      <c r="B132" s="47">
        <v>-376.41657769376206</v>
      </c>
      <c r="C132" s="47">
        <v>-8.219365197991074</v>
      </c>
      <c r="D132" s="48">
        <f t="shared" si="40"/>
        <v>-3.119760301565524</v>
      </c>
      <c r="E132" s="13"/>
      <c r="F132" s="13"/>
      <c r="G132" s="13"/>
      <c r="H132" s="13"/>
      <c r="I132" s="13"/>
      <c r="P132" s="37">
        <v>3</v>
      </c>
      <c r="Q132">
        <v>-407.47436472345765</v>
      </c>
      <c r="R132">
        <v>17.307372946088201</v>
      </c>
      <c r="S132">
        <v>0.78539832982587476</v>
      </c>
      <c r="T132">
        <v>-452.74929413717518</v>
      </c>
      <c r="U132">
        <v>19.230414384542442</v>
      </c>
      <c r="V132" s="40">
        <f ca="1">J116</f>
        <v>355.71358789794147</v>
      </c>
      <c r="W132" s="41">
        <f ca="1">SQRT((J114*J114)+(J115*J115))</f>
        <v>226.37547058652873</v>
      </c>
      <c r="X132">
        <v>1.4965573422292353</v>
      </c>
      <c r="Y132">
        <v>1.1312559000651041</v>
      </c>
      <c r="AC132">
        <v>71.262676503288247</v>
      </c>
      <c r="AD132">
        <v>1446.9038</v>
      </c>
    </row>
    <row r="133" spans="1:30" x14ac:dyDescent="0.25">
      <c r="A133" s="36">
        <v>-3.0717794835100198</v>
      </c>
      <c r="B133" s="47">
        <v>-375.61235469045027</v>
      </c>
      <c r="C133" s="47">
        <v>-10.854481565430223</v>
      </c>
      <c r="D133" s="48">
        <f t="shared" si="40"/>
        <v>-3.1127025986768388</v>
      </c>
      <c r="E133" s="13"/>
      <c r="F133" s="13"/>
      <c r="G133" s="13"/>
      <c r="H133" s="13"/>
      <c r="I133" s="13"/>
      <c r="P133" s="37">
        <v>4</v>
      </c>
      <c r="Q133">
        <v>-396.85868803020355</v>
      </c>
      <c r="R133">
        <v>26.351273009249919</v>
      </c>
      <c r="S133">
        <v>0.78539805291792786</v>
      </c>
      <c r="T133">
        <v>-440.95409781133725</v>
      </c>
      <c r="U133">
        <v>29.279192232499913</v>
      </c>
      <c r="X133">
        <v>1.4636849881922671</v>
      </c>
      <c r="Y133">
        <v>1.6911017227172851</v>
      </c>
      <c r="AC133">
        <v>72.111040509279775</v>
      </c>
      <c r="AD133">
        <v>1446.9038</v>
      </c>
    </row>
    <row r="134" spans="1:30" x14ac:dyDescent="0.25">
      <c r="A134" s="36">
        <v>-3.0543261909900767</v>
      </c>
      <c r="B134" s="47">
        <v>-374.81156880951181</v>
      </c>
      <c r="C134" s="47">
        <v>-13.445850101993248</v>
      </c>
      <c r="D134" s="48">
        <f t="shared" si="40"/>
        <v>-3.105734404346471</v>
      </c>
      <c r="E134" s="13"/>
      <c r="F134" s="13"/>
      <c r="G134" s="13"/>
      <c r="H134" s="13"/>
      <c r="I134" s="13"/>
      <c r="P134" s="37">
        <v>5</v>
      </c>
      <c r="Q134">
        <v>-369.69788839577853</v>
      </c>
      <c r="R134">
        <v>46.67635484580282</v>
      </c>
      <c r="S134">
        <v>0.78539828398477707</v>
      </c>
      <c r="T134">
        <v>-410.77543155086505</v>
      </c>
      <c r="U134">
        <v>51.862616495336461</v>
      </c>
      <c r="X134">
        <v>1.4525111003809674</v>
      </c>
      <c r="Y134">
        <v>2.2509475453694661</v>
      </c>
      <c r="AC134">
        <v>72.959404515271302</v>
      </c>
      <c r="AD134">
        <v>1446.9038</v>
      </c>
    </row>
    <row r="135" spans="1:30" x14ac:dyDescent="0.25">
      <c r="A135" s="36">
        <v>-3.0368728984701332</v>
      </c>
      <c r="B135" s="47">
        <v>-374.01161362396556</v>
      </c>
      <c r="C135" s="47">
        <v>-15.998016324615813</v>
      </c>
      <c r="D135" s="48">
        <f t="shared" si="40"/>
        <v>-3.0988445953782837</v>
      </c>
      <c r="E135" s="13"/>
      <c r="F135" s="13"/>
      <c r="G135" s="13"/>
      <c r="H135" s="13"/>
      <c r="I135" s="13"/>
      <c r="P135" s="37">
        <v>6</v>
      </c>
      <c r="Q135">
        <v>-321.01927594553229</v>
      </c>
      <c r="R135">
        <v>79.19382196631274</v>
      </c>
      <c r="S135">
        <v>0.7853972924199728</v>
      </c>
      <c r="T135">
        <v>-356.68808438392477</v>
      </c>
      <c r="U135">
        <v>87.993135518125257</v>
      </c>
      <c r="X135">
        <v>1.440394381324084</v>
      </c>
      <c r="Y135">
        <v>2.8107933680216473</v>
      </c>
      <c r="AC135">
        <v>73.80776852126283</v>
      </c>
      <c r="AD135">
        <v>1446.9038</v>
      </c>
    </row>
    <row r="136" spans="1:30" x14ac:dyDescent="0.25">
      <c r="A136" s="36">
        <v>-3.0194196059501901</v>
      </c>
      <c r="B136" s="47">
        <v>-373.21003449170894</v>
      </c>
      <c r="C136" s="47">
        <v>-18.515193933313654</v>
      </c>
      <c r="D136" s="48">
        <f t="shared" si="40"/>
        <v>-3.0920226403381266</v>
      </c>
      <c r="E136" s="13"/>
      <c r="F136" s="13"/>
      <c r="G136" s="13"/>
      <c r="H136" s="13"/>
      <c r="I136" s="13"/>
      <c r="P136" s="37">
        <v>7</v>
      </c>
      <c r="Q136">
        <v>-282.47820978371578</v>
      </c>
      <c r="R136">
        <v>103.08950892261944</v>
      </c>
      <c r="S136">
        <v>0.78539836356736759</v>
      </c>
      <c r="T136">
        <v>-313.86467753746194</v>
      </c>
      <c r="U136">
        <v>114.54389880291049</v>
      </c>
      <c r="X136">
        <v>1.4106676076938616</v>
      </c>
      <c r="Y136">
        <v>3.3706391906738284</v>
      </c>
      <c r="AC136">
        <v>74.656132527254357</v>
      </c>
      <c r="AD136">
        <v>1446.9038</v>
      </c>
    </row>
    <row r="137" spans="1:30" x14ac:dyDescent="0.25">
      <c r="A137" s="36">
        <v>-3.0019663134302466</v>
      </c>
      <c r="B137" s="47">
        <v>-372.40450061630008</v>
      </c>
      <c r="C137" s="47">
        <v>-21.001307728417906</v>
      </c>
      <c r="D137" s="48">
        <f t="shared" si="40"/>
        <v>-3.0852585146034168</v>
      </c>
      <c r="E137" s="13"/>
      <c r="F137" s="13"/>
      <c r="G137" s="13"/>
      <c r="H137" s="13"/>
      <c r="I137" s="13"/>
      <c r="P137" s="37">
        <v>8</v>
      </c>
      <c r="Q137">
        <v>-251.81470911360779</v>
      </c>
      <c r="R137">
        <v>121.34143899308417</v>
      </c>
      <c r="S137">
        <v>0.78539807178525356</v>
      </c>
      <c r="T137">
        <v>-279.79412123734198</v>
      </c>
      <c r="U137">
        <v>134.82382110342684</v>
      </c>
      <c r="V137" s="42"/>
      <c r="X137">
        <v>1.3744119734193443</v>
      </c>
      <c r="Y137">
        <v>3.9304850133260096</v>
      </c>
      <c r="AC137">
        <v>75.504496533245884</v>
      </c>
      <c r="AD137">
        <v>1446.9038</v>
      </c>
    </row>
    <row r="138" spans="1:30" x14ac:dyDescent="0.25">
      <c r="A138" s="36">
        <v>-2.9845130209103035</v>
      </c>
      <c r="B138" s="47">
        <v>-371.59278024018175</v>
      </c>
      <c r="C138" s="47">
        <v>-23.460031024103614</v>
      </c>
      <c r="D138" s="48">
        <f t="shared" si="40"/>
        <v>-3.0785426238470799</v>
      </c>
      <c r="E138" s="13"/>
      <c r="F138" s="13"/>
      <c r="G138" s="13"/>
      <c r="H138" s="13"/>
      <c r="I138" s="13"/>
      <c r="P138" s="37">
        <v>9</v>
      </c>
      <c r="Q138">
        <v>-228.52235433834051</v>
      </c>
      <c r="R138">
        <v>135.00965030127557</v>
      </c>
      <c r="S138">
        <v>0.78539795731714557</v>
      </c>
      <c r="T138">
        <v>-253.91372704260056</v>
      </c>
      <c r="U138">
        <v>150.01072255697287</v>
      </c>
      <c r="X138">
        <v>1.3373378718905591</v>
      </c>
      <c r="Y138">
        <v>4.4903308359781908</v>
      </c>
      <c r="AC138">
        <v>76.352860539237412</v>
      </c>
      <c r="AD138">
        <v>1446.9038</v>
      </c>
    </row>
    <row r="139" spans="1:30" x14ac:dyDescent="0.25">
      <c r="A139" s="36">
        <v>-2.9670597283903604</v>
      </c>
      <c r="B139" s="47">
        <v>-370.77271852826919</v>
      </c>
      <c r="C139" s="47">
        <v>-25.894818446490198</v>
      </c>
      <c r="D139" s="48">
        <f t="shared" si="40"/>
        <v>-3.0718657345628344</v>
      </c>
      <c r="E139" s="13"/>
      <c r="F139" s="13"/>
      <c r="G139" s="13"/>
      <c r="H139" s="13"/>
      <c r="I139" s="13"/>
      <c r="P139" s="37">
        <v>10</v>
      </c>
      <c r="Q139">
        <v>-202.8736277098576</v>
      </c>
      <c r="R139">
        <v>149.9760618664271</v>
      </c>
      <c r="S139">
        <v>0.78539816435295551</v>
      </c>
      <c r="T139">
        <v>-225.41514189984179</v>
      </c>
      <c r="U139">
        <v>166.64006874047456</v>
      </c>
      <c r="X139">
        <v>1.3038987076048574</v>
      </c>
      <c r="Y139">
        <v>5.050176658630372</v>
      </c>
      <c r="AC139">
        <v>77.201224545228939</v>
      </c>
      <c r="AD139">
        <v>1446.9038</v>
      </c>
    </row>
    <row r="140" spans="1:30" x14ac:dyDescent="0.25">
      <c r="A140" s="36">
        <v>-2.9496064358704168</v>
      </c>
      <c r="B140" s="47">
        <v>-369.94221752952973</v>
      </c>
      <c r="C140" s="47">
        <v>-28.308934857996228</v>
      </c>
      <c r="D140" s="48">
        <f t="shared" si="40"/>
        <v>-3.0652189103873391</v>
      </c>
      <c r="E140" s="13"/>
      <c r="F140" s="13"/>
      <c r="G140" s="13"/>
      <c r="H140" s="13"/>
      <c r="I140" s="13"/>
      <c r="P140" s="37">
        <v>11</v>
      </c>
      <c r="Q140">
        <v>-158.8052908286252</v>
      </c>
      <c r="R140">
        <v>169.8444706531784</v>
      </c>
      <c r="S140">
        <v>0.78539816021496112</v>
      </c>
      <c r="T140">
        <v>-176.45032314291689</v>
      </c>
      <c r="U140">
        <v>188.71607850353155</v>
      </c>
      <c r="X140">
        <v>1.2789983301533263</v>
      </c>
      <c r="Y140">
        <v>5.6100224812825532</v>
      </c>
      <c r="AC140">
        <v>78.049588551220467</v>
      </c>
      <c r="AD140">
        <v>1446.9038</v>
      </c>
    </row>
    <row r="141" spans="1:30" x14ac:dyDescent="0.25">
      <c r="A141" s="36">
        <v>-2.9321531433504737</v>
      </c>
      <c r="B141" s="47">
        <v>-369.09921784903776</v>
      </c>
      <c r="C141" s="47">
        <v>-30.705481021765486</v>
      </c>
      <c r="D141" s="48">
        <f t="shared" si="40"/>
        <v>-3.0585934531680206</v>
      </c>
      <c r="E141" s="13"/>
      <c r="F141" s="13"/>
      <c r="G141" s="13"/>
      <c r="H141" s="13"/>
      <c r="I141" s="13"/>
      <c r="P141" s="37">
        <v>12</v>
      </c>
      <c r="Q141">
        <v>-118.2842356792241</v>
      </c>
      <c r="R141">
        <v>188.09358251271746</v>
      </c>
      <c r="S141">
        <v>0.78539816962688924</v>
      </c>
      <c r="T141">
        <v>-131.42692853247121</v>
      </c>
      <c r="U141">
        <v>208.99286945857494</v>
      </c>
      <c r="X141">
        <v>1.2551932926454412</v>
      </c>
      <c r="Y141">
        <v>6.1698683039347344</v>
      </c>
      <c r="AC141">
        <v>78.897952557211994</v>
      </c>
      <c r="AD141">
        <v>1446.9038</v>
      </c>
    </row>
    <row r="142" spans="1:30" x14ac:dyDescent="0.25">
      <c r="A142" s="36">
        <v>-2.9146998508305302</v>
      </c>
      <c r="B142" s="47">
        <v>-368.24168168013551</v>
      </c>
      <c r="C142" s="47">
        <v>-33.087416521010802</v>
      </c>
      <c r="D142" s="48">
        <f t="shared" si="40"/>
        <v>-3.0519808478492827</v>
      </c>
      <c r="E142" s="13"/>
      <c r="F142" s="13"/>
      <c r="G142" s="13"/>
      <c r="H142" s="13"/>
      <c r="I142" s="13"/>
      <c r="P142" s="37">
        <v>13</v>
      </c>
      <c r="Q142">
        <v>-80.240849150453343</v>
      </c>
      <c r="R142">
        <v>205.07172059227256</v>
      </c>
      <c r="S142">
        <v>0.78539806194977446</v>
      </c>
      <c r="T142">
        <v>-89.156499056059261</v>
      </c>
      <c r="U142">
        <v>227.85746732474729</v>
      </c>
      <c r="X142">
        <v>1.2324818026703179</v>
      </c>
      <c r="Y142">
        <v>6.7297141265869156</v>
      </c>
      <c r="AC142">
        <v>79.746316563203521</v>
      </c>
      <c r="AD142">
        <v>1446.9038</v>
      </c>
    </row>
    <row r="143" spans="1:30" x14ac:dyDescent="0.25">
      <c r="A143" s="36">
        <v>-2.8972465583105871</v>
      </c>
      <c r="B143" s="47">
        <v>-367.36757721816616</v>
      </c>
      <c r="C143" s="47">
        <v>-35.457580353045223</v>
      </c>
      <c r="D143" s="48">
        <f t="shared" si="40"/>
        <v>-3.045372710475859</v>
      </c>
      <c r="E143" s="13"/>
      <c r="F143" s="13"/>
      <c r="G143" s="13"/>
      <c r="H143" s="13"/>
      <c r="I143" s="13"/>
      <c r="P143" s="37">
        <v>14</v>
      </c>
      <c r="Q143">
        <v>-45.506356091239709</v>
      </c>
      <c r="R143">
        <v>219.63789406836358</v>
      </c>
      <c r="S143">
        <v>0.78539815867900198</v>
      </c>
      <c r="T143">
        <v>-50.658922899328843</v>
      </c>
      <c r="U143">
        <v>244.50692380359885</v>
      </c>
      <c r="X143">
        <v>1.2117594939925165</v>
      </c>
      <c r="Y143">
        <v>7.2895599492390968</v>
      </c>
      <c r="AC143">
        <v>80.594680569195049</v>
      </c>
      <c r="AD143">
        <v>1446.9038</v>
      </c>
    </row>
    <row r="144" spans="1:30" x14ac:dyDescent="0.25">
      <c r="A144" s="36">
        <v>-2.8797932657906435</v>
      </c>
      <c r="B144" s="47">
        <v>-366.47486178179679</v>
      </c>
      <c r="C144" s="47">
        <v>-37.818709671374037</v>
      </c>
      <c r="D144" s="48">
        <f t="shared" si="40"/>
        <v>-3.0387607376571175</v>
      </c>
      <c r="E144" s="13"/>
      <c r="F144" s="13"/>
      <c r="G144" s="13"/>
      <c r="H144" s="14"/>
      <c r="I144" s="17"/>
      <c r="P144" s="37">
        <v>15</v>
      </c>
      <c r="Q144">
        <v>-6.7096467585880637</v>
      </c>
      <c r="R144">
        <v>225.1341328696443</v>
      </c>
      <c r="S144">
        <v>0.78539816079421976</v>
      </c>
      <c r="T144">
        <v>-7.8091842917066856</v>
      </c>
      <c r="U144">
        <v>262.02779329363659</v>
      </c>
      <c r="X144">
        <v>1.1941299085939614</v>
      </c>
      <c r="Y144">
        <v>7.849405771891278</v>
      </c>
      <c r="AC144">
        <v>81.443044575186576</v>
      </c>
      <c r="AD144">
        <v>1446.9038</v>
      </c>
    </row>
    <row r="145" spans="1:30" x14ac:dyDescent="0.25">
      <c r="A145" s="36">
        <v>-2.8623399732707004</v>
      </c>
      <c r="B145" s="47">
        <v>-364.92034514077869</v>
      </c>
      <c r="C145" s="47">
        <v>-40.086969160018803</v>
      </c>
      <c r="D145" s="48">
        <f t="shared" si="40"/>
        <v>-3.0321800653749795</v>
      </c>
      <c r="E145" s="13"/>
      <c r="F145" s="13"/>
      <c r="G145" s="13"/>
      <c r="H145" s="14"/>
      <c r="I145" s="17"/>
      <c r="P145" s="37">
        <v>16</v>
      </c>
      <c r="Q145">
        <v>42.292024181910953</v>
      </c>
      <c r="R145">
        <v>230.92637892259131</v>
      </c>
      <c r="S145">
        <v>0.78539816172939314</v>
      </c>
      <c r="T145">
        <v>51.635047536754456</v>
      </c>
      <c r="U145">
        <v>281.94192129159512</v>
      </c>
      <c r="X145">
        <v>1.1906283588254203</v>
      </c>
      <c r="Y145">
        <v>8.4092515945434592</v>
      </c>
      <c r="AC145">
        <v>82.291408581178104</v>
      </c>
      <c r="AD145">
        <v>1446.9038</v>
      </c>
    </row>
    <row r="146" spans="1:30" x14ac:dyDescent="0.25">
      <c r="A146" s="36">
        <v>-2.8448866807507569</v>
      </c>
      <c r="B146" s="47">
        <v>-361.5236675790344</v>
      </c>
      <c r="C146" s="47">
        <v>-42.131585515485732</v>
      </c>
      <c r="D146" s="48">
        <f t="shared" si="40"/>
        <v>-3.0255770386774197</v>
      </c>
      <c r="E146" s="13"/>
      <c r="F146" s="13"/>
      <c r="G146" s="13"/>
      <c r="H146" s="13"/>
      <c r="I146" s="13"/>
      <c r="P146" s="37">
        <v>17</v>
      </c>
      <c r="Q146">
        <v>84.437202950255212</v>
      </c>
      <c r="R146">
        <v>235.38122639887177</v>
      </c>
      <c r="S146">
        <v>0.78539815315177752</v>
      </c>
      <c r="T146">
        <v>107.60493840813791</v>
      </c>
      <c r="U146">
        <v>299.96472507508622</v>
      </c>
      <c r="X146">
        <v>1.185204298076175</v>
      </c>
      <c r="Y146">
        <v>8.9690974171956395</v>
      </c>
      <c r="AC146">
        <v>83.139772587169631</v>
      </c>
      <c r="AD146">
        <v>1446.9038</v>
      </c>
    </row>
    <row r="147" spans="1:30" x14ac:dyDescent="0.25">
      <c r="A147" s="36">
        <v>-2.8274333882308138</v>
      </c>
      <c r="B147" s="49">
        <v>-357.71535882563165</v>
      </c>
      <c r="C147" s="49">
        <v>-44.803123682657002</v>
      </c>
      <c r="D147" s="48">
        <f t="shared" si="40"/>
        <v>-3.0169935082517023</v>
      </c>
      <c r="P147" s="37">
        <v>18</v>
      </c>
      <c r="Q147">
        <v>129.20734365874236</v>
      </c>
      <c r="R147">
        <v>236.2775826334192</v>
      </c>
      <c r="S147">
        <v>0.78539839135666911</v>
      </c>
      <c r="T147">
        <v>171.12372964638291</v>
      </c>
      <c r="U147">
        <v>312.92881679273177</v>
      </c>
      <c r="X147">
        <v>1.1779404510562725</v>
      </c>
      <c r="Y147">
        <v>9.5289432398478198</v>
      </c>
      <c r="AC147">
        <v>83.988136593161158</v>
      </c>
      <c r="AD147">
        <v>1446.9038</v>
      </c>
    </row>
    <row r="148" spans="1:30" x14ac:dyDescent="0.25">
      <c r="A148" s="36">
        <v>-2.8099800957108707</v>
      </c>
      <c r="B148" s="49">
        <v>-353.95873140795737</v>
      </c>
      <c r="C148" s="49">
        <v>-47.435771781423526</v>
      </c>
      <c r="D148" s="48">
        <f t="shared" si="40"/>
        <v>-3.0083714424884027</v>
      </c>
      <c r="P148" s="37">
        <v>19</v>
      </c>
      <c r="Q148">
        <v>170.44344189889352</v>
      </c>
      <c r="R148">
        <v>236.33762762040959</v>
      </c>
      <c r="S148">
        <v>0.78539815805419677</v>
      </c>
      <c r="T148">
        <v>233.85174651259436</v>
      </c>
      <c r="U148">
        <v>324.25986221553023</v>
      </c>
      <c r="X148">
        <v>1.1701637370807985</v>
      </c>
      <c r="Y148">
        <v>10.0887890625</v>
      </c>
      <c r="AC148">
        <v>84.836500599152686</v>
      </c>
      <c r="AD148">
        <v>1446.9038</v>
      </c>
    </row>
    <row r="149" spans="1:30" x14ac:dyDescent="0.25">
      <c r="A149" s="36">
        <v>-2.7925268031909272</v>
      </c>
      <c r="B149" s="49">
        <v>-350.2479650475687</v>
      </c>
      <c r="C149" s="49">
        <v>-50.033312790317872</v>
      </c>
      <c r="D149" s="48">
        <f t="shared" si="40"/>
        <v>-2.9997015050125011</v>
      </c>
      <c r="P149" s="37">
        <v>20</v>
      </c>
      <c r="Q149">
        <v>204.7335185911092</v>
      </c>
      <c r="R149">
        <v>234.3456658034367</v>
      </c>
      <c r="S149">
        <v>0.7853981499841507</v>
      </c>
      <c r="T149">
        <v>290.16584779682586</v>
      </c>
      <c r="U149">
        <v>332.13471474191118</v>
      </c>
      <c r="X149">
        <v>1.1617961648941133</v>
      </c>
      <c r="Y149">
        <v>10.64863488515218</v>
      </c>
    </row>
    <row r="150" spans="1:30" x14ac:dyDescent="0.25">
      <c r="A150" s="36">
        <v>-2.7750735106709841</v>
      </c>
      <c r="B150" s="49">
        <v>-346.57742668830264</v>
      </c>
      <c r="C150" s="49">
        <v>-52.599364333530374</v>
      </c>
      <c r="D150" s="48">
        <f t="shared" si="40"/>
        <v>-2.9909740566358689</v>
      </c>
      <c r="P150" s="37">
        <v>21</v>
      </c>
      <c r="Q150">
        <v>242.8056805307919</v>
      </c>
      <c r="R150">
        <v>231.90372925590106</v>
      </c>
      <c r="S150">
        <v>0.78539788373697395</v>
      </c>
      <c r="T150">
        <v>354.75453745969259</v>
      </c>
      <c r="U150">
        <v>338.82609347322028</v>
      </c>
      <c r="X150">
        <v>1.1539356155395581</v>
      </c>
      <c r="Y150">
        <v>11.208480707804361</v>
      </c>
    </row>
    <row r="151" spans="1:30" x14ac:dyDescent="0.25">
      <c r="A151" s="36">
        <v>-2.7576202181510405</v>
      </c>
      <c r="B151" s="49">
        <v>-342.94163809579106</v>
      </c>
      <c r="C151" s="49">
        <v>-55.137399291422582</v>
      </c>
      <c r="D151" s="48">
        <f t="shared" si="40"/>
        <v>-2.9821791062132732</v>
      </c>
      <c r="P151" s="37">
        <v>22</v>
      </c>
      <c r="Q151">
        <v>277.66920850141935</v>
      </c>
      <c r="R151">
        <v>229.29686025895171</v>
      </c>
      <c r="S151">
        <v>0.78539816771623283</v>
      </c>
      <c r="T151">
        <v>417.31559761016257</v>
      </c>
      <c r="U151">
        <v>344.61565538913271</v>
      </c>
      <c r="X151">
        <v>1.1457550187332191</v>
      </c>
      <c r="Y151">
        <v>11.768326530456541</v>
      </c>
    </row>
    <row r="152" spans="1:30" x14ac:dyDescent="0.25">
      <c r="A152" s="36">
        <v>-2.7401669256310974</v>
      </c>
      <c r="B152" s="49">
        <v>-339.33524485121086</v>
      </c>
      <c r="C152" s="49">
        <v>-57.650764969261246</v>
      </c>
      <c r="D152" s="48">
        <f t="shared" si="40"/>
        <v>-2.9733062573500342</v>
      </c>
      <c r="P152" s="37">
        <v>23</v>
      </c>
      <c r="Q152">
        <v>312.13906733442411</v>
      </c>
      <c r="R152">
        <v>226.08236586834218</v>
      </c>
      <c r="S152">
        <v>0.78539733096044928</v>
      </c>
      <c r="T152">
        <v>480.21394974526788</v>
      </c>
      <c r="U152">
        <v>347.8190244128341</v>
      </c>
      <c r="X152">
        <v>1.1376540225600886</v>
      </c>
      <c r="Y152">
        <v>12.328172353108721</v>
      </c>
    </row>
    <row r="153" spans="1:30" x14ac:dyDescent="0.25">
      <c r="A153" s="36">
        <v>-2.7227136331111539</v>
      </c>
      <c r="B153" s="49">
        <v>-335.75298638161411</v>
      </c>
      <c r="C153" s="49">
        <v>-60.142701046318905</v>
      </c>
      <c r="D153" s="48">
        <f t="shared" si="40"/>
        <v>-2.9643446503065927</v>
      </c>
      <c r="P153" s="37">
        <v>24</v>
      </c>
      <c r="Q153">
        <v>353.6642066294495</v>
      </c>
      <c r="R153">
        <v>226.37587602831766</v>
      </c>
      <c r="S153">
        <v>0.78539815792212853</v>
      </c>
      <c r="T153">
        <v>544.09877942992227</v>
      </c>
      <c r="U153">
        <v>348.27057850510408</v>
      </c>
      <c r="X153">
        <v>1.1299816394861977</v>
      </c>
      <c r="Y153">
        <v>12.888018175760902</v>
      </c>
    </row>
    <row r="154" spans="1:30" x14ac:dyDescent="0.25">
      <c r="A154" s="36">
        <v>-2.7052603405912108</v>
      </c>
      <c r="B154" s="49">
        <v>-332.18966668556106</v>
      </c>
      <c r="C154" s="49">
        <v>-62.616356507001662</v>
      </c>
      <c r="D154" s="48">
        <f t="shared" si="40"/>
        <v>-2.9552828983522019</v>
      </c>
      <c r="P154" s="37">
        <v>25</v>
      </c>
      <c r="Q154">
        <v>395.03357703520078</v>
      </c>
      <c r="R154">
        <v>226.04565543599006</v>
      </c>
      <c r="S154">
        <v>0.78539816173589816</v>
      </c>
      <c r="T154">
        <v>607.74396466953965</v>
      </c>
      <c r="U154">
        <v>347.76254682460007</v>
      </c>
      <c r="X154">
        <v>1.1238256012032186</v>
      </c>
      <c r="Y154">
        <v>13.447863998413082</v>
      </c>
    </row>
    <row r="155" spans="1:30" x14ac:dyDescent="0.25">
      <c r="A155" s="36">
        <v>-2.6878070480712672</v>
      </c>
      <c r="B155" s="49">
        <v>-330.0269788068195</v>
      </c>
      <c r="C155" s="49">
        <v>-64.252566086588757</v>
      </c>
      <c r="D155" s="48">
        <f t="shared" si="40"/>
        <v>-2.9493091656794799</v>
      </c>
      <c r="P155" s="37">
        <v>26</v>
      </c>
      <c r="Q155">
        <v>436.44270052729183</v>
      </c>
      <c r="R155">
        <v>224.4619127565912</v>
      </c>
      <c r="S155">
        <v>0.78539858114396643</v>
      </c>
      <c r="T155">
        <v>671.45030850352589</v>
      </c>
      <c r="U155">
        <v>345.32601962552491</v>
      </c>
      <c r="X155">
        <v>1.122723010916606</v>
      </c>
      <c r="Y155">
        <v>14.007709821065262</v>
      </c>
    </row>
    <row r="156" spans="1:30" x14ac:dyDescent="0.25">
      <c r="A156" s="36">
        <v>-2.6703537555513241</v>
      </c>
      <c r="B156" s="49">
        <v>-326.45888399141961</v>
      </c>
      <c r="C156" s="49">
        <v>-66.71168840212718</v>
      </c>
      <c r="D156" s="48">
        <f t="shared" si="40"/>
        <v>-2.9400184644444796</v>
      </c>
      <c r="P156" s="37">
        <v>27</v>
      </c>
      <c r="Q156">
        <v>477.47501880959879</v>
      </c>
      <c r="R156">
        <v>222.13083431003631</v>
      </c>
      <c r="S156">
        <v>0.78539816330756318</v>
      </c>
      <c r="T156">
        <v>734.57695201476736</v>
      </c>
      <c r="U156">
        <v>341.73974509236353</v>
      </c>
      <c r="X156">
        <v>1.12016595621994</v>
      </c>
      <c r="Y156">
        <v>14.567555643717442</v>
      </c>
    </row>
    <row r="157" spans="1:30" x14ac:dyDescent="0.25">
      <c r="A157" s="36">
        <v>-2.6529004630313811</v>
      </c>
      <c r="B157" s="49">
        <v>-322.89467497292054</v>
      </c>
      <c r="C157" s="49">
        <v>-69.161218917319516</v>
      </c>
      <c r="D157" s="48">
        <f t="shared" si="40"/>
        <v>-2.9305896247775336</v>
      </c>
      <c r="P157" s="37">
        <v>28</v>
      </c>
      <c r="Q157">
        <v>518.98305168044612</v>
      </c>
      <c r="R157">
        <v>218.81571299962567</v>
      </c>
      <c r="S157">
        <v>0.78539816336299417</v>
      </c>
      <c r="T157">
        <v>798.43546412376315</v>
      </c>
      <c r="U157">
        <v>336.63955846096258</v>
      </c>
      <c r="X157">
        <v>1.1199085797224209</v>
      </c>
      <c r="Y157">
        <v>15.127401466369623</v>
      </c>
    </row>
    <row r="158" spans="1:30" x14ac:dyDescent="0.25">
      <c r="A158" s="36">
        <v>-2.6354471705114375</v>
      </c>
      <c r="B158" s="49">
        <v>-319.32909682749664</v>
      </c>
      <c r="C158" s="49">
        <v>-71.604116258746586</v>
      </c>
      <c r="D158" s="48">
        <f t="shared" si="40"/>
        <v>-2.921008387926737</v>
      </c>
      <c r="P158" s="37">
        <v>29</v>
      </c>
      <c r="Q158">
        <v>556.8655849732188</v>
      </c>
      <c r="R158">
        <v>214.71449761038227</v>
      </c>
      <c r="S158">
        <v>0.78539874235316554</v>
      </c>
      <c r="T158">
        <v>856.71628457418274</v>
      </c>
      <c r="U158">
        <v>330.32999632366506</v>
      </c>
      <c r="X158">
        <v>1.1181436780329066</v>
      </c>
      <c r="Y158">
        <v>15.687247289021803</v>
      </c>
    </row>
    <row r="159" spans="1:30" x14ac:dyDescent="0.25">
      <c r="A159" s="36">
        <v>-2.6179938779914944</v>
      </c>
      <c r="B159" s="49">
        <v>-315.75681280111809</v>
      </c>
      <c r="C159" s="49">
        <v>-74.043322733457643</v>
      </c>
      <c r="D159" s="48">
        <f t="shared" si="40"/>
        <v>-2.9112595312894505</v>
      </c>
      <c r="P159" s="37">
        <v>30</v>
      </c>
      <c r="Q159">
        <v>599.76806468463781</v>
      </c>
      <c r="R159">
        <v>209.02793127303272</v>
      </c>
      <c r="S159">
        <v>0.78539842816861449</v>
      </c>
      <c r="T159">
        <v>922.72009951482744</v>
      </c>
      <c r="U159">
        <v>321.58143272774265</v>
      </c>
      <c r="X159">
        <v>1.1232939893040883</v>
      </c>
      <c r="Y159">
        <v>16.247093111673983</v>
      </c>
    </row>
    <row r="160" spans="1:30" x14ac:dyDescent="0.25">
      <c r="A160" s="36">
        <v>-2.6005405854715509</v>
      </c>
      <c r="B160" s="49">
        <v>-312.17237202738033</v>
      </c>
      <c r="C160" s="49">
        <v>-76.481778757616112</v>
      </c>
      <c r="D160" s="48">
        <f t="shared" si="40"/>
        <v>-2.9013267479133074</v>
      </c>
      <c r="P160" s="37">
        <v>31</v>
      </c>
      <c r="Q160">
        <v>643.68643664179569</v>
      </c>
      <c r="R160">
        <v>201.82630777652886</v>
      </c>
      <c r="S160">
        <v>0.78539825760222393</v>
      </c>
      <c r="T160">
        <v>990.28682560276263</v>
      </c>
      <c r="U160">
        <v>310.50201196389054</v>
      </c>
      <c r="X160">
        <v>1.1318911737587405</v>
      </c>
      <c r="Y160">
        <v>16.806938934326165</v>
      </c>
    </row>
    <row r="161" spans="1:25" x14ac:dyDescent="0.25">
      <c r="A161" s="36">
        <v>-2.5830872929516078</v>
      </c>
      <c r="B161" s="49">
        <v>-308.5701754678031</v>
      </c>
      <c r="C161" s="49">
        <v>-78.922437380241263</v>
      </c>
      <c r="D161" s="48">
        <f t="shared" si="40"/>
        <v>-2.8911925106580671</v>
      </c>
      <c r="P161" s="37">
        <v>32</v>
      </c>
      <c r="Q161">
        <v>688.54724055818167</v>
      </c>
      <c r="R161">
        <v>192.92667393604609</v>
      </c>
      <c r="S161">
        <v>0.7853973782257927</v>
      </c>
      <c r="T161">
        <v>1059.3034470125872</v>
      </c>
      <c r="U161">
        <v>296.81026759391705</v>
      </c>
      <c r="X161">
        <v>1.1440799100917245</v>
      </c>
      <c r="Y161">
        <v>17.366784756978348</v>
      </c>
    </row>
    <row r="162" spans="1:25" x14ac:dyDescent="0.25">
      <c r="A162" s="36">
        <v>-2.5656340004316642</v>
      </c>
      <c r="B162" s="49">
        <v>-304.94443962283765</v>
      </c>
      <c r="C162" s="49">
        <v>-81.368279054567793</v>
      </c>
      <c r="D162" s="48">
        <f t="shared" si="40"/>
        <v>-2.8808379185344775</v>
      </c>
      <c r="P162" s="37">
        <v>33</v>
      </c>
      <c r="Q162">
        <v>732.3740136619034</v>
      </c>
      <c r="R162">
        <v>182.60538207812994</v>
      </c>
      <c r="S162">
        <v>0.7853985714210715</v>
      </c>
      <c r="T162">
        <v>1126.7292517875437</v>
      </c>
      <c r="U162">
        <v>280.93135704327682</v>
      </c>
      <c r="X162">
        <v>1.1575782159024475</v>
      </c>
      <c r="Y162">
        <v>17.92663057963053</v>
      </c>
    </row>
    <row r="163" spans="1:25" x14ac:dyDescent="0.25">
      <c r="A163" s="36">
        <v>-2.5481807079117211</v>
      </c>
      <c r="B163" s="49">
        <v>-301.28952974597979</v>
      </c>
      <c r="C163" s="49">
        <v>-83.822050733875372</v>
      </c>
      <c r="D163" s="48">
        <f t="shared" si="40"/>
        <v>-2.8702436918240934</v>
      </c>
      <c r="P163" s="37">
        <v>34</v>
      </c>
      <c r="Q163">
        <v>771.62731419125157</v>
      </c>
      <c r="R163">
        <v>171.95256526554104</v>
      </c>
      <c r="S163">
        <v>0.78539823997036529</v>
      </c>
      <c r="T163">
        <v>1187.1189449096178</v>
      </c>
      <c r="U163">
        <v>264.54240810083235</v>
      </c>
      <c r="X163">
        <v>1.1724569473821265</v>
      </c>
      <c r="Y163">
        <v>18.486476402282712</v>
      </c>
    </row>
    <row r="164" spans="1:25" x14ac:dyDescent="0.25">
      <c r="A164" s="36">
        <v>-2.5307274153917776</v>
      </c>
      <c r="B164" s="49">
        <v>-297.68158716982026</v>
      </c>
      <c r="C164" s="49">
        <v>-86.226724850589179</v>
      </c>
      <c r="D164" s="48">
        <f t="shared" si="40"/>
        <v>-2.8596480279708349</v>
      </c>
      <c r="P164" s="37">
        <v>35</v>
      </c>
      <c r="Q164">
        <v>812.64280647425244</v>
      </c>
      <c r="R164">
        <v>159.05463485327257</v>
      </c>
      <c r="S164">
        <v>0.78539816669576978</v>
      </c>
      <c r="T164">
        <v>1250.2197022680807</v>
      </c>
      <c r="U164">
        <v>244.69943823580397</v>
      </c>
      <c r="X164">
        <v>1.1876328333090016</v>
      </c>
      <c r="Y164">
        <v>19.046322224934894</v>
      </c>
    </row>
    <row r="165" spans="1:25" x14ac:dyDescent="0.25">
      <c r="A165" s="36">
        <v>-2.5132741228718345</v>
      </c>
      <c r="B165" s="49">
        <v>-294.17412919994638</v>
      </c>
      <c r="C165" s="49">
        <v>-88.545278417142171</v>
      </c>
      <c r="D165" s="48">
        <f t="shared" si="40"/>
        <v>-2.8492222167057029</v>
      </c>
      <c r="P165" s="37">
        <v>36</v>
      </c>
      <c r="Q165">
        <v>851.93703280989189</v>
      </c>
      <c r="R165">
        <v>145.0817434231443</v>
      </c>
      <c r="S165">
        <v>0.78539815156473392</v>
      </c>
      <c r="T165">
        <v>1310.6723581690644</v>
      </c>
      <c r="U165">
        <v>223.20268218945276</v>
      </c>
      <c r="X165">
        <v>1.2032122183560161</v>
      </c>
      <c r="Y165">
        <v>19.606168047587076</v>
      </c>
    </row>
    <row r="166" spans="1:25" x14ac:dyDescent="0.25">
      <c r="A166" s="36">
        <v>-2.4958208303518914</v>
      </c>
      <c r="B166" s="49">
        <v>-290.75734640899498</v>
      </c>
      <c r="C166" s="49">
        <v>-90.787903174000633</v>
      </c>
      <c r="D166" s="48">
        <f t="shared" si="40"/>
        <v>-2.8389389383779062</v>
      </c>
      <c r="P166" s="37">
        <v>37</v>
      </c>
      <c r="Q166">
        <v>888.78333419308137</v>
      </c>
      <c r="R166">
        <v>130.01812875139495</v>
      </c>
      <c r="S166">
        <v>0.78539816293559961</v>
      </c>
      <c r="T166">
        <v>1367.3589756816637</v>
      </c>
      <c r="U166">
        <v>200.0278903867615</v>
      </c>
      <c r="X166">
        <v>1.2189046096747225</v>
      </c>
      <c r="Y166">
        <v>20.166013870239258</v>
      </c>
    </row>
    <row r="167" spans="1:25" x14ac:dyDescent="0.25">
      <c r="A167" s="36">
        <v>-2.4783675378319479</v>
      </c>
      <c r="B167" s="49">
        <v>-287.30554673998768</v>
      </c>
      <c r="C167" s="49">
        <v>-91.970460205542125</v>
      </c>
      <c r="D167" s="48">
        <f t="shared" si="40"/>
        <v>-2.8317865150973938</v>
      </c>
      <c r="P167" s="37">
        <v>38</v>
      </c>
      <c r="Q167">
        <v>919.81098435370723</v>
      </c>
      <c r="R167">
        <v>115.96052146456354</v>
      </c>
      <c r="S167">
        <v>0.78539812018641064</v>
      </c>
      <c r="T167">
        <v>1415.0938220826265</v>
      </c>
      <c r="U167">
        <v>178.40080225317467</v>
      </c>
      <c r="X167">
        <v>1.23156991870695</v>
      </c>
      <c r="Y167">
        <v>20.72585969289144</v>
      </c>
    </row>
    <row r="168" spans="1:25" x14ac:dyDescent="0.25">
      <c r="A168" s="36">
        <v>-2.4609142453120048</v>
      </c>
      <c r="B168" s="49">
        <v>-283.76016842258554</v>
      </c>
      <c r="C168" s="49">
        <v>-94.237805197855991</v>
      </c>
      <c r="D168" s="48">
        <f t="shared" si="40"/>
        <v>-2.8209491664913711</v>
      </c>
      <c r="P168" s="37">
        <v>39</v>
      </c>
      <c r="Q168">
        <v>949.5428564175437</v>
      </c>
      <c r="R168">
        <v>101.19380433899539</v>
      </c>
      <c r="S168">
        <v>0.78539816535560913</v>
      </c>
      <c r="T168">
        <v>1460.835163719298</v>
      </c>
      <c r="U168">
        <v>155.68277590614676</v>
      </c>
      <c r="X168">
        <v>1.2428489802696392</v>
      </c>
      <c r="Y168">
        <v>21.285705515543622</v>
      </c>
    </row>
    <row r="169" spans="1:25" x14ac:dyDescent="0.25">
      <c r="A169" s="36">
        <v>-2.4434609527920612</v>
      </c>
      <c r="B169" s="49">
        <v>-279.52816175015965</v>
      </c>
      <c r="C169" s="49">
        <v>-96.820282000966316</v>
      </c>
      <c r="D169" s="48">
        <f t="shared" si="40"/>
        <v>-2.8081549805570125</v>
      </c>
      <c r="P169" s="37">
        <v>40</v>
      </c>
      <c r="Q169">
        <v>974.56496123275735</v>
      </c>
      <c r="R169">
        <v>87.799226346065893</v>
      </c>
      <c r="S169">
        <v>0.78539849771488257</v>
      </c>
      <c r="T169">
        <v>1499.3307095888574</v>
      </c>
      <c r="U169">
        <v>135.07573284010138</v>
      </c>
      <c r="X169">
        <v>1.249794173804444</v>
      </c>
      <c r="Y169">
        <v>21.845551338195804</v>
      </c>
    </row>
    <row r="170" spans="1:25" x14ac:dyDescent="0.25">
      <c r="A170" s="36">
        <v>-2.4260076602721181</v>
      </c>
      <c r="B170" s="49">
        <v>-275.38298195719159</v>
      </c>
      <c r="C170" s="49">
        <v>-99.338365353222599</v>
      </c>
      <c r="D170" s="48">
        <f t="shared" si="40"/>
        <v>-2.7953927047747591</v>
      </c>
      <c r="P170" s="37">
        <v>41</v>
      </c>
      <c r="Q170">
        <v>995.42881580284313</v>
      </c>
      <c r="R170">
        <v>76.173864651432595</v>
      </c>
      <c r="S170">
        <v>0.78539814897406124</v>
      </c>
      <c r="T170">
        <v>1531.4289473889894</v>
      </c>
      <c r="U170">
        <v>117.19056100220398</v>
      </c>
      <c r="X170">
        <v>1.2565410165669579</v>
      </c>
      <c r="Y170">
        <v>22.405397160847986</v>
      </c>
    </row>
    <row r="171" spans="1:25" x14ac:dyDescent="0.25">
      <c r="A171" s="36">
        <v>-2.4085543677521746</v>
      </c>
      <c r="B171" s="49">
        <v>-271.31553794697822</v>
      </c>
      <c r="C171" s="49">
        <v>-101.80033967110836</v>
      </c>
      <c r="D171" s="48">
        <f t="shared" si="40"/>
        <v>-2.7826377679397782</v>
      </c>
      <c r="P171" s="37">
        <v>42</v>
      </c>
      <c r="Q171">
        <v>1011.489556606891</v>
      </c>
      <c r="R171">
        <v>66.517588839304764</v>
      </c>
      <c r="S171">
        <v>0.78539816254724448</v>
      </c>
      <c r="T171">
        <v>1556.137779395217</v>
      </c>
      <c r="U171">
        <v>102.33475206046886</v>
      </c>
      <c r="X171">
        <v>1.2545089169145727</v>
      </c>
      <c r="Y171">
        <v>22.965242983500168</v>
      </c>
    </row>
    <row r="172" spans="1:25" x14ac:dyDescent="0.25">
      <c r="A172" s="36">
        <v>-2.3911010752322315</v>
      </c>
      <c r="B172" s="49">
        <v>-267.31721739647583</v>
      </c>
      <c r="C172" s="49">
        <v>-104.21388944984146</v>
      </c>
      <c r="D172" s="48">
        <f t="shared" si="40"/>
        <v>-2.7698658993039378</v>
      </c>
      <c r="P172" s="37">
        <v>43</v>
      </c>
      <c r="Q172">
        <v>1024.3656731577082</v>
      </c>
      <c r="R172">
        <v>58.492896368496098</v>
      </c>
      <c r="S172">
        <v>0.78539808279981438</v>
      </c>
      <c r="T172">
        <v>1575.9471894733972</v>
      </c>
      <c r="U172">
        <v>89.989071336147845</v>
      </c>
      <c r="X172">
        <v>1.2492622538207647</v>
      </c>
      <c r="Y172">
        <v>23.52508880615235</v>
      </c>
    </row>
    <row r="173" spans="1:25" x14ac:dyDescent="0.25">
      <c r="A173" s="36">
        <v>-2.3736477827122879</v>
      </c>
      <c r="B173" s="49">
        <v>-263.37980466092068</v>
      </c>
      <c r="C173" s="49">
        <v>-106.58619588592683</v>
      </c>
      <c r="D173" s="48">
        <f t="shared" si="40"/>
        <v>-2.7570529113798292</v>
      </c>
      <c r="P173" s="37">
        <v>44</v>
      </c>
      <c r="Q173">
        <v>1034.898604892649</v>
      </c>
      <c r="R173">
        <v>51.766498573625867</v>
      </c>
      <c r="S173">
        <v>0.78539816410848473</v>
      </c>
      <c r="T173">
        <v>1592.1516998348445</v>
      </c>
      <c r="U173">
        <v>79.640767036347484</v>
      </c>
      <c r="X173">
        <v>1.2418475167559093</v>
      </c>
      <c r="Y173">
        <v>24.084934628804533</v>
      </c>
    </row>
    <row r="174" spans="1:25" x14ac:dyDescent="0.25">
      <c r="A174" s="36">
        <v>-2.3561944901923448</v>
      </c>
      <c r="B174" s="49">
        <v>-259.49540378684242</v>
      </c>
      <c r="C174" s="49">
        <v>-108.92402246984152</v>
      </c>
      <c r="D174" s="48">
        <f t="shared" si="40"/>
        <v>-2.7441744851142289</v>
      </c>
      <c r="P174" s="37">
        <v>45</v>
      </c>
      <c r="Q174">
        <v>1043.7107057761748</v>
      </c>
      <c r="R174">
        <v>46.062820339519419</v>
      </c>
      <c r="S174">
        <v>0.78539816671708784</v>
      </c>
      <c r="T174">
        <v>1605.708778117192</v>
      </c>
      <c r="U174">
        <v>70.865877445414498</v>
      </c>
      <c r="X174">
        <v>1.2331037246331755</v>
      </c>
      <c r="Y174">
        <v>24.644780451456715</v>
      </c>
    </row>
    <row r="175" spans="1:25" x14ac:dyDescent="0.25">
      <c r="A175" s="36">
        <v>-2.3387411976724017</v>
      </c>
      <c r="B175" s="49">
        <v>-255.65636682932441</v>
      </c>
      <c r="C175" s="49">
        <v>-111.23379193882175</v>
      </c>
      <c r="D175" s="48">
        <f t="shared" si="40"/>
        <v>-2.7312059546951821</v>
      </c>
      <c r="P175" s="37">
        <v>46</v>
      </c>
      <c r="Q175">
        <v>1051.2325316341457</v>
      </c>
      <c r="R175">
        <v>41.183333986020401</v>
      </c>
      <c r="S175">
        <v>0.78539722650500809</v>
      </c>
      <c r="T175">
        <v>1617.2808178986857</v>
      </c>
      <c r="U175">
        <v>63.358975363108307</v>
      </c>
      <c r="X175">
        <v>1.2236842570820963</v>
      </c>
      <c r="Y175">
        <v>25.204626274108897</v>
      </c>
    </row>
    <row r="176" spans="1:25" x14ac:dyDescent="0.25">
      <c r="A176" s="36">
        <v>-2.3212879051524582</v>
      </c>
      <c r="B176" s="49">
        <v>-251.85522495561278</v>
      </c>
      <c r="C176" s="49">
        <v>-113.52165634963654</v>
      </c>
      <c r="D176" s="48">
        <f t="shared" si="40"/>
        <v>-2.7181220868209515</v>
      </c>
      <c r="P176" s="37">
        <v>47</v>
      </c>
      <c r="Q176">
        <v>1057.7549727105265</v>
      </c>
      <c r="R176">
        <v>36.997455479644579</v>
      </c>
      <c r="S176">
        <v>0.78539812547697985</v>
      </c>
      <c r="T176">
        <v>1627.3153426315794</v>
      </c>
      <c r="U176">
        <v>56.919162276376269</v>
      </c>
      <c r="X176">
        <v>1.2141313515151551</v>
      </c>
      <c r="Y176">
        <v>25.764472096761079</v>
      </c>
    </row>
    <row r="177" spans="1:25" x14ac:dyDescent="0.25">
      <c r="A177" s="36">
        <v>-2.3038346126325147</v>
      </c>
      <c r="B177" s="49">
        <v>-248.0846203002402</v>
      </c>
      <c r="C177" s="49">
        <v>-115.79356168532703</v>
      </c>
      <c r="D177" s="48">
        <f t="shared" si="40"/>
        <v>-2.7048968496361629</v>
      </c>
      <c r="P177" s="37">
        <v>48</v>
      </c>
      <c r="Q177">
        <v>1063.4696499708107</v>
      </c>
      <c r="R177">
        <v>33.433057111479016</v>
      </c>
      <c r="S177">
        <v>0.78539805911138338</v>
      </c>
      <c r="T177">
        <v>1636.1071538012473</v>
      </c>
      <c r="U177">
        <v>51.435472479198481</v>
      </c>
      <c r="X177">
        <v>1.2049513640870677</v>
      </c>
      <c r="Y177">
        <v>26.324317919413261</v>
      </c>
    </row>
    <row r="178" spans="1:25" x14ac:dyDescent="0.25">
      <c r="A178" s="36">
        <v>-2.2863813201125716</v>
      </c>
      <c r="B178" s="49">
        <v>-244.33723878301379</v>
      </c>
      <c r="C178" s="49">
        <v>-118.05530875394199</v>
      </c>
      <c r="D178" s="48">
        <f t="shared" si="40"/>
        <v>-2.6915031677840298</v>
      </c>
      <c r="P178" s="37">
        <v>49</v>
      </c>
      <c r="Q178">
        <v>1068.4971787226962</v>
      </c>
      <c r="R178">
        <v>30.472712707088721</v>
      </c>
      <c r="S178">
        <v>0.7853981264476384</v>
      </c>
      <c r="T178">
        <v>1643.8418134195326</v>
      </c>
      <c r="U178">
        <v>46.881096472444185</v>
      </c>
      <c r="X178">
        <v>1.1967129302617932</v>
      </c>
      <c r="Y178">
        <v>26.884163742065443</v>
      </c>
    </row>
    <row r="179" spans="1:25" x14ac:dyDescent="0.25">
      <c r="A179" s="36">
        <v>-2.2689280275926285</v>
      </c>
      <c r="B179" s="49">
        <v>-240.60574132598956</v>
      </c>
      <c r="C179" s="49">
        <v>-120.31261146907207</v>
      </c>
      <c r="D179" s="48">
        <f t="shared" si="40"/>
        <v>-2.6779126575036845</v>
      </c>
      <c r="P179" s="37">
        <v>50</v>
      </c>
      <c r="Q179">
        <v>1072.925220206808</v>
      </c>
      <c r="R179">
        <v>28.071929236721708</v>
      </c>
      <c r="S179">
        <v>0.78539843380008889</v>
      </c>
      <c r="T179">
        <v>1650.6541849335508</v>
      </c>
      <c r="U179">
        <v>43.18758344111032</v>
      </c>
      <c r="X179">
        <v>1.1910650680517294</v>
      </c>
      <c r="Y179">
        <v>27.444009564717625</v>
      </c>
    </row>
    <row r="180" spans="1:25" x14ac:dyDescent="0.25">
      <c r="A180" s="36">
        <v>-2.2514747350726849</v>
      </c>
      <c r="B180" s="49">
        <v>-236.88269202907142</v>
      </c>
      <c r="C180" s="49">
        <v>-122.57115371287227</v>
      </c>
      <c r="D180" s="48">
        <f t="shared" si="40"/>
        <v>-2.6640953359725721</v>
      </c>
      <c r="P180" s="37">
        <v>51</v>
      </c>
      <c r="Q180">
        <v>1076.3261553260916</v>
      </c>
      <c r="R180">
        <v>26.517241839132076</v>
      </c>
      <c r="S180">
        <v>0.78539765826794439</v>
      </c>
      <c r="T180">
        <v>1655.8863928093715</v>
      </c>
      <c r="U180">
        <v>40.79575667558781</v>
      </c>
      <c r="X180">
        <v>1.1881275568199119</v>
      </c>
      <c r="Y180">
        <v>28.003855387369807</v>
      </c>
    </row>
    <row r="181" spans="1:25" x14ac:dyDescent="0.25">
      <c r="A181" s="36">
        <v>-2.2340214425527418</v>
      </c>
      <c r="B181" s="49">
        <v>-233.16048270379466</v>
      </c>
      <c r="C181" s="49">
        <v>-124.83664630271576</v>
      </c>
      <c r="D181" s="48">
        <f t="shared" si="40"/>
        <v>-2.6500192987955073</v>
      </c>
      <c r="P181" s="37">
        <v>52</v>
      </c>
      <c r="Q181">
        <v>1079.073674827853</v>
      </c>
      <c r="R181">
        <v>25.537051468227499</v>
      </c>
      <c r="S181">
        <v>0.78539816283343322</v>
      </c>
      <c r="T181">
        <v>1660.1133458890044</v>
      </c>
      <c r="U181">
        <v>39.28777148958077</v>
      </c>
      <c r="X181">
        <v>1.1868785736913026</v>
      </c>
      <c r="Y181">
        <v>28.563701210021989</v>
      </c>
    </row>
    <row r="182" spans="1:25" x14ac:dyDescent="0.25">
      <c r="A182" s="36">
        <v>-2.2165681500327983</v>
      </c>
      <c r="B182" s="49">
        <v>-229.431250068179</v>
      </c>
      <c r="C182" s="49">
        <v>-127.11488471957512</v>
      </c>
      <c r="D182" s="48">
        <f t="shared" si="40"/>
        <v>-2.6356503564639659</v>
      </c>
      <c r="P182" s="37">
        <v>53</v>
      </c>
      <c r="Q182">
        <v>1081.7157413970538</v>
      </c>
      <c r="R182">
        <v>24.594488420714033</v>
      </c>
      <c r="S182">
        <v>0.78539816305093924</v>
      </c>
      <c r="T182">
        <v>1664.178063687775</v>
      </c>
      <c r="U182">
        <v>37.837674493406205</v>
      </c>
      <c r="X182">
        <v>1.1856291823745753</v>
      </c>
      <c r="Y182">
        <v>29.123547032674171</v>
      </c>
    </row>
    <row r="183" spans="1:25" x14ac:dyDescent="0.25">
      <c r="A183" s="36">
        <v>-2.1991148575128552</v>
      </c>
      <c r="B183" s="49">
        <v>-225.68678534314773</v>
      </c>
      <c r="C183" s="49">
        <v>-129.41180944292751</v>
      </c>
      <c r="D183" s="48">
        <f t="shared" si="40"/>
        <v>-2.6209516215557325</v>
      </c>
      <c r="P183" s="37">
        <v>54</v>
      </c>
      <c r="Q183">
        <v>1084.2583658845595</v>
      </c>
      <c r="R183">
        <v>23.687399704128708</v>
      </c>
      <c r="S183">
        <v>0.78539840341262779</v>
      </c>
      <c r="T183">
        <v>1668.0897936685531</v>
      </c>
      <c r="U183">
        <v>36.442153390967242</v>
      </c>
      <c r="X183">
        <v>1.184379837200181</v>
      </c>
      <c r="Y183">
        <v>29.683392855326353</v>
      </c>
    </row>
    <row r="184" spans="1:25" x14ac:dyDescent="0.25">
      <c r="A184" s="36">
        <v>-2.1816615649929121</v>
      </c>
      <c r="B184" s="49">
        <v>-221.91843241397621</v>
      </c>
      <c r="C184" s="49">
        <v>-131.73356987063755</v>
      </c>
      <c r="D184" s="48">
        <f t="shared" si="40"/>
        <v>-2.6058830344032664</v>
      </c>
      <c r="P184" s="37">
        <v>55</v>
      </c>
      <c r="Q184">
        <v>1086.7070324666183</v>
      </c>
      <c r="R184">
        <v>22.813834289633153</v>
      </c>
      <c r="S184">
        <v>0.78539817521707367</v>
      </c>
      <c r="T184">
        <v>1671.8569730255665</v>
      </c>
      <c r="U184">
        <v>35.09820659943562</v>
      </c>
      <c r="X184">
        <v>1.1831301004261099</v>
      </c>
      <c r="Y184">
        <v>30.243238677978535</v>
      </c>
    </row>
    <row r="185" spans="1:25" x14ac:dyDescent="0.25">
      <c r="A185" s="36">
        <v>-2.1642082724729685</v>
      </c>
      <c r="B185" s="49">
        <v>-218.11697209960693</v>
      </c>
      <c r="C185" s="49">
        <v>-134.08659356363069</v>
      </c>
      <c r="D185" s="48">
        <f t="shared" si="40"/>
        <v>-2.5904008137204499</v>
      </c>
      <c r="P185" s="37">
        <v>56</v>
      </c>
      <c r="Q185">
        <v>1089.0669004445078</v>
      </c>
      <c r="R185">
        <v>21.971946325151546</v>
      </c>
      <c r="S185">
        <v>0.785398159648518</v>
      </c>
      <c r="T185">
        <v>1675.4875391453966</v>
      </c>
      <c r="U185">
        <v>33.802994346386996</v>
      </c>
      <c r="X185">
        <v>1.1818803892880521</v>
      </c>
      <c r="Y185">
        <v>30.803084500630717</v>
      </c>
    </row>
    <row r="186" spans="1:25" x14ac:dyDescent="0.25">
      <c r="A186" s="36">
        <v>-2.146754979953025</v>
      </c>
      <c r="B186" s="49">
        <v>-214.27248851557476</v>
      </c>
      <c r="C186" s="49">
        <v>-136.47766250440722</v>
      </c>
      <c r="D186" s="48">
        <f t="shared" si="40"/>
        <v>-2.5744568149301568</v>
      </c>
      <c r="P186" s="37">
        <v>57</v>
      </c>
      <c r="Q186">
        <v>1091.3427146129784</v>
      </c>
      <c r="R186">
        <v>21.160044660972861</v>
      </c>
      <c r="S186">
        <v>0.78539815458506723</v>
      </c>
      <c r="T186">
        <v>1678.9887917122744</v>
      </c>
      <c r="U186">
        <v>32.553914863035175</v>
      </c>
      <c r="X186">
        <v>1.1806305772038928</v>
      </c>
      <c r="Y186">
        <v>31.3629303232829</v>
      </c>
    </row>
    <row r="187" spans="1:25" x14ac:dyDescent="0.25">
      <c r="A187" s="36">
        <v>-2.1293016874330819</v>
      </c>
      <c r="B187" s="49">
        <v>-210.37421291072766</v>
      </c>
      <c r="C187" s="49">
        <v>-138.91399847649691</v>
      </c>
      <c r="D187" s="48">
        <f t="shared" si="40"/>
        <v>-2.5579977750483418</v>
      </c>
      <c r="P187" s="37">
        <v>58</v>
      </c>
      <c r="Q187">
        <v>1093.5388817151886</v>
      </c>
      <c r="R187">
        <v>20.376559382483563</v>
      </c>
      <c r="S187">
        <v>0.78539782923167323</v>
      </c>
      <c r="T187">
        <v>1682.3675103310593</v>
      </c>
      <c r="U187">
        <v>31.34855289612856</v>
      </c>
      <c r="X187">
        <v>1.1793804736557643</v>
      </c>
      <c r="Y187">
        <v>31.922776145935082</v>
      </c>
    </row>
    <row r="188" spans="1:25" x14ac:dyDescent="0.25">
      <c r="A188" s="36">
        <v>-2.1118483949131388</v>
      </c>
      <c r="B188" s="49">
        <v>-206.41033906749396</v>
      </c>
      <c r="C188" s="49">
        <v>-141.40336006099042</v>
      </c>
      <c r="D188" s="48">
        <f t="shared" si="40"/>
        <v>-2.5409644176674568</v>
      </c>
      <c r="P188" s="37">
        <v>59</v>
      </c>
      <c r="Q188">
        <v>1095.6595378808254</v>
      </c>
      <c r="R188">
        <v>19.620012295316954</v>
      </c>
      <c r="S188">
        <v>0.78539755731024696</v>
      </c>
      <c r="T188">
        <v>1685.6300582781928</v>
      </c>
      <c r="U188">
        <v>30.18463430048762</v>
      </c>
      <c r="X188">
        <v>1.1781302959889912</v>
      </c>
      <c r="Y188">
        <v>32.48262196858726</v>
      </c>
    </row>
    <row r="189" spans="1:25" x14ac:dyDescent="0.25">
      <c r="A189" s="36">
        <v>-2.0943951023931957</v>
      </c>
      <c r="B189" s="49">
        <v>-202.36780276607161</v>
      </c>
      <c r="C189" s="49">
        <v>-143.95415430191213</v>
      </c>
      <c r="D189" s="48">
        <f t="shared" si="40"/>
        <v>-2.523290384792483</v>
      </c>
      <c r="P189" s="37">
        <v>60</v>
      </c>
      <c r="Q189">
        <v>1097.7085434188732</v>
      </c>
      <c r="R189">
        <v>18.889023127994626</v>
      </c>
      <c r="S189">
        <v>0.78539785059660128</v>
      </c>
      <c r="T189">
        <v>1688.7823744905741</v>
      </c>
      <c r="U189">
        <v>29.06003558153019</v>
      </c>
      <c r="X189">
        <v>1.176880319777778</v>
      </c>
      <c r="Y189">
        <v>33.042467791239439</v>
      </c>
    </row>
    <row r="190" spans="1:25" x14ac:dyDescent="0.25">
      <c r="A190" s="36">
        <v>-2.0769418098732522</v>
      </c>
      <c r="B190" s="49">
        <v>-199.62773520311518</v>
      </c>
      <c r="C190" s="49">
        <v>-146.50160945972758</v>
      </c>
      <c r="D190" s="48">
        <f t="shared" si="40"/>
        <v>-2.5084923036312228</v>
      </c>
      <c r="P190" s="37">
        <v>61</v>
      </c>
      <c r="Q190">
        <v>1099.6894231448846</v>
      </c>
      <c r="R190">
        <v>18.182342566734373</v>
      </c>
      <c r="S190">
        <v>0.78539739414799969</v>
      </c>
      <c r="T190">
        <v>1691.8298817613609</v>
      </c>
      <c r="U190">
        <v>27.97283471805288</v>
      </c>
      <c r="X190">
        <v>1.1756298208082605</v>
      </c>
      <c r="Y190">
        <v>33.602313613891617</v>
      </c>
    </row>
    <row r="191" spans="1:25" x14ac:dyDescent="0.25">
      <c r="A191" s="36">
        <v>-2.0594885173533086</v>
      </c>
      <c r="B191" s="49">
        <v>-195.38760521680962</v>
      </c>
      <c r="C191" s="49">
        <v>-149.20235205717253</v>
      </c>
      <c r="D191" s="48">
        <f t="shared" si="40"/>
        <v>-2.4894300620040601</v>
      </c>
      <c r="P191" s="37">
        <v>62</v>
      </c>
      <c r="Q191">
        <v>1101.605595235904</v>
      </c>
      <c r="R191">
        <v>17.49874119960344</v>
      </c>
      <c r="S191">
        <v>0.78539785070003754</v>
      </c>
      <c r="T191">
        <v>1694.7778388244678</v>
      </c>
      <c r="U191">
        <v>26.921140307082215</v>
      </c>
      <c r="X191">
        <v>1.174379692481085</v>
      </c>
      <c r="Y191">
        <v>34.162159436543796</v>
      </c>
    </row>
    <row r="192" spans="1:25" x14ac:dyDescent="0.25">
      <c r="A192" s="36">
        <v>-2.0420352248333655</v>
      </c>
      <c r="B192" s="49">
        <v>-191.02002966513408</v>
      </c>
      <c r="C192" s="49">
        <v>-151.99514594158831</v>
      </c>
      <c r="D192" s="48">
        <f t="shared" si="40"/>
        <v>-2.4694775383213767</v>
      </c>
      <c r="P192" s="37">
        <v>63</v>
      </c>
      <c r="Q192">
        <v>1103.4601466900888</v>
      </c>
      <c r="R192">
        <v>16.837124084871025</v>
      </c>
      <c r="S192">
        <v>0.78539816973811649</v>
      </c>
      <c r="T192">
        <v>1697.6309949078288</v>
      </c>
      <c r="U192">
        <v>25.903267822878501</v>
      </c>
      <c r="X192">
        <v>1.173129364031201</v>
      </c>
      <c r="Y192">
        <v>34.722005259195974</v>
      </c>
    </row>
    <row r="193" spans="1:25" x14ac:dyDescent="0.25">
      <c r="A193" s="36">
        <v>-2.0245819323134224</v>
      </c>
      <c r="B193" s="49">
        <v>-186.50368902078486</v>
      </c>
      <c r="C193" s="49">
        <v>-154.8925491184205</v>
      </c>
      <c r="D193" s="48">
        <f t="shared" si="40"/>
        <v>-2.4485249201498887</v>
      </c>
      <c r="P193" s="37">
        <v>64</v>
      </c>
      <c r="Q193">
        <v>1105.256004002144</v>
      </c>
      <c r="R193">
        <v>16.196448133235712</v>
      </c>
      <c r="S193">
        <v>0.78539815389324796</v>
      </c>
      <c r="T193">
        <v>1700.3938523109907</v>
      </c>
      <c r="U193">
        <v>24.917612512670324</v>
      </c>
      <c r="X193">
        <v>1.1718787395114425</v>
      </c>
      <c r="Y193">
        <v>35.281851081848153</v>
      </c>
    </row>
    <row r="194" spans="1:25" x14ac:dyDescent="0.25">
      <c r="A194" s="36">
        <v>-2.0071286397934789</v>
      </c>
      <c r="B194" s="49">
        <v>-181.68662100168396</v>
      </c>
      <c r="C194" s="49">
        <v>-157.90256781443719</v>
      </c>
      <c r="D194" s="48">
        <f t="shared" ref="D194:D257" si="41">ATAN2(B194,C194)</f>
        <v>-2.4261180297529581</v>
      </c>
      <c r="P194" s="37">
        <v>65</v>
      </c>
      <c r="Q194">
        <v>1107.2773740076266</v>
      </c>
      <c r="R194">
        <v>15.349047418169294</v>
      </c>
      <c r="S194">
        <v>0.78539817955287983</v>
      </c>
      <c r="T194">
        <v>1703.5036523194253</v>
      </c>
      <c r="U194">
        <v>23.613919104875833</v>
      </c>
      <c r="X194">
        <v>1.1789698314554129</v>
      </c>
      <c r="Y194">
        <v>35.841696904500331</v>
      </c>
    </row>
    <row r="195" spans="1:25" x14ac:dyDescent="0.25">
      <c r="A195" s="36">
        <v>-1.9896753472735356</v>
      </c>
      <c r="B195" s="49">
        <v>-176.52030326196029</v>
      </c>
      <c r="C195" s="49">
        <v>-161.03998872856627</v>
      </c>
      <c r="D195" s="48">
        <f t="shared" si="41"/>
        <v>-2.402021788111885</v>
      </c>
      <c r="P195" s="37">
        <v>66</v>
      </c>
      <c r="Q195">
        <v>1109.3422744253996</v>
      </c>
      <c r="R195">
        <v>14.446789677197742</v>
      </c>
      <c r="S195">
        <v>0.78539816680884211</v>
      </c>
      <c r="T195">
        <v>1706.6804221929226</v>
      </c>
      <c r="U195">
        <v>22.225830272611908</v>
      </c>
      <c r="X195">
        <v>1.1889539817579875</v>
      </c>
      <c r="Y195">
        <v>36.40154272715251</v>
      </c>
    </row>
    <row r="196" spans="1:25" x14ac:dyDescent="0.25">
      <c r="A196" s="36">
        <v>-1.9722220547535922</v>
      </c>
      <c r="B196" s="49">
        <v>-171.13388440808833</v>
      </c>
      <c r="C196" s="49">
        <v>-164.33101469948431</v>
      </c>
      <c r="D196" s="48">
        <f t="shared" si="41"/>
        <v>-2.3764706425723414</v>
      </c>
      <c r="P196" s="37">
        <v>67</v>
      </c>
      <c r="Q196">
        <v>1111.3577566556964</v>
      </c>
      <c r="R196">
        <v>13.566120297537376</v>
      </c>
      <c r="S196">
        <v>0.78539869902051218</v>
      </c>
      <c r="T196">
        <v>1709.7811640856867</v>
      </c>
      <c r="U196">
        <v>20.870954303903652</v>
      </c>
      <c r="X196">
        <v>1.1990040507517041</v>
      </c>
      <c r="Y196">
        <v>36.961388549804688</v>
      </c>
    </row>
    <row r="197" spans="1:25" x14ac:dyDescent="0.25">
      <c r="A197" s="36">
        <v>-1.9547687622336489</v>
      </c>
      <c r="B197" s="49">
        <v>-165.48869226828074</v>
      </c>
      <c r="C197" s="49">
        <v>-167.79701765396752</v>
      </c>
      <c r="D197" s="48">
        <f t="shared" si="41"/>
        <v>-2.3492686352616499</v>
      </c>
      <c r="P197" s="37">
        <v>68</v>
      </c>
      <c r="Q197">
        <v>1113.3262066578775</v>
      </c>
      <c r="R197">
        <v>12.70601122094876</v>
      </c>
      <c r="S197">
        <v>0.7853981639082398</v>
      </c>
      <c r="T197">
        <v>1712.809548704427</v>
      </c>
      <c r="U197">
        <v>19.547709570690401</v>
      </c>
      <c r="X197">
        <v>1.2091206958954495</v>
      </c>
      <c r="Y197">
        <v>37.521234372456867</v>
      </c>
    </row>
    <row r="198" spans="1:25" x14ac:dyDescent="0.25">
      <c r="A198" s="36">
        <v>-1.9373154697137058</v>
      </c>
      <c r="B198" s="49">
        <v>-159.66423553374619</v>
      </c>
      <c r="C198" s="49">
        <v>-171.27192902007499</v>
      </c>
      <c r="D198" s="48">
        <f t="shared" si="41"/>
        <v>-2.3211335388419529</v>
      </c>
      <c r="P198" s="37">
        <v>69</v>
      </c>
      <c r="Q198">
        <v>1115.2500526154731</v>
      </c>
      <c r="R198">
        <v>11.865386621923372</v>
      </c>
      <c r="S198">
        <v>0.78539822100728274</v>
      </c>
      <c r="T198">
        <v>1715.7693117161125</v>
      </c>
      <c r="U198">
        <v>18.254440956805187</v>
      </c>
      <c r="X198">
        <v>1.219308082015095</v>
      </c>
      <c r="Y198">
        <v>38.081080195109045</v>
      </c>
    </row>
    <row r="199" spans="1:25" x14ac:dyDescent="0.25">
      <c r="A199" s="36">
        <v>-1.9198621771937625</v>
      </c>
      <c r="B199" s="49">
        <v>-153.72260413509039</v>
      </c>
      <c r="C199" s="49">
        <v>-174.61662402599222</v>
      </c>
      <c r="D199" s="48">
        <f t="shared" si="41"/>
        <v>-2.2926447124771725</v>
      </c>
      <c r="P199" s="37">
        <v>70</v>
      </c>
      <c r="Q199">
        <v>1117.1314748939722</v>
      </c>
      <c r="R199">
        <v>11.043299936708342</v>
      </c>
      <c r="S199">
        <v>0.78539816416368846</v>
      </c>
      <c r="T199">
        <v>1718.663807529188</v>
      </c>
      <c r="U199">
        <v>16.989692210320527</v>
      </c>
      <c r="X199">
        <v>1.2295680486897362</v>
      </c>
      <c r="Y199">
        <v>38.640926017761224</v>
      </c>
    </row>
    <row r="200" spans="1:25" x14ac:dyDescent="0.25">
      <c r="A200" s="36">
        <v>-1.9024088846738192</v>
      </c>
      <c r="B200" s="49">
        <v>-147.39339547791863</v>
      </c>
      <c r="C200" s="49">
        <v>-178.18087999926092</v>
      </c>
      <c r="D200" s="48">
        <f t="shared" si="41"/>
        <v>-2.2619112313734457</v>
      </c>
      <c r="P200" s="37">
        <v>71</v>
      </c>
      <c r="Q200">
        <v>1118.972570021255</v>
      </c>
      <c r="R200">
        <v>10.23883628116003</v>
      </c>
      <c r="S200">
        <v>0.78539779008654631</v>
      </c>
      <c r="T200">
        <v>1721.4962615711615</v>
      </c>
      <c r="U200">
        <v>15.752055817169275</v>
      </c>
      <c r="X200">
        <v>1.2399031202328286</v>
      </c>
      <c r="Y200">
        <v>39.200771840413402</v>
      </c>
    </row>
    <row r="201" spans="1:25" x14ac:dyDescent="0.25">
      <c r="A201" s="36">
        <v>-1.8849555921538759</v>
      </c>
      <c r="B201" s="49">
        <v>-140.60005787922427</v>
      </c>
      <c r="C201" s="49">
        <v>-181.99975740613294</v>
      </c>
      <c r="D201" s="48">
        <f t="shared" si="41"/>
        <v>-2.2285606626239121</v>
      </c>
      <c r="P201" s="37">
        <v>72</v>
      </c>
      <c r="Q201">
        <v>1120.7753870723939</v>
      </c>
      <c r="R201">
        <v>9.4510930782674034</v>
      </c>
      <c r="S201">
        <v>0.78539817650545674</v>
      </c>
      <c r="T201">
        <v>1724.2698262652211</v>
      </c>
      <c r="U201">
        <v>14.540143197334466</v>
      </c>
      <c r="X201">
        <v>1.2503170292086594</v>
      </c>
      <c r="Y201">
        <v>39.760617663065581</v>
      </c>
    </row>
    <row r="202" spans="1:25" x14ac:dyDescent="0.25">
      <c r="A202" s="36">
        <v>-1.8675022996339325</v>
      </c>
      <c r="B202" s="49">
        <v>-133.25336389615376</v>
      </c>
      <c r="C202" s="49">
        <v>-186.11117143185882</v>
      </c>
      <c r="D202" s="48">
        <f t="shared" si="41"/>
        <v>-2.1921720892996372</v>
      </c>
      <c r="P202" s="37">
        <v>73</v>
      </c>
      <c r="Q202">
        <v>1122.5417972188102</v>
      </c>
      <c r="R202">
        <v>8.6792580736532781</v>
      </c>
      <c r="S202">
        <v>0.78539859617126162</v>
      </c>
      <c r="T202">
        <v>1726.9873803366308</v>
      </c>
      <c r="U202">
        <v>13.352704728697351</v>
      </c>
      <c r="X202">
        <v>1.2608120694666169</v>
      </c>
      <c r="Y202">
        <v>40.32046348571776</v>
      </c>
    </row>
    <row r="203" spans="1:25" x14ac:dyDescent="0.25">
      <c r="A203" s="36">
        <v>-1.8500490071139892</v>
      </c>
      <c r="B203" s="49">
        <v>-125.58440545128255</v>
      </c>
      <c r="C203" s="49">
        <v>-190.34824946182653</v>
      </c>
      <c r="D203" s="48">
        <f t="shared" si="41"/>
        <v>-2.1540030323758788</v>
      </c>
      <c r="P203" s="37">
        <v>74</v>
      </c>
      <c r="Q203">
        <v>1124.2735846587325</v>
      </c>
      <c r="R203">
        <v>7.9225563855007586</v>
      </c>
      <c r="S203">
        <v>0.78539815537076818</v>
      </c>
      <c r="T203">
        <v>1729.6516687057424</v>
      </c>
      <c r="U203">
        <v>12.188548285385782</v>
      </c>
      <c r="X203">
        <v>1.2713907126974846</v>
      </c>
      <c r="Y203">
        <v>40.880309308369938</v>
      </c>
    </row>
    <row r="204" spans="1:25" x14ac:dyDescent="0.25">
      <c r="A204" s="36">
        <v>-1.8325957145940459</v>
      </c>
      <c r="B204" s="49">
        <v>-117.74009588822616</v>
      </c>
      <c r="C204" s="49">
        <v>-194.61332638244212</v>
      </c>
      <c r="D204" s="48">
        <f t="shared" si="41"/>
        <v>-2.1148805533497006</v>
      </c>
      <c r="P204" s="37">
        <v>75</v>
      </c>
      <c r="Q204">
        <v>1125.9725276988102</v>
      </c>
      <c r="R204">
        <v>7.1802050011211627</v>
      </c>
      <c r="S204">
        <v>0.78539784375453503</v>
      </c>
      <c r="T204">
        <v>1732.2654272289387</v>
      </c>
      <c r="U204">
        <v>11.046469232494095</v>
      </c>
      <c r="X204">
        <v>1.2820570167577057</v>
      </c>
      <c r="Y204">
        <v>41.440155131022117</v>
      </c>
    </row>
    <row r="205" spans="1:25" x14ac:dyDescent="0.25">
      <c r="A205" s="36">
        <v>-1.8151424220741026</v>
      </c>
      <c r="B205" s="49">
        <v>-110.79920209789947</v>
      </c>
      <c r="C205" s="49">
        <v>-198.28999493641558</v>
      </c>
      <c r="D205" s="48">
        <f t="shared" si="41"/>
        <v>-2.080350496118176</v>
      </c>
      <c r="P205" s="37">
        <v>76</v>
      </c>
      <c r="Q205">
        <v>1127.6402970607344</v>
      </c>
      <c r="R205">
        <v>6.4514729856306809</v>
      </c>
      <c r="S205">
        <v>0.78539792188921664</v>
      </c>
      <c r="T205">
        <v>1734.8312262472837</v>
      </c>
      <c r="U205">
        <v>9.9253430548164321</v>
      </c>
      <c r="X205">
        <v>1.292814573814834</v>
      </c>
      <c r="Y205">
        <v>42.000000953674295</v>
      </c>
    </row>
    <row r="206" spans="1:25" x14ac:dyDescent="0.25">
      <c r="A206" s="36">
        <v>-1.7976891295541593</v>
      </c>
      <c r="B206" s="49">
        <v>-104.70813097677014</v>
      </c>
      <c r="C206" s="49">
        <v>-201.42621224569174</v>
      </c>
      <c r="D206" s="48">
        <f t="shared" si="41"/>
        <v>-2.0501846975796072</v>
      </c>
      <c r="P206" s="37">
        <v>77</v>
      </c>
      <c r="X206">
        <v>-2.9492485121780718</v>
      </c>
      <c r="Y206">
        <v>19.530938339233369</v>
      </c>
    </row>
    <row r="207" spans="1:25" x14ac:dyDescent="0.25">
      <c r="A207" s="36">
        <v>-1.7802358370342162</v>
      </c>
      <c r="B207" s="49">
        <v>-98.632146206719938</v>
      </c>
      <c r="C207" s="49">
        <v>-203.94356383182</v>
      </c>
      <c r="D207" s="48">
        <f t="shared" si="41"/>
        <v>-2.0212580914301701</v>
      </c>
      <c r="P207">
        <v>78</v>
      </c>
      <c r="X207">
        <v>-2.9473334138485208</v>
      </c>
      <c r="Y207">
        <v>19.758815908431977</v>
      </c>
    </row>
    <row r="208" spans="1:25" x14ac:dyDescent="0.25">
      <c r="A208" s="36">
        <v>-1.7627825445142729</v>
      </c>
      <c r="B208" s="49">
        <v>-92.226260149352342</v>
      </c>
      <c r="C208" s="49">
        <v>-207.14929916295847</v>
      </c>
      <c r="D208" s="48">
        <f t="shared" si="41"/>
        <v>-1.9896650738417445</v>
      </c>
      <c r="P208">
        <v>79</v>
      </c>
      <c r="X208">
        <v>-2.9453484653781907</v>
      </c>
      <c r="Y208">
        <v>19.986693477630585</v>
      </c>
    </row>
    <row r="209" spans="1:25" x14ac:dyDescent="0.25">
      <c r="A209" s="36">
        <v>-1.7453292519943295</v>
      </c>
      <c r="B209" s="49">
        <v>-85.616553471360334</v>
      </c>
      <c r="C209" s="49">
        <v>-210.4234560175353</v>
      </c>
      <c r="D209" s="48">
        <f t="shared" si="41"/>
        <v>-1.9572174205892767</v>
      </c>
      <c r="P209">
        <v>80</v>
      </c>
      <c r="X209">
        <v>-2.9432893207131947</v>
      </c>
      <c r="Y209">
        <v>20.214571046829192</v>
      </c>
    </row>
    <row r="210" spans="1:25" x14ac:dyDescent="0.25">
      <c r="A210" s="36">
        <v>-1.7278759594743862</v>
      </c>
      <c r="B210" s="49">
        <v>-78.772195777410914</v>
      </c>
      <c r="C210" s="49">
        <v>-213.78325922367046</v>
      </c>
      <c r="D210" s="48">
        <f t="shared" si="41"/>
        <v>-1.9238276626904836</v>
      </c>
      <c r="P210">
        <v>81</v>
      </c>
      <c r="X210">
        <v>-2.9411502807042438</v>
      </c>
      <c r="Y210">
        <v>20.4424486160278</v>
      </c>
    </row>
    <row r="211" spans="1:25" x14ac:dyDescent="0.25">
      <c r="A211" s="36">
        <v>-1.7104226669544429</v>
      </c>
      <c r="B211" s="49">
        <v>-71.657711591182974</v>
      </c>
      <c r="C211" s="49">
        <v>-217.24800824509407</v>
      </c>
      <c r="D211" s="48">
        <f t="shared" si="41"/>
        <v>-1.8894022025730599</v>
      </c>
      <c r="P211">
        <v>82</v>
      </c>
      <c r="X211">
        <v>-2.9389252685008516</v>
      </c>
      <c r="Y211">
        <v>20.670326185226408</v>
      </c>
    </row>
    <row r="212" spans="1:25" x14ac:dyDescent="0.25">
      <c r="A212" s="36">
        <v>-1.6929693744344996</v>
      </c>
      <c r="B212" s="49">
        <v>-64.228475833218909</v>
      </c>
      <c r="C212" s="49">
        <v>-220.83918696235577</v>
      </c>
      <c r="D212" s="48">
        <f t="shared" si="41"/>
        <v>-1.8538267687722352</v>
      </c>
      <c r="P212">
        <v>83</v>
      </c>
      <c r="X212">
        <v>-2.9366081773448656</v>
      </c>
      <c r="Y212">
        <v>20.898203754425015</v>
      </c>
    </row>
    <row r="213" spans="1:25" x14ac:dyDescent="0.25">
      <c r="A213" s="36">
        <v>-1.6755160819145563</v>
      </c>
      <c r="B213" s="49">
        <v>-56.165008352824671</v>
      </c>
      <c r="C213" s="49">
        <v>-224.56130051457245</v>
      </c>
      <c r="D213" s="48">
        <f t="shared" si="41"/>
        <v>-1.8158784390417482</v>
      </c>
      <c r="P213">
        <v>84</v>
      </c>
      <c r="X213">
        <v>-2.934192187430495</v>
      </c>
      <c r="Y213">
        <v>21.126081323623623</v>
      </c>
    </row>
    <row r="214" spans="1:25" x14ac:dyDescent="0.25">
      <c r="A214" s="36">
        <v>-1.6580627893946129</v>
      </c>
      <c r="B214" s="49">
        <v>-47.649970770016282</v>
      </c>
      <c r="C214" s="49">
        <v>-228.47182836726466</v>
      </c>
      <c r="D214" s="48">
        <f t="shared" si="41"/>
        <v>-1.7764084669490241</v>
      </c>
      <c r="P214">
        <v>85</v>
      </c>
      <c r="X214">
        <v>-2.9316698817150879</v>
      </c>
      <c r="Y214">
        <v>21.353958892822231</v>
      </c>
    </row>
    <row r="215" spans="1:25" x14ac:dyDescent="0.25">
      <c r="A215" s="36">
        <v>-1.6406094968746696</v>
      </c>
      <c r="B215" s="49">
        <v>-40.477832217827796</v>
      </c>
      <c r="C215" s="49">
        <v>-231.71770798465656</v>
      </c>
      <c r="D215" s="48">
        <f t="shared" si="41"/>
        <v>-1.7437372768637531</v>
      </c>
      <c r="P215">
        <v>86</v>
      </c>
      <c r="X215">
        <v>-2.9290331703690438</v>
      </c>
      <c r="Y215">
        <v>21.581836462020838</v>
      </c>
    </row>
    <row r="216" spans="1:25" x14ac:dyDescent="0.25">
      <c r="A216" s="36">
        <v>-1.6231562043547265</v>
      </c>
      <c r="B216" s="49">
        <v>-30.910517566593224</v>
      </c>
      <c r="C216" s="49">
        <v>-236.07018356862653</v>
      </c>
      <c r="D216" s="48">
        <f t="shared" si="41"/>
        <v>-1.7009934641106748</v>
      </c>
      <c r="P216">
        <v>87</v>
      </c>
      <c r="X216">
        <v>-2.9262732039442843</v>
      </c>
      <c r="Y216">
        <v>21.809714031219446</v>
      </c>
    </row>
    <row r="217" spans="1:25" x14ac:dyDescent="0.25">
      <c r="A217" s="36">
        <v>-1.6057029118347832</v>
      </c>
      <c r="B217" s="49">
        <v>-20.584873973422162</v>
      </c>
      <c r="C217" s="49">
        <v>-239.58877957126325</v>
      </c>
      <c r="D217" s="48">
        <f t="shared" si="41"/>
        <v>-1.6565033698892673</v>
      </c>
      <c r="P217">
        <v>88</v>
      </c>
      <c r="X217">
        <v>-2.9233794953236889</v>
      </c>
      <c r="Y217">
        <v>22.037591600418054</v>
      </c>
    </row>
    <row r="218" spans="1:25" x14ac:dyDescent="0.25">
      <c r="A218" s="36">
        <v>-1.5882496193148399</v>
      </c>
      <c r="B218" s="49">
        <v>-9.5905511978408455</v>
      </c>
      <c r="C218" s="49">
        <v>-241.23309983812666</v>
      </c>
      <c r="D218" s="48">
        <f t="shared" si="41"/>
        <v>-1.6105317658761378</v>
      </c>
      <c r="P218">
        <v>89</v>
      </c>
      <c r="X218">
        <v>-2.92034241683008</v>
      </c>
      <c r="Y218">
        <v>22.265469169616662</v>
      </c>
    </row>
    <row r="219" spans="1:25" x14ac:dyDescent="0.25">
      <c r="A219" s="36">
        <v>-1.5707963267948966</v>
      </c>
      <c r="B219" s="49">
        <v>4.9046546096188972E-14</v>
      </c>
      <c r="C219" s="49">
        <v>-241.96367274341708</v>
      </c>
      <c r="D219" s="48">
        <f t="shared" si="41"/>
        <v>-1.5707963267948963</v>
      </c>
      <c r="P219">
        <v>90</v>
      </c>
      <c r="X219">
        <v>-2.9171496309524567</v>
      </c>
      <c r="Y219">
        <v>22.493346738815269</v>
      </c>
    </row>
    <row r="220" spans="1:25" x14ac:dyDescent="0.25">
      <c r="A220" s="36">
        <v>-1.5533430342749532</v>
      </c>
      <c r="B220" s="49">
        <v>9.5905511978408899</v>
      </c>
      <c r="C220" s="49">
        <v>-241.23309983812666</v>
      </c>
      <c r="D220" s="48">
        <f t="shared" si="41"/>
        <v>-1.5310608877136551</v>
      </c>
      <c r="P220">
        <v>91</v>
      </c>
      <c r="X220">
        <v>-2.9137879503912347</v>
      </c>
      <c r="Y220">
        <v>22.721224308013877</v>
      </c>
    </row>
    <row r="221" spans="1:25" x14ac:dyDescent="0.25">
      <c r="A221" s="36">
        <v>-1.5358897417550099</v>
      </c>
      <c r="B221" s="49">
        <v>20.58487397342218</v>
      </c>
      <c r="C221" s="49">
        <v>-239.5887795712633</v>
      </c>
      <c r="D221" s="48">
        <f t="shared" si="41"/>
        <v>-1.4850892837005258</v>
      </c>
      <c r="P221">
        <v>92</v>
      </c>
      <c r="X221">
        <v>-2.9102426783422173</v>
      </c>
      <c r="Y221">
        <v>22.949101877212485</v>
      </c>
    </row>
    <row r="222" spans="1:25" x14ac:dyDescent="0.25">
      <c r="A222" s="36">
        <v>-1.5184364492350666</v>
      </c>
      <c r="B222" s="49">
        <v>30.910517566593263</v>
      </c>
      <c r="C222" s="49">
        <v>-236.07018356862653</v>
      </c>
      <c r="D222" s="48">
        <f t="shared" si="41"/>
        <v>-1.4405991894791181</v>
      </c>
      <c r="P222">
        <v>93</v>
      </c>
      <c r="X222">
        <v>-2.9064973646494248</v>
      </c>
      <c r="Y222">
        <v>23.176979446411092</v>
      </c>
    </row>
    <row r="223" spans="1:25" x14ac:dyDescent="0.25">
      <c r="A223" s="36">
        <v>-1.5009831567151233</v>
      </c>
      <c r="B223" s="49">
        <v>40.477832217827952</v>
      </c>
      <c r="C223" s="49">
        <v>-231.71770798465641</v>
      </c>
      <c r="D223" s="48">
        <f t="shared" si="41"/>
        <v>-1.3978553767260393</v>
      </c>
      <c r="P223">
        <v>94</v>
      </c>
      <c r="X223">
        <v>-2.902533509762693</v>
      </c>
      <c r="Y223">
        <v>23.4048570156097</v>
      </c>
    </row>
    <row r="224" spans="1:25" x14ac:dyDescent="0.25">
      <c r="A224" s="36">
        <v>-1.48352986419518</v>
      </c>
      <c r="B224" s="49">
        <v>47.649970770016431</v>
      </c>
      <c r="C224" s="49">
        <v>-228.47182836726452</v>
      </c>
      <c r="D224" s="48">
        <f t="shared" si="41"/>
        <v>-1.3651841866407683</v>
      </c>
      <c r="P224">
        <v>95</v>
      </c>
      <c r="X224">
        <v>-2.8983302018452863</v>
      </c>
      <c r="Y224">
        <v>23.632734584808308</v>
      </c>
    </row>
    <row r="225" spans="1:25" x14ac:dyDescent="0.25">
      <c r="A225" s="36">
        <v>-1.4660765716752366</v>
      </c>
      <c r="B225" s="49">
        <v>56.165008352824806</v>
      </c>
      <c r="C225" s="49">
        <v>-224.56130051457239</v>
      </c>
      <c r="D225" s="48">
        <f t="shared" si="41"/>
        <v>-1.3257142145480445</v>
      </c>
      <c r="P225">
        <v>96</v>
      </c>
      <c r="X225">
        <v>-2.8938636671632065</v>
      </c>
      <c r="Y225">
        <v>23.860612154006915</v>
      </c>
    </row>
    <row r="226" spans="1:25" x14ac:dyDescent="0.25">
      <c r="A226" s="36">
        <v>-1.4486232791552935</v>
      </c>
      <c r="B226" s="49">
        <v>64.228475833218923</v>
      </c>
      <c r="C226" s="49">
        <v>-220.83918696235571</v>
      </c>
      <c r="D226" s="48">
        <f t="shared" si="41"/>
        <v>-1.2877658848175577</v>
      </c>
      <c r="P226">
        <v>97</v>
      </c>
      <c r="X226">
        <v>-2.8891067063713587</v>
      </c>
      <c r="Y226">
        <v>24.088489723205523</v>
      </c>
    </row>
    <row r="227" spans="1:25" x14ac:dyDescent="0.25">
      <c r="A227" s="36">
        <v>-1.4311699866353502</v>
      </c>
      <c r="B227" s="49">
        <v>71.657711591182959</v>
      </c>
      <c r="C227" s="49">
        <v>-217.24800824509404</v>
      </c>
      <c r="D227" s="48">
        <f t="shared" si="41"/>
        <v>-1.2521904510167332</v>
      </c>
      <c r="P227">
        <v>98</v>
      </c>
      <c r="X227">
        <v>-2.8840279782423592</v>
      </c>
      <c r="Y227">
        <v>24.316367292404131</v>
      </c>
    </row>
    <row r="228" spans="1:25" x14ac:dyDescent="0.25">
      <c r="A228" s="36">
        <v>-1.4137166941154069</v>
      </c>
      <c r="B228" s="49">
        <v>78.772195777410957</v>
      </c>
      <c r="C228" s="49">
        <v>-213.78325922367046</v>
      </c>
      <c r="D228" s="48">
        <f t="shared" si="41"/>
        <v>-1.2177649908993093</v>
      </c>
      <c r="P228">
        <v>99</v>
      </c>
      <c r="X228">
        <v>-2.8785911747981037</v>
      </c>
      <c r="Y228">
        <v>24.544244861602738</v>
      </c>
    </row>
    <row r="229" spans="1:25" x14ac:dyDescent="0.25">
      <c r="A229" s="36">
        <v>-1.3962634015954636</v>
      </c>
      <c r="B229" s="49">
        <v>85.616553471360319</v>
      </c>
      <c r="C229" s="49">
        <v>-210.4234560175353</v>
      </c>
      <c r="D229" s="48">
        <f t="shared" si="41"/>
        <v>-1.1843752330005164</v>
      </c>
      <c r="P229">
        <v>100</v>
      </c>
      <c r="X229">
        <v>-2.8695768676473921</v>
      </c>
      <c r="Y229">
        <v>24.772122430801346</v>
      </c>
    </row>
    <row r="230" spans="1:25" x14ac:dyDescent="0.25">
      <c r="A230" s="36">
        <v>-1.3788101090755203</v>
      </c>
      <c r="B230" s="49">
        <v>92.226260149352314</v>
      </c>
      <c r="C230" s="49">
        <v>-207.14929916295844</v>
      </c>
      <c r="D230" s="48">
        <f t="shared" si="41"/>
        <v>-1.1519275797480488</v>
      </c>
      <c r="P230">
        <v>101</v>
      </c>
      <c r="X230">
        <v>-2.8631930914448191</v>
      </c>
      <c r="Y230">
        <v>24.999999999999954</v>
      </c>
    </row>
    <row r="231" spans="1:25" x14ac:dyDescent="0.25">
      <c r="A231" s="36">
        <v>-1.3613568165555769</v>
      </c>
      <c r="B231" s="49">
        <v>98.632146206719909</v>
      </c>
      <c r="C231" s="49">
        <v>-203.94356383181989</v>
      </c>
      <c r="D231" s="48">
        <f t="shared" si="41"/>
        <v>-1.1203345621596228</v>
      </c>
      <c r="P231">
        <v>102</v>
      </c>
    </row>
    <row r="232" spans="1:25" x14ac:dyDescent="0.25">
      <c r="A232" s="36">
        <v>-1.3439035240356336</v>
      </c>
      <c r="B232" s="49">
        <v>104.70813097677031</v>
      </c>
      <c r="C232" s="49">
        <v>-201.42621224569174</v>
      </c>
      <c r="D232" s="48">
        <f t="shared" si="41"/>
        <v>-1.0914079560101855</v>
      </c>
    </row>
    <row r="233" spans="1:25" x14ac:dyDescent="0.25">
      <c r="A233" s="36">
        <v>-1.3264502315156903</v>
      </c>
      <c r="B233" s="49">
        <v>110.79920209789964</v>
      </c>
      <c r="C233" s="49">
        <v>-198.28999493641552</v>
      </c>
      <c r="D233" s="48">
        <f t="shared" si="41"/>
        <v>-1.0612421574716164</v>
      </c>
    </row>
    <row r="234" spans="1:25" x14ac:dyDescent="0.25">
      <c r="A234" s="36">
        <v>-1.308996938995747</v>
      </c>
      <c r="B234" s="49">
        <v>117.74009588822622</v>
      </c>
      <c r="C234" s="49">
        <v>-194.61332638244204</v>
      </c>
      <c r="D234" s="48">
        <f t="shared" si="41"/>
        <v>-1.0267121002400919</v>
      </c>
    </row>
    <row r="235" spans="1:25" x14ac:dyDescent="0.25">
      <c r="A235" s="36">
        <v>-1.2915436464758039</v>
      </c>
      <c r="B235" s="49">
        <v>125.58440545128262</v>
      </c>
      <c r="C235" s="49">
        <v>-190.34824946182655</v>
      </c>
      <c r="D235" s="48">
        <f t="shared" si="41"/>
        <v>-0.98758962121391414</v>
      </c>
    </row>
    <row r="236" spans="1:25" x14ac:dyDescent="0.25">
      <c r="A236" s="36">
        <v>-1.2740903539558606</v>
      </c>
      <c r="B236" s="49">
        <v>133.25336389615373</v>
      </c>
      <c r="C236" s="49">
        <v>-186.11117143185879</v>
      </c>
      <c r="D236" s="48">
        <f t="shared" si="41"/>
        <v>-0.94942056429015564</v>
      </c>
    </row>
    <row r="237" spans="1:25" x14ac:dyDescent="0.25">
      <c r="A237" s="36">
        <v>-1.2566370614359172</v>
      </c>
      <c r="B237" s="49">
        <v>140.60005787922427</v>
      </c>
      <c r="C237" s="49">
        <v>-181.99975740613294</v>
      </c>
      <c r="D237" s="48">
        <f t="shared" si="41"/>
        <v>-0.91303199096588084</v>
      </c>
    </row>
    <row r="238" spans="1:25" x14ac:dyDescent="0.25">
      <c r="A238" s="36">
        <v>-1.2391837689159739</v>
      </c>
      <c r="B238" s="49">
        <v>147.3933954779186</v>
      </c>
      <c r="C238" s="49">
        <v>-178.1808799992609</v>
      </c>
      <c r="D238" s="48">
        <f t="shared" si="41"/>
        <v>-0.87968142221634738</v>
      </c>
    </row>
    <row r="239" spans="1:25" x14ac:dyDescent="0.25">
      <c r="A239" s="36">
        <v>-1.2217304763960306</v>
      </c>
      <c r="B239" s="49">
        <v>153.72260413509034</v>
      </c>
      <c r="C239" s="49">
        <v>-174.61662402599214</v>
      </c>
      <c r="D239" s="48">
        <f t="shared" si="41"/>
        <v>-0.8489479411126204</v>
      </c>
    </row>
    <row r="240" spans="1:25" x14ac:dyDescent="0.25">
      <c r="A240" s="36">
        <v>-1.2042771838760873</v>
      </c>
      <c r="B240" s="49">
        <v>159.66423553374617</v>
      </c>
      <c r="C240" s="49">
        <v>-171.27192902007488</v>
      </c>
      <c r="D240" s="48">
        <f t="shared" si="41"/>
        <v>-0.82045911474784017</v>
      </c>
    </row>
    <row r="241" spans="1:4" x14ac:dyDescent="0.25">
      <c r="A241" s="36">
        <v>-1.186823891356144</v>
      </c>
      <c r="B241" s="49">
        <v>165.48869226828086</v>
      </c>
      <c r="C241" s="49">
        <v>-167.7970176539674</v>
      </c>
      <c r="D241" s="48">
        <f t="shared" si="41"/>
        <v>-0.7923240183281427</v>
      </c>
    </row>
    <row r="242" spans="1:4" x14ac:dyDescent="0.25">
      <c r="A242" s="36">
        <v>-1.1693705988362006</v>
      </c>
      <c r="B242" s="49">
        <v>171.13388440808836</v>
      </c>
      <c r="C242" s="49">
        <v>-164.3310146994842</v>
      </c>
      <c r="D242" s="48">
        <f t="shared" si="41"/>
        <v>-0.76512201101745136</v>
      </c>
    </row>
    <row r="243" spans="1:4" x14ac:dyDescent="0.25">
      <c r="A243" s="36">
        <v>-1.1519173063162573</v>
      </c>
      <c r="B243" s="49">
        <v>176.52030326196035</v>
      </c>
      <c r="C243" s="49">
        <v>-161.03998872856627</v>
      </c>
      <c r="D243" s="48">
        <f t="shared" si="41"/>
        <v>-0.73957086547790796</v>
      </c>
    </row>
    <row r="244" spans="1:4" x14ac:dyDescent="0.25">
      <c r="A244" s="36">
        <v>-1.1344640137963142</v>
      </c>
      <c r="B244" s="49">
        <v>181.68662100168399</v>
      </c>
      <c r="C244" s="49">
        <v>-157.90256781443716</v>
      </c>
      <c r="D244" s="48">
        <f t="shared" si="41"/>
        <v>-0.71547462383683469</v>
      </c>
    </row>
    <row r="245" spans="1:4" x14ac:dyDescent="0.25">
      <c r="A245" s="36">
        <v>-1.1170107212763707</v>
      </c>
      <c r="B245" s="49">
        <v>186.50368902078489</v>
      </c>
      <c r="C245" s="49">
        <v>-154.89254911842053</v>
      </c>
      <c r="D245" s="48">
        <f t="shared" si="41"/>
        <v>-0.69306773343990447</v>
      </c>
    </row>
    <row r="246" spans="1:4" x14ac:dyDescent="0.25">
      <c r="A246" s="36">
        <v>-1.0995574287564276</v>
      </c>
      <c r="B246" s="49">
        <v>191.02002966513399</v>
      </c>
      <c r="C246" s="49">
        <v>-151.99514594158822</v>
      </c>
      <c r="D246" s="48">
        <f t="shared" si="41"/>
        <v>-0.67211511526841639</v>
      </c>
    </row>
    <row r="247" spans="1:4" x14ac:dyDescent="0.25">
      <c r="A247" s="36">
        <v>-1.082104136236484</v>
      </c>
      <c r="B247" s="49">
        <v>195.38760521680973</v>
      </c>
      <c r="C247" s="49">
        <v>-149.20235205717242</v>
      </c>
      <c r="D247" s="48">
        <f t="shared" si="41"/>
        <v>-0.65216259158573231</v>
      </c>
    </row>
    <row r="248" spans="1:4" x14ac:dyDescent="0.25">
      <c r="A248" s="36">
        <v>-1.064650843716541</v>
      </c>
      <c r="B248" s="49">
        <v>199.62773520311518</v>
      </c>
      <c r="C248" s="49">
        <v>-146.5016094597276</v>
      </c>
      <c r="D248" s="48">
        <f t="shared" si="41"/>
        <v>-0.63310034995857023</v>
      </c>
    </row>
    <row r="249" spans="1:4" x14ac:dyDescent="0.25">
      <c r="A249" s="36">
        <v>-1.0471975511965979</v>
      </c>
      <c r="B249" s="49">
        <v>202.36780276607149</v>
      </c>
      <c r="C249" s="49">
        <v>-143.95415430191224</v>
      </c>
      <c r="D249" s="48">
        <f t="shared" si="41"/>
        <v>-0.61830226879731065</v>
      </c>
    </row>
    <row r="250" spans="1:4" x14ac:dyDescent="0.25">
      <c r="A250" s="36">
        <v>-1.0297442586766543</v>
      </c>
      <c r="B250" s="49">
        <v>206.41033906749394</v>
      </c>
      <c r="C250" s="49">
        <v>-141.40336006099045</v>
      </c>
      <c r="D250" s="48">
        <f t="shared" si="41"/>
        <v>-0.60062823592233638</v>
      </c>
    </row>
    <row r="251" spans="1:4" x14ac:dyDescent="0.25">
      <c r="A251" s="36">
        <v>-1.0122909661567112</v>
      </c>
      <c r="B251" s="49">
        <v>210.37421291072764</v>
      </c>
      <c r="C251" s="49">
        <v>-138.91399847649683</v>
      </c>
      <c r="D251" s="48">
        <f t="shared" si="41"/>
        <v>-0.5835948785414512</v>
      </c>
    </row>
    <row r="252" spans="1:4" x14ac:dyDescent="0.25">
      <c r="A252" s="36">
        <v>-0.99483767363676767</v>
      </c>
      <c r="B252" s="49">
        <v>214.27248851557479</v>
      </c>
      <c r="C252" s="49">
        <v>-136.47766250440714</v>
      </c>
      <c r="D252" s="48">
        <f t="shared" si="41"/>
        <v>-0.56713583865963613</v>
      </c>
    </row>
    <row r="253" spans="1:4" x14ac:dyDescent="0.25">
      <c r="A253" s="36">
        <v>-0.97738438111682457</v>
      </c>
      <c r="B253" s="49">
        <v>218.11697209960695</v>
      </c>
      <c r="C253" s="49">
        <v>-134.08659356363069</v>
      </c>
      <c r="D253" s="48">
        <f t="shared" si="41"/>
        <v>-0.55119183986934317</v>
      </c>
    </row>
    <row r="254" spans="1:4" x14ac:dyDescent="0.25">
      <c r="A254" s="36">
        <v>-0.95993108859688103</v>
      </c>
      <c r="B254" s="49">
        <v>221.91843241397621</v>
      </c>
      <c r="C254" s="49">
        <v>-131.73356987063758</v>
      </c>
      <c r="D254" s="48">
        <f t="shared" si="41"/>
        <v>-0.5357096191865266</v>
      </c>
    </row>
    <row r="255" spans="1:4" x14ac:dyDescent="0.25">
      <c r="A255" s="36">
        <v>-0.94247779607693793</v>
      </c>
      <c r="B255" s="49">
        <v>225.68678534314779</v>
      </c>
      <c r="C255" s="49">
        <v>-129.41180944292748</v>
      </c>
      <c r="D255" s="48">
        <f t="shared" si="41"/>
        <v>-0.52064103203406031</v>
      </c>
    </row>
    <row r="256" spans="1:4" x14ac:dyDescent="0.25">
      <c r="A256" s="36">
        <v>-0.92502450355699439</v>
      </c>
      <c r="B256" s="49">
        <v>229.43125006817911</v>
      </c>
      <c r="C256" s="49">
        <v>-127.11488471957504</v>
      </c>
      <c r="D256" s="48">
        <f t="shared" si="41"/>
        <v>-0.5059422971258265</v>
      </c>
    </row>
    <row r="257" spans="1:7" x14ac:dyDescent="0.25">
      <c r="A257" s="36">
        <v>-0.9075712110370513</v>
      </c>
      <c r="B257" s="49">
        <v>233.16048270379457</v>
      </c>
      <c r="C257" s="49">
        <v>-124.83664630271575</v>
      </c>
      <c r="D257" s="48">
        <f t="shared" si="41"/>
        <v>-0.49157335479428588</v>
      </c>
    </row>
    <row r="258" spans="1:7" x14ac:dyDescent="0.25">
      <c r="A258" s="36">
        <v>-0.8901179185171082</v>
      </c>
      <c r="B258" s="49">
        <v>236.88269202907131</v>
      </c>
      <c r="C258" s="49">
        <v>-122.57115371287215</v>
      </c>
      <c r="D258" s="48">
        <f t="shared" ref="D258:D321" si="42">ATAN2(B258,C258)</f>
        <v>-0.47749731761722053</v>
      </c>
    </row>
    <row r="259" spans="1:7" x14ac:dyDescent="0.25">
      <c r="A259" s="36">
        <v>-0.87266462599716466</v>
      </c>
      <c r="B259" s="49">
        <v>240.60574132598958</v>
      </c>
      <c r="C259" s="49">
        <v>-120.31261146907204</v>
      </c>
      <c r="D259" s="48">
        <f t="shared" si="42"/>
        <v>-0.46367999608610844</v>
      </c>
    </row>
    <row r="260" spans="1:7" x14ac:dyDescent="0.25">
      <c r="A260" s="36">
        <v>-0.85521133347722156</v>
      </c>
      <c r="B260" s="49">
        <v>244.33723878301373</v>
      </c>
      <c r="C260" s="49">
        <v>-118.05530875394192</v>
      </c>
      <c r="D260" s="48">
        <f t="shared" si="42"/>
        <v>-0.45008948580576308</v>
      </c>
    </row>
    <row r="261" spans="1:7" x14ac:dyDescent="0.25">
      <c r="A261" s="36">
        <v>-0.83775804095727802</v>
      </c>
      <c r="B261" s="49">
        <v>248.08462030024023</v>
      </c>
      <c r="C261" s="49">
        <v>-115.79356168532699</v>
      </c>
      <c r="D261" s="48">
        <f t="shared" si="42"/>
        <v>-0.43669580395363017</v>
      </c>
      <c r="F261">
        <f>-1*PI()</f>
        <v>-3.1415926535897931</v>
      </c>
      <c r="G261">
        <f>-1*PI()</f>
        <v>-3.1415926535897931</v>
      </c>
    </row>
    <row r="262" spans="1:7" x14ac:dyDescent="0.25">
      <c r="A262" s="36">
        <v>-0.82030474843733492</v>
      </c>
      <c r="B262" s="49">
        <v>251.85522495561275</v>
      </c>
      <c r="C262" s="49">
        <v>-113.5216563496365</v>
      </c>
      <c r="D262" s="48">
        <f t="shared" si="42"/>
        <v>-0.42347056676884132</v>
      </c>
      <c r="F262">
        <f>PI()</f>
        <v>3.1415926535897931</v>
      </c>
      <c r="G262">
        <f>PI()</f>
        <v>3.1415926535897931</v>
      </c>
    </row>
    <row r="263" spans="1:7" x14ac:dyDescent="0.25">
      <c r="A263" s="36">
        <v>-0.80285145591739138</v>
      </c>
      <c r="B263" s="49">
        <v>255.65636682932447</v>
      </c>
      <c r="C263" s="49">
        <v>-111.23379193882174</v>
      </c>
      <c r="D263" s="48">
        <f t="shared" si="42"/>
        <v>-0.41038669889461094</v>
      </c>
    </row>
    <row r="264" spans="1:7" x14ac:dyDescent="0.25">
      <c r="A264" s="36">
        <v>-0.78539816339744828</v>
      </c>
      <c r="B264" s="49">
        <v>259.49540378684253</v>
      </c>
      <c r="C264" s="49">
        <v>-108.92402246984156</v>
      </c>
      <c r="D264" s="48">
        <f t="shared" si="42"/>
        <v>-0.39741816847556444</v>
      </c>
    </row>
    <row r="265" spans="1:7" x14ac:dyDescent="0.25">
      <c r="A265" s="36">
        <v>-0.76794487087750474</v>
      </c>
      <c r="B265" s="49">
        <v>263.3798046609208</v>
      </c>
      <c r="C265" s="49">
        <v>-106.5861958859268</v>
      </c>
      <c r="D265" s="48">
        <f t="shared" si="42"/>
        <v>-0.38453974220996379</v>
      </c>
    </row>
    <row r="266" spans="1:7" x14ac:dyDescent="0.25">
      <c r="A266" s="36">
        <v>-0.75049157835756164</v>
      </c>
      <c r="B266" s="49">
        <v>267.31721739647594</v>
      </c>
      <c r="C266" s="49">
        <v>-104.2138894498414</v>
      </c>
      <c r="D266" s="48">
        <f t="shared" si="42"/>
        <v>-0.37172675428585505</v>
      </c>
    </row>
    <row r="267" spans="1:7" x14ac:dyDescent="0.25">
      <c r="A267" s="36">
        <v>-0.73303828583761854</v>
      </c>
      <c r="B267" s="49">
        <v>271.31553794697822</v>
      </c>
      <c r="C267" s="49">
        <v>-101.80033967110833</v>
      </c>
      <c r="D267" s="48">
        <f t="shared" si="42"/>
        <v>-0.35895488565001499</v>
      </c>
    </row>
    <row r="268" spans="1:7" x14ac:dyDescent="0.25">
      <c r="A268" s="36">
        <v>-0.715584993317675</v>
      </c>
      <c r="B268" s="49">
        <v>275.38298195719159</v>
      </c>
      <c r="C268" s="49">
        <v>-99.338365353222557</v>
      </c>
      <c r="D268" s="48">
        <f t="shared" si="42"/>
        <v>-0.34619994881503402</v>
      </c>
    </row>
    <row r="269" spans="1:7" x14ac:dyDescent="0.25">
      <c r="A269" s="36">
        <v>-0.6981317007977319</v>
      </c>
      <c r="B269" s="49">
        <v>279.52816175015977</v>
      </c>
      <c r="C269" s="49">
        <v>-96.820282000966316</v>
      </c>
      <c r="D269" s="48">
        <f t="shared" si="42"/>
        <v>-0.33343767303278038</v>
      </c>
    </row>
    <row r="270" spans="1:7" x14ac:dyDescent="0.25">
      <c r="A270" s="36">
        <v>-0.68067840827778836</v>
      </c>
      <c r="B270" s="49">
        <v>283.76016842258565</v>
      </c>
      <c r="C270" s="49">
        <v>-94.237805197855934</v>
      </c>
      <c r="D270" s="48">
        <f t="shared" si="42"/>
        <v>-0.32064348709842183</v>
      </c>
    </row>
    <row r="271" spans="1:7" x14ac:dyDescent="0.25">
      <c r="A271" s="36">
        <v>-0.66322511575784526</v>
      </c>
      <c r="B271" s="49">
        <v>287.30554673998768</v>
      </c>
      <c r="C271" s="49">
        <v>-91.970460205542125</v>
      </c>
      <c r="D271" s="48">
        <f t="shared" si="42"/>
        <v>-0.30980613849239946</v>
      </c>
    </row>
    <row r="272" spans="1:7" x14ac:dyDescent="0.25">
      <c r="A272" s="36">
        <v>-0.64577182323790172</v>
      </c>
      <c r="B272" s="49">
        <v>290.75734640899498</v>
      </c>
      <c r="C272" s="49">
        <v>-90.787903174000633</v>
      </c>
      <c r="D272" s="48">
        <f t="shared" si="42"/>
        <v>-0.30265371521188672</v>
      </c>
    </row>
    <row r="273" spans="1:4" x14ac:dyDescent="0.25">
      <c r="A273" s="36">
        <v>-0.62831853071795862</v>
      </c>
      <c r="B273" s="49">
        <v>294.17412919994632</v>
      </c>
      <c r="C273" s="49">
        <v>-88.545278417142157</v>
      </c>
      <c r="D273" s="48">
        <f t="shared" si="42"/>
        <v>-0.29237043688409042</v>
      </c>
    </row>
    <row r="274" spans="1:4" x14ac:dyDescent="0.25">
      <c r="A274" s="36">
        <v>-0.61086523819801508</v>
      </c>
      <c r="B274" s="49">
        <v>297.68158716982026</v>
      </c>
      <c r="C274" s="49">
        <v>-86.226724850589036</v>
      </c>
      <c r="D274" s="48">
        <f t="shared" si="42"/>
        <v>-0.28194462561895772</v>
      </c>
    </row>
    <row r="275" spans="1:4" x14ac:dyDescent="0.25">
      <c r="A275" s="36">
        <v>-0.59341194567807198</v>
      </c>
      <c r="B275" s="49">
        <v>301.28952974597979</v>
      </c>
      <c r="C275" s="49">
        <v>-83.8220507338754</v>
      </c>
      <c r="D275" s="48">
        <f t="shared" si="42"/>
        <v>-0.27134896176569967</v>
      </c>
    </row>
    <row r="276" spans="1:4" x14ac:dyDescent="0.25">
      <c r="A276" s="36">
        <v>-0.57595865315812889</v>
      </c>
      <c r="B276" s="49">
        <v>304.94443962283759</v>
      </c>
      <c r="C276" s="49">
        <v>-81.368279054567779</v>
      </c>
      <c r="D276" s="48">
        <f t="shared" si="42"/>
        <v>-0.26075473505531588</v>
      </c>
    </row>
    <row r="277" spans="1:4" x14ac:dyDescent="0.25">
      <c r="A277" s="36">
        <v>-0.55850536063818534</v>
      </c>
      <c r="B277" s="49">
        <v>308.57017546780321</v>
      </c>
      <c r="C277" s="49">
        <v>-78.922437380241348</v>
      </c>
      <c r="D277" s="48">
        <f t="shared" si="42"/>
        <v>-0.2504001429317263</v>
      </c>
    </row>
    <row r="278" spans="1:4" x14ac:dyDescent="0.25">
      <c r="A278" s="36">
        <v>-0.54105206811824225</v>
      </c>
      <c r="B278" s="49">
        <v>312.17237202738028</v>
      </c>
      <c r="C278" s="49">
        <v>-76.481778757616041</v>
      </c>
      <c r="D278" s="48">
        <f t="shared" si="42"/>
        <v>-0.24026590567648537</v>
      </c>
    </row>
    <row r="279" spans="1:4" x14ac:dyDescent="0.25">
      <c r="A279" s="36">
        <v>-0.5235987755982987</v>
      </c>
      <c r="B279" s="49">
        <v>315.75681280111803</v>
      </c>
      <c r="C279" s="49">
        <v>-74.0433227334576</v>
      </c>
      <c r="D279" s="48">
        <f t="shared" si="42"/>
        <v>-0.23033312230034239</v>
      </c>
    </row>
    <row r="280" spans="1:4" x14ac:dyDescent="0.25">
      <c r="A280" s="36">
        <v>-0.50614548307835561</v>
      </c>
      <c r="B280" s="49">
        <v>319.3290968274967</v>
      </c>
      <c r="C280" s="49">
        <v>-71.6041162587466</v>
      </c>
      <c r="D280" s="48">
        <f t="shared" si="42"/>
        <v>-0.22058426566305592</v>
      </c>
    </row>
    <row r="281" spans="1:4" x14ac:dyDescent="0.25">
      <c r="A281" s="36">
        <v>-0.48869219055841207</v>
      </c>
      <c r="B281" s="49">
        <v>322.89467497292054</v>
      </c>
      <c r="C281" s="49">
        <v>-69.161218917319516</v>
      </c>
      <c r="D281" s="48">
        <f t="shared" si="42"/>
        <v>-0.21100302881225963</v>
      </c>
    </row>
    <row r="282" spans="1:4" x14ac:dyDescent="0.25">
      <c r="A282" s="36">
        <v>-0.47123889803846897</v>
      </c>
      <c r="B282" s="49">
        <v>326.45888399141967</v>
      </c>
      <c r="C282" s="49">
        <v>-66.711688402127209</v>
      </c>
      <c r="D282" s="48">
        <f t="shared" si="42"/>
        <v>-0.20157418914531378</v>
      </c>
    </row>
    <row r="283" spans="1:4" x14ac:dyDescent="0.25">
      <c r="A283" s="36">
        <v>-0.45378560551852543</v>
      </c>
      <c r="B283" s="49">
        <v>330.02697880681967</v>
      </c>
      <c r="C283" s="49">
        <v>-64.252566086588672</v>
      </c>
      <c r="D283" s="48">
        <f t="shared" si="42"/>
        <v>-0.19228348791031274</v>
      </c>
    </row>
    <row r="284" spans="1:4" x14ac:dyDescent="0.25">
      <c r="A284" s="36">
        <v>-0.43633231299858233</v>
      </c>
      <c r="B284" s="49">
        <v>332.18966668556112</v>
      </c>
      <c r="C284" s="49">
        <v>-62.616356507001633</v>
      </c>
      <c r="D284" s="48">
        <f t="shared" si="42"/>
        <v>-0.1863097552375913</v>
      </c>
    </row>
    <row r="285" spans="1:4" x14ac:dyDescent="0.25">
      <c r="A285" s="36">
        <v>-0.41887902047863923</v>
      </c>
      <c r="B285" s="49">
        <v>335.75298638161416</v>
      </c>
      <c r="C285" s="49">
        <v>-60.142701046318912</v>
      </c>
      <c r="D285" s="48">
        <f t="shared" si="42"/>
        <v>-0.17724800328320031</v>
      </c>
    </row>
    <row r="286" spans="1:4" x14ac:dyDescent="0.25">
      <c r="A286" s="36">
        <v>-0.40142572795869569</v>
      </c>
      <c r="B286" s="49">
        <v>339.33524485121092</v>
      </c>
      <c r="C286" s="49">
        <v>-57.650764969261225</v>
      </c>
      <c r="D286" s="48">
        <f t="shared" si="42"/>
        <v>-0.16828639623975891</v>
      </c>
    </row>
    <row r="287" spans="1:4" x14ac:dyDescent="0.25">
      <c r="A287" s="36">
        <v>-0.38397243543875259</v>
      </c>
      <c r="B287" s="49">
        <v>342.94163809579129</v>
      </c>
      <c r="C287" s="49">
        <v>-55.137399291422575</v>
      </c>
      <c r="D287" s="48">
        <f t="shared" si="42"/>
        <v>-0.15941354737651975</v>
      </c>
    </row>
    <row r="288" spans="1:4" x14ac:dyDescent="0.25">
      <c r="A288" s="36">
        <v>-0.36651914291880905</v>
      </c>
      <c r="B288" s="49">
        <v>346.57742668830286</v>
      </c>
      <c r="C288" s="49">
        <v>-52.599364333530403</v>
      </c>
      <c r="D288" s="48">
        <f t="shared" si="42"/>
        <v>-0.15061859695392438</v>
      </c>
    </row>
    <row r="289" spans="1:4" x14ac:dyDescent="0.25">
      <c r="A289" s="36">
        <v>-0.34906585039886595</v>
      </c>
      <c r="B289" s="49">
        <v>350.2479650475687</v>
      </c>
      <c r="C289" s="49">
        <v>-50.033312790317837</v>
      </c>
      <c r="D289" s="48">
        <f t="shared" si="42"/>
        <v>-0.14189114857729199</v>
      </c>
    </row>
    <row r="290" spans="1:4" x14ac:dyDescent="0.25">
      <c r="A290" s="36">
        <v>-0.33161255787892241</v>
      </c>
      <c r="B290" s="49">
        <v>353.95873140795754</v>
      </c>
      <c r="C290" s="49">
        <v>-47.435771781423519</v>
      </c>
      <c r="D290" s="48">
        <f t="shared" si="42"/>
        <v>-0.13322121110139018</v>
      </c>
    </row>
    <row r="291" spans="1:4" x14ac:dyDescent="0.25">
      <c r="A291" s="36">
        <v>-0.31415926535897931</v>
      </c>
      <c r="B291" s="49">
        <v>357.7153588256316</v>
      </c>
      <c r="C291" s="49">
        <v>-44.803123682656974</v>
      </c>
      <c r="D291" s="48">
        <f t="shared" si="42"/>
        <v>-0.12459914533809052</v>
      </c>
    </row>
    <row r="292" spans="1:4" x14ac:dyDescent="0.25">
      <c r="A292" s="36">
        <v>-0.29670597283903577</v>
      </c>
      <c r="B292" s="49">
        <v>361.52366757903451</v>
      </c>
      <c r="C292" s="49">
        <v>-42.131585515485661</v>
      </c>
      <c r="D292" s="48">
        <f t="shared" si="42"/>
        <v>-0.11601561491237299</v>
      </c>
    </row>
    <row r="293" spans="1:4" x14ac:dyDescent="0.25">
      <c r="A293" s="36">
        <v>-0.27925268031909267</v>
      </c>
      <c r="B293" s="49">
        <v>364.92034514077869</v>
      </c>
      <c r="C293" s="49">
        <v>-40.086969160018818</v>
      </c>
      <c r="D293" s="48">
        <f t="shared" si="42"/>
        <v>-0.10941258821481339</v>
      </c>
    </row>
    <row r="294" spans="1:4" x14ac:dyDescent="0.25">
      <c r="A294" s="36">
        <v>-0.26179938779914957</v>
      </c>
      <c r="B294" s="49">
        <v>366.47486178179673</v>
      </c>
      <c r="C294" s="49">
        <v>-37.818709671373995</v>
      </c>
      <c r="D294" s="48">
        <f t="shared" si="42"/>
        <v>-0.10283191593267563</v>
      </c>
    </row>
    <row r="295" spans="1:4" x14ac:dyDescent="0.25">
      <c r="A295" s="36">
        <v>-0.24434609527920603</v>
      </c>
      <c r="B295" s="49">
        <v>367.3675772181661</v>
      </c>
      <c r="C295" s="49">
        <v>-35.457580353045202</v>
      </c>
      <c r="D295" s="48">
        <f t="shared" si="42"/>
        <v>-9.6219943113933865E-2</v>
      </c>
    </row>
    <row r="296" spans="1:4" x14ac:dyDescent="0.25">
      <c r="A296" s="36">
        <v>-0.22689280275926293</v>
      </c>
      <c r="B296" s="49">
        <v>368.24168168013563</v>
      </c>
      <c r="C296" s="49">
        <v>-33.087416521010802</v>
      </c>
      <c r="D296" s="48">
        <f t="shared" si="42"/>
        <v>-8.9611805740510544E-2</v>
      </c>
    </row>
    <row r="297" spans="1:4" x14ac:dyDescent="0.25">
      <c r="A297" s="36">
        <v>-0.20943951023931939</v>
      </c>
      <c r="B297" s="49">
        <v>369.09921784903776</v>
      </c>
      <c r="C297" s="49">
        <v>-30.705481021765447</v>
      </c>
      <c r="D297" s="48">
        <f t="shared" si="42"/>
        <v>-8.2999200421772487E-2</v>
      </c>
    </row>
    <row r="298" spans="1:4" x14ac:dyDescent="0.25">
      <c r="A298" s="36">
        <v>-0.1919862177193763</v>
      </c>
      <c r="B298" s="49">
        <v>369.94221752952973</v>
      </c>
      <c r="C298" s="49">
        <v>-28.308934857996203</v>
      </c>
      <c r="D298" s="48">
        <f t="shared" si="42"/>
        <v>-7.6373743202453895E-2</v>
      </c>
    </row>
    <row r="299" spans="1:4" x14ac:dyDescent="0.25">
      <c r="A299" s="36">
        <v>-0.17453292519943275</v>
      </c>
      <c r="B299" s="49">
        <v>370.77271852826919</v>
      </c>
      <c r="C299" s="49">
        <v>-25.894818446490177</v>
      </c>
      <c r="D299" s="48">
        <f t="shared" si="42"/>
        <v>-6.9726919026958434E-2</v>
      </c>
    </row>
    <row r="300" spans="1:4" x14ac:dyDescent="0.25">
      <c r="A300" s="36">
        <v>-0.15707963267948966</v>
      </c>
      <c r="B300" s="49">
        <v>371.59278024018187</v>
      </c>
      <c r="C300" s="49">
        <v>-23.460031024103614</v>
      </c>
      <c r="D300" s="48">
        <f t="shared" si="42"/>
        <v>-6.305002974271337E-2</v>
      </c>
    </row>
    <row r="301" spans="1:4" x14ac:dyDescent="0.25">
      <c r="A301" s="36">
        <v>-0.13962634015954611</v>
      </c>
      <c r="B301" s="49">
        <v>372.40450061630031</v>
      </c>
      <c r="C301" s="49">
        <v>-21.001307728417842</v>
      </c>
      <c r="D301" s="48">
        <f t="shared" si="42"/>
        <v>-5.6334138986376153E-2</v>
      </c>
    </row>
    <row r="302" spans="1:4" x14ac:dyDescent="0.25">
      <c r="A302" s="36">
        <v>-0.12217304763960302</v>
      </c>
      <c r="B302" s="49">
        <v>373.21003449170917</v>
      </c>
      <c r="C302" s="49">
        <v>-18.515193933313643</v>
      </c>
      <c r="D302" s="48">
        <f t="shared" si="42"/>
        <v>-4.9570013251666385E-2</v>
      </c>
    </row>
    <row r="303" spans="1:4" x14ac:dyDescent="0.25">
      <c r="A303" s="36">
        <v>-0.10471975511965992</v>
      </c>
      <c r="B303" s="49">
        <v>374.01161362396556</v>
      </c>
      <c r="C303" s="49">
        <v>-15.998016324615813</v>
      </c>
      <c r="D303" s="48">
        <f t="shared" si="42"/>
        <v>-4.2748058211509593E-2</v>
      </c>
    </row>
    <row r="304" spans="1:4" x14ac:dyDescent="0.25">
      <c r="A304" s="36">
        <v>-8.7266462599716377E-2</v>
      </c>
      <c r="B304" s="49">
        <v>374.81156880951175</v>
      </c>
      <c r="C304" s="49">
        <v>-13.445850101993225</v>
      </c>
      <c r="D304" s="48">
        <f t="shared" si="42"/>
        <v>-3.5858249243321955E-2</v>
      </c>
    </row>
    <row r="305" spans="1:4" x14ac:dyDescent="0.25">
      <c r="A305" s="36">
        <v>-6.9813170079773279E-2</v>
      </c>
      <c r="B305" s="49">
        <v>375.6123546904501</v>
      </c>
      <c r="C305" s="49">
        <v>-10.854481565430209</v>
      </c>
      <c r="D305" s="48">
        <f t="shared" si="42"/>
        <v>-2.8890054912954342E-2</v>
      </c>
    </row>
    <row r="306" spans="1:4" x14ac:dyDescent="0.25">
      <c r="A306" s="36">
        <v>-5.2359877559829737E-2</v>
      </c>
      <c r="B306" s="49">
        <v>376.41657769376206</v>
      </c>
      <c r="C306" s="49">
        <v>-8.2193651979910687</v>
      </c>
      <c r="D306" s="48">
        <f t="shared" si="42"/>
        <v>-2.183235202426911E-2</v>
      </c>
    </row>
    <row r="307" spans="1:4" x14ac:dyDescent="0.25">
      <c r="A307" s="36">
        <v>-3.490658503988664E-2</v>
      </c>
      <c r="B307" s="49">
        <v>377.22702787653554</v>
      </c>
      <c r="C307" s="49">
        <v>-5.5355741585416531</v>
      </c>
      <c r="D307" s="48">
        <f t="shared" si="42"/>
        <v>-1.4673330545956754E-2</v>
      </c>
    </row>
    <row r="308" spans="1:4" x14ac:dyDescent="0.25">
      <c r="A308" s="36">
        <v>-1.7453292519943098E-2</v>
      </c>
      <c r="B308" s="49">
        <v>378.0467155906137</v>
      </c>
      <c r="C308" s="49">
        <v>-2.7977428591447793</v>
      </c>
      <c r="D308" s="48">
        <f t="shared" si="42"/>
        <v>-7.4003864340436596E-3</v>
      </c>
    </row>
    <row r="309" spans="1:4" x14ac:dyDescent="0.25">
      <c r="A309" s="36">
        <v>0</v>
      </c>
      <c r="B309" s="49">
        <v>378.87891389934822</v>
      </c>
      <c r="C309" s="49">
        <v>2.0191256075790378E-14</v>
      </c>
      <c r="D309" s="48">
        <f t="shared" si="42"/>
        <v>5.3292108204138072E-17</v>
      </c>
    </row>
    <row r="310" spans="1:4" x14ac:dyDescent="0.25">
      <c r="A310" s="36">
        <v>1.7453292519943542E-2</v>
      </c>
      <c r="B310" s="49">
        <v>378.04671559061353</v>
      </c>
      <c r="C310" s="49">
        <v>2.7977428591449183</v>
      </c>
      <c r="D310" s="48">
        <f t="shared" si="42"/>
        <v>7.4003864340440309E-3</v>
      </c>
    </row>
    <row r="311" spans="1:4" x14ac:dyDescent="0.25">
      <c r="A311" s="36">
        <v>3.490658503988664E-2</v>
      </c>
      <c r="B311" s="49">
        <v>377.2270278765356</v>
      </c>
      <c r="C311" s="49">
        <v>5.53557415854167</v>
      </c>
      <c r="D311" s="48">
        <f t="shared" si="42"/>
        <v>1.4673330545956795E-2</v>
      </c>
    </row>
    <row r="312" spans="1:4" x14ac:dyDescent="0.25">
      <c r="A312" s="36">
        <v>5.2359877559829737E-2</v>
      </c>
      <c r="B312" s="49">
        <v>376.41657769376218</v>
      </c>
      <c r="C312" s="49">
        <v>8.2193651979910918</v>
      </c>
      <c r="D312" s="48">
        <f t="shared" si="42"/>
        <v>2.1832352024269162E-2</v>
      </c>
    </row>
    <row r="313" spans="1:4" x14ac:dyDescent="0.25">
      <c r="A313" s="36">
        <v>6.9813170079773279E-2</v>
      </c>
      <c r="B313" s="49">
        <v>375.6123546904501</v>
      </c>
      <c r="C313" s="49">
        <v>10.854481565430218</v>
      </c>
      <c r="D313" s="48">
        <f t="shared" si="42"/>
        <v>2.8890054912954363E-2</v>
      </c>
    </row>
    <row r="314" spans="1:4" x14ac:dyDescent="0.25">
      <c r="A314" s="36">
        <v>8.7266462599716377E-2</v>
      </c>
      <c r="B314" s="49">
        <v>374.81156880951175</v>
      </c>
      <c r="C314" s="49">
        <v>13.445850101993221</v>
      </c>
      <c r="D314" s="48">
        <f t="shared" si="42"/>
        <v>3.5858249243321948E-2</v>
      </c>
    </row>
    <row r="315" spans="1:4" x14ac:dyDescent="0.25">
      <c r="A315" s="36">
        <v>0.10471975511965992</v>
      </c>
      <c r="B315" s="49">
        <v>374.01161362396556</v>
      </c>
      <c r="C315" s="49">
        <v>15.99801632461582</v>
      </c>
      <c r="D315" s="48">
        <f t="shared" si="42"/>
        <v>4.2748058211509614E-2</v>
      </c>
    </row>
    <row r="316" spans="1:4" x14ac:dyDescent="0.25">
      <c r="A316" s="36">
        <v>0.12217304763960302</v>
      </c>
      <c r="B316" s="49">
        <v>373.21003449170928</v>
      </c>
      <c r="C316" s="49">
        <v>18.51519393331365</v>
      </c>
      <c r="D316" s="48">
        <f t="shared" si="42"/>
        <v>4.9570013251666392E-2</v>
      </c>
    </row>
    <row r="317" spans="1:4" x14ac:dyDescent="0.25">
      <c r="A317" s="36">
        <v>0.13962634015954656</v>
      </c>
      <c r="B317" s="49">
        <v>372.4045006163002</v>
      </c>
      <c r="C317" s="49">
        <v>21.001307728417917</v>
      </c>
      <c r="D317" s="48">
        <f t="shared" si="42"/>
        <v>5.6334138986376368E-2</v>
      </c>
    </row>
    <row r="318" spans="1:4" x14ac:dyDescent="0.25">
      <c r="A318" s="36">
        <v>0.15707963267948966</v>
      </c>
      <c r="B318" s="49">
        <v>371.59278024018181</v>
      </c>
      <c r="C318" s="49">
        <v>23.460031024103642</v>
      </c>
      <c r="D318" s="48">
        <f t="shared" si="42"/>
        <v>6.3050029742713454E-2</v>
      </c>
    </row>
    <row r="319" spans="1:4" x14ac:dyDescent="0.25">
      <c r="A319" s="36">
        <v>0.1745329251994332</v>
      </c>
      <c r="B319" s="49">
        <v>370.77271852826919</v>
      </c>
      <c r="C319" s="49">
        <v>25.894818446490277</v>
      </c>
      <c r="D319" s="48">
        <f t="shared" si="42"/>
        <v>6.9726919026958697E-2</v>
      </c>
    </row>
    <row r="320" spans="1:4" x14ac:dyDescent="0.25">
      <c r="A320" s="36">
        <v>0.1919862177193763</v>
      </c>
      <c r="B320" s="49">
        <v>369.94221752952978</v>
      </c>
      <c r="C320" s="49">
        <v>28.308934857996249</v>
      </c>
      <c r="D320" s="48">
        <f t="shared" si="42"/>
        <v>7.6373743202454006E-2</v>
      </c>
    </row>
    <row r="321" spans="1:4" x14ac:dyDescent="0.25">
      <c r="A321" s="36">
        <v>0.20943951023931984</v>
      </c>
      <c r="B321" s="49">
        <v>369.09921784903759</v>
      </c>
      <c r="C321" s="49">
        <v>30.705481021765525</v>
      </c>
      <c r="D321" s="48">
        <f t="shared" si="42"/>
        <v>8.2999200421772737E-2</v>
      </c>
    </row>
    <row r="322" spans="1:4" x14ac:dyDescent="0.25">
      <c r="A322" s="36">
        <v>0.22689280275926293</v>
      </c>
      <c r="B322" s="49">
        <v>368.24168168013574</v>
      </c>
      <c r="C322" s="49">
        <v>33.087416521010844</v>
      </c>
      <c r="D322" s="48">
        <f t="shared" ref="D322:D385" si="43">ATAN2(B322,C322)</f>
        <v>8.9611805740510628E-2</v>
      </c>
    </row>
    <row r="323" spans="1:4" x14ac:dyDescent="0.25">
      <c r="A323" s="36">
        <v>0.24434609527920603</v>
      </c>
      <c r="B323" s="49">
        <v>367.3675772181661</v>
      </c>
      <c r="C323" s="49">
        <v>35.457580353045202</v>
      </c>
      <c r="D323" s="48">
        <f t="shared" si="43"/>
        <v>9.6219943113933865E-2</v>
      </c>
    </row>
    <row r="324" spans="1:4" x14ac:dyDescent="0.25">
      <c r="A324" s="36">
        <v>0.26179938779914957</v>
      </c>
      <c r="B324" s="49">
        <v>366.47486178179685</v>
      </c>
      <c r="C324" s="49">
        <v>37.818709671374037</v>
      </c>
      <c r="D324" s="48">
        <f t="shared" si="43"/>
        <v>0.10283191593267572</v>
      </c>
    </row>
    <row r="325" spans="1:4" x14ac:dyDescent="0.25">
      <c r="A325" s="36">
        <v>0.27925268031909267</v>
      </c>
      <c r="B325" s="49">
        <v>364.92034514077869</v>
      </c>
      <c r="C325" s="49">
        <v>40.086969160018825</v>
      </c>
      <c r="D325" s="48">
        <f t="shared" si="43"/>
        <v>0.10941258821481342</v>
      </c>
    </row>
    <row r="326" spans="1:4" x14ac:dyDescent="0.25">
      <c r="A326" s="36">
        <v>0.29670597283903621</v>
      </c>
      <c r="B326" s="49">
        <v>361.5236675790344</v>
      </c>
      <c r="C326" s="49">
        <v>42.131585515485725</v>
      </c>
      <c r="D326" s="48">
        <f t="shared" si="43"/>
        <v>0.11601561491237321</v>
      </c>
    </row>
    <row r="327" spans="1:4" x14ac:dyDescent="0.25">
      <c r="A327" s="36">
        <v>0.31415926535897931</v>
      </c>
      <c r="B327" s="49">
        <v>357.71535882563171</v>
      </c>
      <c r="C327" s="49">
        <v>44.803123682657002</v>
      </c>
      <c r="D327" s="48">
        <f t="shared" si="43"/>
        <v>0.12459914533809058</v>
      </c>
    </row>
    <row r="328" spans="1:4" x14ac:dyDescent="0.25">
      <c r="A328" s="36">
        <v>0.33161255787892285</v>
      </c>
      <c r="B328" s="49">
        <v>353.95873140795743</v>
      </c>
      <c r="C328" s="49">
        <v>47.435771781423604</v>
      </c>
      <c r="D328" s="48">
        <f t="shared" si="43"/>
        <v>0.13322121110139046</v>
      </c>
    </row>
    <row r="329" spans="1:4" x14ac:dyDescent="0.25">
      <c r="A329" s="36">
        <v>0.34906585039886595</v>
      </c>
      <c r="B329" s="49">
        <v>350.24796504756875</v>
      </c>
      <c r="C329" s="49">
        <v>50.033312790317844</v>
      </c>
      <c r="D329" s="48">
        <f t="shared" si="43"/>
        <v>0.14189114857729199</v>
      </c>
    </row>
    <row r="330" spans="1:4" x14ac:dyDescent="0.25">
      <c r="A330" s="36">
        <v>0.36651914291880949</v>
      </c>
      <c r="B330" s="49">
        <v>346.57742668830275</v>
      </c>
      <c r="C330" s="49">
        <v>52.599364333530538</v>
      </c>
      <c r="D330" s="48">
        <f t="shared" si="43"/>
        <v>0.15061859695392482</v>
      </c>
    </row>
    <row r="331" spans="1:4" x14ac:dyDescent="0.25">
      <c r="A331" s="36">
        <v>0.38397243543875259</v>
      </c>
      <c r="B331" s="49">
        <v>342.94163809579129</v>
      </c>
      <c r="C331" s="49">
        <v>55.137399291422575</v>
      </c>
      <c r="D331" s="48">
        <f t="shared" si="43"/>
        <v>0.15941354737651975</v>
      </c>
    </row>
    <row r="332" spans="1:4" x14ac:dyDescent="0.25">
      <c r="A332" s="36">
        <v>0.40142572795869569</v>
      </c>
      <c r="B332" s="49">
        <v>339.33524485121092</v>
      </c>
      <c r="C332" s="49">
        <v>57.650764969261232</v>
      </c>
      <c r="D332" s="48">
        <f t="shared" si="43"/>
        <v>0.16828639623975894</v>
      </c>
    </row>
    <row r="333" spans="1:4" x14ac:dyDescent="0.25">
      <c r="A333" s="36">
        <v>0.41887902047863923</v>
      </c>
      <c r="B333" s="49">
        <v>335.75298638161416</v>
      </c>
      <c r="C333" s="49">
        <v>60.142701046318926</v>
      </c>
      <c r="D333" s="48">
        <f t="shared" si="43"/>
        <v>0.17724800328320037</v>
      </c>
    </row>
    <row r="334" spans="1:4" x14ac:dyDescent="0.25">
      <c r="A334" s="36">
        <v>0.43633231299858233</v>
      </c>
      <c r="B334" s="49">
        <v>332.18966668556106</v>
      </c>
      <c r="C334" s="49">
        <v>62.616356507001655</v>
      </c>
      <c r="D334" s="48">
        <f t="shared" si="43"/>
        <v>0.18630975523759138</v>
      </c>
    </row>
    <row r="335" spans="1:4" x14ac:dyDescent="0.25">
      <c r="A335" s="36">
        <v>0.45378560551852587</v>
      </c>
      <c r="B335" s="49">
        <v>330.02697880681961</v>
      </c>
      <c r="C335" s="49">
        <v>64.252566086588757</v>
      </c>
      <c r="D335" s="48">
        <f t="shared" si="43"/>
        <v>0.19228348791031302</v>
      </c>
    </row>
    <row r="336" spans="1:4" x14ac:dyDescent="0.25">
      <c r="A336" s="36">
        <v>0.47123889803846897</v>
      </c>
      <c r="B336" s="49">
        <v>326.45888399141967</v>
      </c>
      <c r="C336" s="49">
        <v>66.711688402127223</v>
      </c>
      <c r="D336" s="48">
        <f t="shared" si="43"/>
        <v>0.2015741891453138</v>
      </c>
    </row>
    <row r="337" spans="1:4" x14ac:dyDescent="0.25">
      <c r="A337" s="36">
        <v>0.48869219055841251</v>
      </c>
      <c r="B337" s="49">
        <v>322.89467497292048</v>
      </c>
      <c r="C337" s="49">
        <v>69.161218917319601</v>
      </c>
      <c r="D337" s="48">
        <f t="shared" si="43"/>
        <v>0.21100302881225991</v>
      </c>
    </row>
    <row r="338" spans="1:4" x14ac:dyDescent="0.25">
      <c r="A338" s="36">
        <v>0.50614548307835561</v>
      </c>
      <c r="B338" s="49">
        <v>319.3290968274967</v>
      </c>
      <c r="C338" s="49">
        <v>71.604116258746586</v>
      </c>
      <c r="D338" s="48">
        <f t="shared" si="43"/>
        <v>0.22058426566305586</v>
      </c>
    </row>
    <row r="339" spans="1:4" x14ac:dyDescent="0.25">
      <c r="A339" s="36">
        <v>0.52359877559829915</v>
      </c>
      <c r="B339" s="49">
        <v>315.75681280111809</v>
      </c>
      <c r="C339" s="49">
        <v>74.043322733457714</v>
      </c>
      <c r="D339" s="48">
        <f t="shared" si="43"/>
        <v>0.23033312230034267</v>
      </c>
    </row>
    <row r="340" spans="1:4" x14ac:dyDescent="0.25">
      <c r="A340" s="36">
        <v>0.54105206811824225</v>
      </c>
      <c r="B340" s="49">
        <v>312.17237202738028</v>
      </c>
      <c r="C340" s="49">
        <v>76.481778757616041</v>
      </c>
      <c r="D340" s="48">
        <f t="shared" si="43"/>
        <v>0.24026590567648537</v>
      </c>
    </row>
    <row r="341" spans="1:4" x14ac:dyDescent="0.25">
      <c r="A341" s="36">
        <v>0.55850536063818534</v>
      </c>
      <c r="B341" s="49">
        <v>308.57017546780321</v>
      </c>
      <c r="C341" s="49">
        <v>78.922437380241348</v>
      </c>
      <c r="D341" s="48">
        <f t="shared" si="43"/>
        <v>0.2504001429317263</v>
      </c>
    </row>
    <row r="342" spans="1:4" x14ac:dyDescent="0.25">
      <c r="A342" s="36">
        <v>0.57595865315812889</v>
      </c>
      <c r="B342" s="49">
        <v>304.94443962283765</v>
      </c>
      <c r="C342" s="49">
        <v>81.368279054567779</v>
      </c>
      <c r="D342" s="48">
        <f t="shared" si="43"/>
        <v>0.26075473505531582</v>
      </c>
    </row>
    <row r="343" spans="1:4" x14ac:dyDescent="0.25">
      <c r="A343" s="36">
        <v>0.59341194567807198</v>
      </c>
      <c r="B343" s="49">
        <v>301.28952974597985</v>
      </c>
      <c r="C343" s="49">
        <v>83.822050733875358</v>
      </c>
      <c r="D343" s="48">
        <f t="shared" si="43"/>
        <v>0.2713489617656995</v>
      </c>
    </row>
    <row r="344" spans="1:4" x14ac:dyDescent="0.25">
      <c r="A344" s="36">
        <v>0.61086523819801553</v>
      </c>
      <c r="B344" s="49">
        <v>297.68158716982032</v>
      </c>
      <c r="C344" s="49">
        <v>86.226724850589179</v>
      </c>
      <c r="D344" s="48">
        <f t="shared" si="43"/>
        <v>0.28194462561895817</v>
      </c>
    </row>
    <row r="345" spans="1:4" x14ac:dyDescent="0.25">
      <c r="A345" s="36">
        <v>0.62831853071795862</v>
      </c>
      <c r="B345" s="49">
        <v>294.17412919994644</v>
      </c>
      <c r="C345" s="49">
        <v>88.545278417142129</v>
      </c>
      <c r="D345" s="48">
        <f t="shared" si="43"/>
        <v>0.2923704368840902</v>
      </c>
    </row>
    <row r="346" spans="1:4" x14ac:dyDescent="0.25">
      <c r="A346" s="36">
        <v>0.64577182323790217</v>
      </c>
      <c r="B346" s="49">
        <v>290.75734640899486</v>
      </c>
      <c r="C346" s="49">
        <v>90.787903174000618</v>
      </c>
      <c r="D346" s="48">
        <f t="shared" si="43"/>
        <v>0.30265371521188683</v>
      </c>
    </row>
    <row r="347" spans="1:4" x14ac:dyDescent="0.25">
      <c r="A347" s="36">
        <v>0.66322511575784526</v>
      </c>
      <c r="B347" s="49">
        <v>287.30554673998773</v>
      </c>
      <c r="C347" s="49">
        <v>91.970460205542125</v>
      </c>
      <c r="D347" s="48">
        <f t="shared" si="43"/>
        <v>0.30980613849239941</v>
      </c>
    </row>
    <row r="348" spans="1:4" x14ac:dyDescent="0.25">
      <c r="A348" s="36">
        <v>0.6806784082777888</v>
      </c>
      <c r="B348" s="49">
        <v>283.76016842258537</v>
      </c>
      <c r="C348" s="49">
        <v>94.237805197855963</v>
      </c>
      <c r="D348" s="48">
        <f t="shared" si="43"/>
        <v>0.32064348709842216</v>
      </c>
    </row>
    <row r="349" spans="1:4" x14ac:dyDescent="0.25">
      <c r="A349" s="36">
        <v>0.6981317007977319</v>
      </c>
      <c r="B349" s="49">
        <v>279.52816175015977</v>
      </c>
      <c r="C349" s="49">
        <v>96.820282000966344</v>
      </c>
      <c r="D349" s="48">
        <f t="shared" si="43"/>
        <v>0.33343767303278049</v>
      </c>
    </row>
    <row r="350" spans="1:4" x14ac:dyDescent="0.25">
      <c r="A350" s="36">
        <v>0.715584993317675</v>
      </c>
      <c r="B350" s="49">
        <v>275.38298195719159</v>
      </c>
      <c r="C350" s="49">
        <v>99.338365353222585</v>
      </c>
      <c r="D350" s="48">
        <f t="shared" si="43"/>
        <v>0.34619994881503413</v>
      </c>
    </row>
    <row r="351" spans="1:4" x14ac:dyDescent="0.25">
      <c r="A351" s="36">
        <v>0.73303828583761854</v>
      </c>
      <c r="B351" s="49">
        <v>271.31553794697828</v>
      </c>
      <c r="C351" s="49">
        <v>101.80033967110833</v>
      </c>
      <c r="D351" s="48">
        <f t="shared" si="43"/>
        <v>0.35895488565001488</v>
      </c>
    </row>
    <row r="352" spans="1:4" x14ac:dyDescent="0.25">
      <c r="A352" s="36">
        <v>0.75049157835756164</v>
      </c>
      <c r="B352" s="49">
        <v>267.31721739647594</v>
      </c>
      <c r="C352" s="49">
        <v>104.21388944984146</v>
      </c>
      <c r="D352" s="48">
        <f t="shared" si="43"/>
        <v>0.37172675428585528</v>
      </c>
    </row>
    <row r="353" spans="1:4" x14ac:dyDescent="0.25">
      <c r="A353" s="36">
        <v>0.76794487087750518</v>
      </c>
      <c r="B353" s="49">
        <v>263.37980466092057</v>
      </c>
      <c r="C353" s="49">
        <v>106.58619588592678</v>
      </c>
      <c r="D353" s="48">
        <f t="shared" si="43"/>
        <v>0.38453974220996401</v>
      </c>
    </row>
    <row r="354" spans="1:4" x14ac:dyDescent="0.25">
      <c r="A354" s="36">
        <v>0.78539816339744828</v>
      </c>
      <c r="B354" s="49">
        <v>259.49540378684253</v>
      </c>
      <c r="C354" s="49">
        <v>108.92402246984156</v>
      </c>
      <c r="D354" s="48">
        <f t="shared" si="43"/>
        <v>0.39741816847556444</v>
      </c>
    </row>
    <row r="355" spans="1:4" x14ac:dyDescent="0.25">
      <c r="A355" s="36">
        <v>0.80285145591739182</v>
      </c>
      <c r="B355" s="49">
        <v>255.65636682932436</v>
      </c>
      <c r="C355" s="49">
        <v>111.23379193882174</v>
      </c>
      <c r="D355" s="48">
        <f t="shared" si="43"/>
        <v>0.4103866988946111</v>
      </c>
    </row>
    <row r="356" spans="1:4" x14ac:dyDescent="0.25">
      <c r="A356" s="36">
        <v>0.82030474843733492</v>
      </c>
      <c r="B356" s="49">
        <v>251.85522495561284</v>
      </c>
      <c r="C356" s="49">
        <v>113.52165634963654</v>
      </c>
      <c r="D356" s="48">
        <f t="shared" si="43"/>
        <v>0.42347056676884132</v>
      </c>
    </row>
    <row r="357" spans="1:4" x14ac:dyDescent="0.25">
      <c r="A357" s="36">
        <v>0.83775804095727846</v>
      </c>
      <c r="B357" s="49">
        <v>248.08462030024023</v>
      </c>
      <c r="C357" s="49">
        <v>115.79356168532708</v>
      </c>
      <c r="D357" s="48">
        <f t="shared" si="43"/>
        <v>0.43669580395363045</v>
      </c>
    </row>
    <row r="358" spans="1:4" x14ac:dyDescent="0.25">
      <c r="A358" s="36">
        <v>0.85521133347722156</v>
      </c>
      <c r="B358" s="49">
        <v>244.33723878301365</v>
      </c>
      <c r="C358" s="49">
        <v>118.05530875394192</v>
      </c>
      <c r="D358" s="48">
        <f t="shared" si="43"/>
        <v>0.45008948580576319</v>
      </c>
    </row>
    <row r="359" spans="1:4" x14ac:dyDescent="0.25">
      <c r="A359" s="36">
        <v>0.87266462599716466</v>
      </c>
      <c r="B359" s="49">
        <v>240.60574132598958</v>
      </c>
      <c r="C359" s="49">
        <v>120.31261146907204</v>
      </c>
      <c r="D359" s="48">
        <f t="shared" si="43"/>
        <v>0.46367999608610844</v>
      </c>
    </row>
    <row r="360" spans="1:4" x14ac:dyDescent="0.25">
      <c r="A360" s="36">
        <v>0.89011791851710775</v>
      </c>
      <c r="B360" s="49">
        <v>236.88269202907153</v>
      </c>
      <c r="C360" s="49">
        <v>122.57115371287223</v>
      </c>
      <c r="D360" s="48">
        <f t="shared" si="43"/>
        <v>0.47749731761722047</v>
      </c>
    </row>
    <row r="361" spans="1:4" x14ac:dyDescent="0.25">
      <c r="A361" s="36">
        <v>0.90757121103705174</v>
      </c>
      <c r="B361" s="49">
        <v>233.16048270379446</v>
      </c>
      <c r="C361" s="49">
        <v>124.83664630271582</v>
      </c>
      <c r="D361" s="48">
        <f t="shared" si="43"/>
        <v>0.49157335479428632</v>
      </c>
    </row>
    <row r="362" spans="1:4" x14ac:dyDescent="0.25">
      <c r="A362" s="36">
        <v>0.92502450355699484</v>
      </c>
      <c r="B362" s="49">
        <v>229.43125006817903</v>
      </c>
      <c r="C362" s="49">
        <v>127.1148847195751</v>
      </c>
      <c r="D362" s="48">
        <f t="shared" si="43"/>
        <v>0.50594229712582683</v>
      </c>
    </row>
    <row r="363" spans="1:4" x14ac:dyDescent="0.25">
      <c r="A363" s="36">
        <v>0.94247779607693793</v>
      </c>
      <c r="B363" s="49">
        <v>225.6867853431477</v>
      </c>
      <c r="C363" s="49">
        <v>129.41180944292751</v>
      </c>
      <c r="D363" s="48">
        <f t="shared" si="43"/>
        <v>0.52064103203406065</v>
      </c>
    </row>
    <row r="364" spans="1:4" x14ac:dyDescent="0.25">
      <c r="A364" s="36">
        <v>0.95993108859688103</v>
      </c>
      <c r="B364" s="49">
        <v>221.91843241397621</v>
      </c>
      <c r="C364" s="49">
        <v>131.73356987063755</v>
      </c>
      <c r="D364" s="48">
        <f t="shared" si="43"/>
        <v>0.53570961918652649</v>
      </c>
    </row>
    <row r="365" spans="1:4" x14ac:dyDescent="0.25">
      <c r="A365" s="36">
        <v>0.97738438111682502</v>
      </c>
      <c r="B365" s="49">
        <v>218.11697209960687</v>
      </c>
      <c r="C365" s="49">
        <v>134.08659356363077</v>
      </c>
      <c r="D365" s="48">
        <f t="shared" si="43"/>
        <v>0.55119183986934361</v>
      </c>
    </row>
    <row r="366" spans="1:4" x14ac:dyDescent="0.25">
      <c r="A366" s="36">
        <v>0.99483767363676812</v>
      </c>
      <c r="B366" s="49">
        <v>214.27248851557476</v>
      </c>
      <c r="C366" s="49">
        <v>136.47766250440722</v>
      </c>
      <c r="D366" s="48">
        <f t="shared" si="43"/>
        <v>0.56713583865963646</v>
      </c>
    </row>
    <row r="367" spans="1:4" x14ac:dyDescent="0.25">
      <c r="A367" s="36">
        <v>1.0122909661567112</v>
      </c>
      <c r="B367" s="49">
        <v>210.37421291072766</v>
      </c>
      <c r="C367" s="49">
        <v>138.91399847649686</v>
      </c>
      <c r="D367" s="48">
        <f t="shared" si="43"/>
        <v>0.5835948785414512</v>
      </c>
    </row>
    <row r="368" spans="1:4" x14ac:dyDescent="0.25">
      <c r="A368" s="36">
        <v>1.0297442586766543</v>
      </c>
      <c r="B368" s="49">
        <v>206.41033906749396</v>
      </c>
      <c r="C368" s="49">
        <v>141.40336006099042</v>
      </c>
      <c r="D368" s="48">
        <f t="shared" si="43"/>
        <v>0.60062823592233627</v>
      </c>
    </row>
    <row r="369" spans="1:4" x14ac:dyDescent="0.25">
      <c r="A369" s="36">
        <v>1.0471975511965974</v>
      </c>
      <c r="B369" s="49">
        <v>202.36780276607166</v>
      </c>
      <c r="C369" s="49">
        <v>143.95415430191213</v>
      </c>
      <c r="D369" s="48">
        <f t="shared" si="43"/>
        <v>0.61830226879730987</v>
      </c>
    </row>
    <row r="370" spans="1:4" x14ac:dyDescent="0.25">
      <c r="A370" s="36">
        <v>1.0646508437165414</v>
      </c>
      <c r="B370" s="49">
        <v>199.62773520311504</v>
      </c>
      <c r="C370" s="49">
        <v>146.50160945972763</v>
      </c>
      <c r="D370" s="48">
        <f t="shared" si="43"/>
        <v>0.63310034995857067</v>
      </c>
    </row>
    <row r="371" spans="1:4" x14ac:dyDescent="0.25">
      <c r="A371" s="36">
        <v>1.0821041362364845</v>
      </c>
      <c r="B371" s="49">
        <v>195.38760521680962</v>
      </c>
      <c r="C371" s="49">
        <v>149.2023520571725</v>
      </c>
      <c r="D371" s="48">
        <f t="shared" si="43"/>
        <v>0.65216259158573275</v>
      </c>
    </row>
    <row r="372" spans="1:4" x14ac:dyDescent="0.25">
      <c r="A372" s="36">
        <v>1.0995574287564276</v>
      </c>
      <c r="B372" s="49">
        <v>191.02002966513408</v>
      </c>
      <c r="C372" s="49">
        <v>151.99514594158831</v>
      </c>
      <c r="D372" s="48">
        <f t="shared" si="43"/>
        <v>0.67211511526841639</v>
      </c>
    </row>
    <row r="373" spans="1:4" x14ac:dyDescent="0.25">
      <c r="A373" s="36">
        <v>1.1170107212763707</v>
      </c>
      <c r="B373" s="49">
        <v>186.50368902078489</v>
      </c>
      <c r="C373" s="49">
        <v>154.89254911842053</v>
      </c>
      <c r="D373" s="48">
        <f t="shared" si="43"/>
        <v>0.69306773343990447</v>
      </c>
    </row>
    <row r="374" spans="1:4" x14ac:dyDescent="0.25">
      <c r="A374" s="36">
        <v>1.1344640137963147</v>
      </c>
      <c r="B374" s="49">
        <v>181.68662100168387</v>
      </c>
      <c r="C374" s="49">
        <v>157.90256781443725</v>
      </c>
      <c r="D374" s="48">
        <f t="shared" si="43"/>
        <v>0.71547462383683524</v>
      </c>
    </row>
    <row r="375" spans="1:4" x14ac:dyDescent="0.25">
      <c r="A375" s="36">
        <v>1.1519173063162578</v>
      </c>
      <c r="B375" s="49">
        <v>176.52030326196015</v>
      </c>
      <c r="C375" s="49">
        <v>161.03998872856627</v>
      </c>
      <c r="D375" s="48">
        <f t="shared" si="43"/>
        <v>0.73957086547790851</v>
      </c>
    </row>
    <row r="376" spans="1:4" x14ac:dyDescent="0.25">
      <c r="A376" s="36">
        <v>1.1693705988362009</v>
      </c>
      <c r="B376" s="49">
        <v>171.13388440808836</v>
      </c>
      <c r="C376" s="49">
        <v>164.33101469948429</v>
      </c>
      <c r="D376" s="48">
        <f t="shared" si="43"/>
        <v>0.76512201101745159</v>
      </c>
    </row>
    <row r="377" spans="1:4" x14ac:dyDescent="0.25">
      <c r="A377" s="36">
        <v>1.186823891356144</v>
      </c>
      <c r="B377" s="49">
        <v>165.4886922682808</v>
      </c>
      <c r="C377" s="49">
        <v>167.79701765396743</v>
      </c>
      <c r="D377" s="48">
        <f t="shared" si="43"/>
        <v>0.79232401832814292</v>
      </c>
    </row>
    <row r="378" spans="1:4" x14ac:dyDescent="0.25">
      <c r="A378" s="36">
        <v>1.2042771838760871</v>
      </c>
      <c r="B378" s="49">
        <v>159.66423553374631</v>
      </c>
      <c r="C378" s="49">
        <v>171.27192902007485</v>
      </c>
      <c r="D378" s="48">
        <f t="shared" si="43"/>
        <v>0.8204591147478395</v>
      </c>
    </row>
    <row r="379" spans="1:4" x14ac:dyDescent="0.25">
      <c r="A379" s="36">
        <v>1.2217304763960311</v>
      </c>
      <c r="B379" s="49">
        <v>153.72260413509028</v>
      </c>
      <c r="C379" s="49">
        <v>174.61662402599219</v>
      </c>
      <c r="D379" s="48">
        <f t="shared" si="43"/>
        <v>0.84894794111262084</v>
      </c>
    </row>
    <row r="380" spans="1:4" x14ac:dyDescent="0.25">
      <c r="A380" s="36">
        <v>1.2391837689159741</v>
      </c>
      <c r="B380" s="49">
        <v>147.3933954779186</v>
      </c>
      <c r="C380" s="49">
        <v>178.18087999926101</v>
      </c>
      <c r="D380" s="48">
        <f t="shared" si="43"/>
        <v>0.87968142221634771</v>
      </c>
    </row>
    <row r="381" spans="1:4" x14ac:dyDescent="0.25">
      <c r="A381" s="36">
        <v>1.2566370614359172</v>
      </c>
      <c r="B381" s="49">
        <v>140.60005787922418</v>
      </c>
      <c r="C381" s="49">
        <v>181.99975740613283</v>
      </c>
      <c r="D381" s="48">
        <f t="shared" si="43"/>
        <v>0.91303199096588084</v>
      </c>
    </row>
    <row r="382" spans="1:4" x14ac:dyDescent="0.25">
      <c r="A382" s="36">
        <v>1.2740903539558603</v>
      </c>
      <c r="B382" s="49">
        <v>133.25336389615384</v>
      </c>
      <c r="C382" s="49">
        <v>186.11117143185871</v>
      </c>
      <c r="D382" s="48">
        <f t="shared" si="43"/>
        <v>0.94942056429015498</v>
      </c>
    </row>
    <row r="383" spans="1:4" x14ac:dyDescent="0.25">
      <c r="A383" s="36">
        <v>1.2915436464758043</v>
      </c>
      <c r="B383" s="49">
        <v>125.58440545128241</v>
      </c>
      <c r="C383" s="49">
        <v>190.34824946182661</v>
      </c>
      <c r="D383" s="48">
        <f t="shared" si="43"/>
        <v>0.98758962121391503</v>
      </c>
    </row>
    <row r="384" spans="1:4" x14ac:dyDescent="0.25">
      <c r="A384" s="36">
        <v>1.3089969389957474</v>
      </c>
      <c r="B384" s="49">
        <v>117.74009588822604</v>
      </c>
      <c r="C384" s="49">
        <v>194.61332638244215</v>
      </c>
      <c r="D384" s="48">
        <f t="shared" si="43"/>
        <v>1.0267121002400927</v>
      </c>
    </row>
    <row r="385" spans="1:4" x14ac:dyDescent="0.25">
      <c r="A385" s="36">
        <v>1.3264502315156905</v>
      </c>
      <c r="B385" s="49">
        <v>110.79920209789948</v>
      </c>
      <c r="C385" s="49">
        <v>198.28999493641555</v>
      </c>
      <c r="D385" s="48">
        <f t="shared" si="43"/>
        <v>1.0612421574716171</v>
      </c>
    </row>
    <row r="386" spans="1:4" x14ac:dyDescent="0.25">
      <c r="A386" s="36">
        <v>1.3439035240356336</v>
      </c>
      <c r="B386" s="49">
        <v>104.70813097677031</v>
      </c>
      <c r="C386" s="49">
        <v>201.42621224569169</v>
      </c>
      <c r="D386" s="48">
        <f t="shared" ref="D386:D449" si="44">ATAN2(B386,C386)</f>
        <v>1.0914079560101855</v>
      </c>
    </row>
    <row r="387" spans="1:4" x14ac:dyDescent="0.25">
      <c r="A387" s="36">
        <v>1.3613568165555767</v>
      </c>
      <c r="B387" s="49">
        <v>98.632146206720037</v>
      </c>
      <c r="C387" s="49">
        <v>203.94356383181992</v>
      </c>
      <c r="D387" s="48">
        <f t="shared" si="44"/>
        <v>1.1203345621596223</v>
      </c>
    </row>
    <row r="388" spans="1:4" x14ac:dyDescent="0.25">
      <c r="A388" s="36">
        <v>1.3788101090755207</v>
      </c>
      <c r="B388" s="49">
        <v>92.226260149352157</v>
      </c>
      <c r="C388" s="49">
        <v>207.14929916295853</v>
      </c>
      <c r="D388" s="48">
        <f t="shared" si="44"/>
        <v>1.1519275797480495</v>
      </c>
    </row>
    <row r="389" spans="1:4" x14ac:dyDescent="0.25">
      <c r="A389" s="36">
        <v>1.3962634015954638</v>
      </c>
      <c r="B389" s="49">
        <v>85.616553471360277</v>
      </c>
      <c r="C389" s="49">
        <v>210.42345601753544</v>
      </c>
      <c r="D389" s="48">
        <f t="shared" si="44"/>
        <v>1.1843752330005168</v>
      </c>
    </row>
    <row r="390" spans="1:4" x14ac:dyDescent="0.25">
      <c r="A390" s="36">
        <v>1.4137166941154069</v>
      </c>
      <c r="B390" s="49">
        <v>78.772195777410971</v>
      </c>
      <c r="C390" s="49">
        <v>213.78325922367046</v>
      </c>
      <c r="D390" s="48">
        <f t="shared" si="44"/>
        <v>1.2177649908993093</v>
      </c>
    </row>
    <row r="391" spans="1:4" x14ac:dyDescent="0.25">
      <c r="A391" s="36">
        <v>1.43116998663535</v>
      </c>
      <c r="B391" s="49">
        <v>71.657711591183059</v>
      </c>
      <c r="C391" s="49">
        <v>217.24800824509398</v>
      </c>
      <c r="D391" s="48">
        <f t="shared" si="44"/>
        <v>1.2521904510167328</v>
      </c>
    </row>
    <row r="392" spans="1:4" x14ac:dyDescent="0.25">
      <c r="A392" s="36">
        <v>1.448623279155294</v>
      </c>
      <c r="B392" s="49">
        <v>64.228475833218766</v>
      </c>
      <c r="C392" s="49">
        <v>220.83918696235583</v>
      </c>
      <c r="D392" s="48">
        <f t="shared" si="44"/>
        <v>1.2877658848175586</v>
      </c>
    </row>
    <row r="393" spans="1:4" x14ac:dyDescent="0.25">
      <c r="A393" s="36">
        <v>1.4660765716752371</v>
      </c>
      <c r="B393" s="49">
        <v>56.1650083528246</v>
      </c>
      <c r="C393" s="49">
        <v>224.56130051457251</v>
      </c>
      <c r="D393" s="48">
        <f t="shared" si="44"/>
        <v>1.3257142145480454</v>
      </c>
    </row>
    <row r="394" spans="1:4" x14ac:dyDescent="0.25">
      <c r="A394" s="36">
        <v>1.4835298641951802</v>
      </c>
      <c r="B394" s="49">
        <v>47.649970770016267</v>
      </c>
      <c r="C394" s="49">
        <v>228.47182836726455</v>
      </c>
      <c r="D394" s="48">
        <f t="shared" si="44"/>
        <v>1.365184186640769</v>
      </c>
    </row>
    <row r="395" spans="1:4" x14ac:dyDescent="0.25">
      <c r="A395" s="36">
        <v>1.5009831567151233</v>
      </c>
      <c r="B395" s="49">
        <v>40.477832217827945</v>
      </c>
      <c r="C395" s="49">
        <v>231.71770798465639</v>
      </c>
      <c r="D395" s="48">
        <f t="shared" si="44"/>
        <v>1.3978553767260393</v>
      </c>
    </row>
    <row r="396" spans="1:4" x14ac:dyDescent="0.25">
      <c r="A396" s="36">
        <v>1.5184364492350664</v>
      </c>
      <c r="B396" s="49">
        <v>30.910517566593402</v>
      </c>
      <c r="C396" s="49">
        <v>236.07018356862642</v>
      </c>
      <c r="D396" s="48">
        <f t="shared" si="44"/>
        <v>1.4405991894791175</v>
      </c>
    </row>
    <row r="397" spans="1:4" x14ac:dyDescent="0.25">
      <c r="A397" s="36">
        <v>1.5358897417550104</v>
      </c>
      <c r="B397" s="49">
        <v>20.584873973421971</v>
      </c>
      <c r="C397" s="49">
        <v>239.5887795712633</v>
      </c>
      <c r="D397" s="48">
        <f t="shared" si="44"/>
        <v>1.4850892837005267</v>
      </c>
    </row>
    <row r="398" spans="1:4" x14ac:dyDescent="0.25">
      <c r="A398" s="36">
        <v>1.5533430342749535</v>
      </c>
      <c r="B398" s="49">
        <v>9.5905511978407905</v>
      </c>
      <c r="C398" s="49">
        <v>241.23309983812666</v>
      </c>
      <c r="D398" s="48">
        <f t="shared" si="44"/>
        <v>1.5310608877136556</v>
      </c>
    </row>
    <row r="399" spans="1:4" x14ac:dyDescent="0.25">
      <c r="A399" s="36">
        <v>1.5707963267948966</v>
      </c>
      <c r="B399" s="49">
        <v>7.4412921762824563E-14</v>
      </c>
      <c r="C399" s="49">
        <v>241.96367274341705</v>
      </c>
      <c r="D399" s="48">
        <f t="shared" si="44"/>
        <v>1.5707963267948963</v>
      </c>
    </row>
    <row r="400" spans="1:4" x14ac:dyDescent="0.25">
      <c r="A400" s="36">
        <v>1.5882496193148397</v>
      </c>
      <c r="B400" s="49">
        <v>-9.590551197840723</v>
      </c>
      <c r="C400" s="49">
        <v>241.23309983812666</v>
      </c>
      <c r="D400" s="48">
        <f t="shared" si="44"/>
        <v>1.6105317658761371</v>
      </c>
    </row>
    <row r="401" spans="1:4" x14ac:dyDescent="0.25">
      <c r="A401" s="36">
        <v>1.6057029118347836</v>
      </c>
      <c r="B401" s="49">
        <v>-20.584873973422457</v>
      </c>
      <c r="C401" s="49">
        <v>239.5887795712633</v>
      </c>
      <c r="D401" s="48">
        <f t="shared" si="44"/>
        <v>1.6565033698892684</v>
      </c>
    </row>
    <row r="402" spans="1:4" x14ac:dyDescent="0.25">
      <c r="A402" s="36">
        <v>1.6231562043547267</v>
      </c>
      <c r="B402" s="49">
        <v>-30.910517566593349</v>
      </c>
      <c r="C402" s="49">
        <v>236.0701835686265</v>
      </c>
      <c r="D402" s="48">
        <f t="shared" si="44"/>
        <v>1.7009934641106752</v>
      </c>
    </row>
    <row r="403" spans="1:4" x14ac:dyDescent="0.25">
      <c r="A403" s="36">
        <v>1.6406094968746698</v>
      </c>
      <c r="B403" s="49">
        <v>-40.477832217827931</v>
      </c>
      <c r="C403" s="49">
        <v>231.71770798465644</v>
      </c>
      <c r="D403" s="48">
        <f t="shared" si="44"/>
        <v>1.7437372768637538</v>
      </c>
    </row>
    <row r="404" spans="1:4" x14ac:dyDescent="0.25">
      <c r="A404" s="36">
        <v>1.6580627893946129</v>
      </c>
      <c r="B404" s="49">
        <v>-47.649970770016274</v>
      </c>
      <c r="C404" s="49">
        <v>228.47182836726464</v>
      </c>
      <c r="D404" s="48">
        <f t="shared" si="44"/>
        <v>1.7764084669490241</v>
      </c>
    </row>
    <row r="405" spans="1:4" x14ac:dyDescent="0.25">
      <c r="A405" s="36">
        <v>1.675516081914556</v>
      </c>
      <c r="B405" s="49">
        <v>-56.165008352824593</v>
      </c>
      <c r="C405" s="49">
        <v>224.56130051457248</v>
      </c>
      <c r="D405" s="48">
        <f t="shared" si="44"/>
        <v>1.8158784390417477</v>
      </c>
    </row>
    <row r="406" spans="1:4" x14ac:dyDescent="0.25">
      <c r="A406" s="36">
        <v>1.6929693744345</v>
      </c>
      <c r="B406" s="49">
        <v>-64.228475833219093</v>
      </c>
      <c r="C406" s="49">
        <v>220.83918696235563</v>
      </c>
      <c r="D406" s="48">
        <f t="shared" si="44"/>
        <v>1.8538267687722361</v>
      </c>
    </row>
    <row r="407" spans="1:4" x14ac:dyDescent="0.25">
      <c r="A407" s="36">
        <v>1.7104226669544431</v>
      </c>
      <c r="B407" s="49">
        <v>-71.65771159118303</v>
      </c>
      <c r="C407" s="49">
        <v>217.24800824509398</v>
      </c>
      <c r="D407" s="48">
        <f t="shared" si="44"/>
        <v>1.8894022025730604</v>
      </c>
    </row>
    <row r="408" spans="1:4" x14ac:dyDescent="0.25">
      <c r="A408" s="36">
        <v>1.7278759594743862</v>
      </c>
      <c r="B408" s="49">
        <v>-78.772195777410928</v>
      </c>
      <c r="C408" s="49">
        <v>213.78325922367046</v>
      </c>
      <c r="D408" s="48">
        <f t="shared" si="44"/>
        <v>1.9238276626904836</v>
      </c>
    </row>
    <row r="409" spans="1:4" x14ac:dyDescent="0.25">
      <c r="A409" s="36">
        <v>1.7453292519943293</v>
      </c>
      <c r="B409" s="49">
        <v>-85.616553471360263</v>
      </c>
      <c r="C409" s="49">
        <v>210.42345601753539</v>
      </c>
      <c r="D409" s="48">
        <f t="shared" si="44"/>
        <v>1.9572174205892763</v>
      </c>
    </row>
    <row r="410" spans="1:4" x14ac:dyDescent="0.25">
      <c r="A410" s="36">
        <v>1.7627825445142733</v>
      </c>
      <c r="B410" s="49">
        <v>-92.226260149352484</v>
      </c>
      <c r="C410" s="49">
        <v>207.14929916295839</v>
      </c>
      <c r="D410" s="48">
        <f t="shared" si="44"/>
        <v>1.9896650738417452</v>
      </c>
    </row>
    <row r="411" spans="1:4" x14ac:dyDescent="0.25">
      <c r="A411" s="36">
        <v>1.7802358370342164</v>
      </c>
      <c r="B411" s="49">
        <v>-98.632146206719952</v>
      </c>
      <c r="C411" s="49">
        <v>203.94356383181989</v>
      </c>
      <c r="D411" s="48">
        <f t="shared" si="44"/>
        <v>2.0212580914301705</v>
      </c>
    </row>
    <row r="412" spans="1:4" x14ac:dyDescent="0.25">
      <c r="A412" s="36">
        <v>1.7976891295541595</v>
      </c>
      <c r="B412" s="49">
        <v>-104.70813097677021</v>
      </c>
      <c r="C412" s="49">
        <v>201.42621224569174</v>
      </c>
      <c r="D412" s="48">
        <f t="shared" si="44"/>
        <v>2.0501846975796072</v>
      </c>
    </row>
    <row r="413" spans="1:4" x14ac:dyDescent="0.25">
      <c r="A413" s="36">
        <v>1.8151424220741026</v>
      </c>
      <c r="B413" s="49">
        <v>-110.79920209789944</v>
      </c>
      <c r="C413" s="49">
        <v>198.28999493641555</v>
      </c>
      <c r="D413" s="48">
        <f t="shared" si="44"/>
        <v>2.080350496118176</v>
      </c>
    </row>
    <row r="414" spans="1:4" x14ac:dyDescent="0.25">
      <c r="A414" s="36">
        <v>1.8325957145940457</v>
      </c>
      <c r="B414" s="49">
        <v>-117.74009588822601</v>
      </c>
      <c r="C414" s="49">
        <v>194.61332638244218</v>
      </c>
      <c r="D414" s="48">
        <f t="shared" si="44"/>
        <v>2.1148805533497002</v>
      </c>
    </row>
    <row r="415" spans="1:4" x14ac:dyDescent="0.25">
      <c r="A415" s="36">
        <v>1.8500490071139897</v>
      </c>
      <c r="B415" s="49">
        <v>-125.58440545128272</v>
      </c>
      <c r="C415" s="49">
        <v>190.34824946182641</v>
      </c>
      <c r="D415" s="48">
        <f t="shared" si="44"/>
        <v>2.1540030323758796</v>
      </c>
    </row>
    <row r="416" spans="1:4" x14ac:dyDescent="0.25">
      <c r="A416" s="36">
        <v>1.8675022996339328</v>
      </c>
      <c r="B416" s="49">
        <v>-133.2533638961537</v>
      </c>
      <c r="C416" s="49">
        <v>186.11117143185871</v>
      </c>
      <c r="D416" s="48">
        <f t="shared" si="44"/>
        <v>2.1921720892996377</v>
      </c>
    </row>
    <row r="417" spans="1:4" x14ac:dyDescent="0.25">
      <c r="A417" s="36">
        <v>1.8849555921538759</v>
      </c>
      <c r="B417" s="49">
        <v>-140.60005787922427</v>
      </c>
      <c r="C417" s="49">
        <v>181.99975740613297</v>
      </c>
      <c r="D417" s="48">
        <f t="shared" si="44"/>
        <v>2.2285606626239121</v>
      </c>
    </row>
    <row r="418" spans="1:4" x14ac:dyDescent="0.25">
      <c r="A418" s="36">
        <v>1.902408884673819</v>
      </c>
      <c r="B418" s="49">
        <v>-147.39339547791852</v>
      </c>
      <c r="C418" s="49">
        <v>178.18087999926095</v>
      </c>
      <c r="D418" s="48">
        <f t="shared" si="44"/>
        <v>2.2619112313734453</v>
      </c>
    </row>
    <row r="419" spans="1:4" x14ac:dyDescent="0.25">
      <c r="A419" s="36">
        <v>1.919862177193763</v>
      </c>
      <c r="B419" s="49">
        <v>-153.72260413509051</v>
      </c>
      <c r="C419" s="49">
        <v>174.616624025992</v>
      </c>
      <c r="D419" s="48">
        <f t="shared" si="44"/>
        <v>2.2926447124771738</v>
      </c>
    </row>
    <row r="420" spans="1:4" x14ac:dyDescent="0.25">
      <c r="A420" s="36">
        <v>1.9373154697137061</v>
      </c>
      <c r="B420" s="49">
        <v>-159.66423553374625</v>
      </c>
      <c r="C420" s="49">
        <v>171.27192902007485</v>
      </c>
      <c r="D420" s="48">
        <f t="shared" si="44"/>
        <v>2.3211335388419534</v>
      </c>
    </row>
    <row r="421" spans="1:4" x14ac:dyDescent="0.25">
      <c r="A421" s="36">
        <v>1.9547687622336491</v>
      </c>
      <c r="B421" s="49">
        <v>-165.48869226828086</v>
      </c>
      <c r="C421" s="49">
        <v>167.79701765396752</v>
      </c>
      <c r="D421" s="48">
        <f t="shared" si="44"/>
        <v>2.3492686352616499</v>
      </c>
    </row>
    <row r="422" spans="1:4" x14ac:dyDescent="0.25">
      <c r="A422" s="36">
        <v>1.9722220547535922</v>
      </c>
      <c r="B422" s="49">
        <v>-171.13388440808831</v>
      </c>
      <c r="C422" s="49">
        <v>164.33101469948429</v>
      </c>
      <c r="D422" s="48">
        <f t="shared" si="44"/>
        <v>2.3764706425723414</v>
      </c>
    </row>
    <row r="423" spans="1:4" x14ac:dyDescent="0.25">
      <c r="A423" s="36">
        <v>1.9896753472735353</v>
      </c>
      <c r="B423" s="49">
        <v>-176.52030326196021</v>
      </c>
      <c r="C423" s="49">
        <v>161.03998872856633</v>
      </c>
      <c r="D423" s="48">
        <f t="shared" si="44"/>
        <v>2.4020217881118846</v>
      </c>
    </row>
    <row r="424" spans="1:4" x14ac:dyDescent="0.25">
      <c r="A424" s="36">
        <v>2.0071286397934793</v>
      </c>
      <c r="B424" s="49">
        <v>-181.68662100168405</v>
      </c>
      <c r="C424" s="49">
        <v>157.90256781443702</v>
      </c>
      <c r="D424" s="48">
        <f t="shared" si="44"/>
        <v>2.426118029752959</v>
      </c>
    </row>
    <row r="425" spans="1:4" x14ac:dyDescent="0.25">
      <c r="A425" s="36">
        <v>2.0245819323134224</v>
      </c>
      <c r="B425" s="49">
        <v>-186.50368902078486</v>
      </c>
      <c r="C425" s="49">
        <v>154.89254911842056</v>
      </c>
      <c r="D425" s="48">
        <f t="shared" si="44"/>
        <v>2.4485249201498887</v>
      </c>
    </row>
    <row r="426" spans="1:4" x14ac:dyDescent="0.25">
      <c r="A426" s="36">
        <v>2.0420352248333655</v>
      </c>
      <c r="B426" s="49">
        <v>-191.02002966513408</v>
      </c>
      <c r="C426" s="49">
        <v>151.99514594158828</v>
      </c>
      <c r="D426" s="48">
        <f t="shared" si="44"/>
        <v>2.4694775383213767</v>
      </c>
    </row>
    <row r="427" spans="1:4" x14ac:dyDescent="0.25">
      <c r="A427" s="36">
        <v>2.0594885173533086</v>
      </c>
      <c r="B427" s="49">
        <v>-195.38760521680965</v>
      </c>
      <c r="C427" s="49">
        <v>149.20235205717256</v>
      </c>
      <c r="D427" s="48">
        <f t="shared" si="44"/>
        <v>2.4894300620040601</v>
      </c>
    </row>
    <row r="428" spans="1:4" x14ac:dyDescent="0.25">
      <c r="A428" s="36">
        <v>2.0769418098732526</v>
      </c>
      <c r="B428" s="49">
        <v>-199.62773520311526</v>
      </c>
      <c r="C428" s="49">
        <v>146.5016094597276</v>
      </c>
      <c r="D428" s="48">
        <f t="shared" si="44"/>
        <v>2.5084923036312232</v>
      </c>
    </row>
    <row r="429" spans="1:4" x14ac:dyDescent="0.25">
      <c r="A429" s="36">
        <v>2.0943951023931957</v>
      </c>
      <c r="B429" s="49">
        <v>-202.36780276607163</v>
      </c>
      <c r="C429" s="49">
        <v>143.95415430191213</v>
      </c>
      <c r="D429" s="48">
        <f t="shared" si="44"/>
        <v>2.523290384792483</v>
      </c>
    </row>
    <row r="430" spans="1:4" x14ac:dyDescent="0.25">
      <c r="A430" s="36">
        <v>2.1118483949131388</v>
      </c>
      <c r="B430" s="49">
        <v>-206.41033906749396</v>
      </c>
      <c r="C430" s="49">
        <v>141.40336006099042</v>
      </c>
      <c r="D430" s="48">
        <f t="shared" si="44"/>
        <v>2.5409644176674568</v>
      </c>
    </row>
    <row r="431" spans="1:4" x14ac:dyDescent="0.25">
      <c r="A431" s="36">
        <v>2.1293016874330819</v>
      </c>
      <c r="B431" s="49">
        <v>-210.37421291072769</v>
      </c>
      <c r="C431" s="49">
        <v>138.91399847649686</v>
      </c>
      <c r="D431" s="48">
        <f t="shared" si="44"/>
        <v>2.5579977750483418</v>
      </c>
    </row>
    <row r="432" spans="1:4" x14ac:dyDescent="0.25">
      <c r="A432" s="36">
        <v>2.146754979953025</v>
      </c>
      <c r="B432" s="49">
        <v>-214.27248851557479</v>
      </c>
      <c r="C432" s="49">
        <v>136.47766250440725</v>
      </c>
      <c r="D432" s="48">
        <f t="shared" si="44"/>
        <v>2.5744568149301568</v>
      </c>
    </row>
    <row r="433" spans="1:4" x14ac:dyDescent="0.25">
      <c r="A433" s="36">
        <v>2.164208272472969</v>
      </c>
      <c r="B433" s="49">
        <v>-218.1169720996071</v>
      </c>
      <c r="C433" s="49">
        <v>134.0865935636306</v>
      </c>
      <c r="D433" s="48">
        <f t="shared" si="44"/>
        <v>2.5904008137204504</v>
      </c>
    </row>
    <row r="434" spans="1:4" x14ac:dyDescent="0.25">
      <c r="A434" s="36">
        <v>2.1816615649929121</v>
      </c>
      <c r="B434" s="49">
        <v>-221.91843241397621</v>
      </c>
      <c r="C434" s="49">
        <v>131.73356987063752</v>
      </c>
      <c r="D434" s="48">
        <f t="shared" si="44"/>
        <v>2.6058830344032664</v>
      </c>
    </row>
    <row r="435" spans="1:4" x14ac:dyDescent="0.25">
      <c r="A435" s="36">
        <v>2.1991148575128552</v>
      </c>
      <c r="B435" s="49">
        <v>-225.68678534314779</v>
      </c>
      <c r="C435" s="49">
        <v>129.41180944292753</v>
      </c>
      <c r="D435" s="48">
        <f t="shared" si="44"/>
        <v>2.6209516215557325</v>
      </c>
    </row>
    <row r="436" spans="1:4" x14ac:dyDescent="0.25">
      <c r="A436" s="36">
        <v>2.2165681500327983</v>
      </c>
      <c r="B436" s="49">
        <v>-229.431250068179</v>
      </c>
      <c r="C436" s="49">
        <v>127.11488471957513</v>
      </c>
      <c r="D436" s="48">
        <f t="shared" si="44"/>
        <v>2.6356503564639659</v>
      </c>
    </row>
    <row r="437" spans="1:4" x14ac:dyDescent="0.25">
      <c r="A437" s="36">
        <v>2.2340214425527423</v>
      </c>
      <c r="B437" s="49">
        <v>-233.1604827037948</v>
      </c>
      <c r="C437" s="49">
        <v>124.83664630271581</v>
      </c>
      <c r="D437" s="48">
        <f t="shared" si="44"/>
        <v>2.6500192987955073</v>
      </c>
    </row>
    <row r="438" spans="1:4" x14ac:dyDescent="0.25">
      <c r="A438" s="36">
        <v>2.2514747350726854</v>
      </c>
      <c r="B438" s="49">
        <v>-236.88269202907153</v>
      </c>
      <c r="C438" s="49">
        <v>122.57115371287223</v>
      </c>
      <c r="D438" s="48">
        <f t="shared" si="44"/>
        <v>2.6640953359725725</v>
      </c>
    </row>
    <row r="439" spans="1:4" x14ac:dyDescent="0.25">
      <c r="A439" s="36">
        <v>2.2689280275926285</v>
      </c>
      <c r="B439" s="49">
        <v>-240.60574132598956</v>
      </c>
      <c r="C439" s="49">
        <v>120.31261146907211</v>
      </c>
      <c r="D439" s="48">
        <f t="shared" si="44"/>
        <v>2.6779126575036845</v>
      </c>
    </row>
    <row r="440" spans="1:4" x14ac:dyDescent="0.25">
      <c r="A440" s="36">
        <v>2.2863813201125716</v>
      </c>
      <c r="B440" s="49">
        <v>-244.33723878301379</v>
      </c>
      <c r="C440" s="49">
        <v>118.05530875394199</v>
      </c>
      <c r="D440" s="48">
        <f t="shared" si="44"/>
        <v>2.6915031677840298</v>
      </c>
    </row>
    <row r="441" spans="1:4" x14ac:dyDescent="0.25">
      <c r="A441" s="36">
        <v>2.3038346126325147</v>
      </c>
      <c r="B441" s="49">
        <v>-248.08462030024018</v>
      </c>
      <c r="C441" s="49">
        <v>115.79356168532703</v>
      </c>
      <c r="D441" s="48">
        <f t="shared" si="44"/>
        <v>2.7048968496361629</v>
      </c>
    </row>
    <row r="442" spans="1:4" x14ac:dyDescent="0.25">
      <c r="A442" s="36">
        <v>2.3212879051524586</v>
      </c>
      <c r="B442" s="49">
        <v>-251.85522495561281</v>
      </c>
      <c r="C442" s="49">
        <v>113.52165634963647</v>
      </c>
      <c r="D442" s="48">
        <f t="shared" si="44"/>
        <v>2.7181220868209519</v>
      </c>
    </row>
    <row r="443" spans="1:4" x14ac:dyDescent="0.25">
      <c r="A443" s="36">
        <v>2.3387411976724017</v>
      </c>
      <c r="B443" s="49">
        <v>-255.65636682932444</v>
      </c>
      <c r="C443" s="49">
        <v>111.23379193882177</v>
      </c>
      <c r="D443" s="48">
        <f t="shared" si="44"/>
        <v>2.7312059546951821</v>
      </c>
    </row>
    <row r="444" spans="1:4" x14ac:dyDescent="0.25">
      <c r="A444" s="36">
        <v>2.3561944901923448</v>
      </c>
      <c r="B444" s="49">
        <v>-259.49540378684253</v>
      </c>
      <c r="C444" s="49">
        <v>108.92402246984157</v>
      </c>
      <c r="D444" s="48">
        <f t="shared" si="44"/>
        <v>2.7441744851142285</v>
      </c>
    </row>
    <row r="445" spans="1:4" x14ac:dyDescent="0.25">
      <c r="A445" s="36">
        <v>2.3736477827122879</v>
      </c>
      <c r="B445" s="49">
        <v>-263.37980466092068</v>
      </c>
      <c r="C445" s="49">
        <v>106.58619588592684</v>
      </c>
      <c r="D445" s="48">
        <f t="shared" si="44"/>
        <v>2.7570529113798292</v>
      </c>
    </row>
    <row r="446" spans="1:4" x14ac:dyDescent="0.25">
      <c r="A446" s="36">
        <v>2.3911010752322319</v>
      </c>
      <c r="B446" s="49">
        <v>-267.31721739647594</v>
      </c>
      <c r="C446" s="49">
        <v>104.2138894498414</v>
      </c>
      <c r="D446" s="48">
        <f t="shared" si="44"/>
        <v>2.7698658993039382</v>
      </c>
    </row>
    <row r="447" spans="1:4" x14ac:dyDescent="0.25">
      <c r="A447" s="36">
        <v>2.408554367752175</v>
      </c>
      <c r="B447" s="49">
        <v>-271.31553794697834</v>
      </c>
      <c r="C447" s="49">
        <v>101.80033967110822</v>
      </c>
      <c r="D447" s="48">
        <f t="shared" si="44"/>
        <v>2.7826377679397787</v>
      </c>
    </row>
    <row r="448" spans="1:4" x14ac:dyDescent="0.25">
      <c r="A448" s="36">
        <v>2.4260076602721181</v>
      </c>
      <c r="B448" s="49">
        <v>-275.38298195719153</v>
      </c>
      <c r="C448" s="49">
        <v>99.338365353222599</v>
      </c>
      <c r="D448" s="48">
        <f t="shared" si="44"/>
        <v>2.7953927047747591</v>
      </c>
    </row>
    <row r="449" spans="1:4" x14ac:dyDescent="0.25">
      <c r="A449" s="36">
        <v>2.4434609527920612</v>
      </c>
      <c r="B449" s="49">
        <v>-279.52816175015965</v>
      </c>
      <c r="C449" s="49">
        <v>96.820282000966316</v>
      </c>
      <c r="D449" s="48">
        <f t="shared" si="44"/>
        <v>2.8081549805570125</v>
      </c>
    </row>
    <row r="450" spans="1:4" x14ac:dyDescent="0.25">
      <c r="A450" s="36">
        <v>2.4609142453120043</v>
      </c>
      <c r="B450" s="49">
        <v>-283.76016842258554</v>
      </c>
      <c r="C450" s="49">
        <v>94.237805197856062</v>
      </c>
      <c r="D450" s="48">
        <f t="shared" ref="D450:D490" si="45">ATAN2(B450,C450)</f>
        <v>2.8209491664913706</v>
      </c>
    </row>
    <row r="451" spans="1:4" x14ac:dyDescent="0.25">
      <c r="A451" s="36">
        <v>2.4783675378319483</v>
      </c>
      <c r="B451" s="49">
        <v>-287.30554673998779</v>
      </c>
      <c r="C451" s="49">
        <v>91.970460205542125</v>
      </c>
      <c r="D451" s="48">
        <f t="shared" si="45"/>
        <v>2.8317865150973938</v>
      </c>
    </row>
    <row r="452" spans="1:4" x14ac:dyDescent="0.25">
      <c r="A452" s="36">
        <v>2.4958208303518914</v>
      </c>
      <c r="B452" s="49">
        <v>-290.75734640899498</v>
      </c>
      <c r="C452" s="49">
        <v>90.787903174000604</v>
      </c>
      <c r="D452" s="48">
        <f t="shared" si="45"/>
        <v>2.8389389383779067</v>
      </c>
    </row>
    <row r="453" spans="1:4" x14ac:dyDescent="0.25">
      <c r="A453" s="36">
        <v>2.5132741228718345</v>
      </c>
      <c r="B453" s="49">
        <v>-294.17412919994626</v>
      </c>
      <c r="C453" s="49">
        <v>88.5452784171421</v>
      </c>
      <c r="D453" s="48">
        <f t="shared" si="45"/>
        <v>2.8492222167057029</v>
      </c>
    </row>
    <row r="454" spans="1:4" x14ac:dyDescent="0.25">
      <c r="A454" s="36">
        <v>2.5307274153917776</v>
      </c>
      <c r="B454" s="49">
        <v>-297.68158716982026</v>
      </c>
      <c r="C454" s="49">
        <v>86.226724850589179</v>
      </c>
      <c r="D454" s="48">
        <f t="shared" si="45"/>
        <v>2.8596480279708349</v>
      </c>
    </row>
    <row r="455" spans="1:4" x14ac:dyDescent="0.25">
      <c r="A455" s="36">
        <v>2.5481807079117216</v>
      </c>
      <c r="B455" s="49">
        <v>-301.28952974597991</v>
      </c>
      <c r="C455" s="49">
        <v>83.822050733875287</v>
      </c>
      <c r="D455" s="48">
        <f t="shared" si="45"/>
        <v>2.8702436918240939</v>
      </c>
    </row>
    <row r="456" spans="1:4" x14ac:dyDescent="0.25">
      <c r="A456" s="36">
        <v>2.5656340004316647</v>
      </c>
      <c r="B456" s="49">
        <v>-304.94443962283776</v>
      </c>
      <c r="C456" s="49">
        <v>81.368279054567722</v>
      </c>
      <c r="D456" s="48">
        <f t="shared" si="45"/>
        <v>2.8808379185344775</v>
      </c>
    </row>
    <row r="457" spans="1:4" x14ac:dyDescent="0.25">
      <c r="A457" s="36">
        <v>2.5830872929516078</v>
      </c>
      <c r="B457" s="49">
        <v>-308.5701754678031</v>
      </c>
      <c r="C457" s="49">
        <v>78.922437380241291</v>
      </c>
      <c r="D457" s="48">
        <f t="shared" si="45"/>
        <v>2.8911925106580667</v>
      </c>
    </row>
    <row r="458" spans="1:4" x14ac:dyDescent="0.25">
      <c r="A458" s="36">
        <v>2.6005405854715509</v>
      </c>
      <c r="B458" s="49">
        <v>-312.17237202738028</v>
      </c>
      <c r="C458" s="49">
        <v>76.48177875761607</v>
      </c>
      <c r="D458" s="48">
        <f t="shared" si="45"/>
        <v>2.9013267479133078</v>
      </c>
    </row>
    <row r="459" spans="1:4" x14ac:dyDescent="0.25">
      <c r="A459" s="36">
        <v>2.617993877991494</v>
      </c>
      <c r="B459" s="49">
        <v>-315.75681280111797</v>
      </c>
      <c r="C459" s="49">
        <v>74.043322733457714</v>
      </c>
      <c r="D459" s="48">
        <f t="shared" si="45"/>
        <v>2.9112595312894505</v>
      </c>
    </row>
    <row r="460" spans="1:4" x14ac:dyDescent="0.25">
      <c r="A460" s="36">
        <v>2.635447170511438</v>
      </c>
      <c r="B460" s="49">
        <v>-319.3290968274967</v>
      </c>
      <c r="C460" s="49">
        <v>71.604116258746529</v>
      </c>
      <c r="D460" s="48">
        <f t="shared" si="45"/>
        <v>2.9210083879267374</v>
      </c>
    </row>
    <row r="461" spans="1:4" x14ac:dyDescent="0.25">
      <c r="A461" s="36">
        <v>2.6529004630313811</v>
      </c>
      <c r="B461" s="49">
        <v>-322.89467497292054</v>
      </c>
      <c r="C461" s="49">
        <v>69.16121891731953</v>
      </c>
      <c r="D461" s="48">
        <f t="shared" si="45"/>
        <v>2.9305896247775336</v>
      </c>
    </row>
    <row r="462" spans="1:4" x14ac:dyDescent="0.25">
      <c r="A462" s="36">
        <v>2.6703537555513241</v>
      </c>
      <c r="B462" s="49">
        <v>-326.45888399141955</v>
      </c>
      <c r="C462" s="49">
        <v>66.711688402127209</v>
      </c>
      <c r="D462" s="48">
        <f t="shared" si="45"/>
        <v>2.9400184644444791</v>
      </c>
    </row>
    <row r="463" spans="1:4" x14ac:dyDescent="0.25">
      <c r="A463" s="36">
        <v>2.6878070480712672</v>
      </c>
      <c r="B463" s="49">
        <v>-330.0269788068195</v>
      </c>
      <c r="C463" s="49">
        <v>64.252566086588814</v>
      </c>
      <c r="D463" s="48">
        <f t="shared" si="45"/>
        <v>2.9493091656794799</v>
      </c>
    </row>
    <row r="464" spans="1:4" x14ac:dyDescent="0.25">
      <c r="A464" s="36">
        <v>2.7052603405912112</v>
      </c>
      <c r="B464" s="49">
        <v>-332.18966668556124</v>
      </c>
      <c r="C464" s="49">
        <v>62.616356507001598</v>
      </c>
      <c r="D464" s="48">
        <f t="shared" si="45"/>
        <v>2.9552828983522019</v>
      </c>
    </row>
    <row r="465" spans="1:4" x14ac:dyDescent="0.25">
      <c r="A465" s="36">
        <v>2.7227136331111543</v>
      </c>
      <c r="B465" s="49">
        <v>-335.75298638161422</v>
      </c>
      <c r="C465" s="49">
        <v>60.142701046318876</v>
      </c>
      <c r="D465" s="48">
        <f t="shared" si="45"/>
        <v>2.9643446503065931</v>
      </c>
    </row>
    <row r="466" spans="1:4" x14ac:dyDescent="0.25">
      <c r="A466" s="36">
        <v>2.7401669256310974</v>
      </c>
      <c r="B466" s="49">
        <v>-339.33524485121092</v>
      </c>
      <c r="C466" s="49">
        <v>57.65076496926131</v>
      </c>
      <c r="D466" s="48">
        <f t="shared" si="45"/>
        <v>2.9733062573500337</v>
      </c>
    </row>
    <row r="467" spans="1:4" x14ac:dyDescent="0.25">
      <c r="A467" s="36">
        <v>2.7576202181510405</v>
      </c>
      <c r="B467" s="49">
        <v>-342.94163809579106</v>
      </c>
      <c r="C467" s="49">
        <v>55.137399291422568</v>
      </c>
      <c r="D467" s="48">
        <f t="shared" si="45"/>
        <v>2.9821791062132732</v>
      </c>
    </row>
    <row r="468" spans="1:4" x14ac:dyDescent="0.25">
      <c r="A468" s="36">
        <v>2.7750735106709836</v>
      </c>
      <c r="B468" s="49">
        <v>-346.57742668830275</v>
      </c>
      <c r="C468" s="49">
        <v>52.599364333530509</v>
      </c>
      <c r="D468" s="48">
        <f t="shared" si="45"/>
        <v>2.9909740566358685</v>
      </c>
    </row>
    <row r="469" spans="1:4" x14ac:dyDescent="0.25">
      <c r="A469" s="36">
        <v>2.7925268031909276</v>
      </c>
      <c r="B469" s="49">
        <v>-350.2479650475687</v>
      </c>
      <c r="C469" s="49">
        <v>50.033312790317801</v>
      </c>
      <c r="D469" s="48">
        <f t="shared" si="45"/>
        <v>2.9997015050125011</v>
      </c>
    </row>
    <row r="470" spans="1:4" x14ac:dyDescent="0.25">
      <c r="A470" s="36">
        <v>2.8099800957108707</v>
      </c>
      <c r="B470" s="49">
        <v>-353.95873140795737</v>
      </c>
      <c r="C470" s="49">
        <v>47.435771781423519</v>
      </c>
      <c r="D470" s="48">
        <f t="shared" si="45"/>
        <v>3.0083714424884027</v>
      </c>
    </row>
    <row r="471" spans="1:4" x14ac:dyDescent="0.25">
      <c r="A471" s="36">
        <v>2.8274333882308138</v>
      </c>
      <c r="B471" s="49">
        <v>-357.7153588256316</v>
      </c>
      <c r="C471" s="49">
        <v>44.803123682656995</v>
      </c>
      <c r="D471" s="48">
        <f t="shared" si="45"/>
        <v>3.0169935082517023</v>
      </c>
    </row>
    <row r="472" spans="1:4" x14ac:dyDescent="0.25">
      <c r="A472" s="36">
        <v>2.8448866807507569</v>
      </c>
      <c r="B472" s="49">
        <v>-361.52366757903445</v>
      </c>
      <c r="C472" s="49">
        <v>42.131585515485803</v>
      </c>
      <c r="D472" s="48">
        <f t="shared" si="45"/>
        <v>3.0255770386774197</v>
      </c>
    </row>
    <row r="473" spans="1:4" x14ac:dyDescent="0.25">
      <c r="A473" s="36">
        <v>2.8623399732707009</v>
      </c>
      <c r="B473" s="49">
        <v>-364.92034514077875</v>
      </c>
      <c r="C473" s="49">
        <v>40.086969160018825</v>
      </c>
      <c r="D473" s="48">
        <f t="shared" si="45"/>
        <v>3.0321800653749795</v>
      </c>
    </row>
    <row r="474" spans="1:4" x14ac:dyDescent="0.25">
      <c r="A474" s="36">
        <v>2.879793265790644</v>
      </c>
      <c r="B474" s="49">
        <v>-366.47486178179673</v>
      </c>
      <c r="C474" s="49">
        <v>37.818709671373988</v>
      </c>
      <c r="D474" s="48">
        <f t="shared" si="45"/>
        <v>3.0387607376571175</v>
      </c>
    </row>
    <row r="475" spans="1:4" x14ac:dyDescent="0.25">
      <c r="A475" s="36">
        <v>2.8972465583105871</v>
      </c>
      <c r="B475" s="49">
        <v>-367.3675772181661</v>
      </c>
      <c r="C475" s="49">
        <v>35.457580353045238</v>
      </c>
      <c r="D475" s="48">
        <f t="shared" si="45"/>
        <v>3.045372710475859</v>
      </c>
    </row>
    <row r="476" spans="1:4" x14ac:dyDescent="0.25">
      <c r="A476" s="36">
        <v>2.9146998508305302</v>
      </c>
      <c r="B476" s="49">
        <v>-368.24168168013551</v>
      </c>
      <c r="C476" s="49">
        <v>33.087416521010844</v>
      </c>
      <c r="D476" s="48">
        <f t="shared" si="45"/>
        <v>3.0519808478492823</v>
      </c>
    </row>
    <row r="477" spans="1:4" x14ac:dyDescent="0.25">
      <c r="A477" s="36">
        <v>2.9321531433504733</v>
      </c>
      <c r="B477" s="49">
        <v>-369.09921784903776</v>
      </c>
      <c r="C477" s="49">
        <v>30.705481021765564</v>
      </c>
      <c r="D477" s="48">
        <f t="shared" si="45"/>
        <v>3.0585934531680201</v>
      </c>
    </row>
    <row r="478" spans="1:4" x14ac:dyDescent="0.25">
      <c r="A478" s="36">
        <v>2.9496064358704173</v>
      </c>
      <c r="B478" s="49">
        <v>-369.94221752952973</v>
      </c>
      <c r="C478" s="49">
        <v>28.308934857996213</v>
      </c>
      <c r="D478" s="48">
        <f t="shared" si="45"/>
        <v>3.0652189103873391</v>
      </c>
    </row>
    <row r="479" spans="1:4" x14ac:dyDescent="0.25">
      <c r="A479" s="36">
        <v>2.9670597283903604</v>
      </c>
      <c r="B479" s="49">
        <v>-370.77271852826919</v>
      </c>
      <c r="C479" s="49">
        <v>25.894818446490227</v>
      </c>
      <c r="D479" s="48">
        <f t="shared" si="45"/>
        <v>3.0718657345628344</v>
      </c>
    </row>
    <row r="480" spans="1:4" x14ac:dyDescent="0.25">
      <c r="A480" s="36">
        <v>2.9845130209103035</v>
      </c>
      <c r="B480" s="49">
        <v>-371.59278024018175</v>
      </c>
      <c r="C480" s="49">
        <v>23.460031024103639</v>
      </c>
      <c r="D480" s="48">
        <f t="shared" si="45"/>
        <v>3.0785426238470794</v>
      </c>
    </row>
    <row r="481" spans="1:4" x14ac:dyDescent="0.25">
      <c r="A481" s="36">
        <v>3.0019663134302466</v>
      </c>
      <c r="B481" s="49">
        <v>-372.40450061630008</v>
      </c>
      <c r="C481" s="49">
        <v>21.001307728417917</v>
      </c>
      <c r="D481" s="48">
        <f t="shared" si="45"/>
        <v>3.0852585146034168</v>
      </c>
    </row>
    <row r="482" spans="1:4" x14ac:dyDescent="0.25">
      <c r="A482" s="36">
        <v>3.0194196059501905</v>
      </c>
      <c r="B482" s="49">
        <v>-373.21003449170911</v>
      </c>
      <c r="C482" s="49">
        <v>18.515193933313604</v>
      </c>
      <c r="D482" s="48">
        <f t="shared" si="45"/>
        <v>3.092022640338127</v>
      </c>
    </row>
    <row r="483" spans="1:4" x14ac:dyDescent="0.25">
      <c r="A483" s="36">
        <v>3.0368728984701336</v>
      </c>
      <c r="B483" s="49">
        <v>-374.01161362396556</v>
      </c>
      <c r="C483" s="49">
        <v>15.998016324615788</v>
      </c>
      <c r="D483" s="48">
        <f t="shared" si="45"/>
        <v>3.0988445953782837</v>
      </c>
    </row>
    <row r="484" spans="1:4" x14ac:dyDescent="0.25">
      <c r="A484" s="36">
        <v>3.0543261909900767</v>
      </c>
      <c r="B484" s="49">
        <v>-374.81156880951181</v>
      </c>
      <c r="C484" s="49">
        <v>13.445850101993242</v>
      </c>
      <c r="D484" s="48">
        <f t="shared" si="45"/>
        <v>3.105734404346471</v>
      </c>
    </row>
    <row r="485" spans="1:4" x14ac:dyDescent="0.25">
      <c r="A485" s="36">
        <v>3.0717794835100198</v>
      </c>
      <c r="B485" s="49">
        <v>-375.61235469045027</v>
      </c>
      <c r="C485" s="49">
        <v>10.854481565430259</v>
      </c>
      <c r="D485" s="48">
        <f t="shared" si="45"/>
        <v>3.1127025986768388</v>
      </c>
    </row>
    <row r="486" spans="1:4" x14ac:dyDescent="0.25">
      <c r="A486" s="36">
        <v>3.0892327760299629</v>
      </c>
      <c r="B486" s="49">
        <v>-376.41657769376206</v>
      </c>
      <c r="C486" s="49">
        <v>8.219365197991122</v>
      </c>
      <c r="D486" s="48">
        <f t="shared" si="45"/>
        <v>3.119760301565524</v>
      </c>
    </row>
    <row r="487" spans="1:4" x14ac:dyDescent="0.25">
      <c r="A487" s="36">
        <v>3.1066860685499069</v>
      </c>
      <c r="B487" s="49">
        <v>-377.2270278765356</v>
      </c>
      <c r="C487" s="49">
        <v>5.5355741585416336</v>
      </c>
      <c r="D487" s="48">
        <f t="shared" si="45"/>
        <v>3.1269193230438366</v>
      </c>
    </row>
    <row r="488" spans="1:4" x14ac:dyDescent="0.25">
      <c r="A488" s="36">
        <v>3.12413936106985</v>
      </c>
      <c r="B488" s="49">
        <v>-378.0467155906137</v>
      </c>
      <c r="C488" s="49">
        <v>2.7977428591448339</v>
      </c>
      <c r="D488" s="48">
        <f t="shared" si="45"/>
        <v>3.1341922671557492</v>
      </c>
    </row>
    <row r="489" spans="1:4" x14ac:dyDescent="0.25">
      <c r="A489" s="36">
        <v>3.1415926535897931</v>
      </c>
      <c r="B489" s="49">
        <v>-378.87891389934822</v>
      </c>
      <c r="C489" s="49">
        <v>4.9556522013672235E-14</v>
      </c>
      <c r="D489" s="48">
        <f t="shared" si="45"/>
        <v>3.1415926535897931</v>
      </c>
    </row>
    <row r="490" spans="1:4" x14ac:dyDescent="0.25">
      <c r="A490" s="37"/>
      <c r="B490" s="49">
        <f>B129</f>
        <v>-378.87891389934816</v>
      </c>
      <c r="C490" s="49">
        <f>C129</f>
        <v>-9.17400986209147E-15</v>
      </c>
      <c r="D490" s="48">
        <f t="shared" si="45"/>
        <v>-3.1415926535897931</v>
      </c>
    </row>
  </sheetData>
  <dataValidations count="1">
    <dataValidation type="list" allowBlank="1" showInputMessage="1" showErrorMessage="1" sqref="S5" xr:uid="{B4F356A9-89A3-48E9-9DEB-FAC7826A98CE}">
      <formula1>"0,3,4"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nteraction_button" altText="Attempt to Find_x000a_Interaction point for Goal_x000a_(Form Button)">
                <anchor moveWithCells="1" sizeWithCells="1">
                  <from>
                    <xdr:col>0</xdr:col>
                    <xdr:colOff>771525</xdr:colOff>
                    <xdr:row>121</xdr:row>
                    <xdr:rowOff>66675</xdr:rowOff>
                  </from>
                  <to>
                    <xdr:col>2</xdr:col>
                    <xdr:colOff>885825</xdr:colOff>
                    <xdr:row>126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x_my">
                <anchor moveWithCells="1" sizeWithCells="1">
                  <from>
                    <xdr:col>3</xdr:col>
                    <xdr:colOff>76200</xdr:colOff>
                    <xdr:row>121</xdr:row>
                    <xdr:rowOff>47625</xdr:rowOff>
                  </from>
                  <to>
                    <xdr:col>5</xdr:col>
                    <xdr:colOff>1152525</xdr:colOff>
                    <xdr:row>126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p_m_curve">
                <anchor moveWithCells="1" sizeWithCells="1">
                  <from>
                    <xdr:col>9</xdr:col>
                    <xdr:colOff>542925</xdr:colOff>
                    <xdr:row>121</xdr:row>
                    <xdr:rowOff>152400</xdr:rowOff>
                  </from>
                  <to>
                    <xdr:col>13</xdr:col>
                    <xdr:colOff>342900</xdr:colOff>
                    <xdr:row>125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fill_in_bar_table">
                <anchor moveWithCells="1" sizeWithCells="1">
                  <from>
                    <xdr:col>18</xdr:col>
                    <xdr:colOff>180975</xdr:colOff>
                    <xdr:row>20</xdr:row>
                    <xdr:rowOff>104775</xdr:rowOff>
                  </from>
                  <to>
                    <xdr:col>19</xdr:col>
                    <xdr:colOff>828675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bisection_method_for_na_3dvector">
                <anchor moveWithCells="1" sizeWithCells="1">
                  <from>
                    <xdr:col>14</xdr:col>
                    <xdr:colOff>447675</xdr:colOff>
                    <xdr:row>122</xdr:row>
                    <xdr:rowOff>66675</xdr:rowOff>
                  </from>
                  <to>
                    <xdr:col>18</xdr:col>
                    <xdr:colOff>266700</xdr:colOff>
                    <xdr:row>125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mx_my_surface">
                <anchor moveWithCells="1" sizeWithCells="1">
                  <from>
                    <xdr:col>19</xdr:col>
                    <xdr:colOff>38100</xdr:colOff>
                    <xdr:row>122</xdr:row>
                    <xdr:rowOff>76200</xdr:rowOff>
                  </from>
                  <to>
                    <xdr:col>21</xdr:col>
                    <xdr:colOff>266700</xdr:colOff>
                    <xdr:row>125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438B661-79DD-4D10-A44E-D95D17099999}">
          <x14:formula1>
            <xm:f>Reference!$A$1:$A$12</xm:f>
          </x14:formula1>
          <xm:sqref>B13:B24 S3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7F45B-A07A-45A2-96E6-A66E79875037}">
  <sheetPr codeName="Sheet3"/>
  <dimension ref="A1:AD1866"/>
  <sheetViews>
    <sheetView tabSelected="1" topLeftCell="C1" workbookViewId="0">
      <selection activeCell="P5" sqref="P5"/>
    </sheetView>
  </sheetViews>
  <sheetFormatPr defaultColWidth="8.85546875" defaultRowHeight="15" x14ac:dyDescent="0.25"/>
  <sheetData>
    <row r="1" spans="1:27" x14ac:dyDescent="0.25">
      <c r="A1" t="s">
        <v>140</v>
      </c>
      <c r="I1" t="s">
        <v>141</v>
      </c>
      <c r="J1" t="s">
        <v>142</v>
      </c>
      <c r="K1" t="s">
        <v>143</v>
      </c>
      <c r="L1" t="s">
        <v>144</v>
      </c>
      <c r="M1" t="s">
        <v>145</v>
      </c>
      <c r="N1" t="s">
        <v>145</v>
      </c>
    </row>
    <row r="2" spans="1:27" x14ac:dyDescent="0.25">
      <c r="A2" t="s">
        <v>0</v>
      </c>
      <c r="B2" t="s">
        <v>1</v>
      </c>
      <c r="C2" t="s">
        <v>146</v>
      </c>
      <c r="E2" t="s">
        <v>37</v>
      </c>
      <c r="F2" t="s">
        <v>38</v>
      </c>
      <c r="I2" s="1">
        <f>COS(J6)*COS(K6)</f>
        <v>-0.93358042649720174</v>
      </c>
      <c r="J2" s="1">
        <f>(COS(K6)*-1*SIN(J6)*-1*SIN(I6))+(SIN(K6)*COS(I6))</f>
        <v>0.25340440728340041</v>
      </c>
      <c r="K2" s="1">
        <f>-1*SIN(K6)*COS(J6)</f>
        <v>0.35836794954530027</v>
      </c>
      <c r="L2" s="1">
        <f>(-1*SIN(K6)*-1*SIN(J6)*-1*SIN(I6))+(COS(K6)*COS(I6))</f>
        <v>0.66014105035920057</v>
      </c>
      <c r="M2" s="1">
        <f>SIN(J6)</f>
        <v>1.22514845490862E-16</v>
      </c>
      <c r="N2" s="1">
        <f>COS(J6)*-1*SIN(I6)</f>
        <v>0.70710678118654746</v>
      </c>
      <c r="R2">
        <f>MAX(A19:C1866)</f>
        <v>911.4248</v>
      </c>
      <c r="S2" cm="1">
        <f t="array" ref="S2">MAX(ABS(R2:R3))</f>
        <v>911.4248</v>
      </c>
      <c r="T2">
        <f>ROUNDUP(S2,0)+30</f>
        <v>942</v>
      </c>
      <c r="U2">
        <f>T2</f>
        <v>942</v>
      </c>
      <c r="AA2" s="79" t="s">
        <v>147</v>
      </c>
    </row>
    <row r="3" spans="1:27" x14ac:dyDescent="0.25">
      <c r="A3">
        <f>MIN(A19:A1866)-100</f>
        <v>-519.50371889847406</v>
      </c>
      <c r="B3">
        <v>0</v>
      </c>
      <c r="C3">
        <v>0</v>
      </c>
      <c r="E3">
        <f>($I$2*A3)+($K$2*B3)+($M$2*C3)</f>
        <v>484.99850345611981</v>
      </c>
      <c r="F3">
        <f>($J$2*A3)+($L$2*B3)+($N$2*C3)</f>
        <v>-131.64453196899009</v>
      </c>
      <c r="R3">
        <f>MIN(A19:C1866)</f>
        <v>-425.6</v>
      </c>
      <c r="T3">
        <f>T2*-1</f>
        <v>-942</v>
      </c>
      <c r="U3">
        <f>U2*-1</f>
        <v>-942</v>
      </c>
    </row>
    <row r="4" spans="1:27" x14ac:dyDescent="0.25">
      <c r="A4">
        <f>MAX(A19:A1866)+100</f>
        <v>519.50371889847406</v>
      </c>
      <c r="B4">
        <v>0</v>
      </c>
      <c r="C4">
        <v>0</v>
      </c>
      <c r="E4">
        <f>($I$2*A4)+($K$2*B4)+($M$2*C4)</f>
        <v>-484.99850345611981</v>
      </c>
      <c r="F4">
        <f>($J$2*A4)+($L$2*B4)+($N$2*C4)</f>
        <v>131.64453196899009</v>
      </c>
      <c r="I4" s="79" t="s">
        <v>147</v>
      </c>
      <c r="J4" s="79" t="s">
        <v>148</v>
      </c>
      <c r="K4" s="79" t="s">
        <v>149</v>
      </c>
      <c r="AA4" s="79" t="s">
        <v>148</v>
      </c>
    </row>
    <row r="5" spans="1:27" x14ac:dyDescent="0.25">
      <c r="I5" s="55">
        <v>45</v>
      </c>
      <c r="J5" s="55">
        <v>180</v>
      </c>
      <c r="K5" s="55">
        <v>21</v>
      </c>
      <c r="L5" t="s">
        <v>150</v>
      </c>
      <c r="M5" s="67" t="s">
        <v>154</v>
      </c>
      <c r="N5" s="67"/>
      <c r="O5" s="67"/>
    </row>
    <row r="6" spans="1:27" x14ac:dyDescent="0.25">
      <c r="A6" t="s">
        <v>151</v>
      </c>
      <c r="I6" s="1">
        <f>RADIANS(I5)</f>
        <v>0.78539816339744828</v>
      </c>
      <c r="J6" s="1">
        <f t="shared" ref="J6:K6" si="0">RADIANS(J5)</f>
        <v>3.1415926535897931</v>
      </c>
      <c r="K6" s="1">
        <f t="shared" si="0"/>
        <v>0.36651914291880922</v>
      </c>
      <c r="L6" t="s">
        <v>136</v>
      </c>
      <c r="AA6" s="79" t="s">
        <v>149</v>
      </c>
    </row>
    <row r="7" spans="1:27" x14ac:dyDescent="0.25">
      <c r="A7" t="s">
        <v>0</v>
      </c>
      <c r="B7" t="s">
        <v>1</v>
      </c>
      <c r="C7" t="s">
        <v>146</v>
      </c>
      <c r="E7" t="s">
        <v>37</v>
      </c>
      <c r="F7" t="s">
        <v>38</v>
      </c>
    </row>
    <row r="8" spans="1:27" x14ac:dyDescent="0.25">
      <c r="A8">
        <v>0</v>
      </c>
      <c r="B8">
        <f>MIN(B19:B1866)-100</f>
        <v>-348.50527645781335</v>
      </c>
      <c r="C8">
        <v>0</v>
      </c>
      <c r="E8">
        <f>($I$2*A8)+($K$2*B8)+($M$2*C8)</f>
        <v>-124.89312132990457</v>
      </c>
      <c r="F8">
        <f>($J$2*A8)+($L$2*B8)+($N$2*C8)</f>
        <v>-230.06263925658448</v>
      </c>
    </row>
    <row r="9" spans="1:27" x14ac:dyDescent="0.25">
      <c r="A9">
        <v>0</v>
      </c>
      <c r="B9">
        <f>MAX(B19:B1866)+100</f>
        <v>348.50527645781324</v>
      </c>
      <c r="C9">
        <v>0</v>
      </c>
      <c r="E9">
        <f>($I$2*A9)+($K$2*B9)+($M$2*C9)</f>
        <v>124.89312132990453</v>
      </c>
      <c r="F9">
        <f>($J$2*A9)+($L$2*B9)+($N$2*C9)</f>
        <v>230.06263925658439</v>
      </c>
    </row>
    <row r="11" spans="1:27" x14ac:dyDescent="0.25">
      <c r="A11" t="s">
        <v>152</v>
      </c>
    </row>
    <row r="12" spans="1:27" x14ac:dyDescent="0.25">
      <c r="A12" t="s">
        <v>0</v>
      </c>
      <c r="B12" t="s">
        <v>1</v>
      </c>
      <c r="C12" t="s">
        <v>146</v>
      </c>
      <c r="E12" t="s">
        <v>37</v>
      </c>
      <c r="F12" t="s">
        <v>38</v>
      </c>
    </row>
    <row r="13" spans="1:27" x14ac:dyDescent="0.25">
      <c r="A13">
        <v>0</v>
      </c>
      <c r="B13">
        <v>0</v>
      </c>
      <c r="C13">
        <f>MIN(C19:C1866)-100</f>
        <v>-525.6</v>
      </c>
      <c r="E13">
        <f>($I$2*A13)+($K$2*B13)+($M$2*C13)</f>
        <v>-6.4393802789997068E-14</v>
      </c>
      <c r="F13">
        <f>($J$2*A13)+($L$2*B13)+($N$2*C13)</f>
        <v>-371.65532419164936</v>
      </c>
    </row>
    <row r="14" spans="1:27" x14ac:dyDescent="0.25">
      <c r="A14">
        <v>0</v>
      </c>
      <c r="B14">
        <v>0</v>
      </c>
      <c r="C14">
        <f>MAX(C19:C1866)+100</f>
        <v>1011.4248</v>
      </c>
      <c r="E14">
        <f>($I$2*A14)+($K$2*B14)+($M$2*C14)</f>
        <v>1.23914553097626E-13</v>
      </c>
      <c r="F14">
        <f>($J$2*A14)+($L$2*B14)+($N$2*C14)</f>
        <v>715.18533474024753</v>
      </c>
    </row>
    <row r="17" spans="1:30" x14ac:dyDescent="0.25">
      <c r="A17" t="s">
        <v>153</v>
      </c>
      <c r="Y17" t="s">
        <v>158</v>
      </c>
    </row>
    <row r="18" spans="1:30" x14ac:dyDescent="0.25">
      <c r="A18" t="s">
        <v>0</v>
      </c>
      <c r="B18" t="s">
        <v>1</v>
      </c>
      <c r="C18" t="s">
        <v>146</v>
      </c>
      <c r="E18" t="s">
        <v>37</v>
      </c>
      <c r="F18" t="s">
        <v>38</v>
      </c>
      <c r="Y18" t="s">
        <v>0</v>
      </c>
      <c r="Z18" t="s">
        <v>1</v>
      </c>
      <c r="AA18" t="s">
        <v>146</v>
      </c>
      <c r="AC18" t="s">
        <v>37</v>
      </c>
      <c r="AD18" t="s">
        <v>38</v>
      </c>
    </row>
    <row r="19" spans="1:30" x14ac:dyDescent="0.25">
      <c r="A19">
        <v>-0.99920295284579608</v>
      </c>
      <c r="B19">
        <v>-2.5361483285821263E-14</v>
      </c>
      <c r="C19">
        <v>-425.6</v>
      </c>
      <c r="E19">
        <f>($I$2*A19)+($K$2*B19)+($M$2*C19)</f>
        <v>0.93283631887498042</v>
      </c>
      <c r="F19">
        <f>($J$2*A19)+($L$2*B19)+($N$2*C19)</f>
        <v>-301.19784850501634</v>
      </c>
      <c r="H19">
        <f>'Cross Section Analysis'!B119</f>
        <v>45</v>
      </c>
      <c r="I19">
        <f>'Cross Section Analysis'!B120</f>
        <v>45</v>
      </c>
      <c r="J19">
        <f>'Cross Section Analysis'!B118</f>
        <v>100</v>
      </c>
      <c r="L19">
        <f>($I$2*H19)+($K$2*I19)+($M$2*J19)</f>
        <v>-25.88456146283556</v>
      </c>
      <c r="M19">
        <f>($J$2*H19)+($L$2*I19)+($N$2*J19)</f>
        <v>111.82022371257179</v>
      </c>
      <c r="Y19">
        <v>0.12036397927261096</v>
      </c>
      <c r="Z19">
        <v>0.12036417563688558</v>
      </c>
      <c r="AA19">
        <v>-426.41937976036593</v>
      </c>
      <c r="AC19">
        <f>($I$2*Y19)+($K$2*Z19)+($M$2*AA19)</f>
        <v>-6.9234792282575647E-2</v>
      </c>
      <c r="AD19">
        <f>($J$2*Y19)+($L$2*Z19)+($N$2*AA19)</f>
        <v>-301.41407696175997</v>
      </c>
    </row>
    <row r="20" spans="1:30" x14ac:dyDescent="0.25">
      <c r="A20">
        <v>-0.99335739232173226</v>
      </c>
      <c r="B20">
        <v>-0.59074313064215589</v>
      </c>
      <c r="C20">
        <v>-425.6</v>
      </c>
      <c r="E20">
        <f t="shared" ref="E20:E83" si="1">($I$2*A20)+($K$2*B20)+($M$2*C20)</f>
        <v>0.71567561355161791</v>
      </c>
      <c r="F20">
        <f t="shared" ref="F20:F83" si="2">($J$2*A20)+($L$2*B20)+($N$2*C20)</f>
        <v>-301.58634100497108</v>
      </c>
      <c r="H20" s="6">
        <f ca="1">'Cross Section Analysis'!J114</f>
        <v>160.07158769285672</v>
      </c>
      <c r="I20" s="6">
        <f ca="1">'Cross Section Analysis'!J115</f>
        <v>160.07167299919249</v>
      </c>
      <c r="J20">
        <f ca="1">'Cross Section Analysis'!J116</f>
        <v>355.71358789794147</v>
      </c>
      <c r="L20">
        <f ca="1">($I$2*H20)+($K$2*I20)+($M$2*J20)</f>
        <v>-92.075143875374934</v>
      </c>
      <c r="M20">
        <f ca="1">($J$2*H20)+($L$2*I20)+($N$2*J20)</f>
        <v>397.76021831149404</v>
      </c>
      <c r="Y20">
        <v>6.0650677605557739</v>
      </c>
      <c r="Z20">
        <v>6.0650701756090379</v>
      </c>
      <c r="AA20">
        <v>-417.31433429619966</v>
      </c>
      <c r="AC20">
        <f t="shared" ref="AC20:AC38" si="3">($I$2*Y20)+($K$2*Z20)+($M$2*AA20)</f>
        <v>-3.4887017839527741</v>
      </c>
      <c r="AD20">
        <f t="shared" ref="AD20:AD38" si="4">($J$2*Y20)+($L$2*Z20)+($N$2*AA20)</f>
        <v>-289.54507896996648</v>
      </c>
    </row>
    <row r="21" spans="1:30" x14ac:dyDescent="0.25">
      <c r="A21">
        <v>-0.99056274292103352</v>
      </c>
      <c r="B21">
        <v>-0.61318221984661447</v>
      </c>
      <c r="C21">
        <v>-425.6</v>
      </c>
      <c r="E21">
        <f t="shared" si="1"/>
        <v>0.70502513318433757</v>
      </c>
      <c r="F21">
        <f t="shared" si="2"/>
        <v>-301.60044579241264</v>
      </c>
      <c r="Y21">
        <v>12.238158737925552</v>
      </c>
      <c r="Z21">
        <v>12.238162811481232</v>
      </c>
      <c r="AA21">
        <v>-407.47436472345765</v>
      </c>
      <c r="AC21">
        <f t="shared" si="3"/>
        <v>-7.0395401411409662</v>
      </c>
      <c r="AD21">
        <f t="shared" si="4"/>
        <v>-276.94776944157508</v>
      </c>
    </row>
    <row r="22" spans="1:30" x14ac:dyDescent="0.25">
      <c r="A22">
        <v>-0.98837882054583892</v>
      </c>
      <c r="B22">
        <v>-0.62328516378705723</v>
      </c>
      <c r="C22">
        <v>-425.6</v>
      </c>
      <c r="E22">
        <f t="shared" si="1"/>
        <v>0.69936569469755905</v>
      </c>
      <c r="F22">
        <f t="shared" si="2"/>
        <v>-301.60656174488219</v>
      </c>
      <c r="Y22">
        <v>18.63316589632155</v>
      </c>
      <c r="Z22">
        <v>18.63316177915554</v>
      </c>
      <c r="AA22">
        <v>-396.85868803020355</v>
      </c>
      <c r="AC22">
        <f t="shared" si="3"/>
        <v>-10.718030984139206</v>
      </c>
      <c r="AD22">
        <f t="shared" si="4"/>
        <v>-263.59922813077816</v>
      </c>
    </row>
    <row r="23" spans="1:30" x14ac:dyDescent="0.25">
      <c r="A23">
        <v>-0.98645622718461679</v>
      </c>
      <c r="B23">
        <v>-0.62944584680158711</v>
      </c>
      <c r="C23">
        <v>-425.6</v>
      </c>
      <c r="E23">
        <f t="shared" si="1"/>
        <v>0.69536300782769289</v>
      </c>
      <c r="F23">
        <f t="shared" si="2"/>
        <v>-301.61014147100718</v>
      </c>
      <c r="Y23">
        <v>33.005163052531572</v>
      </c>
      <c r="Z23">
        <v>33.005171012541432</v>
      </c>
      <c r="AA23">
        <v>-369.69788839577853</v>
      </c>
      <c r="AC23">
        <f t="shared" si="3"/>
        <v>-18.9849787390357</v>
      </c>
      <c r="AD23">
        <f t="shared" si="4"/>
        <v>-231.26416183487953</v>
      </c>
    </row>
    <row r="24" spans="1:30" x14ac:dyDescent="0.25">
      <c r="A24">
        <v>-0.98465903878498207</v>
      </c>
      <c r="B24">
        <v>-0.6337766578495776</v>
      </c>
      <c r="C24">
        <v>-425.6</v>
      </c>
      <c r="E24">
        <f t="shared" si="1"/>
        <v>0.69213316403992964</v>
      </c>
      <c r="F24">
        <f t="shared" si="2"/>
        <v>-301.61254500170014</v>
      </c>
      <c r="Y24">
        <v>55.998537313860844</v>
      </c>
      <c r="Z24">
        <v>55.998439767016478</v>
      </c>
      <c r="AA24">
        <v>-321.01927594553229</v>
      </c>
      <c r="AC24">
        <f t="shared" si="3"/>
        <v>-32.211092311652017</v>
      </c>
      <c r="AD24">
        <f t="shared" si="4"/>
        <v>-175.8377619096504</v>
      </c>
    </row>
    <row r="25" spans="1:30" x14ac:dyDescent="0.25">
      <c r="A25">
        <v>-0.98293893125446496</v>
      </c>
      <c r="B25">
        <v>-0.63711322645270074</v>
      </c>
      <c r="C25">
        <v>-425.6</v>
      </c>
      <c r="E25">
        <f t="shared" si="1"/>
        <v>0.68933158606915002</v>
      </c>
      <c r="F25">
        <f t="shared" si="2"/>
        <v>-301.61431172477313</v>
      </c>
      <c r="Y25">
        <v>72.895276236929362</v>
      </c>
      <c r="Z25">
        <v>72.895305419818328</v>
      </c>
      <c r="AA25">
        <v>-282.47820978371578</v>
      </c>
      <c r="AC25">
        <f t="shared" si="3"/>
        <v>-41.930261944125171</v>
      </c>
      <c r="AD25">
        <f t="shared" si="4"/>
        <v>-133.14908992082914</v>
      </c>
    </row>
    <row r="26" spans="1:30" x14ac:dyDescent="0.25">
      <c r="A26">
        <v>-0.98121358833141625</v>
      </c>
      <c r="B26">
        <v>-0.6398327768898594</v>
      </c>
      <c r="C26">
        <v>-425.6</v>
      </c>
      <c r="E26">
        <f t="shared" si="1"/>
        <v>0.68674623997334661</v>
      </c>
      <c r="F26">
        <f t="shared" si="2"/>
        <v>-301.61566980215446</v>
      </c>
      <c r="Y26">
        <v>85.801362211393595</v>
      </c>
      <c r="Z26">
        <v>85.801346490492833</v>
      </c>
      <c r="AA26">
        <v>-251.81470911360779</v>
      </c>
      <c r="AC26">
        <f t="shared" si="3"/>
        <v>-49.35401971732999</v>
      </c>
      <c r="AD26">
        <f t="shared" si="4"/>
        <v>-99.67645408699579</v>
      </c>
    </row>
    <row r="27" spans="1:30" x14ac:dyDescent="0.25">
      <c r="A27">
        <v>-0.97943214157220382</v>
      </c>
      <c r="B27">
        <v>-0.64215306466798472</v>
      </c>
      <c r="C27">
        <v>-425.6</v>
      </c>
      <c r="E27">
        <f t="shared" si="1"/>
        <v>0.68425159937469726</v>
      </c>
      <c r="F27">
        <f t="shared" si="2"/>
        <v>-301.61675009290531</v>
      </c>
      <c r="Y27">
        <v>95.466258927365828</v>
      </c>
      <c r="Z27">
        <v>95.466219579942845</v>
      </c>
      <c r="AA27">
        <v>-228.52235433834051</v>
      </c>
      <c r="AC27">
        <f t="shared" si="3"/>
        <v>-54.913397363796996</v>
      </c>
      <c r="AD27">
        <f t="shared" si="4"/>
        <v>-74.376965178977287</v>
      </c>
    </row>
    <row r="28" spans="1:30" x14ac:dyDescent="0.25">
      <c r="A28">
        <v>-0.9775422194788197</v>
      </c>
      <c r="B28">
        <v>-0.64420915458914763</v>
      </c>
      <c r="C28">
        <v>-425.6</v>
      </c>
      <c r="E28">
        <f t="shared" si="1"/>
        <v>0.68175036837158132</v>
      </c>
      <c r="F28">
        <f t="shared" si="2"/>
        <v>-301.61762848767762</v>
      </c>
      <c r="Y28">
        <v>106.04909026007311</v>
      </c>
      <c r="Z28">
        <v>106.04909046273445</v>
      </c>
      <c r="AA28">
        <v>-202.8736277098576</v>
      </c>
      <c r="AC28">
        <f t="shared" si="3"/>
        <v>-61.000759814365118</v>
      </c>
      <c r="AD28">
        <f t="shared" si="4"/>
        <v>-46.572653049550311</v>
      </c>
    </row>
    <row r="29" spans="1:30" x14ac:dyDescent="0.25">
      <c r="A29">
        <v>-0.97548425973766106</v>
      </c>
      <c r="B29">
        <v>-0.64609551798121012</v>
      </c>
      <c r="C29">
        <v>-425.6</v>
      </c>
      <c r="E29">
        <f t="shared" si="1"/>
        <v>0.6791530852578056</v>
      </c>
      <c r="F29">
        <f t="shared" si="2"/>
        <v>-301.6183522575202</v>
      </c>
      <c r="Y29">
        <v>120.09817732811293</v>
      </c>
      <c r="Z29">
        <v>120.09817656369111</v>
      </c>
      <c r="AA29">
        <v>-158.8052908286252</v>
      </c>
      <c r="AC29">
        <f t="shared" si="3"/>
        <v>-69.08197033225683</v>
      </c>
      <c r="AD29">
        <f t="shared" si="4"/>
        <v>-2.5771541685957686</v>
      </c>
    </row>
    <row r="30" spans="1:30" x14ac:dyDescent="0.25">
      <c r="A30">
        <v>-0.97316295756004678</v>
      </c>
      <c r="B30">
        <v>-0.647875159170342</v>
      </c>
      <c r="C30">
        <v>-425.6</v>
      </c>
      <c r="E30">
        <f t="shared" si="1"/>
        <v>0.67634819661692402</v>
      </c>
      <c r="F30">
        <f t="shared" si="2"/>
        <v>-301.61893884352162</v>
      </c>
      <c r="Y30">
        <v>133.00224686388427</v>
      </c>
      <c r="Z30">
        <v>133.00224852094357</v>
      </c>
      <c r="AA30">
        <v>-118.2842356792241</v>
      </c>
      <c r="AC30">
        <f t="shared" si="3"/>
        <v>-76.504551264906212</v>
      </c>
      <c r="AD30">
        <f t="shared" si="4"/>
        <v>37.864014416407088</v>
      </c>
    </row>
    <row r="31" spans="1:30" x14ac:dyDescent="0.25">
      <c r="A31">
        <v>-0.97044497410143715</v>
      </c>
      <c r="B31">
        <v>-0.64960306929909961</v>
      </c>
      <c r="C31">
        <v>-425.6</v>
      </c>
      <c r="E31">
        <f t="shared" si="1"/>
        <v>0.67319151285058143</v>
      </c>
      <c r="F31">
        <f t="shared" si="2"/>
        <v>-301.61939075894162</v>
      </c>
      <c r="Y31">
        <v>145.00761897107228</v>
      </c>
      <c r="Z31">
        <v>145.00758954970399</v>
      </c>
      <c r="AA31">
        <v>-80.240849150453343</v>
      </c>
      <c r="AC31">
        <f t="shared" si="3"/>
        <v>-83.410202228923467</v>
      </c>
      <c r="AD31">
        <f t="shared" si="4"/>
        <v>75.732183649886792</v>
      </c>
    </row>
    <row r="32" spans="1:30" x14ac:dyDescent="0.25">
      <c r="A32">
        <v>-0.96711366301315504</v>
      </c>
      <c r="B32">
        <v>-0.65133151599536643</v>
      </c>
      <c r="C32">
        <v>-425.6</v>
      </c>
      <c r="E32">
        <f t="shared" si="1"/>
        <v>0.66946204612554872</v>
      </c>
      <c r="F32">
        <f t="shared" si="2"/>
        <v>-301.61968760864738</v>
      </c>
      <c r="Y32">
        <v>155.30744503408229</v>
      </c>
      <c r="Z32">
        <v>155.30744356846262</v>
      </c>
      <c r="AA32">
        <v>-45.506356091239709</v>
      </c>
      <c r="AC32">
        <f t="shared" si="3"/>
        <v>-89.334780672356871</v>
      </c>
      <c r="AD32">
        <f t="shared" si="4"/>
        <v>109.70255700224274</v>
      </c>
    </row>
    <row r="33" spans="1:30" x14ac:dyDescent="0.25">
      <c r="A33">
        <v>-0.96277636235012576</v>
      </c>
      <c r="B33">
        <v>-0.65311837158908237</v>
      </c>
      <c r="C33">
        <v>-425.6</v>
      </c>
      <c r="E33">
        <f t="shared" si="1"/>
        <v>0.66477247534745776</v>
      </c>
      <c r="F33">
        <f t="shared" si="2"/>
        <v>-301.6197680942721</v>
      </c>
      <c r="Y33">
        <v>159.19387244309672</v>
      </c>
      <c r="Z33">
        <v>159.19387161426064</v>
      </c>
      <c r="AA33">
        <v>-6.7096467585880637</v>
      </c>
      <c r="AC33">
        <f t="shared" si="3"/>
        <v>-91.570301980587004</v>
      </c>
      <c r="AD33">
        <f t="shared" si="4"/>
        <v>140.68640178541398</v>
      </c>
    </row>
    <row r="34" spans="1:30" x14ac:dyDescent="0.25">
      <c r="A34">
        <v>-0.95661837205179956</v>
      </c>
      <c r="B34">
        <v>-0.6550434342507202</v>
      </c>
      <c r="C34">
        <v>-425.6</v>
      </c>
      <c r="E34">
        <f t="shared" si="1"/>
        <v>0.65833361537958335</v>
      </c>
      <c r="F34">
        <f t="shared" si="2"/>
        <v>-301.61947844527799</v>
      </c>
      <c r="Y34">
        <v>163.2896087633946</v>
      </c>
      <c r="Z34">
        <v>163.28960821864246</v>
      </c>
      <c r="AA34">
        <v>42.292024181910953</v>
      </c>
      <c r="AC34">
        <f t="shared" si="3"/>
        <v>-93.926220512520842</v>
      </c>
      <c r="AD34">
        <f t="shared" si="4"/>
        <v>179.07745709555803</v>
      </c>
    </row>
    <row r="35" spans="1:30" x14ac:dyDescent="0.25">
      <c r="A35">
        <v>-0.94652448739648387</v>
      </c>
      <c r="B35">
        <v>-0.65723994887255621</v>
      </c>
      <c r="C35">
        <v>-425.6</v>
      </c>
      <c r="E35">
        <f t="shared" si="1"/>
        <v>0.64812300179688653</v>
      </c>
      <c r="F35">
        <f t="shared" si="2"/>
        <v>-301.61837061988928</v>
      </c>
      <c r="Y35">
        <v>166.43966305593418</v>
      </c>
      <c r="Z35">
        <v>166.43965964536224</v>
      </c>
      <c r="AA35">
        <v>84.437202950255212</v>
      </c>
      <c r="AC35">
        <f t="shared" si="3"/>
        <v>-95.738172071683437</v>
      </c>
      <c r="AD35">
        <f t="shared" si="4"/>
        <v>211.75631469540537</v>
      </c>
    </row>
    <row r="36" spans="1:30" x14ac:dyDescent="0.25">
      <c r="A36">
        <v>-0.92407204971919599</v>
      </c>
      <c r="B36">
        <v>-0.66002088554966098</v>
      </c>
      <c r="C36">
        <v>-425.6</v>
      </c>
      <c r="E36">
        <f t="shared" si="1"/>
        <v>0.62616524687943298</v>
      </c>
      <c r="F36">
        <f t="shared" si="2"/>
        <v>-301.61451688368663</v>
      </c>
      <c r="Y36">
        <v>167.07344283651068</v>
      </c>
      <c r="Z36">
        <v>167.07351900839174</v>
      </c>
      <c r="AA36">
        <v>129.20734365874236</v>
      </c>
      <c r="AC36">
        <f t="shared" si="3"/>
        <v>-96.102701589310371</v>
      </c>
      <c r="AD36">
        <f t="shared" si="4"/>
        <v>243.99262396038802</v>
      </c>
    </row>
    <row r="37" spans="1:30" x14ac:dyDescent="0.25">
      <c r="A37">
        <v>-2.6052232006784988E-15</v>
      </c>
      <c r="B37">
        <v>-0.66606943826498122</v>
      </c>
      <c r="C37">
        <v>-425.6</v>
      </c>
      <c r="E37">
        <f t="shared" si="1"/>
        <v>-0.23869793884586099</v>
      </c>
      <c r="F37">
        <f t="shared" si="2"/>
        <v>-301.38434585158302</v>
      </c>
      <c r="Y37">
        <v>167.11594003287522</v>
      </c>
      <c r="Z37">
        <v>167.11593824699023</v>
      </c>
      <c r="AA37">
        <v>170.44344189889352</v>
      </c>
      <c r="AC37">
        <f t="shared" si="3"/>
        <v>-96.127174444459499</v>
      </c>
      <c r="AD37">
        <f t="shared" si="4"/>
        <v>273.18972031325336</v>
      </c>
    </row>
    <row r="38" spans="1:30" x14ac:dyDescent="0.25">
      <c r="A38">
        <v>0.92407204971916002</v>
      </c>
      <c r="B38">
        <v>-0.66002088554965266</v>
      </c>
      <c r="C38">
        <v>-425.6</v>
      </c>
      <c r="E38">
        <f t="shared" si="1"/>
        <v>-1.0992259097025112</v>
      </c>
      <c r="F38">
        <f t="shared" si="2"/>
        <v>-301.1461890235941</v>
      </c>
      <c r="Y38">
        <v>165.7074116539693</v>
      </c>
      <c r="Z38">
        <v>165.70740720860368</v>
      </c>
      <c r="AA38">
        <v>204.7335185911092</v>
      </c>
      <c r="AC38">
        <f t="shared" si="3"/>
        <v>-95.316972299844593</v>
      </c>
      <c r="AD38">
        <f t="shared" si="4"/>
        <v>296.14970961158332</v>
      </c>
    </row>
    <row r="39" spans="1:30" x14ac:dyDescent="0.25">
      <c r="A39">
        <v>0.9465244873964519</v>
      </c>
      <c r="B39">
        <v>-0.65723994887255599</v>
      </c>
      <c r="C39">
        <v>-425.6</v>
      </c>
      <c r="E39">
        <f t="shared" si="1"/>
        <v>-1.119190467470393</v>
      </c>
      <c r="F39">
        <f t="shared" si="2"/>
        <v>-301.13866366647346</v>
      </c>
      <c r="Y39">
        <v>163.98074539821059</v>
      </c>
      <c r="Z39">
        <v>163.98065368037015</v>
      </c>
      <c r="AA39">
        <v>242.8056805307919</v>
      </c>
      <c r="AC39">
        <f>($I$2*Y39)+($K$2*Z39)+($M$2*AA39)</f>
        <v>-94.323803601658199</v>
      </c>
      <c r="AD39">
        <f>($J$2*Y39)+($L$2*Z39)+($N$2*AA39)</f>
        <v>321.49334776660902</v>
      </c>
    </row>
    <row r="40" spans="1:30" x14ac:dyDescent="0.25">
      <c r="A40">
        <v>0.95661837205175759</v>
      </c>
      <c r="B40">
        <v>-0.65504343425072098</v>
      </c>
      <c r="C40">
        <v>-425.6</v>
      </c>
      <c r="E40">
        <f t="shared" si="1"/>
        <v>-1.1278267601707335</v>
      </c>
      <c r="F40">
        <f t="shared" si="2"/>
        <v>-301.13465582214559</v>
      </c>
      <c r="Y40">
        <v>162.13736409365259</v>
      </c>
      <c r="Z40">
        <v>162.13736549412528</v>
      </c>
      <c r="AA40">
        <v>277.66920850141935</v>
      </c>
      <c r="AC40">
        <f t="shared" ref="AC40:AC43" si="5">($I$2*Y40)+($K$2*Z40)+($M$2*AA40)</f>
        <v>-93.263434304877649</v>
      </c>
      <c r="AD40">
        <f t="shared" ref="AD40:AD43" si="6">($J$2*Y40)+($L$2*Z40)+($N$2*AA40)</f>
        <v>344.46163366446535</v>
      </c>
    </row>
    <row r="41" spans="1:30" x14ac:dyDescent="0.25">
      <c r="A41">
        <v>0.96277636235017883</v>
      </c>
      <c r="B41">
        <v>-0.65311837158910513</v>
      </c>
      <c r="C41">
        <v>-425.6</v>
      </c>
      <c r="E41">
        <f t="shared" si="1"/>
        <v>-1.1328858586211097</v>
      </c>
      <c r="F41">
        <f t="shared" si="2"/>
        <v>-301.13182454737648</v>
      </c>
      <c r="Y41">
        <v>159.86450708916718</v>
      </c>
      <c r="Z41">
        <v>159.86424093512767</v>
      </c>
      <c r="AA41">
        <v>312.13906733442411</v>
      </c>
      <c r="AC41">
        <f t="shared" si="5"/>
        <v>-91.956154480532021</v>
      </c>
      <c r="AD41">
        <f t="shared" si="6"/>
        <v>366.75896977579049</v>
      </c>
    </row>
    <row r="42" spans="1:30" x14ac:dyDescent="0.25">
      <c r="A42">
        <v>0.96711366301311741</v>
      </c>
      <c r="B42">
        <v>-0.65133151599536976</v>
      </c>
      <c r="C42">
        <v>-425.6</v>
      </c>
      <c r="E42">
        <f t="shared" si="1"/>
        <v>-1.136294725848602</v>
      </c>
      <c r="F42">
        <f t="shared" si="2"/>
        <v>-301.12954587954431</v>
      </c>
      <c r="Y42">
        <v>160.07191791311357</v>
      </c>
      <c r="Z42">
        <v>160.07191616022368</v>
      </c>
      <c r="AA42">
        <v>353.6642066294495</v>
      </c>
      <c r="AC42">
        <f t="shared" si="5"/>
        <v>-92.075365021422996</v>
      </c>
      <c r="AD42">
        <f t="shared" si="6"/>
        <v>396.31133111915369</v>
      </c>
    </row>
    <row r="43" spans="1:30" x14ac:dyDescent="0.25">
      <c r="A43">
        <v>0.97044497410144914</v>
      </c>
      <c r="B43">
        <v>-0.64960306929908629</v>
      </c>
      <c r="C43">
        <v>-425.6</v>
      </c>
      <c r="E43">
        <f t="shared" si="1"/>
        <v>-1.1387853527767962</v>
      </c>
      <c r="F43">
        <f t="shared" si="2"/>
        <v>-301.12756069201492</v>
      </c>
      <c r="Y43">
        <v>159.83841608212589</v>
      </c>
      <c r="Z43">
        <v>159.8384155509668</v>
      </c>
      <c r="AA43">
        <v>395.03357703520078</v>
      </c>
      <c r="AC43">
        <f t="shared" si="5"/>
        <v>-91.941051417018613</v>
      </c>
      <c r="AD43">
        <f t="shared" si="6"/>
        <v>425.35057973594309</v>
      </c>
    </row>
    <row r="44" spans="1:30" x14ac:dyDescent="0.25">
      <c r="A44">
        <v>0.97316295755990012</v>
      </c>
      <c r="B44">
        <v>-0.64787515917026262</v>
      </c>
      <c r="C44">
        <v>-425.6</v>
      </c>
      <c r="E44">
        <f t="shared" si="1"/>
        <v>-1.140703581323284</v>
      </c>
      <c r="F44">
        <f t="shared" si="2"/>
        <v>-301.12573127862026</v>
      </c>
      <c r="Y44">
        <v>158.71847432415728</v>
      </c>
      <c r="Z44">
        <v>158.71860693239273</v>
      </c>
      <c r="AA44">
        <v>436.44270052729183</v>
      </c>
      <c r="AC44">
        <f t="shared" ref="AC44:AC75" si="7">($I$2*Y44)+($K$2*Z44)+($M$2*AA44)</f>
        <v>-91.296799231483803</v>
      </c>
      <c r="AD44">
        <f t="shared" ref="AD44:AD75" si="8">($J$2*Y44)+($L$2*Z44)+($N$2*AA44)</f>
        <v>453.60822194515509</v>
      </c>
    </row>
    <row r="45" spans="1:30" x14ac:dyDescent="0.25">
      <c r="A45">
        <v>0.97548425973765329</v>
      </c>
      <c r="B45">
        <v>-0.64609551798120268</v>
      </c>
      <c r="C45">
        <v>-425.6</v>
      </c>
      <c r="E45">
        <f t="shared" si="1"/>
        <v>-1.14223293723657</v>
      </c>
      <c r="F45">
        <f t="shared" si="2"/>
        <v>-301.12396823621395</v>
      </c>
      <c r="Y45">
        <v>157.07021926537035</v>
      </c>
      <c r="Z45">
        <v>157.07021923713381</v>
      </c>
      <c r="AA45">
        <v>477.47501880959879</v>
      </c>
      <c r="AC45">
        <f t="shared" si="7"/>
        <v>-90.348749889130971</v>
      </c>
      <c r="AD45">
        <f t="shared" si="8"/>
        <v>481.11660896960797</v>
      </c>
    </row>
    <row r="46" spans="1:30" x14ac:dyDescent="0.25">
      <c r="A46">
        <v>0.97754221948021458</v>
      </c>
      <c r="B46">
        <v>-0.64420915459007932</v>
      </c>
      <c r="C46">
        <v>-425.6</v>
      </c>
      <c r="E46">
        <f t="shared" si="1"/>
        <v>-1.1434781959901701</v>
      </c>
      <c r="F46">
        <f t="shared" si="2"/>
        <v>-301.12220147423483</v>
      </c>
      <c r="Y46">
        <v>154.72607449753565</v>
      </c>
      <c r="Z46">
        <v>154.72607448687376</v>
      </c>
      <c r="AA46">
        <v>518.98305168044612</v>
      </c>
      <c r="AC46">
        <f t="shared" si="7"/>
        <v>-89.000368564592748</v>
      </c>
      <c r="AD46">
        <f t="shared" si="8"/>
        <v>508.32573769318788</v>
      </c>
    </row>
    <row r="47" spans="1:30" x14ac:dyDescent="0.25">
      <c r="A47">
        <v>0.97943214157219394</v>
      </c>
      <c r="B47">
        <v>-0.64215306466799171</v>
      </c>
      <c r="C47">
        <v>-425.6</v>
      </c>
      <c r="E47">
        <f t="shared" si="1"/>
        <v>-1.1445057535333876</v>
      </c>
      <c r="F47">
        <f t="shared" si="2"/>
        <v>-301.12036525028651</v>
      </c>
      <c r="Y47">
        <v>151.82598937876315</v>
      </c>
      <c r="Z47">
        <v>151.82616517991409</v>
      </c>
      <c r="AA47">
        <v>556.8655849732188</v>
      </c>
      <c r="AC47">
        <f t="shared" si="7"/>
        <v>-87.332140414733388</v>
      </c>
      <c r="AD47">
        <f t="shared" si="8"/>
        <v>532.4634903465959</v>
      </c>
    </row>
    <row r="48" spans="1:30" x14ac:dyDescent="0.25">
      <c r="A48">
        <v>0.98121358833139594</v>
      </c>
      <c r="B48">
        <v>-0.6398327768898775</v>
      </c>
      <c r="C48">
        <v>-425.6</v>
      </c>
      <c r="E48">
        <f t="shared" si="1"/>
        <v>-1.1453373605852275</v>
      </c>
      <c r="F48">
        <f t="shared" si="2"/>
        <v>-301.1183821066154</v>
      </c>
      <c r="Y48">
        <v>147.80502852603172</v>
      </c>
      <c r="Z48">
        <v>147.80510679507199</v>
      </c>
      <c r="AA48">
        <v>599.76806468463781</v>
      </c>
      <c r="AC48">
        <f t="shared" si="7"/>
        <v>-85.019268515289625</v>
      </c>
      <c r="AD48">
        <f t="shared" si="8"/>
        <v>559.1267297729371</v>
      </c>
    </row>
    <row r="49" spans="1:30" x14ac:dyDescent="0.25">
      <c r="A49">
        <v>0.98293893125445031</v>
      </c>
      <c r="B49">
        <v>-0.63711322645271018</v>
      </c>
      <c r="C49">
        <v>-425.6</v>
      </c>
      <c r="E49">
        <f t="shared" si="1"/>
        <v>-1.1459735072533339</v>
      </c>
      <c r="F49">
        <f t="shared" si="2"/>
        <v>-301.11614961023253</v>
      </c>
      <c r="Y49">
        <v>142.71273740640348</v>
      </c>
      <c r="Z49">
        <v>142.71276429484882</v>
      </c>
      <c r="AA49">
        <v>643.68643664179569</v>
      </c>
      <c r="AC49">
        <f t="shared" si="7"/>
        <v>-82.090137540166523</v>
      </c>
      <c r="AD49">
        <f t="shared" si="8"/>
        <v>585.52963506274648</v>
      </c>
    </row>
    <row r="50" spans="1:30" x14ac:dyDescent="0.25">
      <c r="A50">
        <v>0.98465903878493932</v>
      </c>
      <c r="B50">
        <v>-0.63377665784958759</v>
      </c>
      <c r="C50">
        <v>-425.6</v>
      </c>
      <c r="E50">
        <f t="shared" si="1"/>
        <v>-1.1463836467264505</v>
      </c>
      <c r="F50">
        <f t="shared" si="2"/>
        <v>-301.11351112150101</v>
      </c>
      <c r="Y50">
        <v>136.41986652483044</v>
      </c>
      <c r="Z50">
        <v>136.41965229897374</v>
      </c>
      <c r="AA50">
        <v>688.54724055818167</v>
      </c>
      <c r="AC50">
        <f t="shared" si="7"/>
        <v>-78.470486100876428</v>
      </c>
      <c r="AD50">
        <f t="shared" si="8"/>
        <v>611.50203094266192</v>
      </c>
    </row>
    <row r="51" spans="1:30" x14ac:dyDescent="0.25">
      <c r="A51">
        <v>0.98645622718457282</v>
      </c>
      <c r="B51">
        <v>-0.62944584680158067</v>
      </c>
      <c r="C51">
        <v>-425.6</v>
      </c>
      <c r="E51">
        <f t="shared" si="1"/>
        <v>-1.1465094427639337</v>
      </c>
      <c r="F51">
        <f t="shared" si="2"/>
        <v>-301.1101967598857</v>
      </c>
      <c r="Y51">
        <v>129.12145126397152</v>
      </c>
      <c r="Z51">
        <v>129.12155663321926</v>
      </c>
      <c r="AA51">
        <v>732.3740136619034</v>
      </c>
      <c r="AC51">
        <f t="shared" si="7"/>
        <v>-74.272232048211947</v>
      </c>
      <c r="AD51">
        <f t="shared" si="8"/>
        <v>635.82501627012857</v>
      </c>
    </row>
    <row r="52" spans="1:30" x14ac:dyDescent="0.25">
      <c r="A52">
        <v>0.98837882054581061</v>
      </c>
      <c r="B52">
        <v>-0.62328516378704912</v>
      </c>
      <c r="C52">
        <v>-425.6</v>
      </c>
      <c r="E52">
        <f t="shared" si="1"/>
        <v>-1.1460965469543827</v>
      </c>
      <c r="F52">
        <f t="shared" si="2"/>
        <v>-301.10564264649844</v>
      </c>
      <c r="Y52">
        <v>121.5888156312751</v>
      </c>
      <c r="Z52">
        <v>121.5888342520971</v>
      </c>
      <c r="AA52">
        <v>771.62731419125157</v>
      </c>
      <c r="AC52">
        <f t="shared" si="7"/>
        <v>-69.939397135807923</v>
      </c>
      <c r="AD52">
        <f t="shared" si="8"/>
        <v>656.69982892586074</v>
      </c>
    </row>
    <row r="53" spans="1:30" x14ac:dyDescent="0.25">
      <c r="A53">
        <v>0.99056274292098268</v>
      </c>
      <c r="B53">
        <v>-0.61318221984662169</v>
      </c>
      <c r="C53">
        <v>-425.6</v>
      </c>
      <c r="E53">
        <f t="shared" si="1"/>
        <v>-1.1445148428325305</v>
      </c>
      <c r="F53">
        <f t="shared" si="2"/>
        <v>-301.09841986291883</v>
      </c>
      <c r="Y53">
        <v>112.46861051294159</v>
      </c>
      <c r="Z53">
        <v>112.46861125485687</v>
      </c>
      <c r="AA53">
        <v>812.64280647425244</v>
      </c>
      <c r="AC53">
        <f t="shared" si="7"/>
        <v>-64.693347766609051</v>
      </c>
      <c r="AD53">
        <f t="shared" si="8"/>
        <v>677.37042789165241</v>
      </c>
    </row>
    <row r="54" spans="1:30" x14ac:dyDescent="0.25">
      <c r="A54">
        <v>0.99335739232171227</v>
      </c>
      <c r="B54">
        <v>-0.590743130642151</v>
      </c>
      <c r="C54">
        <v>-425.6</v>
      </c>
      <c r="E54">
        <f t="shared" si="1"/>
        <v>-1.1390824224241036</v>
      </c>
      <c r="F54">
        <f t="shared" si="2"/>
        <v>-301.08289872252732</v>
      </c>
      <c r="Y54">
        <v>102.58828581476999</v>
      </c>
      <c r="Z54">
        <v>102.58828338697424</v>
      </c>
      <c r="AA54">
        <v>851.93703280989189</v>
      </c>
      <c r="AC54">
        <f t="shared" si="7"/>
        <v>-59.01006285980754</v>
      </c>
      <c r="AD54">
        <f t="shared" si="8"/>
        <v>696.12951395455718</v>
      </c>
    </row>
    <row r="55" spans="1:30" x14ac:dyDescent="0.25">
      <c r="A55">
        <v>0.99920295284585603</v>
      </c>
      <c r="B55">
        <v>-5.9211854619616102E-15</v>
      </c>
      <c r="C55">
        <v>-425.6</v>
      </c>
      <c r="E55">
        <f t="shared" si="1"/>
        <v>-0.93283631887515195</v>
      </c>
      <c r="F55">
        <f t="shared" si="2"/>
        <v>-300.69144364097286</v>
      </c>
      <c r="Y55">
        <v>91.936700559757853</v>
      </c>
      <c r="Z55">
        <v>91.936700474836158</v>
      </c>
      <c r="AA55">
        <v>888.78333419308137</v>
      </c>
      <c r="AC55">
        <f t="shared" si="7"/>
        <v>-52.883137282196692</v>
      </c>
      <c r="AD55">
        <f t="shared" si="8"/>
        <v>712.45307774447178</v>
      </c>
    </row>
    <row r="56" spans="1:30" x14ac:dyDescent="0.25">
      <c r="A56">
        <v>0.99335739232172504</v>
      </c>
      <c r="B56">
        <v>0.59074313064214501</v>
      </c>
      <c r="C56">
        <v>-425.6</v>
      </c>
      <c r="E56">
        <f t="shared" si="1"/>
        <v>-0.71567561355171949</v>
      </c>
      <c r="F56">
        <f t="shared" si="2"/>
        <v>-300.30295114101813</v>
      </c>
      <c r="Y56">
        <v>81.996474620673609</v>
      </c>
      <c r="Z56">
        <v>81.996467534368406</v>
      </c>
      <c r="AA56">
        <v>919.81098435370723</v>
      </c>
      <c r="AC56">
        <f t="shared" si="7"/>
        <v>-47.165397807385951</v>
      </c>
      <c r="AD56">
        <f t="shared" si="8"/>
        <v>725.31208670084186</v>
      </c>
    </row>
    <row r="57" spans="1:30" x14ac:dyDescent="0.25">
      <c r="A57">
        <v>0.99056274292100455</v>
      </c>
      <c r="B57">
        <v>0.61318221984660248</v>
      </c>
      <c r="C57">
        <v>-425.6</v>
      </c>
      <c r="E57">
        <f t="shared" si="1"/>
        <v>-0.70502513318441917</v>
      </c>
      <c r="F57">
        <f t="shared" si="2"/>
        <v>-300.28884635357656</v>
      </c>
      <c r="Y57">
        <v>71.554825122052463</v>
      </c>
      <c r="Z57">
        <v>71.55482540228418</v>
      </c>
      <c r="AA57">
        <v>949.5428564175437</v>
      </c>
      <c r="AC57">
        <f t="shared" si="7"/>
        <v>-41.159228095889766</v>
      </c>
      <c r="AD57">
        <f t="shared" si="8"/>
        <v>736.79677844774346</v>
      </c>
    </row>
    <row r="58" spans="1:30" x14ac:dyDescent="0.25">
      <c r="A58">
        <v>0.98837882054580994</v>
      </c>
      <c r="B58">
        <v>0.62328516378705012</v>
      </c>
      <c r="C58">
        <v>-425.6</v>
      </c>
      <c r="E58">
        <f t="shared" si="1"/>
        <v>-0.69936569469763876</v>
      </c>
      <c r="F58">
        <f t="shared" si="2"/>
        <v>-300.28273040110702</v>
      </c>
      <c r="Y58">
        <v>62.083407576659837</v>
      </c>
      <c r="Z58">
        <v>62.083449087804773</v>
      </c>
      <c r="AA58">
        <v>974.56496123275735</v>
      </c>
      <c r="AC58">
        <f t="shared" si="7"/>
        <v>-35.711135773520944</v>
      </c>
      <c r="AD58">
        <f t="shared" si="8"/>
        <v>745.83753518433014</v>
      </c>
    </row>
    <row r="59" spans="1:30" x14ac:dyDescent="0.25">
      <c r="A59">
        <v>0.98645622718458337</v>
      </c>
      <c r="B59">
        <v>0.62944584680155224</v>
      </c>
      <c r="C59">
        <v>-425.6</v>
      </c>
      <c r="E59">
        <f t="shared" si="1"/>
        <v>-0.6953630078277786</v>
      </c>
      <c r="F59">
        <f t="shared" si="2"/>
        <v>-300.27915067498208</v>
      </c>
      <c r="Y59">
        <v>53.863057021101937</v>
      </c>
      <c r="Z59">
        <v>53.863055467326518</v>
      </c>
      <c r="AA59">
        <v>995.42881580284313</v>
      </c>
      <c r="AC59">
        <f t="shared" si="7"/>
        <v>-30.982703002132745</v>
      </c>
      <c r="AD59">
        <f t="shared" si="8"/>
        <v>753.0808158933462</v>
      </c>
    </row>
    <row r="60" spans="1:30" x14ac:dyDescent="0.25">
      <c r="A60">
        <v>0.98465903878492911</v>
      </c>
      <c r="B60">
        <v>0.63377665784957204</v>
      </c>
      <c r="C60">
        <v>-425.6</v>
      </c>
      <c r="E60">
        <f t="shared" si="1"/>
        <v>-0.69213316403998659</v>
      </c>
      <c r="F60">
        <f t="shared" si="2"/>
        <v>-300.27674714428912</v>
      </c>
      <c r="Y60">
        <v>47.035038176440374</v>
      </c>
      <c r="Z60">
        <v>47.035038096461633</v>
      </c>
      <c r="AA60">
        <v>1011.489556606891</v>
      </c>
      <c r="AC60">
        <f t="shared" si="7"/>
        <v>-27.055140841659206</v>
      </c>
      <c r="AD60">
        <f t="shared" si="8"/>
        <v>758.19976999944299</v>
      </c>
    </row>
    <row r="61" spans="1:30" x14ac:dyDescent="0.25">
      <c r="A61">
        <v>0.98293893125444554</v>
      </c>
      <c r="B61">
        <v>0.63711322645270607</v>
      </c>
      <c r="C61">
        <v>-425.6</v>
      </c>
      <c r="E61">
        <f t="shared" si="1"/>
        <v>-0.68933158606923428</v>
      </c>
      <c r="F61">
        <f t="shared" si="2"/>
        <v>-300.27498042121607</v>
      </c>
      <c r="Y61">
        <v>41.360727006981904</v>
      </c>
      <c r="Z61">
        <v>41.360720339828973</v>
      </c>
      <c r="AA61">
        <v>1024.3656731577082</v>
      </c>
      <c r="AC61">
        <f t="shared" si="7"/>
        <v>-23.791208619511266</v>
      </c>
      <c r="AD61">
        <f t="shared" si="8"/>
        <v>762.12081378530058</v>
      </c>
    </row>
    <row r="62" spans="1:30" x14ac:dyDescent="0.25">
      <c r="A62">
        <v>0.98121358833137895</v>
      </c>
      <c r="B62">
        <v>0.63983277688983264</v>
      </c>
      <c r="C62">
        <v>-425.6</v>
      </c>
      <c r="E62">
        <f t="shared" si="1"/>
        <v>-0.68674623997342576</v>
      </c>
      <c r="F62">
        <f t="shared" si="2"/>
        <v>-300.27362234383475</v>
      </c>
      <c r="Y62">
        <v>36.604442153667499</v>
      </c>
      <c r="Z62">
        <v>36.604442205721682</v>
      </c>
      <c r="AA62">
        <v>1034.898604892649</v>
      </c>
      <c r="AC62">
        <f t="shared" si="7"/>
        <v>-21.055331819998997</v>
      </c>
      <c r="AD62">
        <f t="shared" si="8"/>
        <v>765.22364325347701</v>
      </c>
    </row>
    <row r="63" spans="1:30" x14ac:dyDescent="0.25">
      <c r="A63">
        <v>0.97943214157219816</v>
      </c>
      <c r="B63">
        <v>0.6421530646679724</v>
      </c>
      <c r="C63">
        <v>-425.6</v>
      </c>
      <c r="E63">
        <f t="shared" si="1"/>
        <v>-0.68425159937480085</v>
      </c>
      <c r="F63">
        <f t="shared" si="2"/>
        <v>-300.2725420530839</v>
      </c>
      <c r="Y63">
        <v>32.571332514526723</v>
      </c>
      <c r="Z63">
        <v>32.571332730776895</v>
      </c>
      <c r="AA63">
        <v>1043.7107057761748</v>
      </c>
      <c r="AC63">
        <f t="shared" si="7"/>
        <v>-18.735436775807663</v>
      </c>
      <c r="AD63">
        <f t="shared" si="8"/>
        <v>767.77031066209884</v>
      </c>
    </row>
    <row r="64" spans="1:30" x14ac:dyDescent="0.25">
      <c r="A64">
        <v>0.97754221948021702</v>
      </c>
      <c r="B64">
        <v>0.64420915459007133</v>
      </c>
      <c r="C64">
        <v>-425.6</v>
      </c>
      <c r="E64">
        <f t="shared" si="1"/>
        <v>-0.68175036837265912</v>
      </c>
      <c r="F64">
        <f t="shared" si="2"/>
        <v>-300.27166365831062</v>
      </c>
      <c r="Y64">
        <v>29.121042016631211</v>
      </c>
      <c r="Z64">
        <v>29.120987450114097</v>
      </c>
      <c r="AA64">
        <v>1051.2325316341457</v>
      </c>
      <c r="AC64">
        <f t="shared" si="7"/>
        <v>-16.750806264697559</v>
      </c>
      <c r="AD64">
        <f t="shared" si="8"/>
        <v>769.93701135692106</v>
      </c>
    </row>
    <row r="65" spans="1:30" x14ac:dyDescent="0.25">
      <c r="A65">
        <v>0.97548425973760733</v>
      </c>
      <c r="B65">
        <v>0.64609551798118692</v>
      </c>
      <c r="C65">
        <v>-425.6</v>
      </c>
      <c r="E65">
        <f t="shared" si="1"/>
        <v>-0.67915308525786811</v>
      </c>
      <c r="F65">
        <f t="shared" si="2"/>
        <v>-300.27093988846906</v>
      </c>
      <c r="Y65">
        <v>26.16115264834718</v>
      </c>
      <c r="Z65">
        <v>26.161150664260926</v>
      </c>
      <c r="AA65">
        <v>1057.7549727105265</v>
      </c>
      <c r="AC65">
        <f t="shared" si="7"/>
        <v>-15.048222125805372</v>
      </c>
      <c r="AD65">
        <f t="shared" si="8"/>
        <v>771.84511489622025</v>
      </c>
    </row>
    <row r="66" spans="1:30" x14ac:dyDescent="0.25">
      <c r="A66">
        <v>0.97316295755983329</v>
      </c>
      <c r="B66">
        <v>0.64787515917019434</v>
      </c>
      <c r="C66">
        <v>-425.6</v>
      </c>
      <c r="E66">
        <f t="shared" si="1"/>
        <v>-0.67634819661688206</v>
      </c>
      <c r="F66">
        <f t="shared" si="2"/>
        <v>-300.27035330246775</v>
      </c>
      <c r="Y66">
        <v>23.640743864723703</v>
      </c>
      <c r="Z66">
        <v>23.640738933923917</v>
      </c>
      <c r="AA66">
        <v>1063.4696499708107</v>
      </c>
      <c r="AC66">
        <f t="shared" si="7"/>
        <v>-13.598452602453669</v>
      </c>
      <c r="AD66">
        <f t="shared" si="8"/>
        <v>773.58349199833151</v>
      </c>
    </row>
    <row r="67" spans="1:30" x14ac:dyDescent="0.25">
      <c r="A67">
        <v>0.97044497410143016</v>
      </c>
      <c r="B67">
        <v>0.64960306929906908</v>
      </c>
      <c r="C67">
        <v>-425.6</v>
      </c>
      <c r="E67">
        <f t="shared" si="1"/>
        <v>-0.67319151285069023</v>
      </c>
      <c r="F67">
        <f t="shared" si="2"/>
        <v>-300.26990138704764</v>
      </c>
      <c r="Y67">
        <v>21.547462592506513</v>
      </c>
      <c r="Z67">
        <v>21.547461000157281</v>
      </c>
      <c r="AA67">
        <v>1068.4971787226962</v>
      </c>
      <c r="AC67">
        <f t="shared" si="7"/>
        <v>-12.39436990051091</v>
      </c>
      <c r="AD67">
        <f t="shared" si="8"/>
        <v>775.226186277446</v>
      </c>
    </row>
    <row r="68" spans="1:30" x14ac:dyDescent="0.25">
      <c r="A68">
        <v>0.96711366301317736</v>
      </c>
      <c r="B68">
        <v>0.65133151599538253</v>
      </c>
      <c r="C68">
        <v>-425.6</v>
      </c>
      <c r="E68">
        <f t="shared" si="1"/>
        <v>-0.66946204612566818</v>
      </c>
      <c r="F68">
        <f t="shared" si="2"/>
        <v>-300.26960453734182</v>
      </c>
      <c r="Y68">
        <v>19.84984615682183</v>
      </c>
      <c r="Z68">
        <v>19.849856891726365</v>
      </c>
      <c r="AA68">
        <v>1072.925220206808</v>
      </c>
      <c r="AC68">
        <f t="shared" si="7"/>
        <v>-11.417875327933809</v>
      </c>
      <c r="AD68">
        <f t="shared" si="8"/>
        <v>776.80644279232376</v>
      </c>
    </row>
    <row r="69" spans="1:30" x14ac:dyDescent="0.25">
      <c r="A69">
        <v>0.96277636235008413</v>
      </c>
      <c r="B69">
        <v>0.65311837158906516</v>
      </c>
      <c r="C69">
        <v>-425.6</v>
      </c>
      <c r="E69">
        <f t="shared" si="1"/>
        <v>-0.66477247534752937</v>
      </c>
      <c r="F69">
        <f t="shared" si="2"/>
        <v>-300.2695240517171</v>
      </c>
      <c r="Y69">
        <v>18.750530994253172</v>
      </c>
      <c r="Z69">
        <v>18.750512051369899</v>
      </c>
      <c r="AA69">
        <v>1076.3261553260916</v>
      </c>
      <c r="AC69">
        <f t="shared" si="7"/>
        <v>-10.785546165889873</v>
      </c>
      <c r="AD69">
        <f t="shared" si="8"/>
        <v>778.20697311273648</v>
      </c>
    </row>
    <row r="70" spans="1:30" x14ac:dyDescent="0.25">
      <c r="A70">
        <v>0.95661837205176858</v>
      </c>
      <c r="B70">
        <v>0.65504343425070821</v>
      </c>
      <c r="C70">
        <v>-425.6</v>
      </c>
      <c r="E70">
        <f t="shared" si="1"/>
        <v>-0.65833361537966317</v>
      </c>
      <c r="F70">
        <f t="shared" si="2"/>
        <v>-300.26981370071127</v>
      </c>
      <c r="Y70">
        <v>18.057422274878203</v>
      </c>
      <c r="Z70">
        <v>18.057422254508886</v>
      </c>
      <c r="AA70">
        <v>1079.073674827853</v>
      </c>
      <c r="AC70">
        <f t="shared" si="7"/>
        <v>-10.386854601398708</v>
      </c>
      <c r="AD70">
        <f t="shared" si="8"/>
        <v>779.51658895316507</v>
      </c>
    </row>
    <row r="71" spans="1:30" x14ac:dyDescent="0.25">
      <c r="A71">
        <v>0.946524487396458</v>
      </c>
      <c r="B71">
        <v>0.65723994887255277</v>
      </c>
      <c r="C71">
        <v>-425.6</v>
      </c>
      <c r="E71">
        <f t="shared" si="1"/>
        <v>-0.64812300179696791</v>
      </c>
      <c r="F71">
        <f t="shared" si="2"/>
        <v>-300.27092152609993</v>
      </c>
      <c r="Y71">
        <v>17.39092954812703</v>
      </c>
      <c r="Z71">
        <v>17.3909295360748</v>
      </c>
      <c r="AA71">
        <v>1081.7157413970538</v>
      </c>
      <c r="AC71">
        <f t="shared" si="7"/>
        <v>-10.00347966619316</v>
      </c>
      <c r="AD71">
        <f t="shared" si="8"/>
        <v>780.77594074300828</v>
      </c>
    </row>
    <row r="72" spans="1:30" x14ac:dyDescent="0.25">
      <c r="A72">
        <v>0.92407204971916479</v>
      </c>
      <c r="B72">
        <v>0.66002088554964289</v>
      </c>
      <c r="C72">
        <v>-425.6</v>
      </c>
      <c r="E72">
        <f t="shared" si="1"/>
        <v>-0.62616524687951469</v>
      </c>
      <c r="F72">
        <f t="shared" si="2"/>
        <v>-300.27477526230263</v>
      </c>
      <c r="Y72">
        <v>16.749516939325868</v>
      </c>
      <c r="Z72">
        <v>16.749524979604427</v>
      </c>
      <c r="AA72">
        <v>1084.2583658845595</v>
      </c>
      <c r="AC72">
        <f t="shared" si="7"/>
        <v>-9.6345282450391903</v>
      </c>
      <c r="AD72">
        <f t="shared" si="8"/>
        <v>781.98789350056359</v>
      </c>
    </row>
    <row r="73" spans="1:30" x14ac:dyDescent="0.25">
      <c r="A73">
        <v>8.2727419945987885E-15</v>
      </c>
      <c r="B73">
        <v>0.6660694382649478</v>
      </c>
      <c r="C73">
        <v>-425.6</v>
      </c>
      <c r="E73">
        <f t="shared" si="1"/>
        <v>0.23869793884573945</v>
      </c>
      <c r="F73">
        <f t="shared" si="2"/>
        <v>-300.50494629440624</v>
      </c>
      <c r="Y73">
        <v>16.131816740393752</v>
      </c>
      <c r="Z73">
        <v>16.131817121737818</v>
      </c>
      <c r="AA73">
        <v>1086.7070324666183</v>
      </c>
      <c r="AC73">
        <f t="shared" si="7"/>
        <v>-9.2792221283144158</v>
      </c>
      <c r="AD73">
        <f t="shared" si="8"/>
        <v>783.15505997870582</v>
      </c>
    </row>
    <row r="74" spans="1:30" x14ac:dyDescent="0.25">
      <c r="A74">
        <v>-0.92407204971919699</v>
      </c>
      <c r="B74">
        <v>0.66002088554964311</v>
      </c>
      <c r="C74">
        <v>-425.6</v>
      </c>
      <c r="E74">
        <f t="shared" si="1"/>
        <v>1.0992259097024379</v>
      </c>
      <c r="F74">
        <f t="shared" si="2"/>
        <v>-300.7431031223951</v>
      </c>
      <c r="Y74">
        <v>15.536512300626802</v>
      </c>
      <c r="Z74">
        <v>15.5365121841362</v>
      </c>
      <c r="AA74">
        <v>1089.0669004445078</v>
      </c>
      <c r="AC74">
        <f t="shared" si="7"/>
        <v>-8.936795765383593</v>
      </c>
      <c r="AD74">
        <f t="shared" si="8"/>
        <v>784.27990063307186</v>
      </c>
    </row>
    <row r="75" spans="1:30" x14ac:dyDescent="0.25">
      <c r="A75">
        <v>-0.94652448739648443</v>
      </c>
      <c r="B75">
        <v>0.65723994887254977</v>
      </c>
      <c r="C75">
        <v>-425.6</v>
      </c>
      <c r="E75">
        <f t="shared" si="1"/>
        <v>1.1191904674703166</v>
      </c>
      <c r="F75">
        <f t="shared" si="2"/>
        <v>-300.7506284795158</v>
      </c>
      <c r="Y75">
        <v>14.962411201838579</v>
      </c>
      <c r="Z75">
        <v>14.962410938129642</v>
      </c>
      <c r="AA75">
        <v>1091.3427146129784</v>
      </c>
      <c r="AC75">
        <f t="shared" si="7"/>
        <v>-8.6065657030871439</v>
      </c>
      <c r="AD75">
        <f t="shared" si="8"/>
        <v>785.3646767161074</v>
      </c>
    </row>
    <row r="76" spans="1:30" x14ac:dyDescent="0.25">
      <c r="A76">
        <v>-0.95661837205180444</v>
      </c>
      <c r="B76">
        <v>0.65504343425071576</v>
      </c>
      <c r="C76">
        <v>-425.6</v>
      </c>
      <c r="E76">
        <f t="shared" si="1"/>
        <v>1.1278267601706709</v>
      </c>
      <c r="F76">
        <f t="shared" si="2"/>
        <v>-300.75463632384361</v>
      </c>
      <c r="Y76">
        <v>14.408408131398954</v>
      </c>
      <c r="Z76">
        <v>14.408398501808431</v>
      </c>
      <c r="AA76">
        <v>1093.5388817151886</v>
      </c>
      <c r="AC76">
        <f t="shared" ref="AC76:AC107" si="9">($I$2*Y76)+($K$2*Z76)+($M$2*AA76)</f>
        <v>-8.2878995811323879</v>
      </c>
      <c r="AD76">
        <f t="shared" ref="AD76:AD107" si="10">($J$2*Y76)+($L$2*Z76)+($N$2*AA76)</f>
        <v>786.41148819537591</v>
      </c>
    </row>
    <row r="77" spans="1:30" x14ac:dyDescent="0.25">
      <c r="A77">
        <v>-0.96277636235019548</v>
      </c>
      <c r="B77">
        <v>0.65311837158907715</v>
      </c>
      <c r="C77">
        <v>-425.6</v>
      </c>
      <c r="E77">
        <f t="shared" si="1"/>
        <v>1.1328858586210109</v>
      </c>
      <c r="F77">
        <f t="shared" si="2"/>
        <v>-300.75746759861272</v>
      </c>
      <c r="Y77">
        <v>13.873452149496199</v>
      </c>
      <c r="Z77">
        <v>13.873435332462819</v>
      </c>
      <c r="AA77">
        <v>1095.6595378808254</v>
      </c>
      <c r="AC77">
        <f t="shared" si="9"/>
        <v>-7.9801888014710265</v>
      </c>
      <c r="AD77">
        <f t="shared" si="10"/>
        <v>787.42230719863062</v>
      </c>
    </row>
    <row r="78" spans="1:30" x14ac:dyDescent="0.25">
      <c r="A78">
        <v>-0.96711366301315582</v>
      </c>
      <c r="B78">
        <v>0.65133151599533168</v>
      </c>
      <c r="C78">
        <v>-425.6</v>
      </c>
      <c r="E78">
        <f t="shared" si="1"/>
        <v>1.1362947258485199</v>
      </c>
      <c r="F78">
        <f t="shared" si="2"/>
        <v>-300.75974626644489</v>
      </c>
      <c r="Y78">
        <v>13.356560521736014</v>
      </c>
      <c r="Z78">
        <v>13.35655216585174</v>
      </c>
      <c r="AA78">
        <v>1097.7085434188732</v>
      </c>
      <c r="AC78">
        <f t="shared" si="9"/>
        <v>-7.6828632557467333</v>
      </c>
      <c r="AD78">
        <f t="shared" si="10"/>
        <v>788.39897449619116</v>
      </c>
    </row>
    <row r="79" spans="1:30" x14ac:dyDescent="0.25">
      <c r="A79">
        <v>-0.9704449741014034</v>
      </c>
      <c r="B79">
        <v>0.64960306929904066</v>
      </c>
      <c r="C79">
        <v>-425.6</v>
      </c>
      <c r="E79">
        <f t="shared" si="1"/>
        <v>1.1387853527766327</v>
      </c>
      <c r="F79">
        <f t="shared" si="2"/>
        <v>-300.76173145397428</v>
      </c>
      <c r="Y79">
        <v>12.856867616921605</v>
      </c>
      <c r="Z79">
        <v>12.856847836660171</v>
      </c>
      <c r="AA79">
        <v>1099.6894231448846</v>
      </c>
      <c r="AC79">
        <f t="shared" si="9"/>
        <v>-7.395437756383763</v>
      </c>
      <c r="AD79">
        <f t="shared" si="10"/>
        <v>789.34316825805888</v>
      </c>
    </row>
    <row r="80" spans="1:30" x14ac:dyDescent="0.25">
      <c r="A80">
        <v>-0.97316295755994264</v>
      </c>
      <c r="B80">
        <v>0.64787515917025706</v>
      </c>
      <c r="C80">
        <v>-425.6</v>
      </c>
      <c r="E80">
        <f t="shared" si="1"/>
        <v>1.1407035813232174</v>
      </c>
      <c r="F80">
        <f t="shared" si="2"/>
        <v>-300.76356086736894</v>
      </c>
      <c r="Y80">
        <v>12.373482433622119</v>
      </c>
      <c r="Z80">
        <v>12.3734746953127</v>
      </c>
      <c r="AA80">
        <v>1101.605595235904</v>
      </c>
      <c r="AC80">
        <f t="shared" si="9"/>
        <v>-7.1173842523265645</v>
      </c>
      <c r="AD80">
        <f t="shared" si="10"/>
        <v>790.25652014843104</v>
      </c>
    </row>
    <row r="81" spans="1:30" x14ac:dyDescent="0.25">
      <c r="A81">
        <v>-0.97548425973761732</v>
      </c>
      <c r="B81">
        <v>0.64609551798116316</v>
      </c>
      <c r="C81">
        <v>-425.6</v>
      </c>
      <c r="E81">
        <f t="shared" si="1"/>
        <v>1.1422329372364177</v>
      </c>
      <c r="F81">
        <f t="shared" si="2"/>
        <v>-300.76532390977525</v>
      </c>
      <c r="Y81">
        <v>11.905644540601903</v>
      </c>
      <c r="Z81">
        <v>11.905644691581386</v>
      </c>
      <c r="AA81">
        <v>1103.4601466900888</v>
      </c>
      <c r="AC81">
        <f t="shared" si="9"/>
        <v>-6.8482752318021616</v>
      </c>
      <c r="AD81">
        <f t="shared" si="10"/>
        <v>791.14050008370623</v>
      </c>
    </row>
    <row r="82" spans="1:30" x14ac:dyDescent="0.25">
      <c r="A82">
        <v>-0.97754221948025699</v>
      </c>
      <c r="B82">
        <v>0.64420915459006822</v>
      </c>
      <c r="C82">
        <v>-425.6</v>
      </c>
      <c r="E82">
        <f t="shared" si="1"/>
        <v>1.1434781959901015</v>
      </c>
      <c r="F82">
        <f t="shared" si="2"/>
        <v>-300.76709067175437</v>
      </c>
      <c r="Y82">
        <v>11.452618414995149</v>
      </c>
      <c r="Z82">
        <v>11.452618197299191</v>
      </c>
      <c r="AA82">
        <v>1105.256004002144</v>
      </c>
      <c r="AC82">
        <f t="shared" si="9"/>
        <v>-6.5876890840894387</v>
      </c>
      <c r="AD82">
        <f t="shared" si="10"/>
        <v>791.99650276448472</v>
      </c>
    </row>
    <row r="83" spans="1:30" x14ac:dyDescent="0.25">
      <c r="A83">
        <v>-0.97943214157223091</v>
      </c>
      <c r="B83">
        <v>0.64215306466798072</v>
      </c>
      <c r="C83">
        <v>-425.6</v>
      </c>
      <c r="E83">
        <f t="shared" si="1"/>
        <v>1.1445057535333136</v>
      </c>
      <c r="F83">
        <f t="shared" si="2"/>
        <v>-300.76892689570275</v>
      </c>
      <c r="Y83">
        <v>10.853415338799763</v>
      </c>
      <c r="Z83">
        <v>10.853415689482986</v>
      </c>
      <c r="AA83">
        <v>1107.2773740076266</v>
      </c>
      <c r="AC83">
        <f t="shared" si="9"/>
        <v>-6.2430197947450088</v>
      </c>
      <c r="AD83">
        <f t="shared" si="10"/>
        <v>792.87842832939521</v>
      </c>
    </row>
    <row r="84" spans="1:30" x14ac:dyDescent="0.25">
      <c r="A84">
        <v>-0.98121358833140948</v>
      </c>
      <c r="B84">
        <v>0.63983277688984563</v>
      </c>
      <c r="C84">
        <v>-425.6</v>
      </c>
      <c r="E84">
        <f t="shared" ref="E84:E147" si="11">($I$2*A84)+($K$2*B84)+($M$2*C84)</f>
        <v>1.1453373605851243</v>
      </c>
      <c r="F84">
        <f t="shared" ref="F84:F147" si="12">($J$2*A84)+($L$2*B84)+($N$2*C84)</f>
        <v>-300.77091003937386</v>
      </c>
      <c r="Y84">
        <v>10.215422912273507</v>
      </c>
      <c r="Z84">
        <v>10.215422981971168</v>
      </c>
      <c r="AA84">
        <v>1109.3422744253996</v>
      </c>
      <c r="AC84">
        <f t="shared" si="9"/>
        <v>-5.8760386915025071</v>
      </c>
      <c r="AD84">
        <f t="shared" si="10"/>
        <v>793.75569814852383</v>
      </c>
    </row>
    <row r="85" spans="1:30" x14ac:dyDescent="0.25">
      <c r="A85">
        <v>-0.98293893125445497</v>
      </c>
      <c r="B85">
        <v>0.6371132264527013</v>
      </c>
      <c r="C85">
        <v>-425.6</v>
      </c>
      <c r="E85">
        <f t="shared" si="11"/>
        <v>1.1459735072532307</v>
      </c>
      <c r="F85">
        <f t="shared" si="12"/>
        <v>-300.77314253575668</v>
      </c>
      <c r="Y85">
        <v>9.592690518710727</v>
      </c>
      <c r="Z85">
        <v>9.5927007948488043</v>
      </c>
      <c r="AA85">
        <v>1111.3577566556964</v>
      </c>
      <c r="AC85">
        <f t="shared" si="9"/>
        <v>-5.5178315912619489</v>
      </c>
      <c r="AD85">
        <f t="shared" si="10"/>
        <v>794.6119716891518</v>
      </c>
    </row>
    <row r="86" spans="1:30" x14ac:dyDescent="0.25">
      <c r="A86">
        <v>-0.98465903878499272</v>
      </c>
      <c r="B86">
        <v>0.63377665784956227</v>
      </c>
      <c r="C86">
        <v>-425.6</v>
      </c>
      <c r="E86">
        <f t="shared" si="11"/>
        <v>1.146383646726387</v>
      </c>
      <c r="F86">
        <f t="shared" si="12"/>
        <v>-300.7757810244882</v>
      </c>
      <c r="Y86">
        <v>8.9845066915760228</v>
      </c>
      <c r="Z86">
        <v>8.9845067007544426</v>
      </c>
      <c r="AA86">
        <v>1113.3262066578775</v>
      </c>
      <c r="AC86">
        <f t="shared" si="9"/>
        <v>-5.1680003449629899</v>
      </c>
      <c r="AD86">
        <f t="shared" si="10"/>
        <v>795.44826568378858</v>
      </c>
    </row>
    <row r="87" spans="1:30" x14ac:dyDescent="0.25">
      <c r="A87">
        <v>-0.98645622718463155</v>
      </c>
      <c r="B87">
        <v>0.62944584680156934</v>
      </c>
      <c r="C87">
        <v>-425.6</v>
      </c>
      <c r="E87">
        <f t="shared" si="11"/>
        <v>1.1465094427638802</v>
      </c>
      <c r="F87">
        <f t="shared" si="12"/>
        <v>-300.77909538610351</v>
      </c>
      <c r="Y87">
        <v>8.3900948584101407</v>
      </c>
      <c r="Z87">
        <v>8.3900958251141482</v>
      </c>
      <c r="AA87">
        <v>1115.2500526154731</v>
      </c>
      <c r="AC87">
        <f t="shared" si="9"/>
        <v>-4.8260868989316403</v>
      </c>
      <c r="AD87">
        <f t="shared" si="10"/>
        <v>796.26560860830705</v>
      </c>
    </row>
    <row r="88" spans="1:30" x14ac:dyDescent="0.25">
      <c r="A88">
        <v>-0.98837882054583059</v>
      </c>
      <c r="B88">
        <v>0.62328516378705112</v>
      </c>
      <c r="C88">
        <v>-425.6</v>
      </c>
      <c r="E88">
        <f t="shared" si="11"/>
        <v>1.1460965469542976</v>
      </c>
      <c r="F88">
        <f t="shared" si="12"/>
        <v>-300.78364949949082</v>
      </c>
      <c r="Y88">
        <v>7.8087922659400295</v>
      </c>
      <c r="Z88">
        <v>7.8087922779068508</v>
      </c>
      <c r="AA88">
        <v>1117.1314748939722</v>
      </c>
      <c r="AC88">
        <f t="shared" si="9"/>
        <v>-4.4917147370055535</v>
      </c>
      <c r="AD88">
        <f t="shared" si="10"/>
        <v>797.06492808658106</v>
      </c>
    </row>
    <row r="89" spans="1:30" x14ac:dyDescent="0.25">
      <c r="A89">
        <v>-0.99056274292102831</v>
      </c>
      <c r="B89">
        <v>0.6131822198466047</v>
      </c>
      <c r="C89">
        <v>-425.6</v>
      </c>
      <c r="E89">
        <f t="shared" si="11"/>
        <v>1.1445148428324627</v>
      </c>
      <c r="F89">
        <f t="shared" si="12"/>
        <v>-300.79087228307043</v>
      </c>
      <c r="Y89">
        <v>7.2399532686190806</v>
      </c>
      <c r="Z89">
        <v>7.2399478631141276</v>
      </c>
      <c r="AA89">
        <v>1118.972570021255</v>
      </c>
      <c r="AC89">
        <f t="shared" si="9"/>
        <v>-4.1645133898179862</v>
      </c>
      <c r="AD89">
        <f t="shared" si="10"/>
        <v>797.8471150774642</v>
      </c>
    </row>
    <row r="90" spans="1:30" x14ac:dyDescent="0.25">
      <c r="A90">
        <v>-51.95493384947472</v>
      </c>
      <c r="B90">
        <v>-2.6446894177905137E-14</v>
      </c>
      <c r="C90">
        <v>-372.11900800000001</v>
      </c>
      <c r="E90">
        <f t="shared" si="11"/>
        <v>48.50410930182646</v>
      </c>
      <c r="F90">
        <f t="shared" si="12"/>
        <v>-276.29348318278556</v>
      </c>
      <c r="Y90">
        <v>6.6829319176681929</v>
      </c>
      <c r="Z90">
        <v>6.6829320928680502</v>
      </c>
      <c r="AA90">
        <v>1120.7753870723939</v>
      </c>
      <c r="AC90">
        <f t="shared" si="9"/>
        <v>-3.8441057588766911</v>
      </c>
      <c r="AD90">
        <f t="shared" si="10"/>
        <v>798.61303859864438</v>
      </c>
    </row>
    <row r="91" spans="1:30" x14ac:dyDescent="0.25">
      <c r="A91">
        <v>-51.151204694133455</v>
      </c>
      <c r="B91">
        <v>-8.7398324187638465</v>
      </c>
      <c r="C91">
        <v>-372.11900800000001</v>
      </c>
      <c r="E91">
        <f t="shared" si="11"/>
        <v>44.621687670912792</v>
      </c>
      <c r="F91">
        <f t="shared" si="12"/>
        <v>-281.85933682544606</v>
      </c>
      <c r="Y91">
        <v>6.1371595835446442</v>
      </c>
      <c r="Z91">
        <v>6.1371648955508551</v>
      </c>
      <c r="AA91">
        <v>1122.5417972188102</v>
      </c>
      <c r="AC91">
        <f t="shared" si="9"/>
        <v>-3.5301688618469029</v>
      </c>
      <c r="AD91">
        <f t="shared" si="10"/>
        <v>799.36349474580322</v>
      </c>
    </row>
    <row r="92" spans="1:30" x14ac:dyDescent="0.25">
      <c r="A92">
        <v>-48.323111795373556</v>
      </c>
      <c r="B92">
        <v>-19.021855936000655</v>
      </c>
      <c r="C92">
        <v>-372.11900800000001</v>
      </c>
      <c r="E92">
        <f t="shared" si="11"/>
        <v>38.296687811266111</v>
      </c>
      <c r="F92">
        <f t="shared" si="12"/>
        <v>-287.93027142518008</v>
      </c>
      <c r="Y92">
        <v>5.6020933894865808</v>
      </c>
      <c r="Z92">
        <v>5.6020932995541584</v>
      </c>
      <c r="AA92">
        <v>1124.2735846587325</v>
      </c>
      <c r="AC92">
        <f t="shared" si="9"/>
        <v>-3.2223940469112096</v>
      </c>
      <c r="AD92">
        <f t="shared" si="10"/>
        <v>800.09924253098472</v>
      </c>
    </row>
    <row r="93" spans="1:30" x14ac:dyDescent="0.25">
      <c r="A93">
        <v>-46.937555358809675</v>
      </c>
      <c r="B93">
        <v>-22.313887560236253</v>
      </c>
      <c r="C93">
        <v>-372.11900800000001</v>
      </c>
      <c r="E93">
        <f t="shared" si="11"/>
        <v>35.823400819267256</v>
      </c>
      <c r="F93">
        <f t="shared" si="12"/>
        <v>-289.75237053185356</v>
      </c>
      <c r="Y93">
        <v>5.077173269484013</v>
      </c>
      <c r="Z93">
        <v>5.0771700237201403</v>
      </c>
      <c r="AA93">
        <v>1125.9725276988102</v>
      </c>
      <c r="AC93">
        <f t="shared" si="9"/>
        <v>-2.9204545754314881</v>
      </c>
      <c r="AD93">
        <f t="shared" si="10"/>
        <v>800.82103620092585</v>
      </c>
    </row>
    <row r="94" spans="1:30" x14ac:dyDescent="0.25">
      <c r="A94">
        <v>-46.122271457370942</v>
      </c>
      <c r="B94">
        <v>-23.74736750747455</v>
      </c>
      <c r="C94">
        <v>-372.11900800000001</v>
      </c>
      <c r="E94">
        <f t="shared" si="11"/>
        <v>34.548554457439693</v>
      </c>
      <c r="F94">
        <f t="shared" si="12"/>
        <v>-290.49207295608051</v>
      </c>
      <c r="Y94">
        <v>4.5618813985127868</v>
      </c>
      <c r="Z94">
        <v>4.5618791950495003</v>
      </c>
      <c r="AA94">
        <v>1127.6402970607344</v>
      </c>
      <c r="AC94">
        <f t="shared" si="9"/>
        <v>-2.6240518884498263</v>
      </c>
      <c r="AD94">
        <f t="shared" si="10"/>
        <v>801.52958536617712</v>
      </c>
    </row>
    <row r="95" spans="1:30" x14ac:dyDescent="0.25">
      <c r="A95">
        <v>-45.565182665057186</v>
      </c>
      <c r="B95">
        <v>-24.5430748928394</v>
      </c>
      <c r="C95">
        <v>-372.11900800000001</v>
      </c>
      <c r="E95">
        <f t="shared" si="11"/>
        <v>33.743311240983353</v>
      </c>
      <c r="F95">
        <f t="shared" si="12"/>
        <v>-290.87618331001335</v>
      </c>
      <c r="AC95">
        <f t="shared" si="9"/>
        <v>0</v>
      </c>
      <c r="AD95">
        <f t="shared" si="10"/>
        <v>0</v>
      </c>
    </row>
    <row r="96" spans="1:30" x14ac:dyDescent="0.25">
      <c r="A96">
        <v>-45.144532126843785</v>
      </c>
      <c r="B96">
        <v>-25.062858336532905</v>
      </c>
      <c r="C96">
        <v>-372.11900800000001</v>
      </c>
      <c r="E96">
        <f t="shared" si="11"/>
        <v>33.164326405187772</v>
      </c>
      <c r="F96">
        <f t="shared" si="12"/>
        <v>-291.11271899818308</v>
      </c>
      <c r="AC96">
        <f t="shared" si="9"/>
        <v>0</v>
      </c>
      <c r="AD96">
        <f t="shared" si="10"/>
        <v>0</v>
      </c>
    </row>
    <row r="97" spans="1:30" x14ac:dyDescent="0.25">
      <c r="A97">
        <v>-44.800827685484336</v>
      </c>
      <c r="B97">
        <v>-25.44836138809347</v>
      </c>
      <c r="C97">
        <v>-372.11900800000001</v>
      </c>
      <c r="E97">
        <f t="shared" si="11"/>
        <v>32.705298728103223</v>
      </c>
      <c r="F97">
        <f t="shared" si="12"/>
        <v>-291.28010916731358</v>
      </c>
      <c r="AC97">
        <f t="shared" si="9"/>
        <v>0</v>
      </c>
      <c r="AD97">
        <f t="shared" si="10"/>
        <v>0</v>
      </c>
    </row>
    <row r="98" spans="1:30" x14ac:dyDescent="0.25">
      <c r="A98">
        <v>-44.499292990982212</v>
      </c>
      <c r="B98">
        <v>-25.766576580972679</v>
      </c>
      <c r="C98">
        <v>-372.11900800000001</v>
      </c>
      <c r="E98">
        <f t="shared" si="11"/>
        <v>32.309753713219941</v>
      </c>
      <c r="F98">
        <f t="shared" si="12"/>
        <v>-291.4137658584454</v>
      </c>
      <c r="AC98">
        <f t="shared" si="9"/>
        <v>0</v>
      </c>
      <c r="AD98">
        <f t="shared" si="10"/>
        <v>0</v>
      </c>
    </row>
    <row r="99" spans="1:30" x14ac:dyDescent="0.25">
      <c r="A99">
        <v>-44.215294235363871</v>
      </c>
      <c r="B99">
        <v>-26.054963719559286</v>
      </c>
      <c r="C99">
        <v>-372.11900800000001</v>
      </c>
      <c r="E99">
        <f t="shared" si="11"/>
        <v>31.941269326294574</v>
      </c>
      <c r="F99">
        <f t="shared" si="12"/>
        <v>-291.53217551068536</v>
      </c>
      <c r="AC99">
        <f t="shared" si="9"/>
        <v>0</v>
      </c>
      <c r="AD99">
        <f t="shared" si="10"/>
        <v>0</v>
      </c>
    </row>
    <row r="100" spans="1:30" x14ac:dyDescent="0.25">
      <c r="A100">
        <v>-43.926907181970229</v>
      </c>
      <c r="B100">
        <v>-26.338962173297514</v>
      </c>
      <c r="C100">
        <v>-372.11900800000001</v>
      </c>
      <c r="E100">
        <f t="shared" si="11"/>
        <v>31.570260874450859</v>
      </c>
      <c r="F100">
        <f t="shared" si="12"/>
        <v>-291.64657599790308</v>
      </c>
      <c r="AC100">
        <f t="shared" si="9"/>
        <v>0</v>
      </c>
      <c r="AD100">
        <f t="shared" si="10"/>
        <v>0</v>
      </c>
    </row>
    <row r="101" spans="1:30" x14ac:dyDescent="0.25">
      <c r="A101">
        <v>-43.608698313200463</v>
      </c>
      <c r="B101">
        <v>-26.64050854961615</v>
      </c>
      <c r="C101">
        <v>-372.11900800000001</v>
      </c>
      <c r="E101">
        <f t="shared" si="11"/>
        <v>31.165122746455463</v>
      </c>
      <c r="F101">
        <f t="shared" si="12"/>
        <v>-291.76500360971517</v>
      </c>
      <c r="AC101">
        <f t="shared" si="9"/>
        <v>0</v>
      </c>
      <c r="AD101">
        <f t="shared" si="10"/>
        <v>0</v>
      </c>
    </row>
    <row r="102" spans="1:30" x14ac:dyDescent="0.25">
      <c r="A102">
        <v>-43.223189163100784</v>
      </c>
      <c r="B102">
        <v>-26.984201598743947</v>
      </c>
      <c r="C102">
        <v>-372.11900800000001</v>
      </c>
      <c r="E102">
        <f t="shared" si="11"/>
        <v>30.682050376397928</v>
      </c>
      <c r="F102">
        <f t="shared" si="12"/>
        <v>-291.89419978248418</v>
      </c>
      <c r="AC102">
        <f t="shared" si="9"/>
        <v>0</v>
      </c>
      <c r="AD102">
        <f t="shared" si="10"/>
        <v>0</v>
      </c>
    </row>
    <row r="103" spans="1:30" x14ac:dyDescent="0.25">
      <c r="A103">
        <v>-42.703408632768308</v>
      </c>
      <c r="B103">
        <v>-27.404857569481617</v>
      </c>
      <c r="C103">
        <v>-372.11900800000001</v>
      </c>
      <c r="E103">
        <f t="shared" si="11"/>
        <v>30.046043829507951</v>
      </c>
      <c r="F103">
        <f t="shared" si="12"/>
        <v>-292.04017737964051</v>
      </c>
      <c r="AC103">
        <f t="shared" si="9"/>
        <v>0</v>
      </c>
      <c r="AD103">
        <f t="shared" si="10"/>
        <v>0</v>
      </c>
    </row>
    <row r="104" spans="1:30" x14ac:dyDescent="0.25">
      <c r="A104">
        <v>-41.907728471786193</v>
      </c>
      <c r="B104">
        <v>-27.9620044346489</v>
      </c>
      <c r="C104">
        <v>-372.11900800000001</v>
      </c>
      <c r="E104">
        <f t="shared" si="11"/>
        <v>29.103548825797315</v>
      </c>
      <c r="F104">
        <f t="shared" si="12"/>
        <v>-292.2063440368355</v>
      </c>
      <c r="AC104">
        <f t="shared" si="9"/>
        <v>0</v>
      </c>
      <c r="AD104">
        <f t="shared" si="10"/>
        <v>0</v>
      </c>
    </row>
    <row r="105" spans="1:30" x14ac:dyDescent="0.25">
      <c r="A105">
        <v>-40.474228269137548</v>
      </c>
      <c r="B105">
        <v>-28.77724786955779</v>
      </c>
      <c r="C105">
        <v>-372.11900800000001</v>
      </c>
      <c r="E105">
        <f t="shared" si="11"/>
        <v>27.473103977076196</v>
      </c>
      <c r="F105">
        <f t="shared" si="12"/>
        <v>-292.38126442506189</v>
      </c>
      <c r="AC105">
        <f t="shared" si="9"/>
        <v>0</v>
      </c>
      <c r="AD105">
        <f t="shared" si="10"/>
        <v>0</v>
      </c>
    </row>
    <row r="106" spans="1:30" x14ac:dyDescent="0.25">
      <c r="A106">
        <v>-37.182192909973224</v>
      </c>
      <c r="B106">
        <v>-30.162738728764115</v>
      </c>
      <c r="C106">
        <v>-372.11900800000001</v>
      </c>
      <c r="E106">
        <f t="shared" si="11"/>
        <v>23.903208684096175</v>
      </c>
      <c r="F106">
        <f t="shared" si="12"/>
        <v>-292.46166754717643</v>
      </c>
      <c r="AC106">
        <f t="shared" si="9"/>
        <v>0</v>
      </c>
      <c r="AD106">
        <f t="shared" si="10"/>
        <v>0</v>
      </c>
    </row>
    <row r="107" spans="1:30" x14ac:dyDescent="0.25">
      <c r="A107">
        <v>-24.914855143240175</v>
      </c>
      <c r="B107">
        <v>-33.334256070756311</v>
      </c>
      <c r="C107">
        <v>-372.11900800000001</v>
      </c>
      <c r="E107">
        <f t="shared" si="11"/>
        <v>11.314092093047201</v>
      </c>
      <c r="F107">
        <f t="shared" si="12"/>
        <v>-291.44671888082729</v>
      </c>
      <c r="AC107">
        <f t="shared" si="9"/>
        <v>0</v>
      </c>
      <c r="AD107">
        <f t="shared" si="10"/>
        <v>0</v>
      </c>
    </row>
    <row r="108" spans="1:30" x14ac:dyDescent="0.25">
      <c r="A108">
        <v>-3.4752725855704092E-16</v>
      </c>
      <c r="B108">
        <v>-34.636624275843509</v>
      </c>
      <c r="C108">
        <v>-372.11900800000001</v>
      </c>
      <c r="E108">
        <f t="shared" si="11"/>
        <v>-12.412656020905056</v>
      </c>
      <c r="F108">
        <f t="shared" si="12"/>
        <v>-285.99293149556343</v>
      </c>
      <c r="AC108">
        <f t="shared" ref="AC108:AC119" si="13">($I$2*Y108)+($K$2*Z108)+($M$2*AA108)</f>
        <v>0</v>
      </c>
      <c r="AD108">
        <f t="shared" ref="AD108:AD119" si="14">($J$2*Y108)+($L$2*Z108)+($N$2*AA108)</f>
        <v>0</v>
      </c>
    </row>
    <row r="109" spans="1:30" x14ac:dyDescent="0.25">
      <c r="A109">
        <v>24.914855143240132</v>
      </c>
      <c r="B109">
        <v>-33.334256070756339</v>
      </c>
      <c r="C109">
        <v>-372.11900800000001</v>
      </c>
      <c r="E109">
        <f t="shared" si="11"/>
        <v>-35.205950088437092</v>
      </c>
      <c r="F109">
        <f t="shared" si="12"/>
        <v>-278.81965068057821</v>
      </c>
      <c r="AC109">
        <f t="shared" si="13"/>
        <v>0</v>
      </c>
      <c r="AD109">
        <f t="shared" si="14"/>
        <v>0</v>
      </c>
    </row>
    <row r="110" spans="1:30" x14ac:dyDescent="0.25">
      <c r="A110">
        <v>37.182192909973182</v>
      </c>
      <c r="B110">
        <v>-30.162738728764108</v>
      </c>
      <c r="C110">
        <v>-372.11900800000001</v>
      </c>
      <c r="E110">
        <f t="shared" si="11"/>
        <v>-45.521926345891842</v>
      </c>
      <c r="F110">
        <f t="shared" si="12"/>
        <v>-273.61740443547876</v>
      </c>
      <c r="AC110">
        <f t="shared" si="13"/>
        <v>0</v>
      </c>
      <c r="AD110">
        <f t="shared" si="14"/>
        <v>0</v>
      </c>
    </row>
    <row r="111" spans="1:30" x14ac:dyDescent="0.25">
      <c r="A111">
        <v>40.474228269137498</v>
      </c>
      <c r="B111">
        <v>-28.777247869557776</v>
      </c>
      <c r="C111">
        <v>-372.11900800000001</v>
      </c>
      <c r="E111">
        <f t="shared" si="11"/>
        <v>-48.098790602216809</v>
      </c>
      <c r="F111">
        <f t="shared" si="12"/>
        <v>-271.86856877547422</v>
      </c>
      <c r="AC111">
        <f t="shared" si="13"/>
        <v>0</v>
      </c>
      <c r="AD111">
        <f t="shared" si="14"/>
        <v>0</v>
      </c>
    </row>
    <row r="112" spans="1:30" x14ac:dyDescent="0.25">
      <c r="A112">
        <v>41.907728471786264</v>
      </c>
      <c r="B112">
        <v>-27.962004434648914</v>
      </c>
      <c r="C112">
        <v>-372.11900800000001</v>
      </c>
      <c r="E112">
        <f t="shared" si="11"/>
        <v>-49.144921214640917</v>
      </c>
      <c r="F112">
        <f t="shared" si="12"/>
        <v>-270.96713784886219</v>
      </c>
      <c r="AC112">
        <f t="shared" si="13"/>
        <v>0</v>
      </c>
      <c r="AD112">
        <f t="shared" si="14"/>
        <v>0</v>
      </c>
    </row>
    <row r="113" spans="1:30" x14ac:dyDescent="0.25">
      <c r="A113">
        <v>42.703408632768294</v>
      </c>
      <c r="B113">
        <v>-27.404857569481631</v>
      </c>
      <c r="C113">
        <v>-372.11900800000001</v>
      </c>
      <c r="E113">
        <f t="shared" si="11"/>
        <v>-49.688089059020285</v>
      </c>
      <c r="F113">
        <f t="shared" si="12"/>
        <v>-270.39771347250553</v>
      </c>
      <c r="AC113">
        <f t="shared" si="13"/>
        <v>0</v>
      </c>
      <c r="AD113">
        <f t="shared" si="14"/>
        <v>0</v>
      </c>
    </row>
    <row r="114" spans="1:30" x14ac:dyDescent="0.25">
      <c r="A114">
        <v>43.223189163100812</v>
      </c>
      <c r="B114">
        <v>-26.984201598743951</v>
      </c>
      <c r="C114">
        <v>-372.11900800000001</v>
      </c>
      <c r="E114">
        <f t="shared" si="11"/>
        <v>-50.022596370515807</v>
      </c>
      <c r="F114">
        <f t="shared" si="12"/>
        <v>-269.98830652093648</v>
      </c>
      <c r="AC114">
        <f t="shared" si="13"/>
        <v>0</v>
      </c>
      <c r="AD114">
        <f t="shared" si="14"/>
        <v>0</v>
      </c>
    </row>
    <row r="115" spans="1:30" x14ac:dyDescent="0.25">
      <c r="A115">
        <v>43.608698313200485</v>
      </c>
      <c r="B115">
        <v>-26.640508549616197</v>
      </c>
      <c r="C115">
        <v>-372.11900800000001</v>
      </c>
      <c r="E115">
        <f t="shared" si="11"/>
        <v>-50.259331593995554</v>
      </c>
      <c r="F115">
        <f t="shared" si="12"/>
        <v>-269.66373091280082</v>
      </c>
      <c r="AC115">
        <f t="shared" si="13"/>
        <v>0</v>
      </c>
      <c r="AD115">
        <f t="shared" si="14"/>
        <v>0</v>
      </c>
    </row>
    <row r="116" spans="1:30" x14ac:dyDescent="0.25">
      <c r="A116">
        <v>43.926907181970208</v>
      </c>
      <c r="B116">
        <v>-26.338962173297496</v>
      </c>
      <c r="C116">
        <v>-372.11900800000001</v>
      </c>
      <c r="E116">
        <f t="shared" si="11"/>
        <v>-50.448340608842628</v>
      </c>
      <c r="F116">
        <f t="shared" si="12"/>
        <v>-269.38403224142286</v>
      </c>
      <c r="AC116">
        <f t="shared" si="13"/>
        <v>0</v>
      </c>
      <c r="AD116">
        <f t="shared" si="14"/>
        <v>0</v>
      </c>
    </row>
    <row r="117" spans="1:30" x14ac:dyDescent="0.25">
      <c r="A117">
        <v>44.215294235363928</v>
      </c>
      <c r="B117">
        <v>-26.054963719559332</v>
      </c>
      <c r="C117">
        <v>-372.11900800000001</v>
      </c>
      <c r="E117">
        <f t="shared" si="11"/>
        <v>-50.615797173606033</v>
      </c>
      <c r="F117">
        <f t="shared" si="12"/>
        <v>-269.12347465353832</v>
      </c>
      <c r="AC117">
        <f t="shared" si="13"/>
        <v>0</v>
      </c>
      <c r="AD117">
        <f t="shared" si="14"/>
        <v>0</v>
      </c>
    </row>
    <row r="118" spans="1:30" x14ac:dyDescent="0.25">
      <c r="A118">
        <v>44.499292990982127</v>
      </c>
      <c r="B118">
        <v>-25.766576580972657</v>
      </c>
      <c r="C118">
        <v>-372.11900800000001</v>
      </c>
      <c r="E118">
        <f t="shared" si="11"/>
        <v>-50.7775841454702</v>
      </c>
      <c r="F118">
        <f t="shared" si="12"/>
        <v>-268.86113192862496</v>
      </c>
      <c r="AC118">
        <f t="shared" si="13"/>
        <v>0</v>
      </c>
      <c r="AD118">
        <f t="shared" si="14"/>
        <v>0</v>
      </c>
    </row>
    <row r="119" spans="1:30" x14ac:dyDescent="0.25">
      <c r="A119">
        <v>44.800827685484307</v>
      </c>
      <c r="B119">
        <v>-25.448361388093488</v>
      </c>
      <c r="C119">
        <v>-372.11900800000001</v>
      </c>
      <c r="E119">
        <f t="shared" si="11"/>
        <v>-50.94505290798098</v>
      </c>
      <c r="F119">
        <f t="shared" si="12"/>
        <v>-268.57465479642178</v>
      </c>
      <c r="AC119">
        <f t="shared" si="13"/>
        <v>0</v>
      </c>
      <c r="AD119">
        <f t="shared" si="14"/>
        <v>0</v>
      </c>
    </row>
    <row r="120" spans="1:30" x14ac:dyDescent="0.25">
      <c r="A120">
        <v>45.144532126843757</v>
      </c>
      <c r="B120">
        <v>-25.062858336532905</v>
      </c>
      <c r="C120">
        <v>-372.11900800000001</v>
      </c>
      <c r="E120">
        <f t="shared" si="11"/>
        <v>-51.127776708803097</v>
      </c>
      <c r="F120">
        <f t="shared" si="12"/>
        <v>-268.23307218680452</v>
      </c>
      <c r="Y120" t="e">
        <v>#N/A</v>
      </c>
      <c r="Z120" t="e">
        <v>#N/A</v>
      </c>
      <c r="AA120" t="e">
        <v>#N/A</v>
      </c>
    </row>
    <row r="121" spans="1:30" x14ac:dyDescent="0.25">
      <c r="A121">
        <v>45.565182665057165</v>
      </c>
      <c r="B121">
        <v>-24.543074892839417</v>
      </c>
      <c r="C121">
        <v>-372.11900800000001</v>
      </c>
      <c r="E121">
        <f t="shared" si="11"/>
        <v>-51.334214090750613</v>
      </c>
      <c r="F121">
        <f t="shared" si="12"/>
        <v>-267.78334709801595</v>
      </c>
      <c r="Y121" t="e">
        <v>#N/A</v>
      </c>
      <c r="Z121" t="e">
        <v>#N/A</v>
      </c>
      <c r="AA121" t="e">
        <v>#N/A</v>
      </c>
    </row>
    <row r="122" spans="1:30" x14ac:dyDescent="0.25">
      <c r="A122">
        <v>46.122271457370942</v>
      </c>
      <c r="B122">
        <v>-23.747367507474554</v>
      </c>
      <c r="C122">
        <v>-372.11900800000001</v>
      </c>
      <c r="E122">
        <f t="shared" si="11"/>
        <v>-51.569145258944459</v>
      </c>
      <c r="F122">
        <f t="shared" si="12"/>
        <v>-267.11689923364213</v>
      </c>
      <c r="Y122" t="e">
        <v>#N/A</v>
      </c>
      <c r="Z122" t="e">
        <v>#N/A</v>
      </c>
      <c r="AA122" t="e">
        <v>#N/A</v>
      </c>
    </row>
    <row r="123" spans="1:30" x14ac:dyDescent="0.25">
      <c r="A123">
        <v>46.937555358809618</v>
      </c>
      <c r="B123">
        <v>-22.313887560236225</v>
      </c>
      <c r="C123">
        <v>-372.11900800000001</v>
      </c>
      <c r="E123">
        <f t="shared" si="11"/>
        <v>-51.81656508195978</v>
      </c>
      <c r="F123">
        <f t="shared" si="12"/>
        <v>-265.9640037417916</v>
      </c>
      <c r="Y123" t="e">
        <v>#N/A</v>
      </c>
      <c r="Z123" t="e">
        <v>#N/A</v>
      </c>
      <c r="AA123" t="e">
        <v>#N/A</v>
      </c>
    </row>
    <row r="124" spans="1:30" x14ac:dyDescent="0.25">
      <c r="A124">
        <v>48.323111795373457</v>
      </c>
      <c r="B124">
        <v>-19.021855936000662</v>
      </c>
      <c r="C124">
        <v>-372.11900800000001</v>
      </c>
      <c r="E124">
        <f t="shared" si="11"/>
        <v>-51.93033482792741</v>
      </c>
      <c r="F124">
        <f t="shared" si="12"/>
        <v>-263.43969241998786</v>
      </c>
      <c r="Y124" t="e">
        <v>#N/A</v>
      </c>
      <c r="Z124" t="e">
        <v>#N/A</v>
      </c>
      <c r="AA124" t="e">
        <v>#N/A</v>
      </c>
    </row>
    <row r="125" spans="1:30" x14ac:dyDescent="0.25">
      <c r="A125">
        <v>51.15120469413349</v>
      </c>
      <c r="B125">
        <v>-8.7398324187638661</v>
      </c>
      <c r="C125">
        <v>-372.11900800000001</v>
      </c>
      <c r="E125">
        <f t="shared" si="11"/>
        <v>-50.885839317476808</v>
      </c>
      <c r="F125">
        <f t="shared" si="12"/>
        <v>-255.93545541074849</v>
      </c>
      <c r="Y125" t="e">
        <v>#N/A</v>
      </c>
      <c r="Z125" t="e">
        <v>#N/A</v>
      </c>
      <c r="AA125" t="e">
        <v>#N/A</v>
      </c>
    </row>
    <row r="126" spans="1:30" x14ac:dyDescent="0.25">
      <c r="A126">
        <v>51.954933849474777</v>
      </c>
      <c r="B126">
        <v>-1.9628037229662184E-15</v>
      </c>
      <c r="C126">
        <v>-372.11900800000001</v>
      </c>
      <c r="E126">
        <f t="shared" si="11"/>
        <v>-48.50410930182661</v>
      </c>
      <c r="F126">
        <f t="shared" si="12"/>
        <v>-249.96226474763668</v>
      </c>
      <c r="Y126" t="e">
        <v>#N/A</v>
      </c>
      <c r="Z126" t="e">
        <v>#N/A</v>
      </c>
      <c r="AA126" t="e">
        <v>#N/A</v>
      </c>
    </row>
    <row r="127" spans="1:30" x14ac:dyDescent="0.25">
      <c r="A127">
        <v>51.151204694133483</v>
      </c>
      <c r="B127">
        <v>8.7398324187638661</v>
      </c>
      <c r="C127">
        <v>-372.11900800000001</v>
      </c>
      <c r="E127">
        <f t="shared" si="11"/>
        <v>-44.621687670912898</v>
      </c>
      <c r="F127">
        <f t="shared" si="12"/>
        <v>-244.39641110497615</v>
      </c>
      <c r="Y127" t="e">
        <v>#N/A</v>
      </c>
      <c r="Z127" t="e">
        <v>#N/A</v>
      </c>
      <c r="AA127" t="e">
        <v>#N/A</v>
      </c>
    </row>
    <row r="128" spans="1:30" x14ac:dyDescent="0.25">
      <c r="A128">
        <v>48.323111795373535</v>
      </c>
      <c r="B128">
        <v>19.021855936000623</v>
      </c>
      <c r="C128">
        <v>-372.11900800000001</v>
      </c>
      <c r="E128">
        <f t="shared" si="11"/>
        <v>-38.296687811266182</v>
      </c>
      <c r="F128">
        <f t="shared" si="12"/>
        <v>-238.32547650524214</v>
      </c>
    </row>
    <row r="129" spans="1:6" x14ac:dyDescent="0.25">
      <c r="A129">
        <v>46.937555358809647</v>
      </c>
      <c r="B129">
        <v>22.313887560236253</v>
      </c>
      <c r="C129">
        <v>-372.11900800000001</v>
      </c>
      <c r="E129">
        <f t="shared" si="11"/>
        <v>-35.82340081926732</v>
      </c>
      <c r="F129">
        <f t="shared" si="12"/>
        <v>-236.50337739856869</v>
      </c>
    </row>
    <row r="130" spans="1:6" x14ac:dyDescent="0.25">
      <c r="A130">
        <v>46.122271457370921</v>
      </c>
      <c r="B130">
        <v>23.747367507474522</v>
      </c>
      <c r="C130">
        <v>-372.11900800000001</v>
      </c>
      <c r="E130">
        <f t="shared" si="11"/>
        <v>-34.548554457439771</v>
      </c>
      <c r="F130">
        <f t="shared" si="12"/>
        <v>-235.76367497434177</v>
      </c>
    </row>
    <row r="131" spans="1:6" x14ac:dyDescent="0.25">
      <c r="A131">
        <v>45.565182665057115</v>
      </c>
      <c r="B131">
        <v>24.543074892839392</v>
      </c>
      <c r="C131">
        <v>-372.11900800000001</v>
      </c>
      <c r="E131">
        <f t="shared" si="11"/>
        <v>-33.743311240983374</v>
      </c>
      <c r="F131">
        <f t="shared" si="12"/>
        <v>-235.37956462040893</v>
      </c>
    </row>
    <row r="132" spans="1:6" x14ac:dyDescent="0.25">
      <c r="A132">
        <v>45.144532126843757</v>
      </c>
      <c r="B132">
        <v>25.062858336532909</v>
      </c>
      <c r="C132">
        <v>-372.11900800000001</v>
      </c>
      <c r="E132">
        <f t="shared" si="11"/>
        <v>-33.164326405187836</v>
      </c>
      <c r="F132">
        <f t="shared" si="12"/>
        <v>-235.14302893223916</v>
      </c>
    </row>
    <row r="133" spans="1:6" x14ac:dyDescent="0.25">
      <c r="A133">
        <v>44.800827685484286</v>
      </c>
      <c r="B133">
        <v>25.448361388093446</v>
      </c>
      <c r="C133">
        <v>-372.11900800000001</v>
      </c>
      <c r="E133">
        <f t="shared" si="11"/>
        <v>-32.705298728103266</v>
      </c>
      <c r="F133">
        <f t="shared" si="12"/>
        <v>-234.97563876310869</v>
      </c>
    </row>
    <row r="134" spans="1:6" x14ac:dyDescent="0.25">
      <c r="A134">
        <v>44.499292990982163</v>
      </c>
      <c r="B134">
        <v>25.766576580972657</v>
      </c>
      <c r="C134">
        <v>-372.11900800000001</v>
      </c>
      <c r="E134">
        <f t="shared" si="11"/>
        <v>-32.309753713219983</v>
      </c>
      <c r="F134">
        <f t="shared" si="12"/>
        <v>-234.84198207197682</v>
      </c>
    </row>
    <row r="135" spans="1:6" x14ac:dyDescent="0.25">
      <c r="A135">
        <v>44.215294235363956</v>
      </c>
      <c r="B135">
        <v>26.054963719559336</v>
      </c>
      <c r="C135">
        <v>-372.11900800000001</v>
      </c>
      <c r="E135">
        <f t="shared" si="11"/>
        <v>-31.941269326294726</v>
      </c>
      <c r="F135">
        <f t="shared" si="12"/>
        <v>-234.7235724197368</v>
      </c>
    </row>
    <row r="136" spans="1:6" x14ac:dyDescent="0.25">
      <c r="A136">
        <v>43.926907181970236</v>
      </c>
      <c r="B136">
        <v>26.338962173297546</v>
      </c>
      <c r="C136">
        <v>-372.11900800000001</v>
      </c>
      <c r="E136">
        <f t="shared" si="11"/>
        <v>-31.570260874450948</v>
      </c>
      <c r="F136">
        <f t="shared" si="12"/>
        <v>-234.6091719325191</v>
      </c>
    </row>
    <row r="137" spans="1:6" x14ac:dyDescent="0.25">
      <c r="A137">
        <v>43.608698313200556</v>
      </c>
      <c r="B137">
        <v>26.640508549616211</v>
      </c>
      <c r="C137">
        <v>-372.11900800000001</v>
      </c>
      <c r="E137">
        <f t="shared" si="11"/>
        <v>-31.165122746455619</v>
      </c>
      <c r="F137">
        <f t="shared" si="12"/>
        <v>-234.49074432070699</v>
      </c>
    </row>
    <row r="138" spans="1:6" x14ac:dyDescent="0.25">
      <c r="A138">
        <v>43.223189163100869</v>
      </c>
      <c r="B138">
        <v>26.984201598743983</v>
      </c>
      <c r="C138">
        <v>-372.11900800000001</v>
      </c>
      <c r="E138">
        <f t="shared" si="11"/>
        <v>-30.682050376398092</v>
      </c>
      <c r="F138">
        <f t="shared" si="12"/>
        <v>-234.36154814793798</v>
      </c>
    </row>
    <row r="139" spans="1:6" x14ac:dyDescent="0.25">
      <c r="A139">
        <v>42.703408632768294</v>
      </c>
      <c r="B139">
        <v>27.404857569481599</v>
      </c>
      <c r="C139">
        <v>-372.11900800000001</v>
      </c>
      <c r="E139">
        <f t="shared" si="11"/>
        <v>-30.046043829508033</v>
      </c>
      <c r="F139">
        <f t="shared" si="12"/>
        <v>-234.21557055078173</v>
      </c>
    </row>
    <row r="140" spans="1:6" x14ac:dyDescent="0.25">
      <c r="A140">
        <v>41.907728471786221</v>
      </c>
      <c r="B140">
        <v>27.962004434648918</v>
      </c>
      <c r="C140">
        <v>-372.11900800000001</v>
      </c>
      <c r="E140">
        <f t="shared" si="11"/>
        <v>-29.103548825797422</v>
      </c>
      <c r="F140">
        <f t="shared" si="12"/>
        <v>-234.04940389358669</v>
      </c>
    </row>
    <row r="141" spans="1:6" x14ac:dyDescent="0.25">
      <c r="A141">
        <v>40.474228269137519</v>
      </c>
      <c r="B141">
        <v>28.777247869557797</v>
      </c>
      <c r="C141">
        <v>-372.11900800000001</v>
      </c>
      <c r="E141">
        <f t="shared" si="11"/>
        <v>-27.473103977076267</v>
      </c>
      <c r="F141">
        <f t="shared" si="12"/>
        <v>-233.87448350536033</v>
      </c>
    </row>
    <row r="142" spans="1:6" x14ac:dyDescent="0.25">
      <c r="A142">
        <v>37.182192909973232</v>
      </c>
      <c r="B142">
        <v>30.162738728764161</v>
      </c>
      <c r="C142">
        <v>-372.11900800000001</v>
      </c>
      <c r="E142">
        <f t="shared" si="11"/>
        <v>-23.90320868409626</v>
      </c>
      <c r="F142">
        <f t="shared" si="12"/>
        <v>-233.79408038324578</v>
      </c>
    </row>
    <row r="143" spans="1:6" x14ac:dyDescent="0.25">
      <c r="A143">
        <v>24.914855143240096</v>
      </c>
      <c r="B143">
        <v>33.334256070756304</v>
      </c>
      <c r="C143">
        <v>-372.11900800000001</v>
      </c>
      <c r="E143">
        <f t="shared" si="11"/>
        <v>-11.314092093047222</v>
      </c>
      <c r="F143">
        <f t="shared" si="12"/>
        <v>-234.80902904959495</v>
      </c>
    </row>
    <row r="144" spans="1:6" x14ac:dyDescent="0.25">
      <c r="A144">
        <v>1.2229079164396745E-14</v>
      </c>
      <c r="B144">
        <v>34.636624275843488</v>
      </c>
      <c r="C144">
        <v>-372.11900800000001</v>
      </c>
      <c r="E144">
        <f t="shared" si="11"/>
        <v>12.412656020904945</v>
      </c>
      <c r="F144">
        <f t="shared" si="12"/>
        <v>-240.26281643485879</v>
      </c>
    </row>
    <row r="145" spans="1:6" x14ac:dyDescent="0.25">
      <c r="A145">
        <v>-24.914855143240132</v>
      </c>
      <c r="B145">
        <v>33.334256070756346</v>
      </c>
      <c r="C145">
        <v>-372.11900800000001</v>
      </c>
      <c r="E145">
        <f t="shared" si="11"/>
        <v>35.205950088437007</v>
      </c>
      <c r="F145">
        <f t="shared" si="12"/>
        <v>-247.43609724984401</v>
      </c>
    </row>
    <row r="146" spans="1:6" x14ac:dyDescent="0.25">
      <c r="A146">
        <v>-37.182192909973267</v>
      </c>
      <c r="B146">
        <v>30.162738728764165</v>
      </c>
      <c r="C146">
        <v>-372.11900800000001</v>
      </c>
      <c r="E146">
        <f t="shared" si="11"/>
        <v>45.521926345891856</v>
      </c>
      <c r="F146">
        <f t="shared" si="12"/>
        <v>-252.63834349494343</v>
      </c>
    </row>
    <row r="147" spans="1:6" x14ac:dyDescent="0.25">
      <c r="A147">
        <v>-40.474228269137498</v>
      </c>
      <c r="B147">
        <v>28.777247869557751</v>
      </c>
      <c r="C147">
        <v>-372.11900800000001</v>
      </c>
      <c r="E147">
        <f t="shared" si="11"/>
        <v>48.098790602216717</v>
      </c>
      <c r="F147">
        <f t="shared" si="12"/>
        <v>-254.38717915494803</v>
      </c>
    </row>
    <row r="148" spans="1:6" x14ac:dyDescent="0.25">
      <c r="A148">
        <v>-41.907728471786214</v>
      </c>
      <c r="B148">
        <v>27.962004434648851</v>
      </c>
      <c r="C148">
        <v>-372.11900800000001</v>
      </c>
      <c r="E148">
        <f t="shared" ref="E148:E211" si="15">($I$2*A148)+($K$2*B148)+($M$2*C148)</f>
        <v>49.144921214640753</v>
      </c>
      <c r="F148">
        <f t="shared" ref="F148:F211" si="16">($J$2*A148)+($L$2*B148)+($N$2*C148)</f>
        <v>-255.28861008156005</v>
      </c>
    </row>
    <row r="149" spans="1:6" x14ac:dyDescent="0.25">
      <c r="A149">
        <v>-42.703408632768266</v>
      </c>
      <c r="B149">
        <v>27.404857569481592</v>
      </c>
      <c r="C149">
        <v>-372.11900800000001</v>
      </c>
      <c r="E149">
        <f t="shared" si="15"/>
        <v>49.688089059020157</v>
      </c>
      <c r="F149">
        <f t="shared" si="16"/>
        <v>-255.85803445791674</v>
      </c>
    </row>
    <row r="150" spans="1:6" x14ac:dyDescent="0.25">
      <c r="A150">
        <v>-43.223189163100784</v>
      </c>
      <c r="B150">
        <v>26.984201598743944</v>
      </c>
      <c r="C150">
        <v>-372.11900800000001</v>
      </c>
      <c r="E150">
        <f t="shared" si="15"/>
        <v>50.022596370515693</v>
      </c>
      <c r="F150">
        <f t="shared" si="16"/>
        <v>-256.26744140948568</v>
      </c>
    </row>
    <row r="151" spans="1:6" x14ac:dyDescent="0.25">
      <c r="A151">
        <v>-43.608698313200463</v>
      </c>
      <c r="B151">
        <v>26.640508549616143</v>
      </c>
      <c r="C151">
        <v>-372.11900800000001</v>
      </c>
      <c r="E151">
        <f t="shared" si="15"/>
        <v>50.259331593995427</v>
      </c>
      <c r="F151">
        <f t="shared" si="16"/>
        <v>-256.59201701762146</v>
      </c>
    </row>
    <row r="152" spans="1:6" x14ac:dyDescent="0.25">
      <c r="A152">
        <v>-43.926907181970158</v>
      </c>
      <c r="B152">
        <v>26.338962173297467</v>
      </c>
      <c r="C152">
        <v>-372.11900800000001</v>
      </c>
      <c r="E152">
        <f t="shared" si="15"/>
        <v>50.448340608842493</v>
      </c>
      <c r="F152">
        <f t="shared" si="16"/>
        <v>-256.87171568899936</v>
      </c>
    </row>
    <row r="153" spans="1:6" x14ac:dyDescent="0.25">
      <c r="A153">
        <v>-44.215294235363942</v>
      </c>
      <c r="B153">
        <v>26.054963719559307</v>
      </c>
      <c r="C153">
        <v>-372.11900800000001</v>
      </c>
      <c r="E153">
        <f t="shared" si="15"/>
        <v>50.615797173605955</v>
      </c>
      <c r="F153">
        <f t="shared" si="16"/>
        <v>-257.13227327688389</v>
      </c>
    </row>
    <row r="154" spans="1:6" x14ac:dyDescent="0.25">
      <c r="A154">
        <v>-44.499292990982106</v>
      </c>
      <c r="B154">
        <v>25.766576580972604</v>
      </c>
      <c r="C154">
        <v>-372.11900800000001</v>
      </c>
      <c r="E154">
        <f t="shared" si="15"/>
        <v>50.77758414547008</v>
      </c>
      <c r="F154">
        <f t="shared" si="16"/>
        <v>-257.39461600179726</v>
      </c>
    </row>
    <row r="155" spans="1:6" x14ac:dyDescent="0.25">
      <c r="A155">
        <v>-44.800827685484329</v>
      </c>
      <c r="B155">
        <v>25.448361388093463</v>
      </c>
      <c r="C155">
        <v>-372.11900800000001</v>
      </c>
      <c r="E155">
        <f t="shared" si="15"/>
        <v>50.945052907980909</v>
      </c>
      <c r="F155">
        <f t="shared" si="16"/>
        <v>-257.68109313400049</v>
      </c>
    </row>
    <row r="156" spans="1:6" x14ac:dyDescent="0.25">
      <c r="A156">
        <v>-45.144532126843785</v>
      </c>
      <c r="B156">
        <v>25.062858336532909</v>
      </c>
      <c r="C156">
        <v>-372.11900800000001</v>
      </c>
      <c r="E156">
        <f t="shared" si="15"/>
        <v>51.12777670880304</v>
      </c>
      <c r="F156">
        <f t="shared" si="16"/>
        <v>-258.0226757436177</v>
      </c>
    </row>
    <row r="157" spans="1:6" x14ac:dyDescent="0.25">
      <c r="A157">
        <v>-45.565182665057137</v>
      </c>
      <c r="B157">
        <v>24.543074892839361</v>
      </c>
      <c r="C157">
        <v>-372.11900800000001</v>
      </c>
      <c r="E157">
        <f t="shared" si="15"/>
        <v>51.334214090750486</v>
      </c>
      <c r="F157">
        <f t="shared" si="16"/>
        <v>-258.47240083240627</v>
      </c>
    </row>
    <row r="158" spans="1:6" x14ac:dyDescent="0.25">
      <c r="A158">
        <v>-46.122271457370893</v>
      </c>
      <c r="B158">
        <v>23.747367507474518</v>
      </c>
      <c r="C158">
        <v>-372.11900800000001</v>
      </c>
      <c r="E158">
        <f t="shared" si="15"/>
        <v>51.569145258944324</v>
      </c>
      <c r="F158">
        <f t="shared" si="16"/>
        <v>-259.13884869678009</v>
      </c>
    </row>
    <row r="159" spans="1:6" x14ac:dyDescent="0.25">
      <c r="A159">
        <v>-46.937555358809703</v>
      </c>
      <c r="B159">
        <v>22.313887560236253</v>
      </c>
      <c r="C159">
        <v>-372.11900800000001</v>
      </c>
      <c r="E159">
        <f t="shared" si="15"/>
        <v>51.816565081959787</v>
      </c>
      <c r="F159">
        <f t="shared" si="16"/>
        <v>-260.29174418863062</v>
      </c>
    </row>
    <row r="160" spans="1:6" x14ac:dyDescent="0.25">
      <c r="A160">
        <v>-48.323111795373549</v>
      </c>
      <c r="B160">
        <v>19.021855936000645</v>
      </c>
      <c r="C160">
        <v>-372.11900800000001</v>
      </c>
      <c r="E160">
        <f t="shared" si="15"/>
        <v>51.930334827927403</v>
      </c>
      <c r="F160">
        <f t="shared" si="16"/>
        <v>-262.81605551043435</v>
      </c>
    </row>
    <row r="161" spans="1:6" x14ac:dyDescent="0.25">
      <c r="A161">
        <v>-95.656293293969156</v>
      </c>
      <c r="B161">
        <v>-2.4645128856943903E-14</v>
      </c>
      <c r="C161">
        <v>-318.63801599999999</v>
      </c>
      <c r="E161">
        <f t="shared" si="15"/>
        <v>89.302843090525087</v>
      </c>
      <c r="F161">
        <f t="shared" si="16"/>
        <v>-249.550828162513</v>
      </c>
    </row>
    <row r="162" spans="1:6" x14ac:dyDescent="0.25">
      <c r="A162">
        <v>-93.866394157373463</v>
      </c>
      <c r="B162">
        <v>-16.001355669872169</v>
      </c>
      <c r="C162">
        <v>-318.63801599999999</v>
      </c>
      <c r="E162">
        <f t="shared" si="15"/>
        <v>81.897455269837963</v>
      </c>
      <c r="F162">
        <f t="shared" si="16"/>
        <v>-259.66041157178745</v>
      </c>
    </row>
    <row r="163" spans="1:6" x14ac:dyDescent="0.25">
      <c r="A163">
        <v>-91.288977534011067</v>
      </c>
      <c r="B163">
        <v>-28.125741127029126</v>
      </c>
      <c r="C163">
        <v>-318.63801599999999</v>
      </c>
      <c r="E163">
        <f t="shared" si="15"/>
        <v>75.146238403560133</v>
      </c>
      <c r="F163">
        <f t="shared" si="16"/>
        <v>-267.01108739066933</v>
      </c>
    </row>
    <row r="164" spans="1:6" x14ac:dyDescent="0.25">
      <c r="A164">
        <v>-89.445228339075484</v>
      </c>
      <c r="B164">
        <v>-34.21613876858725</v>
      </c>
      <c r="C164">
        <v>-318.63801599999999</v>
      </c>
      <c r="E164">
        <f t="shared" si="15"/>
        <v>71.24234692907757</v>
      </c>
      <c r="F164">
        <f t="shared" si="16"/>
        <v>-270.56439471495082</v>
      </c>
    </row>
    <row r="165" spans="1:6" x14ac:dyDescent="0.25">
      <c r="A165">
        <v>-88.349171576582791</v>
      </c>
      <c r="B165">
        <v>-37.466969376552989</v>
      </c>
      <c r="C165">
        <v>-318.63801599999999</v>
      </c>
      <c r="E165">
        <f t="shared" si="15"/>
        <v>69.054096289988721</v>
      </c>
      <c r="F165">
        <f t="shared" si="16"/>
        <v>-272.43265583278469</v>
      </c>
    </row>
    <row r="166" spans="1:6" x14ac:dyDescent="0.25">
      <c r="A166">
        <v>-87.560744282177922</v>
      </c>
      <c r="B166">
        <v>-39.760255640057395</v>
      </c>
      <c r="C166">
        <v>-318.63801599999999</v>
      </c>
      <c r="E166">
        <f t="shared" si="15"/>
        <v>67.496195704243718</v>
      </c>
      <c r="F166">
        <f t="shared" si="16"/>
        <v>-273.74675728432413</v>
      </c>
    </row>
    <row r="167" spans="1:6" x14ac:dyDescent="0.25">
      <c r="A167">
        <v>-86.90765925272558</v>
      </c>
      <c r="B167">
        <v>-41.652366703716133</v>
      </c>
      <c r="C167">
        <v>-318.63801599999999</v>
      </c>
      <c r="E167">
        <f t="shared" si="15"/>
        <v>66.208416341713303</v>
      </c>
      <c r="F167">
        <f t="shared" si="16"/>
        <v>-274.83032284449001</v>
      </c>
    </row>
    <row r="168" spans="1:6" x14ac:dyDescent="0.25">
      <c r="A168">
        <v>-86.301098760870588</v>
      </c>
      <c r="B168">
        <v>-43.371668350650538</v>
      </c>
      <c r="C168">
        <v>-318.63801599999999</v>
      </c>
      <c r="E168">
        <f t="shared" si="15"/>
        <v>65.026000733169226</v>
      </c>
      <c r="F168">
        <f t="shared" si="16"/>
        <v>-275.81159933766156</v>
      </c>
    </row>
    <row r="169" spans="1:6" x14ac:dyDescent="0.25">
      <c r="A169">
        <v>-85.680523366658832</v>
      </c>
      <c r="B169">
        <v>-45.039946066798713</v>
      </c>
      <c r="C169">
        <v>-318.63801599999999</v>
      </c>
      <c r="E169">
        <f t="shared" si="15"/>
        <v>63.848786427559212</v>
      </c>
      <c r="F169">
        <f t="shared" si="16"/>
        <v>-276.75564140154557</v>
      </c>
    </row>
    <row r="170" spans="1:6" x14ac:dyDescent="0.25">
      <c r="A170">
        <v>-84.990859454275835</v>
      </c>
      <c r="B170">
        <v>-46.741607131890021</v>
      </c>
      <c r="C170">
        <v>-318.63801599999999</v>
      </c>
      <c r="E170">
        <f t="shared" si="15"/>
        <v>62.595108911379114</v>
      </c>
      <c r="F170">
        <f t="shared" si="16"/>
        <v>-277.70421384946815</v>
      </c>
    </row>
    <row r="171" spans="1:6" x14ac:dyDescent="0.25">
      <c r="A171">
        <v>-83.386657421855276</v>
      </c>
      <c r="B171">
        <v>-48.779733612116779</v>
      </c>
      <c r="C171">
        <v>-318.63801599999999</v>
      </c>
      <c r="E171">
        <f t="shared" si="15"/>
        <v>60.367058086131408</v>
      </c>
      <c r="F171">
        <f t="shared" si="16"/>
        <v>-278.64315293970157</v>
      </c>
    </row>
    <row r="172" spans="1:6" x14ac:dyDescent="0.25">
      <c r="A172">
        <v>-80.810716212435366</v>
      </c>
      <c r="B172">
        <v>-50.489801309253359</v>
      </c>
      <c r="C172">
        <v>-318.63801599999999</v>
      </c>
      <c r="E172">
        <f t="shared" si="15"/>
        <v>57.349376339002966</v>
      </c>
      <c r="F172">
        <f t="shared" si="16"/>
        <v>-279.11928397010473</v>
      </c>
    </row>
    <row r="173" spans="1:6" x14ac:dyDescent="0.25">
      <c r="A173">
        <v>-78.670217809857007</v>
      </c>
      <c r="B173">
        <v>-51.137319178045175</v>
      </c>
      <c r="C173">
        <v>-318.63801599999999</v>
      </c>
      <c r="E173">
        <f t="shared" si="15"/>
        <v>55.118999276474419</v>
      </c>
      <c r="F173">
        <f t="shared" si="16"/>
        <v>-279.0043253671389</v>
      </c>
    </row>
    <row r="174" spans="1:6" x14ac:dyDescent="0.25">
      <c r="A174">
        <v>-76.357725845091096</v>
      </c>
      <c r="B174">
        <v>-51.816531980243013</v>
      </c>
      <c r="C174">
        <v>-318.63801599999999</v>
      </c>
      <c r="E174">
        <f t="shared" si="15"/>
        <v>52.71669394250835</v>
      </c>
      <c r="F174">
        <f t="shared" si="16"/>
        <v>-278.86670596412006</v>
      </c>
    </row>
    <row r="175" spans="1:6" x14ac:dyDescent="0.25">
      <c r="A175">
        <v>-73.638871511584753</v>
      </c>
      <c r="B175">
        <v>-52.617403427002955</v>
      </c>
      <c r="C175">
        <v>-318.63801599999999</v>
      </c>
      <c r="E175">
        <f t="shared" si="15"/>
        <v>49.891418096024985</v>
      </c>
      <c r="F175">
        <f t="shared" si="16"/>
        <v>-278.70642441131474</v>
      </c>
    </row>
    <row r="176" spans="1:6" x14ac:dyDescent="0.25">
      <c r="A176">
        <v>-69.958158819937537</v>
      </c>
      <c r="B176">
        <v>-53.710935265116575</v>
      </c>
      <c r="C176">
        <v>-318.63801599999999</v>
      </c>
      <c r="E176">
        <f t="shared" si="15"/>
        <v>46.063290008956038</v>
      </c>
      <c r="F176">
        <f t="shared" si="16"/>
        <v>-278.49560084952094</v>
      </c>
    </row>
    <row r="177" spans="1:6" x14ac:dyDescent="0.25">
      <c r="A177">
        <v>-63.463534608621124</v>
      </c>
      <c r="B177">
        <v>-55.533991415398695</v>
      </c>
      <c r="C177">
        <v>-318.63801599999999</v>
      </c>
      <c r="E177">
        <f t="shared" si="15"/>
        <v>39.346711073333658</v>
      </c>
      <c r="F177">
        <f t="shared" si="16"/>
        <v>-278.05330865263494</v>
      </c>
    </row>
    <row r="178" spans="1:6" x14ac:dyDescent="0.25">
      <c r="A178">
        <v>-42.93269346392745</v>
      </c>
      <c r="B178">
        <v>-59.835316259889936</v>
      </c>
      <c r="C178">
        <v>-318.63801599999999</v>
      </c>
      <c r="E178">
        <f t="shared" si="15"/>
        <v>18.638062676275656</v>
      </c>
      <c r="F178">
        <f t="shared" si="16"/>
        <v>-275.69018412211278</v>
      </c>
    </row>
    <row r="179" spans="1:6" x14ac:dyDescent="0.25">
      <c r="A179">
        <v>8.5392277022126942E-15</v>
      </c>
      <c r="B179">
        <v>-65.361652712112772</v>
      </c>
      <c r="C179">
        <v>-318.63801599999999</v>
      </c>
      <c r="E179">
        <f t="shared" si="15"/>
        <v>-23.423521461331916</v>
      </c>
      <c r="F179">
        <f t="shared" si="16"/>
        <v>-268.45901193201502</v>
      </c>
    </row>
    <row r="180" spans="1:6" x14ac:dyDescent="0.25">
      <c r="A180">
        <v>42.932693463927414</v>
      </c>
      <c r="B180">
        <v>-59.835316259889971</v>
      </c>
      <c r="C180">
        <v>-318.63801599999999</v>
      </c>
      <c r="E180">
        <f t="shared" si="15"/>
        <v>-61.52418187317835</v>
      </c>
      <c r="F180">
        <f t="shared" si="16"/>
        <v>-253.93151664149988</v>
      </c>
    </row>
    <row r="181" spans="1:6" x14ac:dyDescent="0.25">
      <c r="A181">
        <v>63.46353460862111</v>
      </c>
      <c r="B181">
        <v>-55.533991415398681</v>
      </c>
      <c r="C181">
        <v>-318.63801599999999</v>
      </c>
      <c r="E181">
        <f t="shared" si="15"/>
        <v>-79.149916340539193</v>
      </c>
      <c r="F181">
        <f t="shared" si="16"/>
        <v>-245.88942990942053</v>
      </c>
    </row>
    <row r="182" spans="1:6" x14ac:dyDescent="0.25">
      <c r="A182">
        <v>69.95815881993758</v>
      </c>
      <c r="B182">
        <v>-53.710935265116596</v>
      </c>
      <c r="C182">
        <v>-318.63801599999999</v>
      </c>
      <c r="E182">
        <f t="shared" si="15"/>
        <v>-84.55984548719654</v>
      </c>
      <c r="F182">
        <f t="shared" si="16"/>
        <v>-243.04018930871243</v>
      </c>
    </row>
    <row r="183" spans="1:6" x14ac:dyDescent="0.25">
      <c r="A183">
        <v>73.638871511584753</v>
      </c>
      <c r="B183">
        <v>-52.617403427002941</v>
      </c>
      <c r="C183">
        <v>-318.63801599999999</v>
      </c>
      <c r="E183">
        <f t="shared" si="15"/>
        <v>-87.604200049090863</v>
      </c>
      <c r="F183">
        <f t="shared" si="16"/>
        <v>-241.38559523449152</v>
      </c>
    </row>
    <row r="184" spans="1:6" x14ac:dyDescent="0.25">
      <c r="A184">
        <v>76.357725845091068</v>
      </c>
      <c r="B184">
        <v>-51.816531980243035</v>
      </c>
      <c r="C184">
        <v>-318.63801599999999</v>
      </c>
      <c r="E184">
        <f t="shared" si="15"/>
        <v>-89.855462579124733</v>
      </c>
      <c r="F184">
        <f t="shared" si="16"/>
        <v>-240.16793744555267</v>
      </c>
    </row>
    <row r="185" spans="1:6" x14ac:dyDescent="0.25">
      <c r="A185">
        <v>78.670217809856965</v>
      </c>
      <c r="B185">
        <v>-51.137319178045132</v>
      </c>
      <c r="C185">
        <v>-318.63801599999999</v>
      </c>
      <c r="E185">
        <f t="shared" si="15"/>
        <v>-91.770951714633654</v>
      </c>
      <c r="F185">
        <f t="shared" si="16"/>
        <v>-239.1335655372132</v>
      </c>
    </row>
    <row r="186" spans="1:6" x14ac:dyDescent="0.25">
      <c r="A186">
        <v>80.810716212435366</v>
      </c>
      <c r="B186">
        <v>-50.489801309253373</v>
      </c>
      <c r="C186">
        <v>-318.63801599999999</v>
      </c>
      <c r="E186">
        <f t="shared" si="15"/>
        <v>-93.537229475296542</v>
      </c>
      <c r="F186">
        <f t="shared" si="16"/>
        <v>-238.1637006821862</v>
      </c>
    </row>
    <row r="187" spans="1:6" x14ac:dyDescent="0.25">
      <c r="A187">
        <v>83.386657421855332</v>
      </c>
      <c r="B187">
        <v>-48.779733612116829</v>
      </c>
      <c r="C187">
        <v>-318.63801599999999</v>
      </c>
      <c r="E187">
        <f t="shared" si="15"/>
        <v>-95.329244314012072</v>
      </c>
      <c r="F187">
        <f t="shared" si="16"/>
        <v>-236.38205994104322</v>
      </c>
    </row>
    <row r="188" spans="1:6" x14ac:dyDescent="0.25">
      <c r="A188">
        <v>84.990859454275807</v>
      </c>
      <c r="B188">
        <v>-46.741607131890007</v>
      </c>
      <c r="C188">
        <v>-318.63801599999999</v>
      </c>
      <c r="E188">
        <f t="shared" si="15"/>
        <v>-96.09649672399398</v>
      </c>
      <c r="F188">
        <f t="shared" si="16"/>
        <v>-234.63009712043305</v>
      </c>
    </row>
    <row r="189" spans="1:6" x14ac:dyDescent="0.25">
      <c r="A189">
        <v>85.680523366658946</v>
      </c>
      <c r="B189">
        <v>-45.039946066798777</v>
      </c>
      <c r="C189">
        <v>-318.63801599999999</v>
      </c>
      <c r="E189">
        <f t="shared" si="15"/>
        <v>-96.130532666738546</v>
      </c>
      <c r="F189">
        <f t="shared" si="16"/>
        <v>-233.33199692262616</v>
      </c>
    </row>
    <row r="190" spans="1:6" x14ac:dyDescent="0.25">
      <c r="A190">
        <v>86.301098760870545</v>
      </c>
      <c r="B190">
        <v>-43.37166835065053</v>
      </c>
      <c r="C190">
        <v>-318.63801599999999</v>
      </c>
      <c r="E190">
        <f t="shared" si="15"/>
        <v>-96.112032443532115</v>
      </c>
      <c r="F190">
        <f t="shared" si="16"/>
        <v>-232.07344177885236</v>
      </c>
    </row>
    <row r="191" spans="1:6" x14ac:dyDescent="0.25">
      <c r="A191">
        <v>86.90765925272558</v>
      </c>
      <c r="B191">
        <v>-41.65236670371614</v>
      </c>
      <c r="C191">
        <v>-318.63801599999999</v>
      </c>
      <c r="E191">
        <f t="shared" si="15"/>
        <v>-96.062162840352769</v>
      </c>
      <c r="F191">
        <f t="shared" si="16"/>
        <v>-230.78475508184073</v>
      </c>
    </row>
    <row r="192" spans="1:6" x14ac:dyDescent="0.25">
      <c r="A192">
        <v>87.560744282177922</v>
      </c>
      <c r="B192">
        <v>-39.760255640057402</v>
      </c>
      <c r="C192">
        <v>-318.63801599999999</v>
      </c>
      <c r="E192">
        <f t="shared" si="15"/>
        <v>-95.993798278492463</v>
      </c>
      <c r="F192">
        <f t="shared" si="16"/>
        <v>-229.37020027208675</v>
      </c>
    </row>
    <row r="193" spans="1:6" x14ac:dyDescent="0.25">
      <c r="A193">
        <v>88.349171576582791</v>
      </c>
      <c r="B193">
        <v>-37.466969376552996</v>
      </c>
      <c r="C193">
        <v>-318.63801599999999</v>
      </c>
      <c r="E193">
        <f t="shared" si="15"/>
        <v>-95.908018272292523</v>
      </c>
      <c r="F193">
        <f t="shared" si="16"/>
        <v>-227.65651691809791</v>
      </c>
    </row>
    <row r="194" spans="1:6" x14ac:dyDescent="0.25">
      <c r="A194">
        <v>89.445228339075427</v>
      </c>
      <c r="B194">
        <v>-34.216138768587207</v>
      </c>
      <c r="C194">
        <v>-318.63801599999999</v>
      </c>
      <c r="E194">
        <f t="shared" si="15"/>
        <v>-95.766281912789736</v>
      </c>
      <c r="F194">
        <f t="shared" si="16"/>
        <v>-225.23276457176712</v>
      </c>
    </row>
    <row r="195" spans="1:6" x14ac:dyDescent="0.25">
      <c r="A195">
        <v>91.288977534010868</v>
      </c>
      <c r="B195">
        <v>-28.125741127029144</v>
      </c>
      <c r="C195">
        <v>-318.63801599999999</v>
      </c>
      <c r="E195">
        <f t="shared" si="15"/>
        <v>-95.304966757830741</v>
      </c>
      <c r="F195">
        <f t="shared" si="16"/>
        <v>-220.74502890364192</v>
      </c>
    </row>
    <row r="196" spans="1:6" x14ac:dyDescent="0.25">
      <c r="A196">
        <v>93.866394157373534</v>
      </c>
      <c r="B196">
        <v>-16.001355669872162</v>
      </c>
      <c r="C196">
        <v>-318.63801599999999</v>
      </c>
      <c r="E196">
        <f t="shared" si="15"/>
        <v>-93.366201312552434</v>
      </c>
      <c r="F196">
        <f t="shared" si="16"/>
        <v>-212.08809562122889</v>
      </c>
    </row>
    <row r="197" spans="1:6" x14ac:dyDescent="0.25">
      <c r="A197">
        <v>95.656293293969384</v>
      </c>
      <c r="B197">
        <v>-1.3604362012286514E-16</v>
      </c>
      <c r="C197">
        <v>-318.63801599999999</v>
      </c>
      <c r="E197">
        <f t="shared" si="15"/>
        <v>-89.3028430905254</v>
      </c>
      <c r="F197">
        <f t="shared" si="16"/>
        <v>-201.0713755523422</v>
      </c>
    </row>
    <row r="198" spans="1:6" x14ac:dyDescent="0.25">
      <c r="A198">
        <v>93.866394157373549</v>
      </c>
      <c r="B198">
        <v>16.001355669872158</v>
      </c>
      <c r="C198">
        <v>-318.63801599999999</v>
      </c>
      <c r="E198">
        <f t="shared" si="15"/>
        <v>-81.897455269838147</v>
      </c>
      <c r="F198">
        <f t="shared" si="16"/>
        <v>-190.96179214306778</v>
      </c>
    </row>
    <row r="199" spans="1:6" x14ac:dyDescent="0.25">
      <c r="A199">
        <v>91.28897753401111</v>
      </c>
      <c r="B199">
        <v>28.125741127029084</v>
      </c>
      <c r="C199">
        <v>-318.63801599999999</v>
      </c>
      <c r="E199">
        <f t="shared" si="15"/>
        <v>-75.146238403560275</v>
      </c>
      <c r="F199">
        <f t="shared" si="16"/>
        <v>-183.61111632418593</v>
      </c>
    </row>
    <row r="200" spans="1:6" x14ac:dyDescent="0.25">
      <c r="A200">
        <v>89.445228339075484</v>
      </c>
      <c r="B200">
        <v>34.216138768587228</v>
      </c>
      <c r="C200">
        <v>-318.63801599999999</v>
      </c>
      <c r="E200">
        <f t="shared" si="15"/>
        <v>-71.242346929077669</v>
      </c>
      <c r="F200">
        <f t="shared" si="16"/>
        <v>-180.05780899990444</v>
      </c>
    </row>
    <row r="201" spans="1:6" x14ac:dyDescent="0.25">
      <c r="A201">
        <v>88.349171576582791</v>
      </c>
      <c r="B201">
        <v>37.466969376552953</v>
      </c>
      <c r="C201">
        <v>-318.63801599999999</v>
      </c>
      <c r="E201">
        <f t="shared" si="15"/>
        <v>-69.05409628998882</v>
      </c>
      <c r="F201">
        <f t="shared" si="16"/>
        <v>-178.18954788207054</v>
      </c>
    </row>
    <row r="202" spans="1:6" x14ac:dyDescent="0.25">
      <c r="A202">
        <v>87.560744282177879</v>
      </c>
      <c r="B202">
        <v>39.760255640057373</v>
      </c>
      <c r="C202">
        <v>-318.63801599999999</v>
      </c>
      <c r="E202">
        <f t="shared" si="15"/>
        <v>-67.49619570424376</v>
      </c>
      <c r="F202">
        <f t="shared" si="16"/>
        <v>-176.87544643053113</v>
      </c>
    </row>
    <row r="203" spans="1:6" x14ac:dyDescent="0.25">
      <c r="A203">
        <v>86.90765925272558</v>
      </c>
      <c r="B203">
        <v>41.652366703716133</v>
      </c>
      <c r="C203">
        <v>-318.63801599999999</v>
      </c>
      <c r="E203">
        <f t="shared" si="15"/>
        <v>-66.208416341713388</v>
      </c>
      <c r="F203">
        <f t="shared" si="16"/>
        <v>-175.79188087036519</v>
      </c>
    </row>
    <row r="204" spans="1:6" x14ac:dyDescent="0.25">
      <c r="A204">
        <v>86.301098760870588</v>
      </c>
      <c r="B204">
        <v>43.371668350650502</v>
      </c>
      <c r="C204">
        <v>-318.63801599999999</v>
      </c>
      <c r="E204">
        <f t="shared" si="15"/>
        <v>-65.026000733169312</v>
      </c>
      <c r="F204">
        <f t="shared" si="16"/>
        <v>-174.81060437719367</v>
      </c>
    </row>
    <row r="205" spans="1:6" x14ac:dyDescent="0.25">
      <c r="A205">
        <v>85.680523366658932</v>
      </c>
      <c r="B205">
        <v>45.039946066798748</v>
      </c>
      <c r="C205">
        <v>-318.63801599999999</v>
      </c>
      <c r="E205">
        <f t="shared" si="15"/>
        <v>-63.848786427559361</v>
      </c>
      <c r="F205">
        <f t="shared" si="16"/>
        <v>-173.8665623133096</v>
      </c>
    </row>
    <row r="206" spans="1:6" x14ac:dyDescent="0.25">
      <c r="A206">
        <v>84.990859454275849</v>
      </c>
      <c r="B206">
        <v>46.741607131890021</v>
      </c>
      <c r="C206">
        <v>-318.63801599999999</v>
      </c>
      <c r="E206">
        <f t="shared" si="15"/>
        <v>-62.595108911379199</v>
      </c>
      <c r="F206">
        <f t="shared" si="16"/>
        <v>-172.91798986538709</v>
      </c>
    </row>
    <row r="207" spans="1:6" x14ac:dyDescent="0.25">
      <c r="A207">
        <v>83.386657421855304</v>
      </c>
      <c r="B207">
        <v>48.7797336121168</v>
      </c>
      <c r="C207">
        <v>-318.63801599999999</v>
      </c>
      <c r="E207">
        <f t="shared" si="15"/>
        <v>-60.3670580861315</v>
      </c>
      <c r="F207">
        <f t="shared" si="16"/>
        <v>-171.97905077515361</v>
      </c>
    </row>
    <row r="208" spans="1:6" x14ac:dyDescent="0.25">
      <c r="A208">
        <v>80.810716212435295</v>
      </c>
      <c r="B208">
        <v>50.489801309253316</v>
      </c>
      <c r="C208">
        <v>-318.63801599999999</v>
      </c>
      <c r="E208">
        <f t="shared" si="15"/>
        <v>-57.34937633900298</v>
      </c>
      <c r="F208">
        <f t="shared" si="16"/>
        <v>-171.50291974475056</v>
      </c>
    </row>
    <row r="209" spans="1:6" x14ac:dyDescent="0.25">
      <c r="A209">
        <v>78.670217809857036</v>
      </c>
      <c r="B209">
        <v>51.137319178045153</v>
      </c>
      <c r="C209">
        <v>-318.63801599999999</v>
      </c>
      <c r="E209">
        <f t="shared" si="15"/>
        <v>-55.118999276474526</v>
      </c>
      <c r="F209">
        <f t="shared" si="16"/>
        <v>-171.61787834771638</v>
      </c>
    </row>
    <row r="210" spans="1:6" x14ac:dyDescent="0.25">
      <c r="A210">
        <v>76.357725845091053</v>
      </c>
      <c r="B210">
        <v>51.816531980242949</v>
      </c>
      <c r="C210">
        <v>-318.63801599999999</v>
      </c>
      <c r="E210">
        <f t="shared" si="15"/>
        <v>-52.716693942508407</v>
      </c>
      <c r="F210">
        <f t="shared" si="16"/>
        <v>-171.75549775073523</v>
      </c>
    </row>
    <row r="211" spans="1:6" x14ac:dyDescent="0.25">
      <c r="A211">
        <v>73.638871511584696</v>
      </c>
      <c r="B211">
        <v>52.617403427002905</v>
      </c>
      <c r="C211">
        <v>-318.63801599999999</v>
      </c>
      <c r="E211">
        <f t="shared" si="15"/>
        <v>-49.891418096025035</v>
      </c>
      <c r="F211">
        <f t="shared" si="16"/>
        <v>-171.91577930354052</v>
      </c>
    </row>
    <row r="212" spans="1:6" x14ac:dyDescent="0.25">
      <c r="A212">
        <v>69.958158819937594</v>
      </c>
      <c r="B212">
        <v>53.710935265116639</v>
      </c>
      <c r="C212">
        <v>-318.63801599999999</v>
      </c>
      <c r="E212">
        <f t="shared" ref="E212:E275" si="17">($I$2*A212)+($K$2*B212)+($M$2*C212)</f>
        <v>-46.063290008956137</v>
      </c>
      <c r="F212">
        <f t="shared" ref="F212:F275" si="18">($J$2*A212)+($L$2*B212)+($N$2*C212)</f>
        <v>-172.12660286533421</v>
      </c>
    </row>
    <row r="213" spans="1:6" x14ac:dyDescent="0.25">
      <c r="A213">
        <v>63.463534608621082</v>
      </c>
      <c r="B213">
        <v>55.53399141539871</v>
      </c>
      <c r="C213">
        <v>-318.63801599999999</v>
      </c>
      <c r="E213">
        <f t="shared" si="17"/>
        <v>-39.346711073333687</v>
      </c>
      <c r="F213">
        <f t="shared" si="18"/>
        <v>-172.56889506222029</v>
      </c>
    </row>
    <row r="214" spans="1:6" x14ac:dyDescent="0.25">
      <c r="A214">
        <v>42.932693463927372</v>
      </c>
      <c r="B214">
        <v>59.835316259889922</v>
      </c>
      <c r="C214">
        <v>-318.63801599999999</v>
      </c>
      <c r="E214">
        <f t="shared" si="17"/>
        <v>-18.638062676275666</v>
      </c>
      <c r="F214">
        <f t="shared" si="18"/>
        <v>-174.93201959274251</v>
      </c>
    </row>
    <row r="215" spans="1:6" x14ac:dyDescent="0.25">
      <c r="A215">
        <v>1.8984205917886173E-14</v>
      </c>
      <c r="B215">
        <v>65.361652712112758</v>
      </c>
      <c r="C215">
        <v>-318.63801599999999</v>
      </c>
      <c r="E215">
        <f t="shared" si="17"/>
        <v>23.423521461331806</v>
      </c>
      <c r="F215">
        <f t="shared" si="18"/>
        <v>-182.16319178284022</v>
      </c>
    </row>
    <row r="216" spans="1:6" x14ac:dyDescent="0.25">
      <c r="A216">
        <v>-42.932693463927357</v>
      </c>
      <c r="B216">
        <v>59.835316259889908</v>
      </c>
      <c r="C216">
        <v>-318.63801599999999</v>
      </c>
      <c r="E216">
        <f t="shared" si="17"/>
        <v>61.5241818731782</v>
      </c>
      <c r="F216">
        <f t="shared" si="18"/>
        <v>-196.69068707335538</v>
      </c>
    </row>
    <row r="217" spans="1:6" x14ac:dyDescent="0.25">
      <c r="A217">
        <v>-63.463534608621075</v>
      </c>
      <c r="B217">
        <v>55.53399141539866</v>
      </c>
      <c r="C217">
        <v>-318.63801599999999</v>
      </c>
      <c r="E217">
        <f t="shared" si="17"/>
        <v>79.149916340539065</v>
      </c>
      <c r="F217">
        <f t="shared" si="18"/>
        <v>-204.7327738054347</v>
      </c>
    </row>
    <row r="218" spans="1:6" x14ac:dyDescent="0.25">
      <c r="A218">
        <v>-69.958158819937523</v>
      </c>
      <c r="B218">
        <v>53.710935265116532</v>
      </c>
      <c r="C218">
        <v>-318.63801599999999</v>
      </c>
      <c r="E218">
        <f t="shared" si="17"/>
        <v>84.55984548719637</v>
      </c>
      <c r="F218">
        <f t="shared" si="18"/>
        <v>-207.58201440614283</v>
      </c>
    </row>
    <row r="219" spans="1:6" x14ac:dyDescent="0.25">
      <c r="A219">
        <v>-73.638871511584711</v>
      </c>
      <c r="B219">
        <v>52.617403427002913</v>
      </c>
      <c r="C219">
        <v>-318.63801599999999</v>
      </c>
      <c r="E219">
        <f t="shared" si="17"/>
        <v>87.60420004909075</v>
      </c>
      <c r="F219">
        <f t="shared" si="18"/>
        <v>-209.23660848036371</v>
      </c>
    </row>
    <row r="220" spans="1:6" x14ac:dyDescent="0.25">
      <c r="A220">
        <v>-76.357725845091124</v>
      </c>
      <c r="B220">
        <v>51.816531980243049</v>
      </c>
      <c r="C220">
        <v>-318.63801599999999</v>
      </c>
      <c r="E220">
        <f t="shared" si="17"/>
        <v>89.855462579124719</v>
      </c>
      <c r="F220">
        <f t="shared" si="18"/>
        <v>-210.45426626930256</v>
      </c>
    </row>
    <row r="221" spans="1:6" x14ac:dyDescent="0.25">
      <c r="A221">
        <v>-78.670217809856979</v>
      </c>
      <c r="B221">
        <v>51.137319178045104</v>
      </c>
      <c r="C221">
        <v>-318.63801599999999</v>
      </c>
      <c r="E221">
        <f t="shared" si="17"/>
        <v>91.770951714633568</v>
      </c>
      <c r="F221">
        <f t="shared" si="18"/>
        <v>-211.48863817764206</v>
      </c>
    </row>
    <row r="222" spans="1:6" x14ac:dyDescent="0.25">
      <c r="A222">
        <v>-80.810716212435324</v>
      </c>
      <c r="B222">
        <v>50.489801309253316</v>
      </c>
      <c r="C222">
        <v>-318.63801599999999</v>
      </c>
      <c r="E222">
        <f t="shared" si="17"/>
        <v>93.537229475296385</v>
      </c>
      <c r="F222">
        <f t="shared" si="18"/>
        <v>-212.45850303266906</v>
      </c>
    </row>
    <row r="223" spans="1:6" x14ac:dyDescent="0.25">
      <c r="A223">
        <v>-83.386657421855276</v>
      </c>
      <c r="B223">
        <v>48.779733612116765</v>
      </c>
      <c r="C223">
        <v>-318.63801599999999</v>
      </c>
      <c r="E223">
        <f t="shared" si="17"/>
        <v>95.329244314011902</v>
      </c>
      <c r="F223">
        <f t="shared" si="18"/>
        <v>-214.24014377381206</v>
      </c>
    </row>
    <row r="224" spans="1:6" x14ac:dyDescent="0.25">
      <c r="A224">
        <v>-84.990859454275792</v>
      </c>
      <c r="B224">
        <v>46.741607131889971</v>
      </c>
      <c r="C224">
        <v>-318.63801599999999</v>
      </c>
      <c r="E224">
        <f t="shared" si="17"/>
        <v>96.096496723993866</v>
      </c>
      <c r="F224">
        <f t="shared" si="18"/>
        <v>-215.99210659442221</v>
      </c>
    </row>
    <row r="225" spans="1:6" x14ac:dyDescent="0.25">
      <c r="A225">
        <v>-85.680523366658974</v>
      </c>
      <c r="B225">
        <v>45.039946066798734</v>
      </c>
      <c r="C225">
        <v>-318.63801599999999</v>
      </c>
      <c r="E225">
        <f t="shared" si="17"/>
        <v>96.130532666738475</v>
      </c>
      <c r="F225">
        <f t="shared" si="18"/>
        <v>-217.2902067922291</v>
      </c>
    </row>
    <row r="226" spans="1:6" x14ac:dyDescent="0.25">
      <c r="A226">
        <v>-86.301098760870588</v>
      </c>
      <c r="B226">
        <v>43.371668350650523</v>
      </c>
      <c r="C226">
        <v>-318.63801599999999</v>
      </c>
      <c r="E226">
        <f t="shared" si="17"/>
        <v>96.112032443532073</v>
      </c>
      <c r="F226">
        <f t="shared" si="18"/>
        <v>-218.5487619360029</v>
      </c>
    </row>
    <row r="227" spans="1:6" x14ac:dyDescent="0.25">
      <c r="A227">
        <v>-86.907659252725509</v>
      </c>
      <c r="B227">
        <v>41.652366703716133</v>
      </c>
      <c r="C227">
        <v>-318.63801599999999</v>
      </c>
      <c r="E227">
        <f t="shared" si="17"/>
        <v>96.062162840352599</v>
      </c>
      <c r="F227">
        <f t="shared" si="18"/>
        <v>-219.8374486330145</v>
      </c>
    </row>
    <row r="228" spans="1:6" x14ac:dyDescent="0.25">
      <c r="A228">
        <v>-87.560744282177865</v>
      </c>
      <c r="B228">
        <v>39.760255640057366</v>
      </c>
      <c r="C228">
        <v>-318.63801599999999</v>
      </c>
      <c r="E228">
        <f t="shared" si="17"/>
        <v>95.993798278492307</v>
      </c>
      <c r="F228">
        <f t="shared" si="18"/>
        <v>-221.25200344276848</v>
      </c>
    </row>
    <row r="229" spans="1:6" x14ac:dyDescent="0.25">
      <c r="A229">
        <v>-88.349171576582734</v>
      </c>
      <c r="B229">
        <v>37.466969376552974</v>
      </c>
      <c r="C229">
        <v>-318.63801599999999</v>
      </c>
      <c r="E229">
        <f t="shared" si="17"/>
        <v>95.908018272292367</v>
      </c>
      <c r="F229">
        <f t="shared" si="18"/>
        <v>-222.96568679675732</v>
      </c>
    </row>
    <row r="230" spans="1:6" x14ac:dyDescent="0.25">
      <c r="A230">
        <v>-89.445228339075598</v>
      </c>
      <c r="B230">
        <v>34.216138768587236</v>
      </c>
      <c r="C230">
        <v>-318.63801599999999</v>
      </c>
      <c r="E230">
        <f t="shared" si="17"/>
        <v>95.766281912789822</v>
      </c>
      <c r="F230">
        <f t="shared" si="18"/>
        <v>-225.38943914308814</v>
      </c>
    </row>
    <row r="231" spans="1:6" x14ac:dyDescent="0.25">
      <c r="A231">
        <v>-91.288977534011067</v>
      </c>
      <c r="B231">
        <v>28.125741127029119</v>
      </c>
      <c r="C231">
        <v>-318.63801599999999</v>
      </c>
      <c r="E231">
        <f t="shared" si="17"/>
        <v>95.304966757830826</v>
      </c>
      <c r="F231">
        <f t="shared" si="18"/>
        <v>-229.87717481121337</v>
      </c>
    </row>
    <row r="232" spans="1:6" x14ac:dyDescent="0.25">
      <c r="A232">
        <v>-136.64513705627169</v>
      </c>
      <c r="B232">
        <v>-2.5708494968620263E-14</v>
      </c>
      <c r="C232">
        <v>-265.15702400000004</v>
      </c>
      <c r="E232">
        <f t="shared" si="17"/>
        <v>127.56922533176267</v>
      </c>
      <c r="F232">
        <f t="shared" si="18"/>
        <v>-222.12080971354771</v>
      </c>
    </row>
    <row r="233" spans="1:6" x14ac:dyDescent="0.25">
      <c r="A233">
        <v>-135.44856993481332</v>
      </c>
      <c r="B233">
        <v>-14.881374924841904</v>
      </c>
      <c r="C233">
        <v>-265.15702400000004</v>
      </c>
      <c r="E233">
        <f t="shared" si="17"/>
        <v>121.1191258699486</v>
      </c>
      <c r="F233">
        <f t="shared" si="18"/>
        <v>-231.64140080503392</v>
      </c>
    </row>
    <row r="234" spans="1:6" x14ac:dyDescent="0.25">
      <c r="A234">
        <v>-133.57228228169961</v>
      </c>
      <c r="B234">
        <v>-27.318797905944269</v>
      </c>
      <c r="C234">
        <v>-265.15702400000004</v>
      </c>
      <c r="E234">
        <f t="shared" si="17"/>
        <v>114.91028667115803</v>
      </c>
      <c r="F234">
        <f t="shared" si="18"/>
        <v>-239.37639471491008</v>
      </c>
    </row>
    <row r="235" spans="1:6" x14ac:dyDescent="0.25">
      <c r="A235">
        <v>-131.47656205357941</v>
      </c>
      <c r="B235">
        <v>-37.21865274073334</v>
      </c>
      <c r="C235">
        <v>-265.15702400000004</v>
      </c>
      <c r="E235">
        <f t="shared" si="17"/>
        <v>109.40597260883128</v>
      </c>
      <c r="F235">
        <f t="shared" si="18"/>
        <v>-245.38063054171272</v>
      </c>
    </row>
    <row r="236" spans="1:6" x14ac:dyDescent="0.25">
      <c r="A236">
        <v>-130.07533660261936</v>
      </c>
      <c r="B236">
        <v>-43.725437649717286</v>
      </c>
      <c r="C236">
        <v>-265.15702400000004</v>
      </c>
      <c r="E236">
        <f t="shared" si="17"/>
        <v>105.76599278874038</v>
      </c>
      <c r="F236">
        <f t="shared" si="18"/>
        <v>-249.32094966111981</v>
      </c>
    </row>
    <row r="237" spans="1:6" x14ac:dyDescent="0.25">
      <c r="A237">
        <v>-129.00743392100125</v>
      </c>
      <c r="B237">
        <v>-48.031610917416216</v>
      </c>
      <c r="C237">
        <v>-265.15702400000004</v>
      </c>
      <c r="E237">
        <f t="shared" si="17"/>
        <v>103.22582526344578</v>
      </c>
      <c r="F237">
        <f t="shared" si="18"/>
        <v>-251.89302015901552</v>
      </c>
    </row>
    <row r="238" spans="1:6" x14ac:dyDescent="0.25">
      <c r="A238">
        <v>-127.92191160395163</v>
      </c>
      <c r="B238">
        <v>-52.6831747912724</v>
      </c>
      <c r="C238">
        <v>-265.15702400000004</v>
      </c>
      <c r="E238">
        <f t="shared" si="17"/>
        <v>100.54543146806954</v>
      </c>
      <c r="F238">
        <f t="shared" si="18"/>
        <v>-254.68863228117098</v>
      </c>
    </row>
    <row r="239" spans="1:6" x14ac:dyDescent="0.25">
      <c r="A239">
        <v>-124.6227733881378</v>
      </c>
      <c r="B239">
        <v>-56.791880354631566</v>
      </c>
      <c r="C239">
        <v>-265.15702400000004</v>
      </c>
      <c r="E239">
        <f t="shared" si="17"/>
        <v>95.99299221745045</v>
      </c>
      <c r="F239">
        <f t="shared" si="18"/>
        <v>-256.56494132325929</v>
      </c>
    </row>
    <row r="240" spans="1:6" x14ac:dyDescent="0.25">
      <c r="A240">
        <v>-121.35259017507309</v>
      </c>
      <c r="B240">
        <v>-59.643071032022505</v>
      </c>
      <c r="C240">
        <v>-265.15702400000004</v>
      </c>
      <c r="E240">
        <f t="shared" si="17"/>
        <v>91.918237821854234</v>
      </c>
      <c r="F240">
        <f t="shared" si="18"/>
        <v>-257.61845049299166</v>
      </c>
    </row>
    <row r="241" spans="1:6" x14ac:dyDescent="0.25">
      <c r="A241">
        <v>-118.24258932261733</v>
      </c>
      <c r="B241">
        <v>-62.306447433964017</v>
      </c>
      <c r="C241">
        <v>-265.15702400000004</v>
      </c>
      <c r="E241">
        <f t="shared" si="17"/>
        <v>88.060333159580807</v>
      </c>
      <c r="F241">
        <f t="shared" si="18"/>
        <v>-258.58856666580385</v>
      </c>
    </row>
    <row r="242" spans="1:6" x14ac:dyDescent="0.25">
      <c r="A242">
        <v>-115.14816600716007</v>
      </c>
      <c r="B242">
        <v>-64.934979790467366</v>
      </c>
      <c r="C242">
        <v>-265.15702400000004</v>
      </c>
      <c r="E242">
        <f t="shared" si="17"/>
        <v>84.229458370059746</v>
      </c>
      <c r="F242">
        <f t="shared" si="18"/>
        <v>-259.53962827039174</v>
      </c>
    </row>
    <row r="243" spans="1:6" x14ac:dyDescent="0.25">
      <c r="A243">
        <v>-111.91471626519305</v>
      </c>
      <c r="B243">
        <v>-67.662720317837085</v>
      </c>
      <c r="C243">
        <v>-265.15702400000004</v>
      </c>
      <c r="E243">
        <f t="shared" si="17"/>
        <v>80.233238201211819</v>
      </c>
      <c r="F243">
        <f t="shared" si="18"/>
        <v>-260.52095135189313</v>
      </c>
    </row>
    <row r="244" spans="1:6" x14ac:dyDescent="0.25">
      <c r="A244">
        <v>-108.33439774002657</v>
      </c>
      <c r="B244">
        <v>-70.638175539774835</v>
      </c>
      <c r="C244">
        <v>-265.15702400000004</v>
      </c>
      <c r="E244">
        <f t="shared" si="17"/>
        <v>75.824415118641383</v>
      </c>
      <c r="F244">
        <f t="shared" si="18"/>
        <v>-261.57790299364427</v>
      </c>
    </row>
    <row r="245" spans="1:6" x14ac:dyDescent="0.25">
      <c r="A245">
        <v>-104.06358610242326</v>
      </c>
      <c r="B245">
        <v>-74.065168862015597</v>
      </c>
      <c r="C245">
        <v>-265.15702400000004</v>
      </c>
      <c r="E245">
        <f t="shared" si="17"/>
        <v>70.609144398521607</v>
      </c>
      <c r="F245">
        <f t="shared" si="18"/>
        <v>-262.75795947331636</v>
      </c>
    </row>
    <row r="246" spans="1:6" x14ac:dyDescent="0.25">
      <c r="A246">
        <v>-97.933744291947121</v>
      </c>
      <c r="B246">
        <v>-76.798608403995544</v>
      </c>
      <c r="C246">
        <v>-265.15702400000004</v>
      </c>
      <c r="E246">
        <f t="shared" si="17"/>
        <v>63.90686694287151</v>
      </c>
      <c r="F246">
        <f t="shared" si="18"/>
        <v>-263.00908619292767</v>
      </c>
    </row>
    <row r="247" spans="1:6" x14ac:dyDescent="0.25">
      <c r="A247">
        <v>-91.018572249554012</v>
      </c>
      <c r="B247">
        <v>-78.172882023668379</v>
      </c>
      <c r="C247">
        <v>-265.15702400000004</v>
      </c>
      <c r="E247">
        <f t="shared" si="17"/>
        <v>56.958502059036263</v>
      </c>
      <c r="F247">
        <f t="shared" si="18"/>
        <v>-262.16396555103404</v>
      </c>
    </row>
    <row r="248" spans="1:6" x14ac:dyDescent="0.25">
      <c r="A248">
        <v>-79.190610190691686</v>
      </c>
      <c r="B248">
        <v>-80.37133169563289</v>
      </c>
      <c r="C248">
        <v>-265.15702400000004</v>
      </c>
      <c r="E248">
        <f t="shared" si="17"/>
        <v>45.128294294410388</v>
      </c>
      <c r="F248">
        <f t="shared" si="18"/>
        <v>-260.61799471174999</v>
      </c>
    </row>
    <row r="249" spans="1:6" x14ac:dyDescent="0.25">
      <c r="A249">
        <v>-51.465102443242635</v>
      </c>
      <c r="B249">
        <v>-85.072314342542228</v>
      </c>
      <c r="C249">
        <v>-265.15702400000004</v>
      </c>
      <c r="E249">
        <f t="shared" si="17"/>
        <v>17.559621434674511</v>
      </c>
      <c r="F249">
        <f t="shared" si="18"/>
        <v>-256.69554047662746</v>
      </c>
    </row>
    <row r="250" spans="1:6" x14ac:dyDescent="0.25">
      <c r="A250">
        <v>5.3254295490459844E-14</v>
      </c>
      <c r="B250">
        <v>-89.404413427009857</v>
      </c>
      <c r="C250">
        <v>-265.15702400000004</v>
      </c>
      <c r="E250">
        <f t="shared" si="17"/>
        <v>-32.039676320137922</v>
      </c>
      <c r="F250">
        <f t="shared" si="18"/>
        <v>-246.51385313609865</v>
      </c>
    </row>
    <row r="251" spans="1:6" x14ac:dyDescent="0.25">
      <c r="A251">
        <v>51.465102443242579</v>
      </c>
      <c r="B251">
        <v>-85.072314342542285</v>
      </c>
      <c r="C251">
        <v>-265.15702400000004</v>
      </c>
      <c r="E251">
        <f t="shared" si="17"/>
        <v>-78.534003142694729</v>
      </c>
      <c r="F251">
        <f t="shared" si="18"/>
        <v>-230.61257291580873</v>
      </c>
    </row>
    <row r="252" spans="1:6" x14ac:dyDescent="0.25">
      <c r="A252">
        <v>79.190610190691643</v>
      </c>
      <c r="B252">
        <v>-80.371331695632875</v>
      </c>
      <c r="C252">
        <v>-265.15702400000004</v>
      </c>
      <c r="E252">
        <f t="shared" si="17"/>
        <v>-102.73331297838874</v>
      </c>
      <c r="F252">
        <f t="shared" si="18"/>
        <v>-220.48349543618392</v>
      </c>
    </row>
    <row r="253" spans="1:6" x14ac:dyDescent="0.25">
      <c r="A253">
        <v>91.018572249553955</v>
      </c>
      <c r="B253">
        <v>-78.172882023668336</v>
      </c>
      <c r="C253">
        <v>-265.15702400000004</v>
      </c>
      <c r="E253">
        <f t="shared" si="17"/>
        <v>-112.98781294077367</v>
      </c>
      <c r="F253">
        <f t="shared" si="18"/>
        <v>-216.03495084567487</v>
      </c>
    </row>
    <row r="254" spans="1:6" x14ac:dyDescent="0.25">
      <c r="A254">
        <v>97.933744291947093</v>
      </c>
      <c r="B254">
        <v>-76.798608403995516</v>
      </c>
      <c r="C254">
        <v>-265.15702400000004</v>
      </c>
      <c r="E254">
        <f t="shared" si="17"/>
        <v>-118.95118658621624</v>
      </c>
      <c r="F254">
        <f t="shared" si="18"/>
        <v>-213.37540134223772</v>
      </c>
    </row>
    <row r="255" spans="1:6" x14ac:dyDescent="0.25">
      <c r="A255">
        <v>104.06358610242324</v>
      </c>
      <c r="B255">
        <v>-74.065168862015639</v>
      </c>
      <c r="C255">
        <v>-265.15702400000004</v>
      </c>
      <c r="E255">
        <f t="shared" si="17"/>
        <v>-123.69430979413556</v>
      </c>
      <c r="F255">
        <f t="shared" si="18"/>
        <v>-210.01761676117704</v>
      </c>
    </row>
    <row r="256" spans="1:6" x14ac:dyDescent="0.25">
      <c r="A256">
        <v>108.33439774002665</v>
      </c>
      <c r="B256">
        <v>-70.638175539774892</v>
      </c>
      <c r="C256">
        <v>-265.15702400000004</v>
      </c>
      <c r="E256">
        <f t="shared" si="17"/>
        <v>-126.45333137426171</v>
      </c>
      <c r="F256">
        <f t="shared" si="18"/>
        <v>-206.67307529821312</v>
      </c>
    </row>
    <row r="257" spans="1:6" x14ac:dyDescent="0.25">
      <c r="A257">
        <v>111.91471626519301</v>
      </c>
      <c r="B257">
        <v>-67.662720317837113</v>
      </c>
      <c r="C257">
        <v>-265.15702400000004</v>
      </c>
      <c r="E257">
        <f t="shared" si="17"/>
        <v>-128.72953888313265</v>
      </c>
      <c r="F257">
        <f t="shared" si="18"/>
        <v>-203.80158666895079</v>
      </c>
    </row>
    <row r="258" spans="1:6" x14ac:dyDescent="0.25">
      <c r="A258">
        <v>115.14816600716013</v>
      </c>
      <c r="B258">
        <v>-64.934979790467409</v>
      </c>
      <c r="C258">
        <v>-265.15702400000004</v>
      </c>
      <c r="E258">
        <f t="shared" si="17"/>
        <v>-130.77068949261047</v>
      </c>
      <c r="F258">
        <f t="shared" si="18"/>
        <v>-201.18152275676175</v>
      </c>
    </row>
    <row r="259" spans="1:6" x14ac:dyDescent="0.25">
      <c r="A259">
        <v>118.24258932261731</v>
      </c>
      <c r="B259">
        <v>-62.306447433964017</v>
      </c>
      <c r="C259">
        <v>-265.15702400000004</v>
      </c>
      <c r="E259">
        <f t="shared" si="17"/>
        <v>-132.71760078030428</v>
      </c>
      <c r="F259">
        <f t="shared" si="18"/>
        <v>-198.66218013989911</v>
      </c>
    </row>
    <row r="260" spans="1:6" x14ac:dyDescent="0.25">
      <c r="A260">
        <v>121.35259017507309</v>
      </c>
      <c r="B260">
        <v>-59.643071032022526</v>
      </c>
      <c r="C260">
        <v>-265.15702400000004</v>
      </c>
      <c r="E260">
        <f t="shared" si="17"/>
        <v>-134.6665679625155</v>
      </c>
      <c r="F260">
        <f t="shared" si="18"/>
        <v>-196.11588812175211</v>
      </c>
    </row>
    <row r="261" spans="1:6" x14ac:dyDescent="0.25">
      <c r="A261">
        <v>124.62277338813784</v>
      </c>
      <c r="B261">
        <v>-56.791880354631651</v>
      </c>
      <c r="C261">
        <v>-265.15702400000004</v>
      </c>
      <c r="E261">
        <f t="shared" si="17"/>
        <v>-136.69777164447325</v>
      </c>
      <c r="F261">
        <f t="shared" si="18"/>
        <v>-193.40502127439015</v>
      </c>
    </row>
    <row r="262" spans="1:6" x14ac:dyDescent="0.25">
      <c r="A262">
        <v>127.92191160395159</v>
      </c>
      <c r="B262">
        <v>-52.683174791272378</v>
      </c>
      <c r="C262">
        <v>-265.15702400000004</v>
      </c>
      <c r="E262">
        <f t="shared" si="17"/>
        <v>-138.30535411903944</v>
      </c>
      <c r="F262">
        <f t="shared" si="18"/>
        <v>-189.85667990405318</v>
      </c>
    </row>
    <row r="263" spans="1:6" x14ac:dyDescent="0.25">
      <c r="A263">
        <v>129.00743392100122</v>
      </c>
      <c r="B263">
        <v>-48.031610917416188</v>
      </c>
      <c r="C263">
        <v>-265.15702400000004</v>
      </c>
      <c r="E263">
        <f t="shared" si="17"/>
        <v>-137.65180509911002</v>
      </c>
      <c r="F263">
        <f t="shared" si="18"/>
        <v>-186.51091550320797</v>
      </c>
    </row>
    <row r="264" spans="1:6" x14ac:dyDescent="0.25">
      <c r="A264">
        <v>130.07533660261939</v>
      </c>
      <c r="B264">
        <v>-43.725437649717286</v>
      </c>
      <c r="C264">
        <v>-265.15702400000004</v>
      </c>
      <c r="E264">
        <f t="shared" si="17"/>
        <v>-137.10558365574059</v>
      </c>
      <c r="F264">
        <f t="shared" si="18"/>
        <v>-183.3976225131687</v>
      </c>
    </row>
    <row r="265" spans="1:6" x14ac:dyDescent="0.25">
      <c r="A265">
        <v>131.47656205357941</v>
      </c>
      <c r="B265">
        <v>-37.218652740733312</v>
      </c>
      <c r="C265">
        <v>-265.15702400000004</v>
      </c>
      <c r="E265">
        <f t="shared" si="17"/>
        <v>-136.08191714390168</v>
      </c>
      <c r="F265">
        <f t="shared" si="18"/>
        <v>-178.74714998401967</v>
      </c>
    </row>
    <row r="266" spans="1:6" x14ac:dyDescent="0.25">
      <c r="A266">
        <v>133.57228228169942</v>
      </c>
      <c r="B266">
        <v>-27.318797905944326</v>
      </c>
      <c r="C266">
        <v>-265.15702400000004</v>
      </c>
      <c r="E266">
        <f t="shared" si="17"/>
        <v>-134.49064985034931</v>
      </c>
      <c r="F266">
        <f t="shared" si="18"/>
        <v>-171.68078467273989</v>
      </c>
    </row>
    <row r="267" spans="1:6" x14ac:dyDescent="0.25">
      <c r="A267">
        <v>135.44856993481341</v>
      </c>
      <c r="B267">
        <v>-14.881374924841898</v>
      </c>
      <c r="C267">
        <v>-265.15702400000004</v>
      </c>
      <c r="E267">
        <f t="shared" si="17"/>
        <v>-131.78514150640962</v>
      </c>
      <c r="F267">
        <f t="shared" si="18"/>
        <v>-162.99487164160274</v>
      </c>
    </row>
    <row r="268" spans="1:6" x14ac:dyDescent="0.25">
      <c r="A268">
        <v>136.64513705627184</v>
      </c>
      <c r="B268">
        <v>2.756518024948192E-15</v>
      </c>
      <c r="C268">
        <v>-265.15702400000004</v>
      </c>
      <c r="E268">
        <f t="shared" si="17"/>
        <v>-127.56922533176288</v>
      </c>
      <c r="F268">
        <f t="shared" si="18"/>
        <v>-152.86784978574059</v>
      </c>
    </row>
    <row r="269" spans="1:6" x14ac:dyDescent="0.25">
      <c r="A269">
        <v>135.44856993481346</v>
      </c>
      <c r="B269">
        <v>14.881374924841902</v>
      </c>
      <c r="C269">
        <v>-265.15702400000004</v>
      </c>
      <c r="E269">
        <f t="shared" si="17"/>
        <v>-121.1191258699488</v>
      </c>
      <c r="F269">
        <f t="shared" si="18"/>
        <v>-143.34725869425432</v>
      </c>
    </row>
    <row r="270" spans="1:6" x14ac:dyDescent="0.25">
      <c r="A270">
        <v>133.57228228169964</v>
      </c>
      <c r="B270">
        <v>27.31879790594423</v>
      </c>
      <c r="C270">
        <v>-265.15702400000004</v>
      </c>
      <c r="E270">
        <f t="shared" si="17"/>
        <v>-114.91028667115813</v>
      </c>
      <c r="F270">
        <f t="shared" si="18"/>
        <v>-135.61226478437825</v>
      </c>
    </row>
    <row r="271" spans="1:6" x14ac:dyDescent="0.25">
      <c r="A271">
        <v>131.47656205357944</v>
      </c>
      <c r="B271">
        <v>37.218652740733333</v>
      </c>
      <c r="C271">
        <v>-265.15702400000004</v>
      </c>
      <c r="E271">
        <f t="shared" si="17"/>
        <v>-109.40597260883136</v>
      </c>
      <c r="F271">
        <f t="shared" si="18"/>
        <v>-129.60802895757558</v>
      </c>
    </row>
    <row r="272" spans="1:6" x14ac:dyDescent="0.25">
      <c r="A272">
        <v>130.07533660261939</v>
      </c>
      <c r="B272">
        <v>43.725437649717264</v>
      </c>
      <c r="C272">
        <v>-265.15702400000004</v>
      </c>
      <c r="E272">
        <f t="shared" si="17"/>
        <v>-105.76599278874048</v>
      </c>
      <c r="F272">
        <f t="shared" si="18"/>
        <v>-125.66770983816849</v>
      </c>
    </row>
    <row r="273" spans="1:6" x14ac:dyDescent="0.25">
      <c r="A273">
        <v>129.00743392100119</v>
      </c>
      <c r="B273">
        <v>48.031610917416167</v>
      </c>
      <c r="C273">
        <v>-265.15702400000004</v>
      </c>
      <c r="E273">
        <f t="shared" si="17"/>
        <v>-103.2258252634458</v>
      </c>
      <c r="F273">
        <f t="shared" si="18"/>
        <v>-123.09563934027284</v>
      </c>
    </row>
    <row r="274" spans="1:6" x14ac:dyDescent="0.25">
      <c r="A274">
        <v>127.92191160395174</v>
      </c>
      <c r="B274">
        <v>52.683174791272421</v>
      </c>
      <c r="C274">
        <v>-265.15702400000004</v>
      </c>
      <c r="E274">
        <f t="shared" si="17"/>
        <v>-100.54543146806969</v>
      </c>
      <c r="F274">
        <f t="shared" si="18"/>
        <v>-120.30002721811729</v>
      </c>
    </row>
    <row r="275" spans="1:6" x14ac:dyDescent="0.25">
      <c r="A275">
        <v>124.62277338813784</v>
      </c>
      <c r="B275">
        <v>56.791880354631608</v>
      </c>
      <c r="C275">
        <v>-265.15702400000004</v>
      </c>
      <c r="E275">
        <f t="shared" si="17"/>
        <v>-95.992992217450535</v>
      </c>
      <c r="F275">
        <f t="shared" si="18"/>
        <v>-118.423718176029</v>
      </c>
    </row>
    <row r="276" spans="1:6" x14ac:dyDescent="0.25">
      <c r="A276">
        <v>121.35259017507309</v>
      </c>
      <c r="B276">
        <v>59.64307103202254</v>
      </c>
      <c r="C276">
        <v>-265.15702400000004</v>
      </c>
      <c r="E276">
        <f t="shared" ref="E276:E339" si="19">($I$2*A276)+($K$2*B276)+($M$2*C276)</f>
        <v>-91.918237821854291</v>
      </c>
      <c r="F276">
        <f t="shared" ref="F276:F339" si="20">($J$2*A276)+($L$2*B276)+($N$2*C276)</f>
        <v>-117.37020900629659</v>
      </c>
    </row>
    <row r="277" spans="1:6" x14ac:dyDescent="0.25">
      <c r="A277">
        <v>118.24258932261728</v>
      </c>
      <c r="B277">
        <v>62.306447433964017</v>
      </c>
      <c r="C277">
        <v>-265.15702400000004</v>
      </c>
      <c r="E277">
        <f t="shared" si="19"/>
        <v>-88.060333159580821</v>
      </c>
      <c r="F277">
        <f t="shared" si="20"/>
        <v>-116.40009283348446</v>
      </c>
    </row>
    <row r="278" spans="1:6" x14ac:dyDescent="0.25">
      <c r="A278">
        <v>115.14816600716009</v>
      </c>
      <c r="B278">
        <v>64.934979790467381</v>
      </c>
      <c r="C278">
        <v>-265.15702400000004</v>
      </c>
      <c r="E278">
        <f t="shared" si="19"/>
        <v>-84.229458370059817</v>
      </c>
      <c r="F278">
        <f t="shared" si="20"/>
        <v>-115.44903122889656</v>
      </c>
    </row>
    <row r="279" spans="1:6" x14ac:dyDescent="0.25">
      <c r="A279">
        <v>111.91471626519306</v>
      </c>
      <c r="B279">
        <v>67.662720317837156</v>
      </c>
      <c r="C279">
        <v>-265.15702400000004</v>
      </c>
      <c r="E279">
        <f t="shared" si="19"/>
        <v>-80.233238201211861</v>
      </c>
      <c r="F279">
        <f t="shared" si="20"/>
        <v>-114.46770814739513</v>
      </c>
    </row>
    <row r="280" spans="1:6" x14ac:dyDescent="0.25">
      <c r="A280">
        <v>108.33439774002665</v>
      </c>
      <c r="B280">
        <v>70.638175539774849</v>
      </c>
      <c r="C280">
        <v>-265.15702400000004</v>
      </c>
      <c r="E280">
        <f t="shared" si="19"/>
        <v>-75.824415118641497</v>
      </c>
      <c r="F280">
        <f t="shared" si="20"/>
        <v>-113.41075650564399</v>
      </c>
    </row>
    <row r="281" spans="1:6" x14ac:dyDescent="0.25">
      <c r="A281">
        <v>104.06358610242319</v>
      </c>
      <c r="B281">
        <v>74.06516886201554</v>
      </c>
      <c r="C281">
        <v>-265.15702400000004</v>
      </c>
      <c r="E281">
        <f t="shared" si="19"/>
        <v>-70.609144398521607</v>
      </c>
      <c r="F281">
        <f t="shared" si="20"/>
        <v>-112.23070002597201</v>
      </c>
    </row>
    <row r="282" spans="1:6" x14ac:dyDescent="0.25">
      <c r="A282">
        <v>97.933744291947093</v>
      </c>
      <c r="B282">
        <v>76.79860840399553</v>
      </c>
      <c r="C282">
        <v>-265.15702400000004</v>
      </c>
      <c r="E282">
        <f t="shared" si="19"/>
        <v>-63.906866942871552</v>
      </c>
      <c r="F282">
        <f t="shared" si="20"/>
        <v>-111.97957330636066</v>
      </c>
    </row>
    <row r="283" spans="1:6" x14ac:dyDescent="0.25">
      <c r="A283">
        <v>91.018572249553927</v>
      </c>
      <c r="B283">
        <v>78.17288202366835</v>
      </c>
      <c r="C283">
        <v>-265.15702400000004</v>
      </c>
      <c r="E283">
        <f t="shared" si="19"/>
        <v>-56.95850205903627</v>
      </c>
      <c r="F283">
        <f t="shared" si="20"/>
        <v>-112.82469394825429</v>
      </c>
    </row>
    <row r="284" spans="1:6" x14ac:dyDescent="0.25">
      <c r="A284">
        <v>79.190610190691643</v>
      </c>
      <c r="B284">
        <v>80.371331695632946</v>
      </c>
      <c r="C284">
        <v>-265.15702400000004</v>
      </c>
      <c r="E284">
        <f t="shared" si="19"/>
        <v>-45.128294294410416</v>
      </c>
      <c r="F284">
        <f t="shared" si="20"/>
        <v>-114.37066478753829</v>
      </c>
    </row>
    <row r="285" spans="1:6" x14ac:dyDescent="0.25">
      <c r="A285">
        <v>51.465102443242543</v>
      </c>
      <c r="B285">
        <v>85.072314342542228</v>
      </c>
      <c r="C285">
        <v>-265.15702400000004</v>
      </c>
      <c r="E285">
        <f t="shared" si="19"/>
        <v>-17.559621434674483</v>
      </c>
      <c r="F285">
        <f t="shared" si="20"/>
        <v>-118.29311902266087</v>
      </c>
    </row>
    <row r="286" spans="1:6" x14ac:dyDescent="0.25">
      <c r="A286">
        <v>6.7962530120693945E-14</v>
      </c>
      <c r="B286">
        <v>89.404413427009757</v>
      </c>
      <c r="C286">
        <v>-265.15702400000004</v>
      </c>
      <c r="E286">
        <f t="shared" si="19"/>
        <v>32.039676320137701</v>
      </c>
      <c r="F286">
        <f t="shared" si="20"/>
        <v>-128.47480636318971</v>
      </c>
    </row>
    <row r="287" spans="1:6" x14ac:dyDescent="0.25">
      <c r="A287">
        <v>-51.465102443242536</v>
      </c>
      <c r="B287">
        <v>85.072314342542242</v>
      </c>
      <c r="C287">
        <v>-265.15702400000004</v>
      </c>
      <c r="E287">
        <f t="shared" si="19"/>
        <v>78.534003142694615</v>
      </c>
      <c r="F287">
        <f t="shared" si="20"/>
        <v>-144.3760865834796</v>
      </c>
    </row>
    <row r="288" spans="1:6" x14ac:dyDescent="0.25">
      <c r="A288">
        <v>-79.190610190691629</v>
      </c>
      <c r="B288">
        <v>80.371331695632932</v>
      </c>
      <c r="C288">
        <v>-265.15702400000004</v>
      </c>
      <c r="E288">
        <f t="shared" si="19"/>
        <v>102.7333129783887</v>
      </c>
      <c r="F288">
        <f t="shared" si="20"/>
        <v>-154.50516406310433</v>
      </c>
    </row>
    <row r="289" spans="1:6" x14ac:dyDescent="0.25">
      <c r="A289">
        <v>-91.018572249553998</v>
      </c>
      <c r="B289">
        <v>78.17288202366835</v>
      </c>
      <c r="C289">
        <v>-265.15702400000004</v>
      </c>
      <c r="E289">
        <f t="shared" si="19"/>
        <v>112.98781294077365</v>
      </c>
      <c r="F289">
        <f t="shared" si="20"/>
        <v>-158.95370865361343</v>
      </c>
    </row>
    <row r="290" spans="1:6" x14ac:dyDescent="0.25">
      <c r="A290">
        <v>-97.933744291947065</v>
      </c>
      <c r="B290">
        <v>76.798608403995516</v>
      </c>
      <c r="C290">
        <v>-265.15702400000004</v>
      </c>
      <c r="E290">
        <f t="shared" si="19"/>
        <v>118.95118658621615</v>
      </c>
      <c r="F290">
        <f t="shared" si="20"/>
        <v>-161.61325815705055</v>
      </c>
    </row>
    <row r="291" spans="1:6" x14ac:dyDescent="0.25">
      <c r="A291">
        <v>-104.06358610242319</v>
      </c>
      <c r="B291">
        <v>74.065168862015611</v>
      </c>
      <c r="C291">
        <v>-265.15702400000004</v>
      </c>
      <c r="E291">
        <f t="shared" si="19"/>
        <v>123.69430979413545</v>
      </c>
      <c r="F291">
        <f t="shared" si="20"/>
        <v>-164.97104273811127</v>
      </c>
    </row>
    <row r="292" spans="1:6" x14ac:dyDescent="0.25">
      <c r="A292">
        <v>-108.33439774002667</v>
      </c>
      <c r="B292">
        <v>70.638175539774863</v>
      </c>
      <c r="C292">
        <v>-265.15702400000004</v>
      </c>
      <c r="E292">
        <f t="shared" si="19"/>
        <v>126.45333137426167</v>
      </c>
      <c r="F292">
        <f t="shared" si="20"/>
        <v>-168.31558420107518</v>
      </c>
    </row>
    <row r="293" spans="1:6" x14ac:dyDescent="0.25">
      <c r="A293">
        <v>-111.91471626519306</v>
      </c>
      <c r="B293">
        <v>67.662720317837113</v>
      </c>
      <c r="C293">
        <v>-265.15702400000004</v>
      </c>
      <c r="E293">
        <f t="shared" si="19"/>
        <v>128.72953888313265</v>
      </c>
      <c r="F293">
        <f t="shared" si="20"/>
        <v>-171.18707283033751</v>
      </c>
    </row>
    <row r="294" spans="1:6" x14ac:dyDescent="0.25">
      <c r="A294">
        <v>-115.14816600716009</v>
      </c>
      <c r="B294">
        <v>64.934979790467381</v>
      </c>
      <c r="C294">
        <v>-265.15702400000004</v>
      </c>
      <c r="E294">
        <f t="shared" si="19"/>
        <v>130.77068949261039</v>
      </c>
      <c r="F294">
        <f t="shared" si="20"/>
        <v>-173.80713674252655</v>
      </c>
    </row>
    <row r="295" spans="1:6" x14ac:dyDescent="0.25">
      <c r="A295">
        <v>-118.24258932261731</v>
      </c>
      <c r="B295">
        <v>62.306447433964017</v>
      </c>
      <c r="C295">
        <v>-265.15702400000004</v>
      </c>
      <c r="E295">
        <f t="shared" si="19"/>
        <v>132.71760078030422</v>
      </c>
      <c r="F295">
        <f t="shared" si="20"/>
        <v>-176.3264793593892</v>
      </c>
    </row>
    <row r="296" spans="1:6" x14ac:dyDescent="0.25">
      <c r="A296">
        <v>-121.35259017507309</v>
      </c>
      <c r="B296">
        <v>59.643071032022505</v>
      </c>
      <c r="C296">
        <v>-265.15702400000004</v>
      </c>
      <c r="E296">
        <f t="shared" si="19"/>
        <v>134.66656796251544</v>
      </c>
      <c r="F296">
        <f t="shared" si="20"/>
        <v>-178.8727713775362</v>
      </c>
    </row>
    <row r="297" spans="1:6" x14ac:dyDescent="0.25">
      <c r="A297">
        <v>-124.62277338813777</v>
      </c>
      <c r="B297">
        <v>56.79188035463158</v>
      </c>
      <c r="C297">
        <v>-265.15702400000004</v>
      </c>
      <c r="E297">
        <f t="shared" si="19"/>
        <v>136.69777164447311</v>
      </c>
      <c r="F297">
        <f t="shared" si="20"/>
        <v>-181.58363822489818</v>
      </c>
    </row>
    <row r="298" spans="1:6" x14ac:dyDescent="0.25">
      <c r="A298">
        <v>-127.92191160395161</v>
      </c>
      <c r="B298">
        <v>52.683174791272442</v>
      </c>
      <c r="C298">
        <v>-265.15702400000004</v>
      </c>
      <c r="E298">
        <f t="shared" si="19"/>
        <v>138.30535411903944</v>
      </c>
      <c r="F298">
        <f t="shared" si="20"/>
        <v>-185.13197959523512</v>
      </c>
    </row>
    <row r="299" spans="1:6" x14ac:dyDescent="0.25">
      <c r="A299">
        <v>-129.00743392100111</v>
      </c>
      <c r="B299">
        <v>48.031610917416202</v>
      </c>
      <c r="C299">
        <v>-265.15702400000004</v>
      </c>
      <c r="E299">
        <f t="shared" si="19"/>
        <v>137.65180509910985</v>
      </c>
      <c r="F299">
        <f t="shared" si="20"/>
        <v>-188.47774399608031</v>
      </c>
    </row>
    <row r="300" spans="1:6" x14ac:dyDescent="0.25">
      <c r="A300">
        <v>-130.07533660261942</v>
      </c>
      <c r="B300">
        <v>43.725437649717335</v>
      </c>
      <c r="C300">
        <v>-265.15702400000004</v>
      </c>
      <c r="E300">
        <f t="shared" si="19"/>
        <v>137.10558365574056</v>
      </c>
      <c r="F300">
        <f t="shared" si="20"/>
        <v>-191.59103698611958</v>
      </c>
    </row>
    <row r="301" spans="1:6" x14ac:dyDescent="0.25">
      <c r="A301">
        <v>-131.47656205357964</v>
      </c>
      <c r="B301">
        <v>37.218652740733305</v>
      </c>
      <c r="C301">
        <v>-265.15702400000004</v>
      </c>
      <c r="E301">
        <f t="shared" si="19"/>
        <v>136.08191714390185</v>
      </c>
      <c r="F301">
        <f t="shared" si="20"/>
        <v>-196.24150951526869</v>
      </c>
    </row>
    <row r="302" spans="1:6" x14ac:dyDescent="0.25">
      <c r="A302">
        <v>-133.57228228169961</v>
      </c>
      <c r="B302">
        <v>27.31879790594428</v>
      </c>
      <c r="C302">
        <v>-265.15702400000004</v>
      </c>
      <c r="E302">
        <f t="shared" si="19"/>
        <v>134.49064985034943</v>
      </c>
      <c r="F302">
        <f t="shared" si="20"/>
        <v>-203.3078748265485</v>
      </c>
    </row>
    <row r="303" spans="1:6" x14ac:dyDescent="0.25">
      <c r="A303">
        <v>-177.55984935655638</v>
      </c>
      <c r="B303">
        <v>-7.5781096355797115E-15</v>
      </c>
      <c r="C303">
        <v>-211.67603200000002</v>
      </c>
      <c r="E303">
        <f t="shared" si="19"/>
        <v>165.76639989107278</v>
      </c>
      <c r="F303">
        <f t="shared" si="20"/>
        <v>-194.67200602538867</v>
      </c>
    </row>
    <row r="304" spans="1:6" x14ac:dyDescent="0.25">
      <c r="A304">
        <v>-176.85080900134952</v>
      </c>
      <c r="B304">
        <v>-13.867463711843852</v>
      </c>
      <c r="C304">
        <v>-211.67603200000002</v>
      </c>
      <c r="E304">
        <f t="shared" si="19"/>
        <v>160.13479915804768</v>
      </c>
      <c r="F304">
        <f t="shared" si="20"/>
        <v>-203.64681413499216</v>
      </c>
    </row>
    <row r="305" spans="1:6" x14ac:dyDescent="0.25">
      <c r="A305">
        <v>-175.47072360206687</v>
      </c>
      <c r="B305">
        <v>-25.742579102848236</v>
      </c>
      <c r="C305">
        <v>-211.67603200000002</v>
      </c>
      <c r="E305">
        <f t="shared" si="19"/>
        <v>154.59071768909473</v>
      </c>
      <c r="F305">
        <f t="shared" si="20"/>
        <v>-211.13634555974079</v>
      </c>
    </row>
    <row r="306" spans="1:6" x14ac:dyDescent="0.25">
      <c r="A306">
        <v>-173.47358124841119</v>
      </c>
      <c r="B306">
        <v>-35.573182961932623</v>
      </c>
      <c r="C306">
        <v>-211.67603200000002</v>
      </c>
      <c r="E306">
        <f t="shared" si="19"/>
        <v>149.20325133102105</v>
      </c>
      <c r="F306">
        <f t="shared" si="20"/>
        <v>-217.11984604255329</v>
      </c>
    </row>
    <row r="307" spans="1:6" x14ac:dyDescent="0.25">
      <c r="A307">
        <v>-171.41912077557322</v>
      </c>
      <c r="B307">
        <v>-43.986804211254295</v>
      </c>
      <c r="C307">
        <v>-211.67603200000002</v>
      </c>
      <c r="E307">
        <f t="shared" si="19"/>
        <v>144.27007505119718</v>
      </c>
      <c r="F307">
        <f t="shared" si="20"/>
        <v>-222.1534134729983</v>
      </c>
    </row>
    <row r="308" spans="1:6" x14ac:dyDescent="0.25">
      <c r="A308">
        <v>-167.85410262488489</v>
      </c>
      <c r="B308">
        <v>-51.659011405959255</v>
      </c>
      <c r="C308">
        <v>-211.67603200000002</v>
      </c>
      <c r="E308">
        <f t="shared" si="19"/>
        <v>138.19237072475417</v>
      </c>
      <c r="F308">
        <f t="shared" si="20"/>
        <v>-226.31476107765451</v>
      </c>
    </row>
    <row r="309" spans="1:6" x14ac:dyDescent="0.25">
      <c r="A309">
        <v>-162.99848654918884</v>
      </c>
      <c r="B309">
        <v>-59.288842468513927</v>
      </c>
      <c r="C309">
        <v>-211.67603200000002</v>
      </c>
      <c r="E309">
        <f t="shared" si="19"/>
        <v>130.92497568463443</v>
      </c>
      <c r="F309">
        <f t="shared" si="20"/>
        <v>-230.12109125569509</v>
      </c>
    </row>
    <row r="310" spans="1:6" x14ac:dyDescent="0.25">
      <c r="A310">
        <v>-158.66487287718729</v>
      </c>
      <c r="B310">
        <v>-66.049650414314172</v>
      </c>
      <c r="C310">
        <v>-211.67603200000002</v>
      </c>
      <c r="E310">
        <f t="shared" si="19"/>
        <v>124.45634190364711</v>
      </c>
      <c r="F310">
        <f t="shared" si="20"/>
        <v>-233.48602131036372</v>
      </c>
    </row>
    <row r="311" spans="1:6" x14ac:dyDescent="0.25">
      <c r="A311">
        <v>-154.57695585063888</v>
      </c>
      <c r="B311">
        <v>-72.399183729556711</v>
      </c>
      <c r="C311">
        <v>-211.67603200000002</v>
      </c>
      <c r="E311">
        <f t="shared" si="19"/>
        <v>118.36447334776383</v>
      </c>
      <c r="F311">
        <f t="shared" si="20"/>
        <v>-236.64171271124243</v>
      </c>
    </row>
    <row r="312" spans="1:6" x14ac:dyDescent="0.25">
      <c r="A312">
        <v>-150.58397539287037</v>
      </c>
      <c r="B312">
        <v>-78.293501053518114</v>
      </c>
      <c r="C312">
        <v>-211.67603200000002</v>
      </c>
      <c r="E312">
        <f t="shared" si="19"/>
        <v>112.52437053564793</v>
      </c>
      <c r="F312">
        <f t="shared" si="20"/>
        <v>-239.52095469443773</v>
      </c>
    </row>
    <row r="313" spans="1:6" x14ac:dyDescent="0.25">
      <c r="A313">
        <v>-147.03492439410763</v>
      </c>
      <c r="B313">
        <v>-81.363722893755778</v>
      </c>
      <c r="C313">
        <v>-211.67603200000002</v>
      </c>
      <c r="E313">
        <f t="shared" si="19"/>
        <v>108.11077688502752</v>
      </c>
      <c r="F313">
        <f t="shared" si="20"/>
        <v>-240.64838900012793</v>
      </c>
    </row>
    <row r="314" spans="1:6" x14ac:dyDescent="0.25">
      <c r="A314">
        <v>-143.22856573520161</v>
      </c>
      <c r="B314">
        <v>-84.478075967886795</v>
      </c>
      <c r="C314">
        <v>-211.67603200000002</v>
      </c>
      <c r="E314">
        <f t="shared" si="19"/>
        <v>103.44115061950828</v>
      </c>
      <c r="F314">
        <f t="shared" si="20"/>
        <v>-241.73975324980609</v>
      </c>
    </row>
    <row r="315" spans="1:6" x14ac:dyDescent="0.25">
      <c r="A315">
        <v>-136.19644837983674</v>
      </c>
      <c r="B315">
        <v>-88.090055019808048</v>
      </c>
      <c r="C315">
        <v>-211.67603200000002</v>
      </c>
      <c r="E315">
        <f t="shared" si="19"/>
        <v>95.58168597307079</v>
      </c>
      <c r="F315">
        <f t="shared" si="20"/>
        <v>-242.34219936463325</v>
      </c>
    </row>
    <row r="316" spans="1:6" x14ac:dyDescent="0.25">
      <c r="A316">
        <v>-127.16062342732735</v>
      </c>
      <c r="B316">
        <v>-92.205555531298756</v>
      </c>
      <c r="C316">
        <v>-211.67603200000002</v>
      </c>
      <c r="E316">
        <f t="shared" si="19"/>
        <v>85.671153180497441</v>
      </c>
      <c r="F316">
        <f t="shared" si="20"/>
        <v>-242.76929232863534</v>
      </c>
    </row>
    <row r="317" spans="1:6" x14ac:dyDescent="0.25">
      <c r="A317">
        <v>-116.44397181735837</v>
      </c>
      <c r="B317">
        <v>-97.066543596145991</v>
      </c>
      <c r="C317">
        <v>-211.67603200000002</v>
      </c>
      <c r="E317">
        <f t="shared" si="19"/>
        <v>73.9242746742772</v>
      </c>
      <c r="F317">
        <f t="shared" si="20"/>
        <v>-243.26258334626027</v>
      </c>
    </row>
    <row r="318" spans="1:6" x14ac:dyDescent="0.25">
      <c r="A318">
        <v>-103.38945985379742</v>
      </c>
      <c r="B318">
        <v>-102.26741430288386</v>
      </c>
      <c r="C318">
        <v>-211.67603200000002</v>
      </c>
      <c r="E318">
        <f t="shared" si="19"/>
        <v>59.873012456599284</v>
      </c>
      <c r="F318">
        <f t="shared" si="20"/>
        <v>-243.38782073088836</v>
      </c>
    </row>
    <row r="319" spans="1:6" x14ac:dyDescent="0.25">
      <c r="A319">
        <v>-86.299978583971566</v>
      </c>
      <c r="B319">
        <v>-104.91349906184332</v>
      </c>
      <c r="C319">
        <v>-211.67603200000002</v>
      </c>
      <c r="E319">
        <f t="shared" si="19"/>
        <v>42.970335274707949</v>
      </c>
      <c r="F319">
        <f t="shared" si="20"/>
        <v>-240.80406003104633</v>
      </c>
    </row>
    <row r="320" spans="1:6" x14ac:dyDescent="0.25">
      <c r="A320">
        <v>-50.510253381186587</v>
      </c>
      <c r="B320">
        <v>-109.45556657232456</v>
      </c>
      <c r="C320">
        <v>-211.67603200000002</v>
      </c>
      <c r="E320">
        <f t="shared" si="19"/>
        <v>7.9300169352468144</v>
      </c>
      <c r="F320">
        <f t="shared" si="20"/>
        <v>-234.7331911463703</v>
      </c>
    </row>
    <row r="321" spans="1:6" x14ac:dyDescent="0.25">
      <c r="A321">
        <v>4.2501224475586288E-14</v>
      </c>
      <c r="B321">
        <v>-112.69852009699984</v>
      </c>
      <c r="C321">
        <v>-211.67603200000002</v>
      </c>
      <c r="E321">
        <f t="shared" si="19"/>
        <v>-40.387537563951717</v>
      </c>
      <c r="F321">
        <f t="shared" si="20"/>
        <v>-224.07447707262156</v>
      </c>
    </row>
    <row r="322" spans="1:6" x14ac:dyDescent="0.25">
      <c r="A322">
        <v>50.510253381186466</v>
      </c>
      <c r="B322">
        <v>-109.45556657232456</v>
      </c>
      <c r="C322">
        <v>-211.67603200000002</v>
      </c>
      <c r="E322">
        <f t="shared" si="19"/>
        <v>-86.380750852932877</v>
      </c>
      <c r="F322">
        <f t="shared" si="20"/>
        <v>-209.13414950678242</v>
      </c>
    </row>
    <row r="323" spans="1:6" x14ac:dyDescent="0.25">
      <c r="A323">
        <v>86.29997858397158</v>
      </c>
      <c r="B323">
        <v>-104.91349906184328</v>
      </c>
      <c r="C323">
        <v>-211.67603200000002</v>
      </c>
      <c r="E323">
        <f t="shared" si="19"/>
        <v>-118.16560635153915</v>
      </c>
      <c r="F323">
        <f t="shared" si="20"/>
        <v>-197.0664701877634</v>
      </c>
    </row>
    <row r="324" spans="1:6" x14ac:dyDescent="0.25">
      <c r="A324">
        <v>103.38945985379748</v>
      </c>
      <c r="B324">
        <v>-102.26741430288395</v>
      </c>
      <c r="C324">
        <v>-211.67603200000002</v>
      </c>
      <c r="E324">
        <f t="shared" si="19"/>
        <v>-133.17173959464782</v>
      </c>
      <c r="F324">
        <f t="shared" si="20"/>
        <v>-190.98913114368349</v>
      </c>
    </row>
    <row r="325" spans="1:6" x14ac:dyDescent="0.25">
      <c r="A325">
        <v>116.44397181735835</v>
      </c>
      <c r="B325">
        <v>-97.066543596145976</v>
      </c>
      <c r="C325">
        <v>-211.67603200000002</v>
      </c>
      <c r="E325">
        <f t="shared" si="19"/>
        <v>-143.49535107027791</v>
      </c>
      <c r="F325">
        <f t="shared" si="20"/>
        <v>-184.24775202605488</v>
      </c>
    </row>
    <row r="326" spans="1:6" x14ac:dyDescent="0.25">
      <c r="A326">
        <v>127.16062342732731</v>
      </c>
      <c r="B326">
        <v>-92.205555531298785</v>
      </c>
      <c r="C326">
        <v>-211.67603200000002</v>
      </c>
      <c r="E326">
        <f t="shared" si="19"/>
        <v>-151.75818492537118</v>
      </c>
      <c r="F326">
        <f t="shared" si="20"/>
        <v>-178.32316750985626</v>
      </c>
    </row>
    <row r="327" spans="1:6" x14ac:dyDescent="0.25">
      <c r="A327">
        <v>136.19644837983671</v>
      </c>
      <c r="B327">
        <v>-88.090055019808077</v>
      </c>
      <c r="C327">
        <v>-211.67603200000002</v>
      </c>
      <c r="E327">
        <f t="shared" si="19"/>
        <v>-158.71899075863342</v>
      </c>
      <c r="F327">
        <f t="shared" si="20"/>
        <v>-173.31663881303973</v>
      </c>
    </row>
    <row r="328" spans="1:6" x14ac:dyDescent="0.25">
      <c r="A328">
        <v>143.22856573520161</v>
      </c>
      <c r="B328">
        <v>-84.478075967886838</v>
      </c>
      <c r="C328">
        <v>-211.67603200000002</v>
      </c>
      <c r="E328">
        <f t="shared" si="19"/>
        <v>-163.98962035179576</v>
      </c>
      <c r="F328">
        <f t="shared" si="20"/>
        <v>-169.15025363744547</v>
      </c>
    </row>
    <row r="329" spans="1:6" x14ac:dyDescent="0.25">
      <c r="A329">
        <v>147.03492439410766</v>
      </c>
      <c r="B329">
        <v>-81.363722893755792</v>
      </c>
      <c r="C329">
        <v>-211.67603200000002</v>
      </c>
      <c r="E329">
        <f t="shared" si="19"/>
        <v>-166.42707796664214</v>
      </c>
      <c r="F329">
        <f t="shared" si="20"/>
        <v>-166.12979326803108</v>
      </c>
    </row>
    <row r="330" spans="1:6" x14ac:dyDescent="0.25">
      <c r="A330">
        <v>150.58397539287034</v>
      </c>
      <c r="B330">
        <v>-78.293501053518085</v>
      </c>
      <c r="C330">
        <v>-211.67603200000002</v>
      </c>
      <c r="E330">
        <f t="shared" si="19"/>
        <v>-168.64013340619215</v>
      </c>
      <c r="F330">
        <f t="shared" si="20"/>
        <v>-163.20366863282078</v>
      </c>
    </row>
    <row r="331" spans="1:6" x14ac:dyDescent="0.25">
      <c r="A331">
        <v>154.57695585063891</v>
      </c>
      <c r="B331">
        <v>-72.399183729556768</v>
      </c>
      <c r="C331">
        <v>-211.67603200000002</v>
      </c>
      <c r="E331">
        <f t="shared" si="19"/>
        <v>-170.25556739159336</v>
      </c>
      <c r="F331">
        <f t="shared" si="20"/>
        <v>-158.30074895723547</v>
      </c>
    </row>
    <row r="332" spans="1:6" x14ac:dyDescent="0.25">
      <c r="A332">
        <v>158.66487287718735</v>
      </c>
      <c r="B332">
        <v>-66.0496504143142</v>
      </c>
      <c r="C332">
        <v>-211.67603200000002</v>
      </c>
      <c r="E332">
        <f t="shared" si="19"/>
        <v>-171.79649747797058</v>
      </c>
      <c r="F332">
        <f t="shared" si="20"/>
        <v>-153.07326517408427</v>
      </c>
    </row>
    <row r="333" spans="1:6" x14ac:dyDescent="0.25">
      <c r="A333">
        <v>162.99848654918875</v>
      </c>
      <c r="B333">
        <v>-59.288842468513927</v>
      </c>
      <c r="C333">
        <v>-211.67603200000002</v>
      </c>
      <c r="E333">
        <f t="shared" si="19"/>
        <v>-173.41941749734573</v>
      </c>
      <c r="F333">
        <f t="shared" si="20"/>
        <v>-147.5120215115181</v>
      </c>
    </row>
    <row r="334" spans="1:6" x14ac:dyDescent="0.25">
      <c r="A334">
        <v>167.85410262488475</v>
      </c>
      <c r="B334">
        <v>-51.65901140595922</v>
      </c>
      <c r="C334">
        <v>-211.67603200000002</v>
      </c>
      <c r="E334">
        <f t="shared" si="19"/>
        <v>-175.21823871093588</v>
      </c>
      <c r="F334">
        <f t="shared" si="20"/>
        <v>-141.24482230616249</v>
      </c>
    </row>
    <row r="335" spans="1:6" x14ac:dyDescent="0.25">
      <c r="A335">
        <v>171.41912077557313</v>
      </c>
      <c r="B335">
        <v>-43.986804211254288</v>
      </c>
      <c r="C335">
        <v>-211.67603200000002</v>
      </c>
      <c r="E335">
        <f t="shared" si="19"/>
        <v>-175.79699671567269</v>
      </c>
      <c r="F335">
        <f t="shared" si="20"/>
        <v>-135.27669207864682</v>
      </c>
    </row>
    <row r="336" spans="1:6" x14ac:dyDescent="0.25">
      <c r="A336">
        <v>173.47358124841122</v>
      </c>
      <c r="B336">
        <v>-35.573182961932574</v>
      </c>
      <c r="C336">
        <v>-211.67603200000002</v>
      </c>
      <c r="E336">
        <f t="shared" si="19"/>
        <v>-174.69982860475633</v>
      </c>
      <c r="F336">
        <f t="shared" si="20"/>
        <v>-129.20190597138836</v>
      </c>
    </row>
    <row r="337" spans="1:6" x14ac:dyDescent="0.25">
      <c r="A337">
        <v>175.47072360206701</v>
      </c>
      <c r="B337">
        <v>-25.742579102848278</v>
      </c>
      <c r="C337">
        <v>-211.67603200000002</v>
      </c>
      <c r="E337">
        <f t="shared" si="19"/>
        <v>-173.04134826728577</v>
      </c>
      <c r="F337">
        <f t="shared" si="20"/>
        <v>-122.20623613979853</v>
      </c>
    </row>
    <row r="338" spans="1:6" x14ac:dyDescent="0.25">
      <c r="A338">
        <v>176.85080900134955</v>
      </c>
      <c r="B338">
        <v>-13.86746371184384</v>
      </c>
      <c r="C338">
        <v>-211.67603200000002</v>
      </c>
      <c r="E338">
        <f t="shared" si="19"/>
        <v>-170.07410822966244</v>
      </c>
      <c r="F338">
        <f t="shared" si="20"/>
        <v>-114.01726526983849</v>
      </c>
    </row>
    <row r="339" spans="1:6" x14ac:dyDescent="0.25">
      <c r="A339">
        <v>177.55984935655653</v>
      </c>
      <c r="B339">
        <v>5.1161879927782691E-15</v>
      </c>
      <c r="C339">
        <v>-211.67603200000002</v>
      </c>
      <c r="E339">
        <f t="shared" si="19"/>
        <v>-165.76639989107295</v>
      </c>
      <c r="F339">
        <f t="shared" si="20"/>
        <v>-104.68310925833256</v>
      </c>
    </row>
    <row r="340" spans="1:6" x14ac:dyDescent="0.25">
      <c r="A340">
        <v>176.85080900134955</v>
      </c>
      <c r="B340">
        <v>13.86746371184385</v>
      </c>
      <c r="C340">
        <v>-211.67603200000002</v>
      </c>
      <c r="E340">
        <f t="shared" ref="E340:E403" si="21">($I$2*A340)+($K$2*B340)+($M$2*C340)</f>
        <v>-160.13479915804777</v>
      </c>
      <c r="F340">
        <f t="shared" ref="F340:F403" si="22">($J$2*A340)+($L$2*B340)+($N$2*C340)</f>
        <v>-95.708301148729106</v>
      </c>
    </row>
    <row r="341" spans="1:6" x14ac:dyDescent="0.25">
      <c r="A341">
        <v>175.4707236020669</v>
      </c>
      <c r="B341">
        <v>25.7425791028482</v>
      </c>
      <c r="C341">
        <v>-211.67603200000002</v>
      </c>
      <c r="E341">
        <f t="shared" si="21"/>
        <v>-154.59071768909482</v>
      </c>
      <c r="F341">
        <f t="shared" si="22"/>
        <v>-88.218769723980472</v>
      </c>
    </row>
    <row r="342" spans="1:6" x14ac:dyDescent="0.25">
      <c r="A342">
        <v>173.47358124841128</v>
      </c>
      <c r="B342">
        <v>35.573182961932609</v>
      </c>
      <c r="C342">
        <v>-211.67603200000002</v>
      </c>
      <c r="E342">
        <f t="shared" si="21"/>
        <v>-149.20325133102119</v>
      </c>
      <c r="F342">
        <f t="shared" si="22"/>
        <v>-82.235269241167956</v>
      </c>
    </row>
    <row r="343" spans="1:6" x14ac:dyDescent="0.25">
      <c r="A343">
        <v>171.41912077557319</v>
      </c>
      <c r="B343">
        <v>43.986804211254274</v>
      </c>
      <c r="C343">
        <v>-211.67603200000002</v>
      </c>
      <c r="E343">
        <f t="shared" si="21"/>
        <v>-144.27007505119721</v>
      </c>
      <c r="F343">
        <f t="shared" si="22"/>
        <v>-77.201701810722966</v>
      </c>
    </row>
    <row r="344" spans="1:6" x14ac:dyDescent="0.25">
      <c r="A344">
        <v>167.8541026248848</v>
      </c>
      <c r="B344">
        <v>51.659011405959227</v>
      </c>
      <c r="C344">
        <v>-211.67603200000002</v>
      </c>
      <c r="E344">
        <f t="shared" si="21"/>
        <v>-138.19237072475417</v>
      </c>
      <c r="F344">
        <f t="shared" si="22"/>
        <v>-73.04035420606678</v>
      </c>
    </row>
    <row r="345" spans="1:6" x14ac:dyDescent="0.25">
      <c r="A345">
        <v>162.99848654918875</v>
      </c>
      <c r="B345">
        <v>59.28884246851392</v>
      </c>
      <c r="C345">
        <v>-211.67603200000002</v>
      </c>
      <c r="E345">
        <f t="shared" si="21"/>
        <v>-130.9249756846344</v>
      </c>
      <c r="F345">
        <f t="shared" si="22"/>
        <v>-69.234024028026184</v>
      </c>
    </row>
    <row r="346" spans="1:6" x14ac:dyDescent="0.25">
      <c r="A346">
        <v>158.66487287718735</v>
      </c>
      <c r="B346">
        <v>66.049650414314115</v>
      </c>
      <c r="C346">
        <v>-211.67603200000002</v>
      </c>
      <c r="E346">
        <f t="shared" si="21"/>
        <v>-124.45634190364724</v>
      </c>
      <c r="F346">
        <f t="shared" si="22"/>
        <v>-65.869093973357565</v>
      </c>
    </row>
    <row r="347" spans="1:6" x14ac:dyDescent="0.25">
      <c r="A347">
        <v>154.57695585063888</v>
      </c>
      <c r="B347">
        <v>72.399183729556711</v>
      </c>
      <c r="C347">
        <v>-211.67603200000002</v>
      </c>
      <c r="E347">
        <f t="shared" si="21"/>
        <v>-118.36447334776389</v>
      </c>
      <c r="F347">
        <f t="shared" si="22"/>
        <v>-62.713402572478827</v>
      </c>
    </row>
    <row r="348" spans="1:6" x14ac:dyDescent="0.25">
      <c r="A348">
        <v>150.58397539287034</v>
      </c>
      <c r="B348">
        <v>78.293501053518085</v>
      </c>
      <c r="C348">
        <v>-211.67603200000002</v>
      </c>
      <c r="E348">
        <f t="shared" si="21"/>
        <v>-112.52437053564798</v>
      </c>
      <c r="F348">
        <f t="shared" si="22"/>
        <v>-59.834160589283556</v>
      </c>
    </row>
    <row r="349" spans="1:6" x14ac:dyDescent="0.25">
      <c r="A349">
        <v>147.03492439410772</v>
      </c>
      <c r="B349">
        <v>81.363722893755806</v>
      </c>
      <c r="C349">
        <v>-211.67603200000002</v>
      </c>
      <c r="E349">
        <f t="shared" si="21"/>
        <v>-108.11077688502766</v>
      </c>
      <c r="F349">
        <f t="shared" si="22"/>
        <v>-58.706726283593284</v>
      </c>
    </row>
    <row r="350" spans="1:6" x14ac:dyDescent="0.25">
      <c r="A350">
        <v>143.22856573520161</v>
      </c>
      <c r="B350">
        <v>84.478075967886809</v>
      </c>
      <c r="C350">
        <v>-211.67603200000002</v>
      </c>
      <c r="E350">
        <f t="shared" si="21"/>
        <v>-103.44115061950833</v>
      </c>
      <c r="F350">
        <f t="shared" si="22"/>
        <v>-57.615362033915176</v>
      </c>
    </row>
    <row r="351" spans="1:6" x14ac:dyDescent="0.25">
      <c r="A351">
        <v>136.19644837983682</v>
      </c>
      <c r="B351">
        <v>88.090055019808048</v>
      </c>
      <c r="C351">
        <v>-211.67603200000002</v>
      </c>
      <c r="E351">
        <f t="shared" si="21"/>
        <v>-95.581685973070904</v>
      </c>
      <c r="F351">
        <f t="shared" si="22"/>
        <v>-57.012915919087988</v>
      </c>
    </row>
    <row r="352" spans="1:6" x14ac:dyDescent="0.25">
      <c r="A352">
        <v>127.16062342732741</v>
      </c>
      <c r="B352">
        <v>92.205555531298742</v>
      </c>
      <c r="C352">
        <v>-211.67603200000002</v>
      </c>
      <c r="E352">
        <f t="shared" si="21"/>
        <v>-85.671153180497555</v>
      </c>
      <c r="F352">
        <f t="shared" si="22"/>
        <v>-56.585822955085902</v>
      </c>
    </row>
    <row r="353" spans="1:6" x14ac:dyDescent="0.25">
      <c r="A353">
        <v>116.4439718173584</v>
      </c>
      <c r="B353">
        <v>97.066543596145962</v>
      </c>
      <c r="C353">
        <v>-211.67603200000002</v>
      </c>
      <c r="E353">
        <f t="shared" si="21"/>
        <v>-73.924274674277299</v>
      </c>
      <c r="F353">
        <f t="shared" si="22"/>
        <v>-56.092531937461018</v>
      </c>
    </row>
    <row r="354" spans="1:6" x14ac:dyDescent="0.25">
      <c r="A354">
        <v>103.38945985379739</v>
      </c>
      <c r="B354">
        <v>102.26741430288391</v>
      </c>
      <c r="C354">
        <v>-211.67603200000002</v>
      </c>
      <c r="E354">
        <f t="shared" si="21"/>
        <v>-59.873012456599298</v>
      </c>
      <c r="F354">
        <f t="shared" si="22"/>
        <v>-55.967294552832868</v>
      </c>
    </row>
    <row r="355" spans="1:6" x14ac:dyDescent="0.25">
      <c r="A355">
        <v>86.299978583971551</v>
      </c>
      <c r="B355">
        <v>104.9134990618433</v>
      </c>
      <c r="C355">
        <v>-211.67603200000002</v>
      </c>
      <c r="E355">
        <f t="shared" si="21"/>
        <v>-42.970335274707999</v>
      </c>
      <c r="F355">
        <f t="shared" si="22"/>
        <v>-58.551055252674928</v>
      </c>
    </row>
    <row r="356" spans="1:6" x14ac:dyDescent="0.25">
      <c r="A356">
        <v>50.510253381186487</v>
      </c>
      <c r="B356">
        <v>109.45556657232457</v>
      </c>
      <c r="C356">
        <v>-211.67603200000002</v>
      </c>
      <c r="E356">
        <f t="shared" si="21"/>
        <v>-7.9300169352467664</v>
      </c>
      <c r="F356">
        <f t="shared" si="22"/>
        <v>-64.621924137350959</v>
      </c>
    </row>
    <row r="357" spans="1:6" x14ac:dyDescent="0.25">
      <c r="A357">
        <v>6.1472715520380981E-14</v>
      </c>
      <c r="B357">
        <v>112.69852009699979</v>
      </c>
      <c r="C357">
        <v>-211.67603200000002</v>
      </c>
      <c r="E357">
        <f t="shared" si="21"/>
        <v>40.38753756395154</v>
      </c>
      <c r="F357">
        <f t="shared" si="22"/>
        <v>-75.280638211099699</v>
      </c>
    </row>
    <row r="358" spans="1:6" x14ac:dyDescent="0.25">
      <c r="A358">
        <v>-50.510253381186473</v>
      </c>
      <c r="B358">
        <v>109.45556657232454</v>
      </c>
      <c r="C358">
        <v>-211.67603200000002</v>
      </c>
      <c r="E358">
        <f t="shared" si="21"/>
        <v>86.38075085293282</v>
      </c>
      <c r="F358">
        <f t="shared" si="22"/>
        <v>-90.220965776938826</v>
      </c>
    </row>
    <row r="359" spans="1:6" x14ac:dyDescent="0.25">
      <c r="A359">
        <v>-86.299978583971509</v>
      </c>
      <c r="B359">
        <v>104.91349906184334</v>
      </c>
      <c r="C359">
        <v>-211.67603200000002</v>
      </c>
      <c r="E359">
        <f t="shared" si="21"/>
        <v>118.16560635153905</v>
      </c>
      <c r="F359">
        <f t="shared" si="22"/>
        <v>-102.28864509595782</v>
      </c>
    </row>
    <row r="360" spans="1:6" x14ac:dyDescent="0.25">
      <c r="A360">
        <v>-103.38945985379743</v>
      </c>
      <c r="B360">
        <v>102.26741430288392</v>
      </c>
      <c r="C360">
        <v>-211.67603200000002</v>
      </c>
      <c r="E360">
        <f t="shared" si="21"/>
        <v>133.17173959464773</v>
      </c>
      <c r="F360">
        <f t="shared" si="22"/>
        <v>-108.36598414003777</v>
      </c>
    </row>
    <row r="361" spans="1:6" x14ac:dyDescent="0.25">
      <c r="A361">
        <v>-116.4439718173583</v>
      </c>
      <c r="B361">
        <v>97.066543596146019</v>
      </c>
      <c r="C361">
        <v>-211.67603200000002</v>
      </c>
      <c r="E361">
        <f t="shared" si="21"/>
        <v>143.49535107027782</v>
      </c>
      <c r="F361">
        <f t="shared" si="22"/>
        <v>-115.10736325766634</v>
      </c>
    </row>
    <row r="362" spans="1:6" x14ac:dyDescent="0.25">
      <c r="A362">
        <v>-127.16062342732728</v>
      </c>
      <c r="B362">
        <v>92.205555531298813</v>
      </c>
      <c r="C362">
        <v>-211.67603200000002</v>
      </c>
      <c r="E362">
        <f t="shared" si="21"/>
        <v>151.75818492537113</v>
      </c>
      <c r="F362">
        <f t="shared" si="22"/>
        <v>-121.03194777386499</v>
      </c>
    </row>
    <row r="363" spans="1:6" x14ac:dyDescent="0.25">
      <c r="A363">
        <v>-136.19644837983674</v>
      </c>
      <c r="B363">
        <v>88.090055019808034</v>
      </c>
      <c r="C363">
        <v>-211.67603200000002</v>
      </c>
      <c r="E363">
        <f t="shared" si="21"/>
        <v>158.71899075863337</v>
      </c>
      <c r="F363">
        <f t="shared" si="22"/>
        <v>-126.03847647068156</v>
      </c>
    </row>
    <row r="364" spans="1:6" x14ac:dyDescent="0.25">
      <c r="A364">
        <v>-143.22856573520156</v>
      </c>
      <c r="B364">
        <v>84.478075967886767</v>
      </c>
      <c r="C364">
        <v>-211.67603200000002</v>
      </c>
      <c r="E364">
        <f t="shared" si="21"/>
        <v>163.98962035179565</v>
      </c>
      <c r="F364">
        <f t="shared" si="22"/>
        <v>-130.20486164627584</v>
      </c>
    </row>
    <row r="365" spans="1:6" x14ac:dyDescent="0.25">
      <c r="A365">
        <v>-147.03492439410766</v>
      </c>
      <c r="B365">
        <v>81.363722893755778</v>
      </c>
      <c r="C365">
        <v>-211.67603200000002</v>
      </c>
      <c r="E365">
        <f t="shared" si="21"/>
        <v>166.42707796664209</v>
      </c>
      <c r="F365">
        <f t="shared" si="22"/>
        <v>-133.22532201569021</v>
      </c>
    </row>
    <row r="366" spans="1:6" x14ac:dyDescent="0.25">
      <c r="A366">
        <v>-150.58397539287037</v>
      </c>
      <c r="B366">
        <v>78.293501053518085</v>
      </c>
      <c r="C366">
        <v>-211.67603200000002</v>
      </c>
      <c r="E366">
        <f t="shared" si="21"/>
        <v>168.64013340619212</v>
      </c>
      <c r="F366">
        <f t="shared" si="22"/>
        <v>-136.15144665090048</v>
      </c>
    </row>
    <row r="367" spans="1:6" x14ac:dyDescent="0.25">
      <c r="A367">
        <v>-154.57695585063891</v>
      </c>
      <c r="B367">
        <v>72.399183729556725</v>
      </c>
      <c r="C367">
        <v>-211.67603200000002</v>
      </c>
      <c r="E367">
        <f t="shared" si="21"/>
        <v>170.25556739159327</v>
      </c>
      <c r="F367">
        <f t="shared" si="22"/>
        <v>-141.05436632648582</v>
      </c>
    </row>
    <row r="368" spans="1:6" x14ac:dyDescent="0.25">
      <c r="A368">
        <v>-158.66487287718743</v>
      </c>
      <c r="B368">
        <v>66.0496504143142</v>
      </c>
      <c r="C368">
        <v>-211.67603200000002</v>
      </c>
      <c r="E368">
        <f t="shared" si="21"/>
        <v>171.79649747797058</v>
      </c>
      <c r="F368">
        <f t="shared" si="22"/>
        <v>-146.28185010963699</v>
      </c>
    </row>
    <row r="369" spans="1:6" x14ac:dyDescent="0.25">
      <c r="A369">
        <v>-162.99848654918875</v>
      </c>
      <c r="B369">
        <v>59.28884246851397</v>
      </c>
      <c r="C369">
        <v>-211.67603200000002</v>
      </c>
      <c r="E369">
        <f t="shared" si="21"/>
        <v>173.41941749734568</v>
      </c>
      <c r="F369">
        <f t="shared" si="22"/>
        <v>-151.84309377220313</v>
      </c>
    </row>
    <row r="370" spans="1:6" x14ac:dyDescent="0.25">
      <c r="A370">
        <v>-167.85410262488475</v>
      </c>
      <c r="B370">
        <v>51.659011405959255</v>
      </c>
      <c r="C370">
        <v>-211.67603200000002</v>
      </c>
      <c r="E370">
        <f t="shared" si="21"/>
        <v>175.21823871093582</v>
      </c>
      <c r="F370">
        <f t="shared" si="22"/>
        <v>-158.11029297755874</v>
      </c>
    </row>
    <row r="371" spans="1:6" x14ac:dyDescent="0.25">
      <c r="A371">
        <v>-171.41912077557313</v>
      </c>
      <c r="B371">
        <v>43.986804211254345</v>
      </c>
      <c r="C371">
        <v>-211.67603200000002</v>
      </c>
      <c r="E371">
        <f t="shared" si="21"/>
        <v>175.79699671567266</v>
      </c>
      <c r="F371">
        <f t="shared" si="22"/>
        <v>-164.07842320507442</v>
      </c>
    </row>
    <row r="372" spans="1:6" x14ac:dyDescent="0.25">
      <c r="A372">
        <v>-173.47358124841119</v>
      </c>
      <c r="B372">
        <v>35.573182961932559</v>
      </c>
      <c r="C372">
        <v>-211.67603200000002</v>
      </c>
      <c r="E372">
        <f t="shared" si="21"/>
        <v>174.69982860475625</v>
      </c>
      <c r="F372">
        <f t="shared" si="22"/>
        <v>-170.1532093123329</v>
      </c>
    </row>
    <row r="373" spans="1:6" x14ac:dyDescent="0.25">
      <c r="A373">
        <v>-175.47072360206687</v>
      </c>
      <c r="B373">
        <v>25.742579102848239</v>
      </c>
      <c r="C373">
        <v>-211.67603200000002</v>
      </c>
      <c r="E373">
        <f t="shared" si="21"/>
        <v>173.04134826728557</v>
      </c>
      <c r="F373">
        <f t="shared" si="22"/>
        <v>-177.14887914392273</v>
      </c>
    </row>
    <row r="374" spans="1:6" x14ac:dyDescent="0.25">
      <c r="A374">
        <v>-218.13550311515468</v>
      </c>
      <c r="B374">
        <v>-8.5908312471708353E-15</v>
      </c>
      <c r="C374">
        <v>-158.19504000000001</v>
      </c>
      <c r="E374">
        <f t="shared" si="21"/>
        <v>203.64703603242776</v>
      </c>
      <c r="F374">
        <f t="shared" si="22"/>
        <v>-167.13728340843926</v>
      </c>
    </row>
    <row r="375" spans="1:6" x14ac:dyDescent="0.25">
      <c r="A375">
        <v>-217.77040509833526</v>
      </c>
      <c r="B375">
        <v>-11.952707121391439</v>
      </c>
      <c r="C375">
        <v>-158.19504000000001</v>
      </c>
      <c r="E375">
        <f t="shared" si="21"/>
        <v>199.02272052756362</v>
      </c>
      <c r="F375">
        <f t="shared" si="22"/>
        <v>-174.935238595638</v>
      </c>
    </row>
    <row r="376" spans="1:6" x14ac:dyDescent="0.25">
      <c r="A376">
        <v>-216.69132168939666</v>
      </c>
      <c r="B376">
        <v>-23.319748901572208</v>
      </c>
      <c r="C376">
        <v>-158.19504000000001</v>
      </c>
      <c r="E376">
        <f t="shared" si="21"/>
        <v>193.94172592326154</v>
      </c>
      <c r="F376">
        <f t="shared" si="22"/>
        <v>-182.16564500423203</v>
      </c>
    </row>
    <row r="377" spans="1:6" x14ac:dyDescent="0.25">
      <c r="A377">
        <v>-214.86495931246961</v>
      </c>
      <c r="B377">
        <v>-33.95597140977155</v>
      </c>
      <c r="C377">
        <v>-158.19504000000001</v>
      </c>
      <c r="E377">
        <f t="shared" si="21"/>
        <v>188.42498850530058</v>
      </c>
      <c r="F377">
        <f t="shared" si="22"/>
        <v>-188.724243827039</v>
      </c>
    </row>
    <row r="378" spans="1:6" x14ac:dyDescent="0.25">
      <c r="A378">
        <v>-208.94465689275142</v>
      </c>
      <c r="B378">
        <v>-46.854469335121443</v>
      </c>
      <c r="C378">
        <v>-158.19504000000001</v>
      </c>
      <c r="E378">
        <f t="shared" si="21"/>
        <v>178.2755017935857</v>
      </c>
      <c r="F378">
        <f t="shared" si="22"/>
        <v>-195.7388410699283</v>
      </c>
    </row>
    <row r="379" spans="1:6" x14ac:dyDescent="0.25">
      <c r="A379">
        <v>-202.83282023149215</v>
      </c>
      <c r="B379">
        <v>-57.508060092755734</v>
      </c>
      <c r="C379">
        <v>-158.19504000000001</v>
      </c>
      <c r="E379">
        <f t="shared" si="21"/>
        <v>168.75170524157787</v>
      </c>
      <c r="F379">
        <f t="shared" si="22"/>
        <v>-201.22294731621071</v>
      </c>
    </row>
    <row r="380" spans="1:6" x14ac:dyDescent="0.25">
      <c r="A380">
        <v>-197.66836802338881</v>
      </c>
      <c r="B380">
        <v>-65.951012601259691</v>
      </c>
      <c r="C380">
        <v>-158.19504000000001</v>
      </c>
      <c r="E380">
        <f t="shared" si="21"/>
        <v>160.90459016793145</v>
      </c>
      <c r="F380">
        <f t="shared" si="22"/>
        <v>-205.48779190256948</v>
      </c>
    </row>
    <row r="381" spans="1:6" x14ac:dyDescent="0.25">
      <c r="A381">
        <v>-192.99058729698405</v>
      </c>
      <c r="B381">
        <v>-73.267535976121749</v>
      </c>
      <c r="C381">
        <v>-158.19504000000001</v>
      </c>
      <c r="E381">
        <f t="shared" si="21"/>
        <v>153.91549816266453</v>
      </c>
      <c r="F381">
        <f t="shared" si="22"/>
        <v>-209.13235907585224</v>
      </c>
    </row>
    <row r="382" spans="1:6" x14ac:dyDescent="0.25">
      <c r="A382">
        <v>-188.49712615530444</v>
      </c>
      <c r="B382">
        <v>-80.028918876527555</v>
      </c>
      <c r="C382">
        <v>-158.19504000000001</v>
      </c>
      <c r="E382">
        <f t="shared" si="21"/>
        <v>147.2974278674576</v>
      </c>
      <c r="F382">
        <f t="shared" si="22"/>
        <v>-212.45716262834856</v>
      </c>
    </row>
    <row r="383" spans="1:6" x14ac:dyDescent="0.25">
      <c r="A383">
        <v>-183.93936146591147</v>
      </c>
      <c r="B383">
        <v>-86.603306664462949</v>
      </c>
      <c r="C383">
        <v>-158.19504000000001</v>
      </c>
      <c r="E383">
        <f t="shared" si="21"/>
        <v>140.68633809378213</v>
      </c>
      <c r="F383">
        <f t="shared" si="22"/>
        <v>-215.64222822849209</v>
      </c>
    </row>
    <row r="384" spans="1:6" x14ac:dyDescent="0.25">
      <c r="A384">
        <v>-175.77189225781021</v>
      </c>
      <c r="B384">
        <v>-94.240486149519583</v>
      </c>
      <c r="C384">
        <v>-158.19504000000001</v>
      </c>
      <c r="E384">
        <f t="shared" si="21"/>
        <v>130.32442835471102</v>
      </c>
      <c r="F384">
        <f t="shared" si="22"/>
        <v>-218.6141712218548</v>
      </c>
    </row>
    <row r="385" spans="1:6" x14ac:dyDescent="0.25">
      <c r="A385">
        <v>-165.99673401528062</v>
      </c>
      <c r="B385">
        <v>-101.98540957250678</v>
      </c>
      <c r="C385">
        <v>-158.19504000000001</v>
      </c>
      <c r="E385">
        <f t="shared" si="21"/>
        <v>118.42299962709134</v>
      </c>
      <c r="F385">
        <f t="shared" si="22"/>
        <v>-221.24984492470747</v>
      </c>
    </row>
    <row r="386" spans="1:6" x14ac:dyDescent="0.25">
      <c r="A386">
        <v>-157.35899305163619</v>
      </c>
      <c r="B386">
        <v>-106.16922685869694</v>
      </c>
      <c r="C386">
        <v>-158.19504000000001</v>
      </c>
      <c r="E386">
        <f t="shared" si="21"/>
        <v>108.85962771215564</v>
      </c>
      <c r="F386">
        <f t="shared" si="22"/>
        <v>-221.82291283336417</v>
      </c>
    </row>
    <row r="387" spans="1:6" x14ac:dyDescent="0.25">
      <c r="A387">
        <v>-147.65893898975452</v>
      </c>
      <c r="B387">
        <v>-110.67865233429445</v>
      </c>
      <c r="C387">
        <v>-158.19504000000001</v>
      </c>
      <c r="E387">
        <f t="shared" si="21"/>
        <v>98.187813542701051</v>
      </c>
      <c r="F387">
        <f t="shared" si="22"/>
        <v>-222.34173325317357</v>
      </c>
    </row>
    <row r="388" spans="1:6" x14ac:dyDescent="0.25">
      <c r="A388">
        <v>-134.57331674035728</v>
      </c>
      <c r="B388">
        <v>-115.97509615101343</v>
      </c>
      <c r="C388">
        <v>-158.19504000000001</v>
      </c>
      <c r="E388">
        <f t="shared" si="21"/>
        <v>84.073257031648026</v>
      </c>
      <c r="F388">
        <f t="shared" si="22"/>
        <v>-222.52217888746793</v>
      </c>
    </row>
    <row r="389" spans="1:6" x14ac:dyDescent="0.25">
      <c r="A389">
        <v>-111.50840309058536</v>
      </c>
      <c r="B389">
        <v>-122.94705212779672</v>
      </c>
      <c r="C389">
        <v>-158.19504000000001</v>
      </c>
      <c r="E389">
        <f t="shared" si="21"/>
        <v>60.041779541652893</v>
      </c>
      <c r="F389">
        <f t="shared" si="22"/>
        <v>-221.27990245657651</v>
      </c>
    </row>
    <row r="390" spans="1:6" x14ac:dyDescent="0.25">
      <c r="A390">
        <v>-83.688306728044765</v>
      </c>
      <c r="B390">
        <v>-129.27196895472031</v>
      </c>
      <c r="C390">
        <v>-158.19504000000001</v>
      </c>
      <c r="E390">
        <f t="shared" si="21"/>
        <v>31.802834640009824</v>
      </c>
      <c r="F390">
        <f t="shared" si="22"/>
        <v>-218.40550466481977</v>
      </c>
    </row>
    <row r="391" spans="1:6" x14ac:dyDescent="0.25">
      <c r="A391">
        <v>-48.075196221592947</v>
      </c>
      <c r="B391">
        <v>-133.56576015075169</v>
      </c>
      <c r="C391">
        <v>-158.19504000000001</v>
      </c>
      <c r="E391">
        <f t="shared" si="21"/>
        <v>-2.9836254021928763</v>
      </c>
      <c r="F391">
        <f t="shared" si="22"/>
        <v>-212.21549333558534</v>
      </c>
    </row>
    <row r="392" spans="1:6" x14ac:dyDescent="0.25">
      <c r="A392">
        <v>4.240436618202329E-14</v>
      </c>
      <c r="B392">
        <v>-135.96156320144203</v>
      </c>
      <c r="C392">
        <v>-158.19504000000001</v>
      </c>
      <c r="E392">
        <f t="shared" si="21"/>
        <v>-48.724266621474598</v>
      </c>
      <c r="F392">
        <f t="shared" si="22"/>
        <v>-201.61459467435589</v>
      </c>
    </row>
    <row r="393" spans="1:6" x14ac:dyDescent="0.25">
      <c r="A393">
        <v>48.07519622159284</v>
      </c>
      <c r="B393">
        <v>-133.56576015075169</v>
      </c>
      <c r="C393">
        <v>-158.19504000000001</v>
      </c>
      <c r="E393">
        <f t="shared" si="21"/>
        <v>-92.747749787175579</v>
      </c>
      <c r="F393">
        <f t="shared" si="22"/>
        <v>-187.85056012845348</v>
      </c>
    </row>
    <row r="394" spans="1:6" x14ac:dyDescent="0.25">
      <c r="A394">
        <v>83.688306728044765</v>
      </c>
      <c r="B394">
        <v>-129.27196895472022</v>
      </c>
      <c r="C394">
        <v>-158.19504000000001</v>
      </c>
      <c r="E394">
        <f t="shared" si="21"/>
        <v>-124.45669553598349</v>
      </c>
      <c r="F394">
        <f t="shared" si="22"/>
        <v>-175.99153313887649</v>
      </c>
    </row>
    <row r="395" spans="1:6" x14ac:dyDescent="0.25">
      <c r="A395">
        <v>111.50840309058536</v>
      </c>
      <c r="B395">
        <v>-122.94705212779677</v>
      </c>
      <c r="C395">
        <v>-158.19504000000001</v>
      </c>
      <c r="E395">
        <f t="shared" si="21"/>
        <v>-148.16234548900829</v>
      </c>
      <c r="F395">
        <f t="shared" si="22"/>
        <v>-164.76646087199998</v>
      </c>
    </row>
    <row r="396" spans="1:6" x14ac:dyDescent="0.25">
      <c r="A396">
        <v>134.57331674035731</v>
      </c>
      <c r="B396">
        <v>-115.97509615101343</v>
      </c>
      <c r="C396">
        <v>-158.19504000000001</v>
      </c>
      <c r="E396">
        <f t="shared" si="21"/>
        <v>-167.19677184356357</v>
      </c>
      <c r="F396">
        <f t="shared" si="22"/>
        <v>-154.31923575796486</v>
      </c>
    </row>
    <row r="397" spans="1:6" x14ac:dyDescent="0.25">
      <c r="A397">
        <v>147.6589389897544</v>
      </c>
      <c r="B397">
        <v>-110.67865233429437</v>
      </c>
      <c r="C397">
        <v>-158.19504000000001</v>
      </c>
      <c r="E397">
        <f t="shared" si="21"/>
        <v>-177.51517693365747</v>
      </c>
      <c r="F397">
        <f t="shared" si="22"/>
        <v>-147.5068814235845</v>
      </c>
    </row>
    <row r="398" spans="1:6" x14ac:dyDescent="0.25">
      <c r="A398">
        <v>157.35899305163613</v>
      </c>
      <c r="B398">
        <v>-106.16922685869694</v>
      </c>
      <c r="C398">
        <v>-158.19504000000001</v>
      </c>
      <c r="E398">
        <f t="shared" si="21"/>
        <v>-184.95492398047776</v>
      </c>
      <c r="F398">
        <f t="shared" si="22"/>
        <v>-142.071988103439</v>
      </c>
    </row>
    <row r="399" spans="1:6" x14ac:dyDescent="0.25">
      <c r="A399">
        <v>165.99673401528054</v>
      </c>
      <c r="B399">
        <v>-101.98540957250677</v>
      </c>
      <c r="C399">
        <v>-158.19504000000001</v>
      </c>
      <c r="E399">
        <f t="shared" si="21"/>
        <v>-191.51960385116507</v>
      </c>
      <c r="F399">
        <f t="shared" si="22"/>
        <v>-137.12123693646257</v>
      </c>
    </row>
    <row r="400" spans="1:6" x14ac:dyDescent="0.25">
      <c r="A400">
        <v>175.77189225781021</v>
      </c>
      <c r="B400">
        <v>-94.240486149519583</v>
      </c>
      <c r="C400">
        <v>-158.19504000000001</v>
      </c>
      <c r="E400">
        <f t="shared" si="21"/>
        <v>-197.86996792582227</v>
      </c>
      <c r="F400">
        <f t="shared" si="22"/>
        <v>-129.53142687251056</v>
      </c>
    </row>
    <row r="401" spans="1:6" x14ac:dyDescent="0.25">
      <c r="A401">
        <v>183.93936146591147</v>
      </c>
      <c r="B401">
        <v>-86.603306664462977</v>
      </c>
      <c r="C401">
        <v>-158.19504000000001</v>
      </c>
      <c r="E401">
        <f t="shared" si="21"/>
        <v>-202.75803696015504</v>
      </c>
      <c r="F401">
        <f t="shared" si="22"/>
        <v>-122.42013849177923</v>
      </c>
    </row>
    <row r="402" spans="1:6" x14ac:dyDescent="0.25">
      <c r="A402">
        <v>188.4971261553045</v>
      </c>
      <c r="B402">
        <v>-80.028918876527584</v>
      </c>
      <c r="C402">
        <v>-158.19504000000001</v>
      </c>
      <c r="E402">
        <f t="shared" si="21"/>
        <v>-204.65702699167443</v>
      </c>
      <c r="F402">
        <f t="shared" si="22"/>
        <v>-116.92515757233001</v>
      </c>
    </row>
    <row r="403" spans="1:6" x14ac:dyDescent="0.25">
      <c r="A403">
        <v>192.99058729698413</v>
      </c>
      <c r="B403">
        <v>-73.267535976121792</v>
      </c>
      <c r="C403">
        <v>-158.19504000000001</v>
      </c>
      <c r="E403">
        <f t="shared" si="21"/>
        <v>-206.4289714346632</v>
      </c>
      <c r="F403">
        <f t="shared" si="22"/>
        <v>-111.32302830531708</v>
      </c>
    </row>
    <row r="404" spans="1:6" x14ac:dyDescent="0.25">
      <c r="A404">
        <v>197.66836802338872</v>
      </c>
      <c r="B404">
        <v>-65.951012601259677</v>
      </c>
      <c r="C404">
        <v>-158.19504000000001</v>
      </c>
      <c r="E404">
        <f t="shared" ref="E404:E467" si="23">($I$2*A404)+($K$2*B404)+($M$2*C404)</f>
        <v>-208.1740484806308</v>
      </c>
      <c r="F404">
        <f t="shared" ref="F404:F467" si="24">($J$2*A404)+($L$2*B404)+($N$2*C404)</f>
        <v>-105.30772062728168</v>
      </c>
    </row>
    <row r="405" spans="1:6" x14ac:dyDescent="0.25">
      <c r="A405">
        <v>202.83282023149212</v>
      </c>
      <c r="B405">
        <v>-57.508060092755734</v>
      </c>
      <c r="C405">
        <v>-158.19504000000001</v>
      </c>
      <c r="E405">
        <f t="shared" si="23"/>
        <v>-209.96979639711546</v>
      </c>
      <c r="F405">
        <f t="shared" si="24"/>
        <v>-98.425486139447145</v>
      </c>
    </row>
    <row r="406" spans="1:6" x14ac:dyDescent="0.25">
      <c r="A406">
        <v>208.94465689275137</v>
      </c>
      <c r="B406">
        <v>-46.854469335121372</v>
      </c>
      <c r="C406">
        <v>-158.19504000000001</v>
      </c>
      <c r="E406">
        <f t="shared" si="23"/>
        <v>-211.85778199890692</v>
      </c>
      <c r="F406">
        <f t="shared" si="24"/>
        <v>-89.843847200045971</v>
      </c>
    </row>
    <row r="407" spans="1:6" x14ac:dyDescent="0.25">
      <c r="A407">
        <v>214.86495931246961</v>
      </c>
      <c r="B407">
        <v>-33.955971409771507</v>
      </c>
      <c r="C407">
        <v>-158.19504000000001</v>
      </c>
      <c r="E407">
        <f t="shared" si="23"/>
        <v>-212.76245220317796</v>
      </c>
      <c r="F407">
        <f t="shared" si="24"/>
        <v>-79.828788505942356</v>
      </c>
    </row>
    <row r="408" spans="1:6" x14ac:dyDescent="0.25">
      <c r="A408">
        <v>216.69132168939666</v>
      </c>
      <c r="B408">
        <v>-23.319748901572254</v>
      </c>
      <c r="C408">
        <v>-158.19504000000001</v>
      </c>
      <c r="E408">
        <f t="shared" si="23"/>
        <v>-210.65582711879702</v>
      </c>
      <c r="F408">
        <f t="shared" si="24"/>
        <v>-72.344573131915638</v>
      </c>
    </row>
    <row r="409" spans="1:6" x14ac:dyDescent="0.25">
      <c r="A409">
        <v>217.77040509833543</v>
      </c>
      <c r="B409">
        <v>-11.952707121391418</v>
      </c>
      <c r="C409">
        <v>-158.19504000000001</v>
      </c>
      <c r="E409">
        <f t="shared" si="23"/>
        <v>-207.58965481278096</v>
      </c>
      <c r="F409">
        <f t="shared" si="24"/>
        <v>-64.567277740018667</v>
      </c>
    </row>
    <row r="410" spans="1:6" x14ac:dyDescent="0.25">
      <c r="A410">
        <v>218.13550311515482</v>
      </c>
      <c r="B410">
        <v>7.0761848877872472E-15</v>
      </c>
      <c r="C410">
        <v>-158.19504000000001</v>
      </c>
      <c r="E410">
        <f t="shared" si="23"/>
        <v>-203.64703603242793</v>
      </c>
      <c r="F410">
        <f t="shared" si="24"/>
        <v>-56.584287659714967</v>
      </c>
    </row>
    <row r="411" spans="1:6" x14ac:dyDescent="0.25">
      <c r="A411">
        <v>217.77040509833537</v>
      </c>
      <c r="B411">
        <v>11.952707121391429</v>
      </c>
      <c r="C411">
        <v>-158.19504000000001</v>
      </c>
      <c r="E411">
        <f t="shared" si="23"/>
        <v>-199.02272052756382</v>
      </c>
      <c r="F411">
        <f t="shared" si="24"/>
        <v>-48.786332472516214</v>
      </c>
    </row>
    <row r="412" spans="1:6" x14ac:dyDescent="0.25">
      <c r="A412">
        <v>216.69132168939674</v>
      </c>
      <c r="B412">
        <v>23.31974890157219</v>
      </c>
      <c r="C412">
        <v>-158.19504000000001</v>
      </c>
      <c r="E412">
        <f t="shared" si="23"/>
        <v>-193.94172592326171</v>
      </c>
      <c r="F412">
        <f t="shared" si="24"/>
        <v>-41.555926063922215</v>
      </c>
    </row>
    <row r="413" spans="1:6" x14ac:dyDescent="0.25">
      <c r="A413">
        <v>214.86495931246958</v>
      </c>
      <c r="B413">
        <v>33.955971409771529</v>
      </c>
      <c r="C413">
        <v>-158.19504000000001</v>
      </c>
      <c r="E413">
        <f t="shared" si="23"/>
        <v>-188.42498850530063</v>
      </c>
      <c r="F413">
        <f t="shared" si="24"/>
        <v>-34.997327241115258</v>
      </c>
    </row>
    <row r="414" spans="1:6" x14ac:dyDescent="0.25">
      <c r="A414">
        <v>208.94465689275131</v>
      </c>
      <c r="B414">
        <v>46.854469335121372</v>
      </c>
      <c r="C414">
        <v>-158.19504000000001</v>
      </c>
      <c r="E414">
        <f t="shared" si="23"/>
        <v>-178.2755017935857</v>
      </c>
      <c r="F414">
        <f t="shared" si="24"/>
        <v>-27.982729998226034</v>
      </c>
    </row>
    <row r="415" spans="1:6" x14ac:dyDescent="0.25">
      <c r="A415">
        <v>202.83282023149209</v>
      </c>
      <c r="B415">
        <v>57.508060092755727</v>
      </c>
      <c r="C415">
        <v>-158.19504000000001</v>
      </c>
      <c r="E415">
        <f t="shared" si="23"/>
        <v>-168.75170524157789</v>
      </c>
      <c r="F415">
        <f t="shared" si="24"/>
        <v>-22.498623751943583</v>
      </c>
    </row>
    <row r="416" spans="1:6" x14ac:dyDescent="0.25">
      <c r="A416">
        <v>197.66836802338872</v>
      </c>
      <c r="B416">
        <v>65.951012601259677</v>
      </c>
      <c r="C416">
        <v>-158.19504000000001</v>
      </c>
      <c r="E416">
        <f t="shared" si="23"/>
        <v>-160.90459016793142</v>
      </c>
      <c r="F416">
        <f t="shared" si="24"/>
        <v>-18.233779165584806</v>
      </c>
    </row>
    <row r="417" spans="1:6" x14ac:dyDescent="0.25">
      <c r="A417">
        <v>192.99058729698416</v>
      </c>
      <c r="B417">
        <v>73.267535976121778</v>
      </c>
      <c r="C417">
        <v>-158.19504000000001</v>
      </c>
      <c r="E417">
        <f t="shared" si="23"/>
        <v>-153.91549816266465</v>
      </c>
      <c r="F417">
        <f t="shared" si="24"/>
        <v>-14.589211992301969</v>
      </c>
    </row>
    <row r="418" spans="1:6" x14ac:dyDescent="0.25">
      <c r="A418">
        <v>188.49712615530447</v>
      </c>
      <c r="B418">
        <v>80.028918876527541</v>
      </c>
      <c r="C418">
        <v>-158.19504000000001</v>
      </c>
      <c r="E418">
        <f t="shared" si="23"/>
        <v>-147.29742786745769</v>
      </c>
      <c r="F418">
        <f t="shared" si="24"/>
        <v>-11.264408439805706</v>
      </c>
    </row>
    <row r="419" spans="1:6" x14ac:dyDescent="0.25">
      <c r="A419">
        <v>183.93936146591147</v>
      </c>
      <c r="B419">
        <v>86.603306664462934</v>
      </c>
      <c r="C419">
        <v>-158.19504000000001</v>
      </c>
      <c r="E419">
        <f t="shared" si="23"/>
        <v>-140.68633809378218</v>
      </c>
      <c r="F419">
        <f t="shared" si="24"/>
        <v>-8.0793428396621749</v>
      </c>
    </row>
    <row r="420" spans="1:6" x14ac:dyDescent="0.25">
      <c r="A420">
        <v>175.77189225781021</v>
      </c>
      <c r="B420">
        <v>94.240486149519569</v>
      </c>
      <c r="C420">
        <v>-158.19504000000001</v>
      </c>
      <c r="E420">
        <f t="shared" si="23"/>
        <v>-130.32442835471107</v>
      </c>
      <c r="F420">
        <f t="shared" si="24"/>
        <v>-5.1073998462994723</v>
      </c>
    </row>
    <row r="421" spans="1:6" x14ac:dyDescent="0.25">
      <c r="A421">
        <v>165.99673401528062</v>
      </c>
      <c r="B421">
        <v>101.98540957250677</v>
      </c>
      <c r="C421">
        <v>-158.19504000000001</v>
      </c>
      <c r="E421">
        <f t="shared" si="23"/>
        <v>-118.42299962709139</v>
      </c>
      <c r="F421">
        <f t="shared" si="24"/>
        <v>-2.4717261434467872</v>
      </c>
    </row>
    <row r="422" spans="1:6" x14ac:dyDescent="0.25">
      <c r="A422">
        <v>157.35899305163622</v>
      </c>
      <c r="B422">
        <v>106.16922685869692</v>
      </c>
      <c r="C422">
        <v>-158.19504000000001</v>
      </c>
      <c r="E422">
        <f t="shared" si="23"/>
        <v>-108.85962771215571</v>
      </c>
      <c r="F422">
        <f t="shared" si="24"/>
        <v>-1.8986582347900907</v>
      </c>
    </row>
    <row r="423" spans="1:6" x14ac:dyDescent="0.25">
      <c r="A423">
        <v>147.65893898975449</v>
      </c>
      <c r="B423">
        <v>110.67865233429436</v>
      </c>
      <c r="C423">
        <v>-158.19504000000001</v>
      </c>
      <c r="E423">
        <f t="shared" si="23"/>
        <v>-98.187813542701079</v>
      </c>
      <c r="F423">
        <f t="shared" si="24"/>
        <v>-1.3798378149807462</v>
      </c>
    </row>
    <row r="424" spans="1:6" x14ac:dyDescent="0.25">
      <c r="A424">
        <v>134.57331674035737</v>
      </c>
      <c r="B424">
        <v>115.97509615101335</v>
      </c>
      <c r="C424">
        <v>-158.19504000000001</v>
      </c>
      <c r="E424">
        <f t="shared" si="23"/>
        <v>-84.073257031648168</v>
      </c>
      <c r="F424">
        <f t="shared" si="24"/>
        <v>-1.1993921806863312</v>
      </c>
    </row>
    <row r="425" spans="1:6" x14ac:dyDescent="0.25">
      <c r="A425">
        <v>111.50840309058528</v>
      </c>
      <c r="B425">
        <v>122.94705212779672</v>
      </c>
      <c r="C425">
        <v>-158.19504000000001</v>
      </c>
      <c r="E425">
        <f t="shared" si="23"/>
        <v>-60.041779541652851</v>
      </c>
      <c r="F425">
        <f t="shared" si="24"/>
        <v>-2.4416686115777537</v>
      </c>
    </row>
    <row r="426" spans="1:6" x14ac:dyDescent="0.25">
      <c r="A426">
        <v>83.688306728044694</v>
      </c>
      <c r="B426">
        <v>129.27196895472028</v>
      </c>
      <c r="C426">
        <v>-158.19504000000001</v>
      </c>
      <c r="E426">
        <f t="shared" si="23"/>
        <v>-31.802834640009802</v>
      </c>
      <c r="F426">
        <f t="shared" si="24"/>
        <v>-5.3160664033345455</v>
      </c>
    </row>
    <row r="427" spans="1:6" x14ac:dyDescent="0.25">
      <c r="A427">
        <v>48.075196221592854</v>
      </c>
      <c r="B427">
        <v>133.56576015075171</v>
      </c>
      <c r="C427">
        <v>-158.19504000000001</v>
      </c>
      <c r="E427">
        <f t="shared" si="23"/>
        <v>2.9836254021929296</v>
      </c>
      <c r="F427">
        <f t="shared" si="24"/>
        <v>-11.506077732568926</v>
      </c>
    </row>
    <row r="428" spans="1:6" x14ac:dyDescent="0.25">
      <c r="A428">
        <v>7.2033998263219442E-14</v>
      </c>
      <c r="B428">
        <v>135.96156320144198</v>
      </c>
      <c r="C428">
        <v>-158.19504000000001</v>
      </c>
      <c r="E428">
        <f t="shared" si="23"/>
        <v>48.724266621474428</v>
      </c>
      <c r="F428">
        <f t="shared" si="24"/>
        <v>-22.106976393798377</v>
      </c>
    </row>
    <row r="429" spans="1:6" x14ac:dyDescent="0.25">
      <c r="A429">
        <v>-48.075196221592826</v>
      </c>
      <c r="B429">
        <v>133.56576015075169</v>
      </c>
      <c r="C429">
        <v>-158.19504000000001</v>
      </c>
      <c r="E429">
        <f t="shared" si="23"/>
        <v>92.747749787175536</v>
      </c>
      <c r="F429">
        <f t="shared" si="24"/>
        <v>-35.871010939700753</v>
      </c>
    </row>
    <row r="430" spans="1:6" x14ac:dyDescent="0.25">
      <c r="A430">
        <v>-83.688306728044665</v>
      </c>
      <c r="B430">
        <v>129.27196895472025</v>
      </c>
      <c r="C430">
        <v>-158.19504000000001</v>
      </c>
      <c r="E430">
        <f t="shared" si="23"/>
        <v>124.45669553598337</v>
      </c>
      <c r="F430">
        <f t="shared" si="24"/>
        <v>-47.7300379292777</v>
      </c>
    </row>
    <row r="431" spans="1:6" x14ac:dyDescent="0.25">
      <c r="A431">
        <v>-111.50840309058532</v>
      </c>
      <c r="B431">
        <v>122.94705212779674</v>
      </c>
      <c r="C431">
        <v>-158.19504000000001</v>
      </c>
      <c r="E431">
        <f t="shared" si="23"/>
        <v>148.16234548900817</v>
      </c>
      <c r="F431">
        <f t="shared" si="24"/>
        <v>-58.955110196154266</v>
      </c>
    </row>
    <row r="432" spans="1:6" x14ac:dyDescent="0.25">
      <c r="A432">
        <v>-134.57331674035717</v>
      </c>
      <c r="B432">
        <v>115.9750961510134</v>
      </c>
      <c r="C432">
        <v>-158.19504000000001</v>
      </c>
      <c r="E432">
        <f t="shared" si="23"/>
        <v>167.19677184356337</v>
      </c>
      <c r="F432">
        <f t="shared" si="24"/>
        <v>-69.402335310189358</v>
      </c>
    </row>
    <row r="433" spans="1:6" x14ac:dyDescent="0.25">
      <c r="A433">
        <v>-147.6589389897544</v>
      </c>
      <c r="B433">
        <v>110.67865233429441</v>
      </c>
      <c r="C433">
        <v>-158.19504000000001</v>
      </c>
      <c r="E433">
        <f t="shared" si="23"/>
        <v>177.51517693365744</v>
      </c>
      <c r="F433">
        <f t="shared" si="24"/>
        <v>-76.214689644569717</v>
      </c>
    </row>
    <row r="434" spans="1:6" x14ac:dyDescent="0.25">
      <c r="A434">
        <v>-157.35899305163622</v>
      </c>
      <c r="B434">
        <v>106.16922685869697</v>
      </c>
      <c r="C434">
        <v>-158.19504000000001</v>
      </c>
      <c r="E434">
        <f t="shared" si="23"/>
        <v>184.95492398047776</v>
      </c>
      <c r="F434">
        <f t="shared" si="24"/>
        <v>-81.64958296471525</v>
      </c>
    </row>
    <row r="435" spans="1:6" x14ac:dyDescent="0.25">
      <c r="A435">
        <v>-165.99673401528062</v>
      </c>
      <c r="B435">
        <v>101.98540957250677</v>
      </c>
      <c r="C435">
        <v>-158.19504000000001</v>
      </c>
      <c r="E435">
        <f t="shared" si="23"/>
        <v>191.5196038511651</v>
      </c>
      <c r="F435">
        <f t="shared" si="24"/>
        <v>-86.60033413169171</v>
      </c>
    </row>
    <row r="436" spans="1:6" x14ac:dyDescent="0.25">
      <c r="A436">
        <v>-175.77189225781021</v>
      </c>
      <c r="B436">
        <v>94.240486149519555</v>
      </c>
      <c r="C436">
        <v>-158.19504000000001</v>
      </c>
      <c r="E436">
        <f t="shared" si="23"/>
        <v>197.86996792582221</v>
      </c>
      <c r="F436">
        <f t="shared" si="24"/>
        <v>-94.190144195643711</v>
      </c>
    </row>
    <row r="437" spans="1:6" x14ac:dyDescent="0.25">
      <c r="A437">
        <v>-183.93936146591142</v>
      </c>
      <c r="B437">
        <v>86.603306664462949</v>
      </c>
      <c r="C437">
        <v>-158.19504000000001</v>
      </c>
      <c r="E437">
        <f t="shared" si="23"/>
        <v>202.75803696015493</v>
      </c>
      <c r="F437">
        <f t="shared" si="24"/>
        <v>-101.30143257637502</v>
      </c>
    </row>
    <row r="438" spans="1:6" x14ac:dyDescent="0.25">
      <c r="A438">
        <v>-188.4971261553045</v>
      </c>
      <c r="B438">
        <v>80.028918876527541</v>
      </c>
      <c r="C438">
        <v>-158.19504000000001</v>
      </c>
      <c r="E438">
        <f t="shared" si="23"/>
        <v>204.65702699167434</v>
      </c>
      <c r="F438">
        <f t="shared" si="24"/>
        <v>-106.79641349582427</v>
      </c>
    </row>
    <row r="439" spans="1:6" x14ac:dyDescent="0.25">
      <c r="A439">
        <v>-192.99058729698407</v>
      </c>
      <c r="B439">
        <v>73.267535976121778</v>
      </c>
      <c r="C439">
        <v>-158.19504000000001</v>
      </c>
      <c r="E439">
        <f t="shared" si="23"/>
        <v>206.42897143466311</v>
      </c>
      <c r="F439">
        <f t="shared" si="24"/>
        <v>-112.39854276283717</v>
      </c>
    </row>
    <row r="440" spans="1:6" x14ac:dyDescent="0.25">
      <c r="A440">
        <v>-197.66836802338889</v>
      </c>
      <c r="B440">
        <v>65.951012601259805</v>
      </c>
      <c r="C440">
        <v>-158.19504000000001</v>
      </c>
      <c r="E440">
        <f t="shared" si="23"/>
        <v>208.17404848063094</v>
      </c>
      <c r="F440">
        <f t="shared" si="24"/>
        <v>-118.41385044087252</v>
      </c>
    </row>
    <row r="441" spans="1:6" x14ac:dyDescent="0.25">
      <c r="A441">
        <v>-202.83282023149201</v>
      </c>
      <c r="B441">
        <v>57.508060092755763</v>
      </c>
      <c r="C441">
        <v>-158.19504000000001</v>
      </c>
      <c r="E441">
        <f t="shared" si="23"/>
        <v>209.96979639711532</v>
      </c>
      <c r="F441">
        <f t="shared" si="24"/>
        <v>-125.29608492870705</v>
      </c>
    </row>
    <row r="442" spans="1:6" x14ac:dyDescent="0.25">
      <c r="A442">
        <v>-208.94465689275142</v>
      </c>
      <c r="B442">
        <v>46.854469335121507</v>
      </c>
      <c r="C442">
        <v>-158.19504000000001</v>
      </c>
      <c r="E442">
        <f t="shared" si="23"/>
        <v>211.85778199890697</v>
      </c>
      <c r="F442">
        <f t="shared" si="24"/>
        <v>-133.87772386810821</v>
      </c>
    </row>
    <row r="443" spans="1:6" x14ac:dyDescent="0.25">
      <c r="A443">
        <v>-214.86495931246969</v>
      </c>
      <c r="B443">
        <v>33.955971409771486</v>
      </c>
      <c r="C443">
        <v>-158.19504000000001</v>
      </c>
      <c r="E443">
        <f t="shared" si="23"/>
        <v>212.76245220317799</v>
      </c>
      <c r="F443">
        <f t="shared" si="24"/>
        <v>-143.89278256221192</v>
      </c>
    </row>
    <row r="444" spans="1:6" x14ac:dyDescent="0.25">
      <c r="A444">
        <v>-216.69132168939663</v>
      </c>
      <c r="B444">
        <v>23.319748901572229</v>
      </c>
      <c r="C444">
        <v>-158.19504000000001</v>
      </c>
      <c r="E444">
        <f t="shared" si="23"/>
        <v>210.65582711879694</v>
      </c>
      <c r="F444">
        <f t="shared" si="24"/>
        <v>-151.37699793623864</v>
      </c>
    </row>
    <row r="445" spans="1:6" x14ac:dyDescent="0.25">
      <c r="A445">
        <v>-257.89239660710143</v>
      </c>
      <c r="B445">
        <v>-9.5032486748653732E-15</v>
      </c>
      <c r="C445">
        <v>-104.71404800000002</v>
      </c>
      <c r="E445">
        <f t="shared" si="23"/>
        <v>240.76329361484326</v>
      </c>
      <c r="F445">
        <f t="shared" si="24"/>
        <v>-139.3950833314118</v>
      </c>
    </row>
    <row r="446" spans="1:6" x14ac:dyDescent="0.25">
      <c r="A446">
        <v>-257.566020438316</v>
      </c>
      <c r="B446">
        <v>-11.156261954565466</v>
      </c>
      <c r="C446">
        <v>-104.71404800000002</v>
      </c>
      <c r="E446">
        <f t="shared" si="23"/>
        <v>236.46054849074216</v>
      </c>
      <c r="F446">
        <f t="shared" si="24"/>
        <v>-146.67708465657853</v>
      </c>
    </row>
    <row r="447" spans="1:6" x14ac:dyDescent="0.25">
      <c r="A447">
        <v>-256.53334306242328</v>
      </c>
      <c r="B447">
        <v>-22.090504859341131</v>
      </c>
      <c r="C447">
        <v>-104.71404800000002</v>
      </c>
      <c r="E447">
        <f t="shared" si="23"/>
        <v>231.57797889610754</v>
      </c>
      <c r="F447">
        <f t="shared" si="24"/>
        <v>-153.63354225426673</v>
      </c>
    </row>
    <row r="448" spans="1:6" x14ac:dyDescent="0.25">
      <c r="A448">
        <v>-250.785453318018</v>
      </c>
      <c r="B448">
        <v>-36.018378623633524</v>
      </c>
      <c r="C448">
        <v>-104.71404800000002</v>
      </c>
      <c r="E448">
        <f t="shared" si="23"/>
        <v>221.2205579746315</v>
      </c>
      <c r="F448">
        <f t="shared" si="24"/>
        <v>-161.3713628764857</v>
      </c>
    </row>
    <row r="449" spans="1:6" x14ac:dyDescent="0.25">
      <c r="A449">
        <v>-244.23245225645385</v>
      </c>
      <c r="B449">
        <v>-49.785920915996442</v>
      </c>
      <c r="C449">
        <v>-104.71404800000002</v>
      </c>
      <c r="E449">
        <f t="shared" si="23"/>
        <v>210.16895854714753</v>
      </c>
      <c r="F449">
        <f t="shared" si="24"/>
        <v>-168.79932335629772</v>
      </c>
    </row>
    <row r="450" spans="1:6" x14ac:dyDescent="0.25">
      <c r="A450">
        <v>-237.86159158134788</v>
      </c>
      <c r="B450">
        <v>-62.104093537769096</v>
      </c>
      <c r="C450">
        <v>-104.71404800000002</v>
      </c>
      <c r="E450">
        <f t="shared" si="23"/>
        <v>199.80680945631812</v>
      </c>
      <c r="F450">
        <f t="shared" si="24"/>
        <v>-175.31665059608031</v>
      </c>
    </row>
    <row r="451" spans="1:6" x14ac:dyDescent="0.25">
      <c r="A451">
        <v>-232.16868615914066</v>
      </c>
      <c r="B451">
        <v>-71.821989701372672</v>
      </c>
      <c r="C451">
        <v>-104.71404800000002</v>
      </c>
      <c r="E451">
        <f t="shared" si="23"/>
        <v>191.0094418622009</v>
      </c>
      <c r="F451">
        <f t="shared" si="24"/>
        <v>-180.28922545256833</v>
      </c>
    </row>
    <row r="452" spans="1:6" x14ac:dyDescent="0.25">
      <c r="A452">
        <v>-226.91778349007376</v>
      </c>
      <c r="B452">
        <v>-80.066072332180127</v>
      </c>
      <c r="C452">
        <v>-104.71404800000002</v>
      </c>
      <c r="E452">
        <f t="shared" si="23"/>
        <v>183.15288692063365</v>
      </c>
      <c r="F452">
        <f t="shared" si="24"/>
        <v>-184.4008809411599</v>
      </c>
    </row>
    <row r="453" spans="1:6" x14ac:dyDescent="0.25">
      <c r="A453">
        <v>-220.59502135340344</v>
      </c>
      <c r="B453">
        <v>-87.918672678606427</v>
      </c>
      <c r="C453">
        <v>-104.71404800000002</v>
      </c>
      <c r="E453">
        <f t="shared" si="23"/>
        <v>174.4359596636931</v>
      </c>
      <c r="F453">
        <f t="shared" si="24"/>
        <v>-187.9824889902639</v>
      </c>
    </row>
    <row r="454" spans="1:6" x14ac:dyDescent="0.25">
      <c r="A454">
        <v>-210.62791595059269</v>
      </c>
      <c r="B454">
        <v>-96.48159008140226</v>
      </c>
      <c r="C454">
        <v>-104.71404800000002</v>
      </c>
      <c r="E454">
        <f t="shared" si="23"/>
        <v>162.06218999902876</v>
      </c>
      <c r="F454">
        <f t="shared" si="24"/>
        <v>-191.10951384175419</v>
      </c>
    </row>
    <row r="455" spans="1:6" x14ac:dyDescent="0.25">
      <c r="A455">
        <v>-200.65157264240642</v>
      </c>
      <c r="B455">
        <v>-104.87155549627973</v>
      </c>
      <c r="C455">
        <v>-104.71404800000002</v>
      </c>
      <c r="E455">
        <f t="shared" si="23"/>
        <v>149.74177645600412</v>
      </c>
      <c r="F455">
        <f t="shared" si="24"/>
        <v>-194.1200250603421</v>
      </c>
    </row>
    <row r="456" spans="1:6" x14ac:dyDescent="0.25">
      <c r="A456">
        <v>-190.21117170725088</v>
      </c>
      <c r="B456">
        <v>-113.47817467372271</v>
      </c>
      <c r="C456">
        <v>-104.71404800000002</v>
      </c>
      <c r="E456">
        <f t="shared" si="23"/>
        <v>136.91048603102232</v>
      </c>
      <c r="F456">
        <f t="shared" si="24"/>
        <v>-197.15596407340678</v>
      </c>
    </row>
    <row r="457" spans="1:6" x14ac:dyDescent="0.25">
      <c r="A457">
        <v>-178.70365689719179</v>
      </c>
      <c r="B457">
        <v>-122.72345306605308</v>
      </c>
      <c r="C457">
        <v>-104.71404800000002</v>
      </c>
      <c r="E457">
        <f t="shared" si="23"/>
        <v>122.85408398628958</v>
      </c>
      <c r="F457">
        <f t="shared" si="24"/>
        <v>-200.34309689243503</v>
      </c>
    </row>
    <row r="458" spans="1:6" x14ac:dyDescent="0.25">
      <c r="A458">
        <v>-162.9472013187148</v>
      </c>
      <c r="B458">
        <v>-129.26763080010912</v>
      </c>
      <c r="C458">
        <v>-104.71404800000002</v>
      </c>
      <c r="E458">
        <f t="shared" si="23"/>
        <v>105.79894191123715</v>
      </c>
      <c r="F458">
        <f t="shared" si="24"/>
        <v>-200.67042196878089</v>
      </c>
    </row>
    <row r="459" spans="1:6" x14ac:dyDescent="0.25">
      <c r="A459">
        <v>-143.69453902995588</v>
      </c>
      <c r="B459">
        <v>-135.33559978539284</v>
      </c>
      <c r="C459">
        <v>-104.71404800000002</v>
      </c>
      <c r="E459">
        <f t="shared" si="23"/>
        <v>85.650467637330379</v>
      </c>
      <c r="F459">
        <f t="shared" si="24"/>
        <v>-199.79742791236268</v>
      </c>
    </row>
    <row r="460" spans="1:6" x14ac:dyDescent="0.25">
      <c r="A460">
        <v>-119.19779119056936</v>
      </c>
      <c r="B460">
        <v>-142.75344122329582</v>
      </c>
      <c r="C460">
        <v>-104.71404800000002</v>
      </c>
      <c r="E460">
        <f t="shared" si="23"/>
        <v>60.122466715488066</v>
      </c>
      <c r="F460">
        <f t="shared" si="24"/>
        <v>-198.48666568396732</v>
      </c>
    </row>
    <row r="461" spans="1:6" x14ac:dyDescent="0.25">
      <c r="A461">
        <v>-81.577965656747281</v>
      </c>
      <c r="B461">
        <v>-153.33166216980123</v>
      </c>
      <c r="C461">
        <v>-104.71404800000002</v>
      </c>
      <c r="E461">
        <f t="shared" si="23"/>
        <v>21.210438598435836</v>
      </c>
      <c r="F461">
        <f t="shared" si="24"/>
        <v>-195.93675397902197</v>
      </c>
    </row>
    <row r="462" spans="1:6" x14ac:dyDescent="0.25">
      <c r="A462">
        <v>-45.848390276501583</v>
      </c>
      <c r="B462">
        <v>-157.3417921970551</v>
      </c>
      <c r="C462">
        <v>-104.71404800000002</v>
      </c>
      <c r="E462">
        <f t="shared" si="23"/>
        <v>-13.583095698894871</v>
      </c>
      <c r="F462">
        <f t="shared" si="24"/>
        <v>-189.52997355557159</v>
      </c>
    </row>
    <row r="463" spans="1:6" x14ac:dyDescent="0.25">
      <c r="A463">
        <v>4.1765360780607322E-14</v>
      </c>
      <c r="B463">
        <v>-159.07377071396556</v>
      </c>
      <c r="C463">
        <v>-104.71404800000002</v>
      </c>
      <c r="E463">
        <f t="shared" si="23"/>
        <v>-57.00694103720312</v>
      </c>
      <c r="F463">
        <f t="shared" si="24"/>
        <v>-179.0551395100095</v>
      </c>
    </row>
    <row r="464" spans="1:6" x14ac:dyDescent="0.25">
      <c r="A464">
        <v>45.848390276501512</v>
      </c>
      <c r="B464">
        <v>-157.34179219705516</v>
      </c>
      <c r="C464">
        <v>-104.71404800000002</v>
      </c>
      <c r="E464">
        <f t="shared" si="23"/>
        <v>-99.189415195987834</v>
      </c>
      <c r="F464">
        <f t="shared" si="24"/>
        <v>-166.29360522974181</v>
      </c>
    </row>
    <row r="465" spans="1:6" x14ac:dyDescent="0.25">
      <c r="A465">
        <v>81.577965656747324</v>
      </c>
      <c r="B465">
        <v>-153.33166216980115</v>
      </c>
      <c r="C465">
        <v>-104.71404800000002</v>
      </c>
      <c r="E465">
        <f t="shared" si="23"/>
        <v>-131.10874534276456</v>
      </c>
      <c r="F465">
        <f t="shared" si="24"/>
        <v>-154.59232190975462</v>
      </c>
    </row>
    <row r="466" spans="1:6" x14ac:dyDescent="0.25">
      <c r="A466">
        <v>119.19779119056936</v>
      </c>
      <c r="B466">
        <v>-142.75344122329588</v>
      </c>
      <c r="C466">
        <v>-104.71404800000002</v>
      </c>
      <c r="E466">
        <f t="shared" si="23"/>
        <v>-162.43898275894423</v>
      </c>
      <c r="F466">
        <f t="shared" si="24"/>
        <v>-138.07617443169383</v>
      </c>
    </row>
    <row r="467" spans="1:6" x14ac:dyDescent="0.25">
      <c r="A467">
        <v>143.69453902995591</v>
      </c>
      <c r="B467">
        <v>-135.33559978539282</v>
      </c>
      <c r="C467">
        <v>-104.71404800000002</v>
      </c>
      <c r="E467">
        <f t="shared" si="23"/>
        <v>-182.65035042847964</v>
      </c>
      <c r="F467">
        <f t="shared" si="24"/>
        <v>-126.97176892686784</v>
      </c>
    </row>
    <row r="468" spans="1:6" x14ac:dyDescent="0.25">
      <c r="A468">
        <v>162.94720131871472</v>
      </c>
      <c r="B468">
        <v>-129.26763080010912</v>
      </c>
      <c r="C468">
        <v>-104.71404800000002</v>
      </c>
      <c r="E468">
        <f t="shared" ref="E468:E531" si="25">($I$2*A468)+($K$2*B468)+($M$2*C468)</f>
        <v>-198.44969349606509</v>
      </c>
      <c r="F468">
        <f t="shared" ref="F468:F531" si="26">($J$2*A468)+($L$2*B468)+($N$2*C468)</f>
        <v>-118.08734403146519</v>
      </c>
    </row>
    <row r="469" spans="1:6" x14ac:dyDescent="0.25">
      <c r="A469">
        <v>178.70365689719173</v>
      </c>
      <c r="B469">
        <v>-122.72345306605318</v>
      </c>
      <c r="C469">
        <v>-104.71404800000002</v>
      </c>
      <c r="E469">
        <f t="shared" si="25"/>
        <v>-210.81438845909025</v>
      </c>
      <c r="F469">
        <f t="shared" si="26"/>
        <v>-109.77450838161703</v>
      </c>
    </row>
    <row r="470" spans="1:6" x14ac:dyDescent="0.25">
      <c r="A470">
        <v>190.21117170725083</v>
      </c>
      <c r="B470">
        <v>-113.47817467372272</v>
      </c>
      <c r="C470">
        <v>-104.71404800000002</v>
      </c>
      <c r="E470">
        <f t="shared" si="25"/>
        <v>-218.24436758295312</v>
      </c>
      <c r="F470">
        <f t="shared" si="26"/>
        <v>-100.7552656230928</v>
      </c>
    </row>
    <row r="471" spans="1:6" x14ac:dyDescent="0.25">
      <c r="A471">
        <v>200.65157264240642</v>
      </c>
      <c r="B471">
        <v>-104.8715554962797</v>
      </c>
      <c r="C471">
        <v>-104.71404800000002</v>
      </c>
      <c r="E471">
        <f t="shared" si="25"/>
        <v>-224.90698507365997</v>
      </c>
      <c r="F471">
        <f t="shared" si="26"/>
        <v>-92.42803938847976</v>
      </c>
    </row>
    <row r="472" spans="1:6" x14ac:dyDescent="0.25">
      <c r="A472">
        <v>210.62791595059275</v>
      </c>
      <c r="B472">
        <v>-96.481590081402302</v>
      </c>
      <c r="C472">
        <v>-104.71404800000002</v>
      </c>
      <c r="E472">
        <f t="shared" si="25"/>
        <v>-231.21400921171346</v>
      </c>
      <c r="F472">
        <f t="shared" si="26"/>
        <v>-84.361429444158546</v>
      </c>
    </row>
    <row r="473" spans="1:6" x14ac:dyDescent="0.25">
      <c r="A473">
        <v>220.59502135340335</v>
      </c>
      <c r="B473">
        <v>-87.918672678606441</v>
      </c>
      <c r="C473">
        <v>-104.71404800000002</v>
      </c>
      <c r="E473">
        <f t="shared" si="25"/>
        <v>-237.45042857284622</v>
      </c>
      <c r="F473">
        <f t="shared" si="26"/>
        <v>-76.182987718807425</v>
      </c>
    </row>
    <row r="474" spans="1:6" x14ac:dyDescent="0.25">
      <c r="A474">
        <v>226.91778349007365</v>
      </c>
      <c r="B474">
        <v>-80.066072332180113</v>
      </c>
      <c r="C474">
        <v>-104.71404800000002</v>
      </c>
      <c r="E474">
        <f t="shared" si="25"/>
        <v>-240.53911526029171</v>
      </c>
      <c r="F474">
        <f t="shared" si="26"/>
        <v>-69.39694808642966</v>
      </c>
    </row>
    <row r="475" spans="1:6" x14ac:dyDescent="0.25">
      <c r="A475">
        <v>232.16868615914058</v>
      </c>
      <c r="B475">
        <v>-71.82198970137263</v>
      </c>
      <c r="C475">
        <v>-104.71404800000002</v>
      </c>
      <c r="E475">
        <f t="shared" si="25"/>
        <v>-242.48684022529002</v>
      </c>
      <c r="F475">
        <f t="shared" si="26"/>
        <v>-62.624088840722635</v>
      </c>
    </row>
    <row r="476" spans="1:6" x14ac:dyDescent="0.25">
      <c r="A476">
        <v>237.86159158134782</v>
      </c>
      <c r="B476">
        <v>-62.104093537769074</v>
      </c>
      <c r="C476">
        <v>-104.71404800000002</v>
      </c>
      <c r="E476">
        <f t="shared" si="25"/>
        <v>-244.31904277531774</v>
      </c>
      <c r="F476">
        <f t="shared" si="26"/>
        <v>-54.766299335764849</v>
      </c>
    </row>
    <row r="477" spans="1:6" x14ac:dyDescent="0.25">
      <c r="A477">
        <v>244.23245225645374</v>
      </c>
      <c r="B477">
        <v>-49.785920915996407</v>
      </c>
      <c r="C477">
        <v>-104.71404800000002</v>
      </c>
      <c r="E477">
        <f t="shared" si="25"/>
        <v>-245.85231533692763</v>
      </c>
      <c r="F477">
        <f t="shared" si="26"/>
        <v>-45.020163749461553</v>
      </c>
    </row>
    <row r="478" spans="1:6" x14ac:dyDescent="0.25">
      <c r="A478">
        <v>250.78545331801789</v>
      </c>
      <c r="B478">
        <v>-36.018378623633481</v>
      </c>
      <c r="C478">
        <v>-104.71404800000002</v>
      </c>
      <c r="E478">
        <f t="shared" si="25"/>
        <v>-247.03622296122703</v>
      </c>
      <c r="F478">
        <f t="shared" si="26"/>
        <v>-34.271084569783227</v>
      </c>
    </row>
    <row r="479" spans="1:6" x14ac:dyDescent="0.25">
      <c r="A479">
        <v>256.53334306242323</v>
      </c>
      <c r="B479">
        <v>-22.09050485934117</v>
      </c>
      <c r="C479">
        <v>-104.71404800000002</v>
      </c>
      <c r="E479">
        <f t="shared" si="25"/>
        <v>-247.41103675783265</v>
      </c>
      <c r="F479">
        <f t="shared" si="26"/>
        <v>-23.620182759941571</v>
      </c>
    </row>
    <row r="480" spans="1:6" x14ac:dyDescent="0.25">
      <c r="A480">
        <v>257.56602043831595</v>
      </c>
      <c r="B480">
        <v>-11.156261954565453</v>
      </c>
      <c r="C480">
        <v>-104.71404800000002</v>
      </c>
      <c r="E480">
        <f t="shared" si="25"/>
        <v>-244.45664193323785</v>
      </c>
      <c r="F480">
        <f t="shared" si="26"/>
        <v>-16.14035516554722</v>
      </c>
    </row>
    <row r="481" spans="1:6" x14ac:dyDescent="0.25">
      <c r="A481">
        <v>257.89239660710149</v>
      </c>
      <c r="B481">
        <v>9.835536256860046E-15</v>
      </c>
      <c r="C481">
        <v>-104.71404800000002</v>
      </c>
      <c r="E481">
        <f t="shared" si="25"/>
        <v>-240.76329361484332</v>
      </c>
      <c r="F481">
        <f t="shared" si="26"/>
        <v>-8.6929435211754651</v>
      </c>
    </row>
    <row r="482" spans="1:6" x14ac:dyDescent="0.25">
      <c r="A482">
        <v>257.566020438316</v>
      </c>
      <c r="B482">
        <v>11.156261954565453</v>
      </c>
      <c r="C482">
        <v>-104.71404800000002</v>
      </c>
      <c r="E482">
        <f t="shared" si="25"/>
        <v>-236.46054849074216</v>
      </c>
      <c r="F482">
        <f t="shared" si="26"/>
        <v>-1.4109421960087474</v>
      </c>
    </row>
    <row r="483" spans="1:6" x14ac:dyDescent="0.25">
      <c r="A483">
        <v>256.53334306242323</v>
      </c>
      <c r="B483">
        <v>22.09050485934112</v>
      </c>
      <c r="C483">
        <v>-104.71404800000002</v>
      </c>
      <c r="E483">
        <f t="shared" si="25"/>
        <v>-231.57797889610748</v>
      </c>
      <c r="F483">
        <f t="shared" si="26"/>
        <v>5.5455154016794097</v>
      </c>
    </row>
    <row r="484" spans="1:6" x14ac:dyDescent="0.25">
      <c r="A484">
        <v>250.78545331801794</v>
      </c>
      <c r="B484">
        <v>36.01837862363351</v>
      </c>
      <c r="C484">
        <v>-104.71404800000002</v>
      </c>
      <c r="E484">
        <f t="shared" si="25"/>
        <v>-221.22055797463148</v>
      </c>
      <c r="F484">
        <f t="shared" si="26"/>
        <v>13.283336023898372</v>
      </c>
    </row>
    <row r="485" spans="1:6" x14ac:dyDescent="0.25">
      <c r="A485">
        <v>244.23245225645374</v>
      </c>
      <c r="B485">
        <v>49.785920915996385</v>
      </c>
      <c r="C485">
        <v>-104.71404800000002</v>
      </c>
      <c r="E485">
        <f t="shared" si="25"/>
        <v>-210.16895854714744</v>
      </c>
      <c r="F485">
        <f t="shared" si="26"/>
        <v>20.711296503710344</v>
      </c>
    </row>
    <row r="486" spans="1:6" x14ac:dyDescent="0.25">
      <c r="A486">
        <v>237.86159158134788</v>
      </c>
      <c r="B486">
        <v>62.104093537769074</v>
      </c>
      <c r="C486">
        <v>-104.71404800000002</v>
      </c>
      <c r="E486">
        <f t="shared" si="25"/>
        <v>-199.80680945631812</v>
      </c>
      <c r="F486">
        <f t="shared" si="26"/>
        <v>27.228623743492989</v>
      </c>
    </row>
    <row r="487" spans="1:6" x14ac:dyDescent="0.25">
      <c r="A487">
        <v>232.16868615914046</v>
      </c>
      <c r="B487">
        <v>71.821989701372644</v>
      </c>
      <c r="C487">
        <v>-104.71404800000002</v>
      </c>
      <c r="E487">
        <f t="shared" si="25"/>
        <v>-191.00944186220076</v>
      </c>
      <c r="F487">
        <f t="shared" si="26"/>
        <v>32.201198599980984</v>
      </c>
    </row>
    <row r="488" spans="1:6" x14ac:dyDescent="0.25">
      <c r="A488">
        <v>226.91778349007367</v>
      </c>
      <c r="B488">
        <v>80.06607233218007</v>
      </c>
      <c r="C488">
        <v>-104.71404800000002</v>
      </c>
      <c r="E488">
        <f t="shared" si="25"/>
        <v>-183.15288692063359</v>
      </c>
      <c r="F488">
        <f t="shared" si="26"/>
        <v>36.312854088572536</v>
      </c>
    </row>
    <row r="489" spans="1:6" x14ac:dyDescent="0.25">
      <c r="A489">
        <v>220.59502135340344</v>
      </c>
      <c r="B489">
        <v>87.91867267860647</v>
      </c>
      <c r="C489">
        <v>-104.71404800000002</v>
      </c>
      <c r="E489">
        <f t="shared" si="25"/>
        <v>-174.4359596636931</v>
      </c>
      <c r="F489">
        <f t="shared" si="26"/>
        <v>39.894462137676641</v>
      </c>
    </row>
    <row r="490" spans="1:6" x14ac:dyDescent="0.25">
      <c r="A490">
        <v>210.62791595059267</v>
      </c>
      <c r="B490">
        <v>96.481590081402302</v>
      </c>
      <c r="C490">
        <v>-104.71404800000002</v>
      </c>
      <c r="E490">
        <f t="shared" si="25"/>
        <v>-162.06218999902873</v>
      </c>
      <c r="F490">
        <f t="shared" si="26"/>
        <v>43.021486989166917</v>
      </c>
    </row>
    <row r="491" spans="1:6" x14ac:dyDescent="0.25">
      <c r="A491">
        <v>200.65157264240642</v>
      </c>
      <c r="B491">
        <v>104.87155549627973</v>
      </c>
      <c r="C491">
        <v>-104.71404800000002</v>
      </c>
      <c r="E491">
        <f t="shared" si="25"/>
        <v>-149.74177645600412</v>
      </c>
      <c r="F491">
        <f t="shared" si="26"/>
        <v>46.03199820775481</v>
      </c>
    </row>
    <row r="492" spans="1:6" x14ac:dyDescent="0.25">
      <c r="A492">
        <v>190.21117170725083</v>
      </c>
      <c r="B492">
        <v>113.47817467372271</v>
      </c>
      <c r="C492">
        <v>-104.71404800000002</v>
      </c>
      <c r="E492">
        <f t="shared" si="25"/>
        <v>-136.91048603102226</v>
      </c>
      <c r="F492">
        <f t="shared" si="26"/>
        <v>49.067937220819488</v>
      </c>
    </row>
    <row r="493" spans="1:6" x14ac:dyDescent="0.25">
      <c r="A493">
        <v>178.70365689719173</v>
      </c>
      <c r="B493">
        <v>122.7234530660531</v>
      </c>
      <c r="C493">
        <v>-104.71404800000002</v>
      </c>
      <c r="E493">
        <f t="shared" si="25"/>
        <v>-122.85408398628954</v>
      </c>
      <c r="F493">
        <f t="shared" si="26"/>
        <v>52.255070039847723</v>
      </c>
    </row>
    <row r="494" spans="1:6" x14ac:dyDescent="0.25">
      <c r="A494">
        <v>162.94720131871483</v>
      </c>
      <c r="B494">
        <v>129.26763080010909</v>
      </c>
      <c r="C494">
        <v>-104.71404800000002</v>
      </c>
      <c r="E494">
        <f t="shared" si="25"/>
        <v>-105.79894191123721</v>
      </c>
      <c r="F494">
        <f t="shared" si="26"/>
        <v>52.582395116193567</v>
      </c>
    </row>
    <row r="495" spans="1:6" x14ac:dyDescent="0.25">
      <c r="A495">
        <v>143.69453902995602</v>
      </c>
      <c r="B495">
        <v>135.33559978539282</v>
      </c>
      <c r="C495">
        <v>-104.71404800000002</v>
      </c>
      <c r="E495">
        <f t="shared" si="25"/>
        <v>-85.65046763733055</v>
      </c>
      <c r="F495">
        <f t="shared" si="26"/>
        <v>51.709401059775416</v>
      </c>
    </row>
    <row r="496" spans="1:6" x14ac:dyDescent="0.25">
      <c r="A496">
        <v>119.19779119056926</v>
      </c>
      <c r="B496">
        <v>142.75344122329588</v>
      </c>
      <c r="C496">
        <v>-104.71404800000002</v>
      </c>
      <c r="E496">
        <f t="shared" si="25"/>
        <v>-60.122466715487974</v>
      </c>
      <c r="F496">
        <f t="shared" si="26"/>
        <v>50.398638831380026</v>
      </c>
    </row>
    <row r="497" spans="1:6" x14ac:dyDescent="0.25">
      <c r="A497">
        <v>81.577965656747267</v>
      </c>
      <c r="B497">
        <v>153.33166216980129</v>
      </c>
      <c r="C497">
        <v>-104.71404800000002</v>
      </c>
      <c r="E497">
        <f t="shared" si="25"/>
        <v>-21.210438598435829</v>
      </c>
      <c r="F497">
        <f t="shared" si="26"/>
        <v>47.84872712643471</v>
      </c>
    </row>
    <row r="498" spans="1:6" x14ac:dyDescent="0.25">
      <c r="A498">
        <v>45.848390276501512</v>
      </c>
      <c r="B498">
        <v>157.34179219705521</v>
      </c>
      <c r="C498">
        <v>-104.71404800000002</v>
      </c>
      <c r="E498">
        <f t="shared" si="25"/>
        <v>13.583095698894946</v>
      </c>
      <c r="F498">
        <f t="shared" si="26"/>
        <v>41.441946702984339</v>
      </c>
    </row>
    <row r="499" spans="1:6" x14ac:dyDescent="0.25">
      <c r="A499">
        <v>3.9953476804419055E-14</v>
      </c>
      <c r="B499">
        <v>159.07377071396562</v>
      </c>
      <c r="C499">
        <v>-104.71404800000002</v>
      </c>
      <c r="E499">
        <f t="shared" si="25"/>
        <v>57.006941037203042</v>
      </c>
      <c r="F499">
        <f t="shared" si="26"/>
        <v>30.967112657422263</v>
      </c>
    </row>
    <row r="500" spans="1:6" x14ac:dyDescent="0.25">
      <c r="A500">
        <v>-45.848390276501455</v>
      </c>
      <c r="B500">
        <v>157.34179219705527</v>
      </c>
      <c r="C500">
        <v>-104.71404800000002</v>
      </c>
      <c r="E500">
        <f t="shared" si="25"/>
        <v>99.189415195987792</v>
      </c>
      <c r="F500">
        <f t="shared" si="26"/>
        <v>18.205578377154609</v>
      </c>
    </row>
    <row r="501" spans="1:6" x14ac:dyDescent="0.25">
      <c r="A501">
        <v>-81.57796565674721</v>
      </c>
      <c r="B501">
        <v>153.33166216980126</v>
      </c>
      <c r="C501">
        <v>-104.71404800000002</v>
      </c>
      <c r="E501">
        <f t="shared" si="25"/>
        <v>131.10874534276451</v>
      </c>
      <c r="F501">
        <f t="shared" si="26"/>
        <v>6.5042950571674396</v>
      </c>
    </row>
    <row r="502" spans="1:6" x14ac:dyDescent="0.25">
      <c r="A502">
        <v>-119.19779119056926</v>
      </c>
      <c r="B502">
        <v>142.75344122329591</v>
      </c>
      <c r="C502">
        <v>-104.71404800000002</v>
      </c>
      <c r="E502">
        <f t="shared" si="25"/>
        <v>162.43898275894415</v>
      </c>
      <c r="F502">
        <f t="shared" si="26"/>
        <v>-10.011852420893419</v>
      </c>
    </row>
    <row r="503" spans="1:6" x14ac:dyDescent="0.25">
      <c r="A503">
        <v>-143.69453902995576</v>
      </c>
      <c r="B503">
        <v>135.3355997853929</v>
      </c>
      <c r="C503">
        <v>-104.71404800000002</v>
      </c>
      <c r="E503">
        <f t="shared" si="25"/>
        <v>182.65035042847953</v>
      </c>
      <c r="F503">
        <f t="shared" si="26"/>
        <v>-21.11625792571936</v>
      </c>
    </row>
    <row r="504" spans="1:6" x14ac:dyDescent="0.25">
      <c r="A504">
        <v>-162.94720131871463</v>
      </c>
      <c r="B504">
        <v>129.26763080010912</v>
      </c>
      <c r="C504">
        <v>-104.71404800000002</v>
      </c>
      <c r="E504">
        <f t="shared" si="25"/>
        <v>198.44969349606501</v>
      </c>
      <c r="F504">
        <f t="shared" si="26"/>
        <v>-30.000682821122069</v>
      </c>
    </row>
    <row r="505" spans="1:6" x14ac:dyDescent="0.25">
      <c r="A505">
        <v>-178.70365689719182</v>
      </c>
      <c r="B505">
        <v>122.72345306605312</v>
      </c>
      <c r="C505">
        <v>-104.71404800000002</v>
      </c>
      <c r="E505">
        <f t="shared" si="25"/>
        <v>210.81438845909031</v>
      </c>
      <c r="F505">
        <f t="shared" si="26"/>
        <v>-38.31351847097033</v>
      </c>
    </row>
    <row r="506" spans="1:6" x14ac:dyDescent="0.25">
      <c r="A506">
        <v>-190.21117170725088</v>
      </c>
      <c r="B506">
        <v>113.47817467372269</v>
      </c>
      <c r="C506">
        <v>-104.71404800000002</v>
      </c>
      <c r="E506">
        <f t="shared" si="25"/>
        <v>218.24436758295317</v>
      </c>
      <c r="F506">
        <f t="shared" si="26"/>
        <v>-47.332761229494523</v>
      </c>
    </row>
    <row r="507" spans="1:6" x14ac:dyDescent="0.25">
      <c r="A507">
        <v>-200.65157264240642</v>
      </c>
      <c r="B507">
        <v>104.87155549627973</v>
      </c>
      <c r="C507">
        <v>-104.71404800000002</v>
      </c>
      <c r="E507">
        <f t="shared" si="25"/>
        <v>224.90698507366</v>
      </c>
      <c r="F507">
        <f t="shared" si="26"/>
        <v>-55.659987464107523</v>
      </c>
    </row>
    <row r="508" spans="1:6" x14ac:dyDescent="0.25">
      <c r="A508">
        <v>-210.62791595059269</v>
      </c>
      <c r="B508">
        <v>96.48159008140226</v>
      </c>
      <c r="C508">
        <v>-104.71404800000002</v>
      </c>
      <c r="E508">
        <f t="shared" si="25"/>
        <v>231.2140092117134</v>
      </c>
      <c r="F508">
        <f t="shared" si="26"/>
        <v>-63.726597408428752</v>
      </c>
    </row>
    <row r="509" spans="1:6" x14ac:dyDescent="0.25">
      <c r="A509">
        <v>-220.59502135340344</v>
      </c>
      <c r="B509">
        <v>87.918672678606427</v>
      </c>
      <c r="C509">
        <v>-104.71404800000002</v>
      </c>
      <c r="E509">
        <f t="shared" si="25"/>
        <v>237.45042857284631</v>
      </c>
      <c r="F509">
        <f t="shared" si="26"/>
        <v>-71.905039133779894</v>
      </c>
    </row>
    <row r="510" spans="1:6" x14ac:dyDescent="0.25">
      <c r="A510">
        <v>-226.91778349007376</v>
      </c>
      <c r="B510">
        <v>80.066072332180127</v>
      </c>
      <c r="C510">
        <v>-104.71404800000002</v>
      </c>
      <c r="E510">
        <f t="shared" si="25"/>
        <v>240.53911526029185</v>
      </c>
      <c r="F510">
        <f t="shared" si="26"/>
        <v>-78.691078766157659</v>
      </c>
    </row>
    <row r="511" spans="1:6" x14ac:dyDescent="0.25">
      <c r="A511">
        <v>-232.16868615914066</v>
      </c>
      <c r="B511">
        <v>71.821989701372729</v>
      </c>
      <c r="C511">
        <v>-104.71404800000002</v>
      </c>
      <c r="E511">
        <f t="shared" si="25"/>
        <v>242.48684022529011</v>
      </c>
      <c r="F511">
        <f t="shared" si="26"/>
        <v>-85.463938011864613</v>
      </c>
    </row>
    <row r="512" spans="1:6" x14ac:dyDescent="0.25">
      <c r="A512">
        <v>-237.86159158134788</v>
      </c>
      <c r="B512">
        <v>62.104093537769138</v>
      </c>
      <c r="C512">
        <v>-104.71404800000002</v>
      </c>
      <c r="E512">
        <f t="shared" si="25"/>
        <v>244.31904277531783</v>
      </c>
      <c r="F512">
        <f t="shared" si="26"/>
        <v>-93.321727516822421</v>
      </c>
    </row>
    <row r="513" spans="1:6" x14ac:dyDescent="0.25">
      <c r="A513">
        <v>-244.23245225645394</v>
      </c>
      <c r="B513">
        <v>49.785920915996513</v>
      </c>
      <c r="C513">
        <v>-104.71404800000002</v>
      </c>
      <c r="E513">
        <f t="shared" si="25"/>
        <v>245.85231533692789</v>
      </c>
      <c r="F513">
        <f t="shared" si="26"/>
        <v>-103.06786310312572</v>
      </c>
    </row>
    <row r="514" spans="1:6" x14ac:dyDescent="0.25">
      <c r="A514">
        <v>-250.78545331801803</v>
      </c>
      <c r="B514">
        <v>36.018378623633446</v>
      </c>
      <c r="C514">
        <v>-104.71404800000002</v>
      </c>
      <c r="E514">
        <f t="shared" si="25"/>
        <v>247.03622296122714</v>
      </c>
      <c r="F514">
        <f t="shared" si="26"/>
        <v>-113.81694228280412</v>
      </c>
    </row>
    <row r="515" spans="1:6" x14ac:dyDescent="0.25">
      <c r="A515">
        <v>-256.53334306242328</v>
      </c>
      <c r="B515">
        <v>22.090504859341134</v>
      </c>
      <c r="C515">
        <v>-104.71404800000002</v>
      </c>
      <c r="E515">
        <f t="shared" si="25"/>
        <v>247.41103675783268</v>
      </c>
      <c r="F515">
        <f t="shared" si="26"/>
        <v>-124.46784409264575</v>
      </c>
    </row>
    <row r="516" spans="1:6" x14ac:dyDescent="0.25">
      <c r="A516">
        <v>-296.12895128521342</v>
      </c>
      <c r="B516">
        <v>-8.0977774957427221E-15</v>
      </c>
      <c r="C516">
        <v>-51.233056000000019</v>
      </c>
      <c r="E516">
        <f t="shared" si="25"/>
        <v>276.4601926390186</v>
      </c>
      <c r="F516">
        <f t="shared" si="26"/>
        <v>-111.2676226983946</v>
      </c>
    </row>
    <row r="517" spans="1:6" x14ac:dyDescent="0.25">
      <c r="A517">
        <v>-295.29994074079025</v>
      </c>
      <c r="B517">
        <v>-11.723975130321744</v>
      </c>
      <c r="C517">
        <v>-51.233056000000019</v>
      </c>
      <c r="E517">
        <f t="shared" si="25"/>
        <v>271.48474769341186</v>
      </c>
      <c r="F517">
        <f t="shared" si="26"/>
        <v>-118.7970250296691</v>
      </c>
    </row>
    <row r="518" spans="1:6" x14ac:dyDescent="0.25">
      <c r="A518">
        <v>-290.13882504010087</v>
      </c>
      <c r="B518">
        <v>-25.214050212194756</v>
      </c>
      <c r="C518">
        <v>-51.233056000000019</v>
      </c>
      <c r="E518">
        <f t="shared" si="25"/>
        <v>261.8320205500579</v>
      </c>
      <c r="F518">
        <f t="shared" si="26"/>
        <v>-126.394527898587</v>
      </c>
    </row>
    <row r="519" spans="1:6" x14ac:dyDescent="0.25">
      <c r="A519">
        <v>-284.65857242646649</v>
      </c>
      <c r="B519">
        <v>-38.851691112390242</v>
      </c>
      <c r="C519">
        <v>-51.233056000000019</v>
      </c>
      <c r="E519">
        <f t="shared" si="25"/>
        <v>251.82847057167055</v>
      </c>
      <c r="F519">
        <f t="shared" si="26"/>
        <v>-134.00857432154231</v>
      </c>
    </row>
    <row r="520" spans="1:6" x14ac:dyDescent="0.25">
      <c r="A520">
        <v>-278.86658350581644</v>
      </c>
      <c r="B520">
        <v>-51.968492149466762</v>
      </c>
      <c r="C520">
        <v>-51.233056000000019</v>
      </c>
      <c r="E520">
        <f t="shared" si="25"/>
        <v>241.72054199261223</v>
      </c>
      <c r="F520">
        <f t="shared" si="26"/>
        <v>-141.1997976160813</v>
      </c>
    </row>
    <row r="521" spans="1:6" x14ac:dyDescent="0.25">
      <c r="A521">
        <v>-272.42225273992557</v>
      </c>
      <c r="B521">
        <v>-64.976907802820108</v>
      </c>
      <c r="C521">
        <v>-51.233056000000019</v>
      </c>
      <c r="E521">
        <f t="shared" si="25"/>
        <v>231.04244168317751</v>
      </c>
      <c r="F521">
        <f t="shared" si="26"/>
        <v>-148.1541649709263</v>
      </c>
    </row>
    <row r="522" spans="1:6" x14ac:dyDescent="0.25">
      <c r="A522">
        <v>-265.91706987080721</v>
      </c>
      <c r="B522">
        <v>-76.55168249212872</v>
      </c>
      <c r="C522">
        <v>-51.233056000000019</v>
      </c>
      <c r="E522">
        <f t="shared" si="25"/>
        <v>220.82130201392735</v>
      </c>
      <c r="F522">
        <f t="shared" si="26"/>
        <v>-154.14670688277852</v>
      </c>
    </row>
    <row r="523" spans="1:6" x14ac:dyDescent="0.25">
      <c r="A523">
        <v>-256.15374954464693</v>
      </c>
      <c r="B523">
        <v>-87.501055336211337</v>
      </c>
      <c r="C523">
        <v>-51.233056000000019</v>
      </c>
      <c r="E523">
        <f t="shared" si="25"/>
        <v>207.78255296486097</v>
      </c>
      <c r="F523">
        <f t="shared" si="26"/>
        <v>-158.9007689724771</v>
      </c>
    </row>
    <row r="524" spans="1:6" x14ac:dyDescent="0.25">
      <c r="A524">
        <v>-246.04976607338688</v>
      </c>
      <c r="B524">
        <v>-97.192967591718016</v>
      </c>
      <c r="C524">
        <v>-51.233056000000019</v>
      </c>
      <c r="E524">
        <f t="shared" si="25"/>
        <v>194.87640104426245</v>
      </c>
      <c r="F524">
        <f t="shared" si="26"/>
        <v>-162.73840416608056</v>
      </c>
    </row>
    <row r="525" spans="1:6" x14ac:dyDescent="0.25">
      <c r="A525">
        <v>-235.68033716060287</v>
      </c>
      <c r="B525">
        <v>-106.41646654004468</v>
      </c>
      <c r="C525">
        <v>-51.233056000000019</v>
      </c>
      <c r="E525">
        <f t="shared" si="25"/>
        <v>181.89029877158808</v>
      </c>
      <c r="F525">
        <f t="shared" si="26"/>
        <v>-166.19955546230452</v>
      </c>
    </row>
    <row r="526" spans="1:6" x14ac:dyDescent="0.25">
      <c r="A526">
        <v>-225.12329400276266</v>
      </c>
      <c r="B526">
        <v>-115.29651004523217</v>
      </c>
      <c r="C526">
        <v>-51.233056000000019</v>
      </c>
      <c r="E526">
        <f t="shared" si="25"/>
        <v>168.85212693491513</v>
      </c>
      <c r="F526">
        <f t="shared" si="26"/>
        <v>-169.3864354449766</v>
      </c>
    </row>
    <row r="527" spans="1:6" x14ac:dyDescent="0.25">
      <c r="A527">
        <v>-211.80562142600871</v>
      </c>
      <c r="B527">
        <v>-123.08044650291993</v>
      </c>
      <c r="C527">
        <v>-51.233056000000019</v>
      </c>
      <c r="E527">
        <f t="shared" si="25"/>
        <v>153.62949514302665</v>
      </c>
      <c r="F527">
        <f t="shared" si="26"/>
        <v>-171.15017450837715</v>
      </c>
    </row>
    <row r="528" spans="1:6" x14ac:dyDescent="0.25">
      <c r="A528">
        <v>-192.96979887234772</v>
      </c>
      <c r="B528">
        <v>-133.54006798334768</v>
      </c>
      <c r="C528">
        <v>-51.233056000000019</v>
      </c>
      <c r="E528">
        <f t="shared" si="25"/>
        <v>132.29634678699333</v>
      </c>
      <c r="F528">
        <f t="shared" si="26"/>
        <v>-173.28191956892061</v>
      </c>
    </row>
    <row r="529" spans="1:6" x14ac:dyDescent="0.25">
      <c r="A529">
        <v>-172.06407013404421</v>
      </c>
      <c r="B529">
        <v>-145.78384806662888</v>
      </c>
      <c r="C529">
        <v>-51.233056000000019</v>
      </c>
      <c r="E529">
        <f t="shared" si="25"/>
        <v>108.39138927212403</v>
      </c>
      <c r="F529">
        <f t="shared" si="26"/>
        <v>-176.06693761370758</v>
      </c>
    </row>
    <row r="530" spans="1:6" x14ac:dyDescent="0.25">
      <c r="A530">
        <v>-152.13547099696132</v>
      </c>
      <c r="B530">
        <v>-154.4255206055544</v>
      </c>
      <c r="C530">
        <v>-51.233056000000019</v>
      </c>
      <c r="E530">
        <f t="shared" si="25"/>
        <v>86.689540721817778</v>
      </c>
      <c r="F530">
        <f t="shared" si="26"/>
        <v>-176.72166554809314</v>
      </c>
    </row>
    <row r="531" spans="1:6" x14ac:dyDescent="0.25">
      <c r="A531">
        <v>-125.31869748221048</v>
      </c>
      <c r="B531">
        <v>-162.5306583731423</v>
      </c>
      <c r="C531">
        <v>-51.233056000000019</v>
      </c>
      <c r="E531">
        <f t="shared" si="25"/>
        <v>58.749304264085161</v>
      </c>
      <c r="F531">
        <f t="shared" si="26"/>
        <v>-175.27671110953602</v>
      </c>
    </row>
    <row r="532" spans="1:6" x14ac:dyDescent="0.25">
      <c r="A532">
        <v>-85.058740378853486</v>
      </c>
      <c r="B532">
        <v>-173.46526199524703</v>
      </c>
      <c r="C532">
        <v>-51.233056000000019</v>
      </c>
      <c r="E532">
        <f t="shared" ref="E532:E595" si="27">($I$2*A532)+($K$2*B532)+($M$2*C532)</f>
        <v>17.244784861629803</v>
      </c>
      <c r="F532">
        <f t="shared" ref="F532:F595" si="28">($J$2*A532)+($L$2*B532)+($N$2*C532)</f>
        <v>-172.29304126286243</v>
      </c>
    </row>
    <row r="533" spans="1:6" x14ac:dyDescent="0.25">
      <c r="A533">
        <v>-41.961952427340634</v>
      </c>
      <c r="B533">
        <v>-180.61115303963879</v>
      </c>
      <c r="C533">
        <v>-51.233056000000019</v>
      </c>
      <c r="E533">
        <f t="shared" si="27"/>
        <v>-25.550391136055822</v>
      </c>
      <c r="F533">
        <f t="shared" si="28"/>
        <v>-166.08942127598812</v>
      </c>
    </row>
    <row r="534" spans="1:6" x14ac:dyDescent="0.25">
      <c r="A534">
        <v>5.5228484307438214E-14</v>
      </c>
      <c r="B534">
        <v>-181.86098882917995</v>
      </c>
      <c r="C534">
        <v>-51.233056000000019</v>
      </c>
      <c r="E534">
        <f t="shared" si="27"/>
        <v>-65.173149668994029</v>
      </c>
      <c r="F534">
        <f t="shared" si="28"/>
        <v>-156.28114550356781</v>
      </c>
    </row>
    <row r="535" spans="1:6" x14ac:dyDescent="0.25">
      <c r="A535">
        <v>41.96195242734052</v>
      </c>
      <c r="B535">
        <v>-180.61115303963879</v>
      </c>
      <c r="C535">
        <v>-51.233056000000019</v>
      </c>
      <c r="E535">
        <f t="shared" si="27"/>
        <v>-103.90010602359963</v>
      </c>
      <c r="F535">
        <f t="shared" si="28"/>
        <v>-144.82273390937914</v>
      </c>
    </row>
    <row r="536" spans="1:6" x14ac:dyDescent="0.25">
      <c r="A536">
        <v>85.058740378853514</v>
      </c>
      <c r="B536">
        <v>-173.46526199524703</v>
      </c>
      <c r="C536">
        <v>-51.233056000000019</v>
      </c>
      <c r="E536">
        <f t="shared" si="27"/>
        <v>-141.57356537877979</v>
      </c>
      <c r="F536">
        <f t="shared" si="28"/>
        <v>-129.18452188291042</v>
      </c>
    </row>
    <row r="537" spans="1:6" x14ac:dyDescent="0.25">
      <c r="A537">
        <v>125.31869748221045</v>
      </c>
      <c r="B537">
        <v>-162.53065837314227</v>
      </c>
      <c r="C537">
        <v>-51.233056000000019</v>
      </c>
      <c r="E537">
        <f t="shared" si="27"/>
        <v>-175.24086182294653</v>
      </c>
      <c r="F537">
        <f t="shared" si="28"/>
        <v>-111.7640905955214</v>
      </c>
    </row>
    <row r="538" spans="1:6" x14ac:dyDescent="0.25">
      <c r="A538">
        <v>152.13547099696132</v>
      </c>
      <c r="B538">
        <v>-154.42552060555434</v>
      </c>
      <c r="C538">
        <v>-51.233056000000019</v>
      </c>
      <c r="E538">
        <f t="shared" si="27"/>
        <v>-197.37185507557385</v>
      </c>
      <c r="F538">
        <f t="shared" si="28"/>
        <v>-99.618067838561217</v>
      </c>
    </row>
    <row r="539" spans="1:6" x14ac:dyDescent="0.25">
      <c r="A539">
        <v>172.06407013404416</v>
      </c>
      <c r="B539">
        <v>-145.78384806662888</v>
      </c>
      <c r="C539">
        <v>-51.233056000000019</v>
      </c>
      <c r="E539">
        <f t="shared" si="27"/>
        <v>-212.87990668904678</v>
      </c>
      <c r="F539">
        <f t="shared" si="28"/>
        <v>-88.863350199533755</v>
      </c>
    </row>
    <row r="540" spans="1:6" x14ac:dyDescent="0.25">
      <c r="A540">
        <v>192.96979887234755</v>
      </c>
      <c r="B540">
        <v>-133.54006798334774</v>
      </c>
      <c r="C540">
        <v>-51.233056000000019</v>
      </c>
      <c r="E540">
        <f t="shared" si="27"/>
        <v>-228.00930747765779</v>
      </c>
      <c r="F540">
        <f t="shared" si="28"/>
        <v>-75.483124555232138</v>
      </c>
    </row>
    <row r="541" spans="1:6" x14ac:dyDescent="0.25">
      <c r="A541">
        <v>211.80562142600874</v>
      </c>
      <c r="B541">
        <v>-123.08044650291995</v>
      </c>
      <c r="C541">
        <v>-51.233056000000019</v>
      </c>
      <c r="E541">
        <f t="shared" si="27"/>
        <v>-241.84566962776955</v>
      </c>
      <c r="F541">
        <f t="shared" si="28"/>
        <v>-63.805218594877068</v>
      </c>
    </row>
    <row r="542" spans="1:6" x14ac:dyDescent="0.25">
      <c r="A542">
        <v>225.12329400276263</v>
      </c>
      <c r="B542">
        <v>-115.29651004523213</v>
      </c>
      <c r="C542">
        <v>-51.233056000000019</v>
      </c>
      <c r="E542">
        <f t="shared" si="27"/>
        <v>-251.48927472419302</v>
      </c>
      <c r="F542">
        <f t="shared" si="28"/>
        <v>-55.291965680063043</v>
      </c>
    </row>
    <row r="543" spans="1:6" x14ac:dyDescent="0.25">
      <c r="A543">
        <v>235.68033716060285</v>
      </c>
      <c r="B543">
        <v>-106.41646654004467</v>
      </c>
      <c r="C543">
        <v>-51.233056000000019</v>
      </c>
      <c r="E543">
        <f t="shared" si="27"/>
        <v>-258.16280059521176</v>
      </c>
      <c r="F543">
        <f t="shared" si="28"/>
        <v>-46.754683169235413</v>
      </c>
    </row>
    <row r="544" spans="1:6" x14ac:dyDescent="0.25">
      <c r="A544">
        <v>246.04976607338682</v>
      </c>
      <c r="B544">
        <v>-97.192967591718016</v>
      </c>
      <c r="C544">
        <v>-51.233056000000019</v>
      </c>
      <c r="E544">
        <f t="shared" si="27"/>
        <v>-264.53809005639602</v>
      </c>
      <c r="F544">
        <f t="shared" si="28"/>
        <v>-38.038213897988712</v>
      </c>
    </row>
    <row r="545" spans="1:6" x14ac:dyDescent="0.25">
      <c r="A545">
        <v>256.15374954464693</v>
      </c>
      <c r="B545">
        <v>-87.501055336211351</v>
      </c>
      <c r="C545">
        <v>-51.233056000000019</v>
      </c>
      <c r="E545">
        <f t="shared" si="27"/>
        <v>-270.49770053263683</v>
      </c>
      <c r="F545">
        <f t="shared" si="28"/>
        <v>-29.079790818913381</v>
      </c>
    </row>
    <row r="546" spans="1:6" x14ac:dyDescent="0.25">
      <c r="A546">
        <v>265.9170698708071</v>
      </c>
      <c r="B546">
        <v>-76.551682492128634</v>
      </c>
      <c r="C546">
        <v>-51.233056000000019</v>
      </c>
      <c r="E546">
        <f t="shared" si="27"/>
        <v>-275.68864099182127</v>
      </c>
      <c r="F546">
        <f t="shared" si="28"/>
        <v>-19.377591928477514</v>
      </c>
    </row>
    <row r="547" spans="1:6" x14ac:dyDescent="0.25">
      <c r="A547">
        <v>272.42225273992551</v>
      </c>
      <c r="B547">
        <v>-64.976907802820065</v>
      </c>
      <c r="C547">
        <v>-51.233056000000019</v>
      </c>
      <c r="E547">
        <f t="shared" si="27"/>
        <v>-277.6137241173588</v>
      </c>
      <c r="F547">
        <f t="shared" si="28"/>
        <v>-10.088165998187186</v>
      </c>
    </row>
    <row r="548" spans="1:6" x14ac:dyDescent="0.25">
      <c r="A548">
        <v>278.86658350581627</v>
      </c>
      <c r="B548">
        <v>-51.968492149466712</v>
      </c>
      <c r="C548">
        <v>-51.233056000000019</v>
      </c>
      <c r="E548">
        <f t="shared" si="27"/>
        <v>-278.96822593774289</v>
      </c>
      <c r="F548">
        <f t="shared" si="28"/>
        <v>0.13224499279529311</v>
      </c>
    </row>
    <row r="549" spans="1:6" x14ac:dyDescent="0.25">
      <c r="A549">
        <v>284.65857242646638</v>
      </c>
      <c r="B549">
        <v>-38.851691112390213</v>
      </c>
      <c r="C549">
        <v>-51.233056000000019</v>
      </c>
      <c r="E549">
        <f t="shared" si="27"/>
        <v>-279.67487233229974</v>
      </c>
      <c r="F549">
        <f t="shared" si="28"/>
        <v>10.258899326192982</v>
      </c>
    </row>
    <row r="550" spans="1:6" x14ac:dyDescent="0.25">
      <c r="A550">
        <v>290.13882504010081</v>
      </c>
      <c r="B550">
        <v>-25.214050212194799</v>
      </c>
      <c r="C550">
        <v>-51.233056000000019</v>
      </c>
      <c r="E550">
        <f t="shared" si="27"/>
        <v>-279.90383549861082</v>
      </c>
      <c r="F550">
        <f t="shared" si="28"/>
        <v>20.650386079790927</v>
      </c>
    </row>
    <row r="551" spans="1:6" x14ac:dyDescent="0.25">
      <c r="A551">
        <v>295.29994074079008</v>
      </c>
      <c r="B551">
        <v>-11.723975130321726</v>
      </c>
      <c r="C551">
        <v>-51.233056000000019</v>
      </c>
      <c r="E551">
        <f t="shared" si="27"/>
        <v>-279.88774154935868</v>
      </c>
      <c r="F551">
        <f t="shared" si="28"/>
        <v>30.863587878817292</v>
      </c>
    </row>
    <row r="552" spans="1:6" x14ac:dyDescent="0.25">
      <c r="A552">
        <v>296.12895128521342</v>
      </c>
      <c r="B552">
        <v>1.2195203661733938E-14</v>
      </c>
      <c r="C552">
        <v>-51.233056000000019</v>
      </c>
      <c r="E552">
        <f t="shared" si="27"/>
        <v>-276.4601926390186</v>
      </c>
      <c r="F552">
        <f t="shared" si="28"/>
        <v>38.813140061374334</v>
      </c>
    </row>
    <row r="553" spans="1:6" x14ac:dyDescent="0.25">
      <c r="A553">
        <v>295.29994074079008</v>
      </c>
      <c r="B553">
        <v>11.72397513032173</v>
      </c>
      <c r="C553">
        <v>-51.233056000000019</v>
      </c>
      <c r="E553">
        <f t="shared" si="27"/>
        <v>-271.48474769341169</v>
      </c>
      <c r="F553">
        <f t="shared" si="28"/>
        <v>46.34254239264876</v>
      </c>
    </row>
    <row r="554" spans="1:6" x14ac:dyDescent="0.25">
      <c r="A554">
        <v>290.13882504010093</v>
      </c>
      <c r="B554">
        <v>25.214050212194746</v>
      </c>
      <c r="C554">
        <v>-51.233056000000019</v>
      </c>
      <c r="E554">
        <f t="shared" si="27"/>
        <v>-261.83202055005796</v>
      </c>
      <c r="F554">
        <f t="shared" si="28"/>
        <v>53.940045261566716</v>
      </c>
    </row>
    <row r="555" spans="1:6" x14ac:dyDescent="0.25">
      <c r="A555">
        <v>284.65857242646632</v>
      </c>
      <c r="B555">
        <v>38.851691112390213</v>
      </c>
      <c r="C555">
        <v>-51.233056000000019</v>
      </c>
      <c r="E555">
        <f t="shared" si="27"/>
        <v>-251.82847057167038</v>
      </c>
      <c r="F555">
        <f t="shared" si="28"/>
        <v>61.554091684521957</v>
      </c>
    </row>
    <row r="556" spans="1:6" x14ac:dyDescent="0.25">
      <c r="A556">
        <v>278.86658350581638</v>
      </c>
      <c r="B556">
        <v>51.968492149466712</v>
      </c>
      <c r="C556">
        <v>-51.233056000000019</v>
      </c>
      <c r="E556">
        <f t="shared" si="27"/>
        <v>-241.72054199261217</v>
      </c>
      <c r="F556">
        <f t="shared" si="28"/>
        <v>68.745314979060964</v>
      </c>
    </row>
    <row r="557" spans="1:6" x14ac:dyDescent="0.25">
      <c r="A557">
        <v>272.42225273992545</v>
      </c>
      <c r="B557">
        <v>64.976907802820094</v>
      </c>
      <c r="C557">
        <v>-51.233056000000019</v>
      </c>
      <c r="E557">
        <f t="shared" si="27"/>
        <v>-231.04244168317743</v>
      </c>
      <c r="F557">
        <f t="shared" si="28"/>
        <v>75.699682333905969</v>
      </c>
    </row>
    <row r="558" spans="1:6" x14ac:dyDescent="0.25">
      <c r="A558">
        <v>265.91706987080721</v>
      </c>
      <c r="B558">
        <v>76.55168249212872</v>
      </c>
      <c r="C558">
        <v>-51.233056000000019</v>
      </c>
      <c r="E558">
        <f t="shared" si="27"/>
        <v>-220.82130201392735</v>
      </c>
      <c r="F558">
        <f t="shared" si="28"/>
        <v>81.692224245758212</v>
      </c>
    </row>
    <row r="559" spans="1:6" x14ac:dyDescent="0.25">
      <c r="A559">
        <v>256.15374954464704</v>
      </c>
      <c r="B559">
        <v>87.501055336211294</v>
      </c>
      <c r="C559">
        <v>-51.233056000000019</v>
      </c>
      <c r="E559">
        <f t="shared" si="27"/>
        <v>-207.78255296486108</v>
      </c>
      <c r="F559">
        <f t="shared" si="28"/>
        <v>86.44628633545679</v>
      </c>
    </row>
    <row r="560" spans="1:6" x14ac:dyDescent="0.25">
      <c r="A560">
        <v>246.04976607338679</v>
      </c>
      <c r="B560">
        <v>97.192967591717988</v>
      </c>
      <c r="C560">
        <v>-51.233056000000019</v>
      </c>
      <c r="E560">
        <f t="shared" si="27"/>
        <v>-194.87640104426237</v>
      </c>
      <c r="F560">
        <f t="shared" si="28"/>
        <v>90.283921529060194</v>
      </c>
    </row>
    <row r="561" spans="1:6" x14ac:dyDescent="0.25">
      <c r="A561">
        <v>235.68033716060287</v>
      </c>
      <c r="B561">
        <v>106.41646654004468</v>
      </c>
      <c r="C561">
        <v>-51.233056000000019</v>
      </c>
      <c r="E561">
        <f t="shared" si="27"/>
        <v>-181.89029877158808</v>
      </c>
      <c r="F561">
        <f t="shared" si="28"/>
        <v>93.745072825284211</v>
      </c>
    </row>
    <row r="562" spans="1:6" x14ac:dyDescent="0.25">
      <c r="A562">
        <v>225.12329400276263</v>
      </c>
      <c r="B562">
        <v>115.29651004523214</v>
      </c>
      <c r="C562">
        <v>-51.233056000000019</v>
      </c>
      <c r="E562">
        <f t="shared" si="27"/>
        <v>-168.85212693491513</v>
      </c>
      <c r="F562">
        <f t="shared" si="28"/>
        <v>96.931952807956264</v>
      </c>
    </row>
    <row r="563" spans="1:6" x14ac:dyDescent="0.25">
      <c r="A563">
        <v>211.80562142600874</v>
      </c>
      <c r="B563">
        <v>123.08044650291995</v>
      </c>
      <c r="C563">
        <v>-51.233056000000019</v>
      </c>
      <c r="E563">
        <f t="shared" si="27"/>
        <v>-153.62949514302665</v>
      </c>
      <c r="F563">
        <f t="shared" si="28"/>
        <v>98.695691871356871</v>
      </c>
    </row>
    <row r="564" spans="1:6" x14ac:dyDescent="0.25">
      <c r="A564">
        <v>192.96979887234775</v>
      </c>
      <c r="B564">
        <v>133.54006798334771</v>
      </c>
      <c r="C564">
        <v>-51.233056000000019</v>
      </c>
      <c r="E564">
        <f t="shared" si="27"/>
        <v>-132.29634678699333</v>
      </c>
      <c r="F564">
        <f t="shared" si="28"/>
        <v>100.82743693190034</v>
      </c>
    </row>
    <row r="565" spans="1:6" x14ac:dyDescent="0.25">
      <c r="A565">
        <v>172.06407013404436</v>
      </c>
      <c r="B565">
        <v>145.78384806662891</v>
      </c>
      <c r="C565">
        <v>-51.233056000000019</v>
      </c>
      <c r="E565">
        <f t="shared" si="27"/>
        <v>-108.39138927212417</v>
      </c>
      <c r="F565">
        <f t="shared" si="28"/>
        <v>103.6124549766873</v>
      </c>
    </row>
    <row r="566" spans="1:6" x14ac:dyDescent="0.25">
      <c r="A566">
        <v>152.13547099696152</v>
      </c>
      <c r="B566">
        <v>154.42552060555434</v>
      </c>
      <c r="C566">
        <v>-51.233056000000019</v>
      </c>
      <c r="E566">
        <f t="shared" si="27"/>
        <v>-86.689540721817963</v>
      </c>
      <c r="F566">
        <f t="shared" si="28"/>
        <v>104.26718291107284</v>
      </c>
    </row>
    <row r="567" spans="1:6" x14ac:dyDescent="0.25">
      <c r="A567">
        <v>125.31869748221037</v>
      </c>
      <c r="B567">
        <v>162.53065837314227</v>
      </c>
      <c r="C567">
        <v>-51.233056000000019</v>
      </c>
      <c r="E567">
        <f t="shared" si="27"/>
        <v>-58.749304264085083</v>
      </c>
      <c r="F567">
        <f t="shared" si="28"/>
        <v>102.82222847251566</v>
      </c>
    </row>
    <row r="568" spans="1:6" x14ac:dyDescent="0.25">
      <c r="A568">
        <v>85.0587403788534</v>
      </c>
      <c r="B568">
        <v>173.46526199524706</v>
      </c>
      <c r="C568">
        <v>-51.233056000000019</v>
      </c>
      <c r="E568">
        <f t="shared" si="27"/>
        <v>-17.244784861629725</v>
      </c>
      <c r="F568">
        <f t="shared" si="28"/>
        <v>99.838558625842154</v>
      </c>
    </row>
    <row r="569" spans="1:6" x14ac:dyDescent="0.25">
      <c r="A569">
        <v>41.961952427340528</v>
      </c>
      <c r="B569">
        <v>180.61115303963871</v>
      </c>
      <c r="C569">
        <v>-51.233056000000019</v>
      </c>
      <c r="E569">
        <f t="shared" si="27"/>
        <v>25.550391136055879</v>
      </c>
      <c r="F569">
        <f t="shared" si="28"/>
        <v>93.634938638967725</v>
      </c>
    </row>
    <row r="570" spans="1:6" x14ac:dyDescent="0.25">
      <c r="A570">
        <v>5.9012124375360733E-14</v>
      </c>
      <c r="B570">
        <v>181.86098882918</v>
      </c>
      <c r="C570">
        <v>-51.233056000000019</v>
      </c>
      <c r="E570">
        <f t="shared" si="27"/>
        <v>65.173149668993943</v>
      </c>
      <c r="F570">
        <f t="shared" si="28"/>
        <v>83.826662866547593</v>
      </c>
    </row>
    <row r="571" spans="1:6" x14ac:dyDescent="0.25">
      <c r="A571">
        <v>-41.961952427340513</v>
      </c>
      <c r="B571">
        <v>180.61115303963876</v>
      </c>
      <c r="C571">
        <v>-51.233056000000019</v>
      </c>
      <c r="E571">
        <f t="shared" si="27"/>
        <v>103.90010602359962</v>
      </c>
      <c r="F571">
        <f t="shared" si="28"/>
        <v>72.368251272358833</v>
      </c>
    </row>
    <row r="572" spans="1:6" x14ac:dyDescent="0.25">
      <c r="A572">
        <v>-85.058740378853386</v>
      </c>
      <c r="B572">
        <v>173.46526199524706</v>
      </c>
      <c r="C572">
        <v>-51.233056000000019</v>
      </c>
      <c r="E572">
        <f t="shared" si="27"/>
        <v>141.57356537877968</v>
      </c>
      <c r="F572">
        <f t="shared" si="28"/>
        <v>56.73003924589019</v>
      </c>
    </row>
    <row r="573" spans="1:6" x14ac:dyDescent="0.25">
      <c r="A573">
        <v>-125.31869748221037</v>
      </c>
      <c r="B573">
        <v>162.53065837314227</v>
      </c>
      <c r="C573">
        <v>-51.233056000000019</v>
      </c>
      <c r="E573">
        <f t="shared" si="27"/>
        <v>175.24086182294644</v>
      </c>
      <c r="F573">
        <f t="shared" si="28"/>
        <v>39.309607958501111</v>
      </c>
    </row>
    <row r="574" spans="1:6" x14ac:dyDescent="0.25">
      <c r="A574">
        <v>-152.13547099696123</v>
      </c>
      <c r="B574">
        <v>154.42552060555442</v>
      </c>
      <c r="C574">
        <v>-51.233056000000019</v>
      </c>
      <c r="E574">
        <f t="shared" si="27"/>
        <v>197.37185507557379</v>
      </c>
      <c r="F574">
        <f t="shared" si="28"/>
        <v>27.163585201541011</v>
      </c>
    </row>
    <row r="575" spans="1:6" x14ac:dyDescent="0.25">
      <c r="A575">
        <v>-172.06407013404416</v>
      </c>
      <c r="B575">
        <v>145.78384806662899</v>
      </c>
      <c r="C575">
        <v>-51.233056000000019</v>
      </c>
      <c r="E575">
        <f t="shared" si="27"/>
        <v>212.87990668904681</v>
      </c>
      <c r="F575">
        <f t="shared" si="28"/>
        <v>16.408867562513528</v>
      </c>
    </row>
    <row r="576" spans="1:6" x14ac:dyDescent="0.25">
      <c r="A576">
        <v>-192.96979887234781</v>
      </c>
      <c r="B576">
        <v>133.54006798334774</v>
      </c>
      <c r="C576">
        <v>-51.233056000000019</v>
      </c>
      <c r="E576">
        <f t="shared" si="27"/>
        <v>228.00930747765804</v>
      </c>
      <c r="F576">
        <f t="shared" si="28"/>
        <v>3.0286419182117896</v>
      </c>
    </row>
    <row r="577" spans="1:6" x14ac:dyDescent="0.25">
      <c r="A577">
        <v>-211.80562142600874</v>
      </c>
      <c r="B577">
        <v>123.08044650291993</v>
      </c>
      <c r="C577">
        <v>-51.233056000000019</v>
      </c>
      <c r="E577">
        <f t="shared" si="27"/>
        <v>241.84566962776955</v>
      </c>
      <c r="F577">
        <f t="shared" si="28"/>
        <v>-8.649264042143237</v>
      </c>
    </row>
    <row r="578" spans="1:6" x14ac:dyDescent="0.25">
      <c r="A578">
        <v>-225.12329400276266</v>
      </c>
      <c r="B578">
        <v>115.29651004523215</v>
      </c>
      <c r="C578">
        <v>-51.233056000000019</v>
      </c>
      <c r="E578">
        <f t="shared" si="27"/>
        <v>251.48927472419308</v>
      </c>
      <c r="F578">
        <f t="shared" si="28"/>
        <v>-17.162516956957241</v>
      </c>
    </row>
    <row r="579" spans="1:6" x14ac:dyDescent="0.25">
      <c r="A579">
        <v>-235.68033716060293</v>
      </c>
      <c r="B579">
        <v>106.41646654004468</v>
      </c>
      <c r="C579">
        <v>-51.233056000000019</v>
      </c>
      <c r="E579">
        <f t="shared" si="27"/>
        <v>258.16280059521188</v>
      </c>
      <c r="F579">
        <f t="shared" si="28"/>
        <v>-25.699799467784885</v>
      </c>
    </row>
    <row r="580" spans="1:6" x14ac:dyDescent="0.25">
      <c r="A580">
        <v>-246.04976607338682</v>
      </c>
      <c r="B580">
        <v>97.192967591717988</v>
      </c>
      <c r="C580">
        <v>-51.233056000000019</v>
      </c>
      <c r="E580">
        <f t="shared" si="27"/>
        <v>264.53809005639596</v>
      </c>
      <c r="F580">
        <f t="shared" si="28"/>
        <v>-34.416268739031608</v>
      </c>
    </row>
    <row r="581" spans="1:6" x14ac:dyDescent="0.25">
      <c r="A581">
        <v>-256.15374954464693</v>
      </c>
      <c r="B581">
        <v>87.501055336211337</v>
      </c>
      <c r="C581">
        <v>-51.233056000000019</v>
      </c>
      <c r="E581">
        <f t="shared" si="27"/>
        <v>270.49770053263677</v>
      </c>
      <c r="F581">
        <f t="shared" si="28"/>
        <v>-43.374691818106918</v>
      </c>
    </row>
    <row r="582" spans="1:6" x14ac:dyDescent="0.25">
      <c r="A582">
        <v>-265.91706987080715</v>
      </c>
      <c r="B582">
        <v>76.551682492128776</v>
      </c>
      <c r="C582">
        <v>-51.233056000000019</v>
      </c>
      <c r="E582">
        <f t="shared" si="27"/>
        <v>275.68864099182139</v>
      </c>
      <c r="F582">
        <f t="shared" si="28"/>
        <v>-53.076890708542699</v>
      </c>
    </row>
    <row r="583" spans="1:6" x14ac:dyDescent="0.25">
      <c r="A583">
        <v>-272.42225273992557</v>
      </c>
      <c r="B583">
        <v>64.976907802820165</v>
      </c>
      <c r="C583">
        <v>-51.233056000000019</v>
      </c>
      <c r="E583">
        <f t="shared" si="27"/>
        <v>277.61372411735886</v>
      </c>
      <c r="F583">
        <f t="shared" si="28"/>
        <v>-62.366316638833055</v>
      </c>
    </row>
    <row r="584" spans="1:6" x14ac:dyDescent="0.25">
      <c r="A584">
        <v>-278.86658350581644</v>
      </c>
      <c r="B584">
        <v>51.96849214946684</v>
      </c>
      <c r="C584">
        <v>-51.233056000000019</v>
      </c>
      <c r="E584">
        <f t="shared" si="27"/>
        <v>278.96822593774311</v>
      </c>
      <c r="F584">
        <f t="shared" si="28"/>
        <v>-72.586727629815542</v>
      </c>
    </row>
    <row r="585" spans="1:6" x14ac:dyDescent="0.25">
      <c r="A585">
        <v>-284.65857242646649</v>
      </c>
      <c r="B585">
        <v>38.851691112390178</v>
      </c>
      <c r="C585">
        <v>-51.233056000000019</v>
      </c>
      <c r="E585">
        <f t="shared" si="27"/>
        <v>279.67487233229986</v>
      </c>
      <c r="F585">
        <f t="shared" si="28"/>
        <v>-82.713381963213322</v>
      </c>
    </row>
    <row r="586" spans="1:6" x14ac:dyDescent="0.25">
      <c r="A586">
        <v>-290.13882504010087</v>
      </c>
      <c r="B586">
        <v>25.214050212194774</v>
      </c>
      <c r="C586">
        <v>-51.233056000000019</v>
      </c>
      <c r="E586">
        <f t="shared" si="27"/>
        <v>279.90383549861087</v>
      </c>
      <c r="F586">
        <f t="shared" si="28"/>
        <v>-93.104868716811239</v>
      </c>
    </row>
    <row r="587" spans="1:6" x14ac:dyDescent="0.25">
      <c r="A587">
        <v>-330.98149132585161</v>
      </c>
      <c r="B587">
        <v>-8.4093424752945684E-15</v>
      </c>
      <c r="C587">
        <v>2.2479359999999815</v>
      </c>
      <c r="E587">
        <f t="shared" si="27"/>
        <v>308.99784183466841</v>
      </c>
      <c r="F587">
        <f t="shared" si="28"/>
        <v>-82.282637841930011</v>
      </c>
    </row>
    <row r="588" spans="1:6" x14ac:dyDescent="0.25">
      <c r="A588">
        <v>-325.58019223223641</v>
      </c>
      <c r="B588">
        <v>-14.546521027121869</v>
      </c>
      <c r="C588">
        <v>2.2479359999999815</v>
      </c>
      <c r="E588">
        <f t="shared" si="27"/>
        <v>298.74228780970492</v>
      </c>
      <c r="F588">
        <f t="shared" si="28"/>
        <v>-90.516680516468512</v>
      </c>
    </row>
    <row r="589" spans="1:6" x14ac:dyDescent="0.25">
      <c r="A589">
        <v>-320.46245790158372</v>
      </c>
      <c r="B589">
        <v>-27.769170946626666</v>
      </c>
      <c r="C589">
        <v>2.2479359999999815</v>
      </c>
      <c r="E589">
        <f t="shared" si="27"/>
        <v>289.22589727138654</v>
      </c>
      <c r="F589">
        <f t="shared" si="28"/>
        <v>-97.948638088169446</v>
      </c>
    </row>
    <row r="590" spans="1:6" x14ac:dyDescent="0.25">
      <c r="A590">
        <v>-315.26030369199543</v>
      </c>
      <c r="B590">
        <v>-40.246931755564646</v>
      </c>
      <c r="C590">
        <v>2.2479359999999815</v>
      </c>
      <c r="E590">
        <f t="shared" si="27"/>
        <v>279.8976383696791</v>
      </c>
      <c r="F590">
        <f t="shared" si="28"/>
        <v>-104.86747141063506</v>
      </c>
    </row>
    <row r="591" spans="1:6" x14ac:dyDescent="0.25">
      <c r="A591">
        <v>-310.11158679452774</v>
      </c>
      <c r="B591">
        <v>-51.500436364698075</v>
      </c>
      <c r="C591">
        <v>2.2479359999999815</v>
      </c>
      <c r="E591">
        <f t="shared" si="27"/>
        <v>271.05800168065412</v>
      </c>
      <c r="F591">
        <f t="shared" si="28"/>
        <v>-110.99166420985769</v>
      </c>
    </row>
    <row r="592" spans="1:6" x14ac:dyDescent="0.25">
      <c r="A592">
        <v>-303.77644834967072</v>
      </c>
      <c r="B592">
        <v>-63.705666058663816</v>
      </c>
      <c r="C592">
        <v>2.2479359999999815</v>
      </c>
      <c r="E592">
        <f t="shared" si="27"/>
        <v>260.76967729022977</v>
      </c>
      <c r="F592">
        <f t="shared" si="28"/>
        <v>-117.44348535723024</v>
      </c>
    </row>
    <row r="593" spans="1:6" x14ac:dyDescent="0.25">
      <c r="A593">
        <v>-292.58862491367495</v>
      </c>
      <c r="B593">
        <v>-78.15533176921889</v>
      </c>
      <c r="C593">
        <v>2.2479359999999815</v>
      </c>
      <c r="E593">
        <f t="shared" si="27"/>
        <v>245.1466472429708</v>
      </c>
      <c r="F593">
        <f t="shared" si="28"/>
        <v>-124.14725909014557</v>
      </c>
    </row>
    <row r="594" spans="1:6" x14ac:dyDescent="0.25">
      <c r="A594">
        <v>-278.33325526110974</v>
      </c>
      <c r="B594">
        <v>-90.677166045552127</v>
      </c>
      <c r="C594">
        <v>2.2479359999999815</v>
      </c>
      <c r="E594">
        <f t="shared" si="27"/>
        <v>227.35068908869812</v>
      </c>
      <c r="F594">
        <f t="shared" si="28"/>
        <v>-128.80106242433396</v>
      </c>
    </row>
    <row r="595" spans="1:6" x14ac:dyDescent="0.25">
      <c r="A595">
        <v>-262.17277565670162</v>
      </c>
      <c r="B595">
        <v>-100.22764601886233</v>
      </c>
      <c r="C595">
        <v>2.2479359999999815</v>
      </c>
      <c r="E595">
        <f t="shared" si="27"/>
        <v>208.84099572200682</v>
      </c>
      <c r="F595">
        <f t="shared" si="28"/>
        <v>-131.01058954977896</v>
      </c>
    </row>
    <row r="596" spans="1:6" x14ac:dyDescent="0.25">
      <c r="A596">
        <v>-247.59912644214756</v>
      </c>
      <c r="B596">
        <v>-108.9532051508934</v>
      </c>
      <c r="C596">
        <v>2.2479359999999815</v>
      </c>
      <c r="E596">
        <f t="shared" ref="E596:E659" si="29">($I$2*A596)+($K$2*B596)+($M$2*C596)</f>
        <v>192.10836133788061</v>
      </c>
      <c r="F596">
        <f t="shared" ref="F596:F659" si="30">($J$2*A596)+($L$2*B596)+($N$2*C596)</f>
        <v>-133.07766237899901</v>
      </c>
    </row>
    <row r="597" spans="1:6" x14ac:dyDescent="0.25">
      <c r="A597">
        <v>-234.46183039064144</v>
      </c>
      <c r="B597">
        <v>-117.79744823082382</v>
      </c>
      <c r="C597">
        <v>2.2479359999999815</v>
      </c>
      <c r="E597">
        <f t="shared" si="29"/>
        <v>176.67414562926061</v>
      </c>
      <c r="F597">
        <f t="shared" si="30"/>
        <v>-135.58706157617789</v>
      </c>
    </row>
    <row r="598" spans="1:6" x14ac:dyDescent="0.25">
      <c r="A598">
        <v>-215.42646398709269</v>
      </c>
      <c r="B598">
        <v>-127.69640409660941</v>
      </c>
      <c r="C598">
        <v>2.2479359999999815</v>
      </c>
      <c r="E598">
        <f t="shared" si="29"/>
        <v>155.35563162744407</v>
      </c>
      <c r="F598">
        <f t="shared" si="30"/>
        <v>-137.29812295796336</v>
      </c>
    </row>
    <row r="599" spans="1:6" x14ac:dyDescent="0.25">
      <c r="A599">
        <v>-196.59949547253365</v>
      </c>
      <c r="B599">
        <v>-138.20464626913795</v>
      </c>
      <c r="C599">
        <v>2.2479359999999815</v>
      </c>
      <c r="E599">
        <f t="shared" si="29"/>
        <v>134.01332513127815</v>
      </c>
      <c r="F599">
        <f t="shared" si="30"/>
        <v>-139.46420818579011</v>
      </c>
    </row>
    <row r="600" spans="1:6" x14ac:dyDescent="0.25">
      <c r="A600">
        <v>-176.01235865756232</v>
      </c>
      <c r="B600">
        <v>-150.24972314350723</v>
      </c>
      <c r="C600">
        <v>2.2479359999999815</v>
      </c>
      <c r="E600">
        <f t="shared" si="29"/>
        <v>110.47700766161775</v>
      </c>
      <c r="F600">
        <f t="shared" si="30"/>
        <v>-142.19878668303349</v>
      </c>
    </row>
    <row r="601" spans="1:6" x14ac:dyDescent="0.25">
      <c r="A601">
        <v>-151.97386288672016</v>
      </c>
      <c r="B601">
        <v>-164.80958284500772</v>
      </c>
      <c r="C601">
        <v>2.2479359999999815</v>
      </c>
      <c r="E601">
        <f t="shared" si="29"/>
        <v>82.817351460629737</v>
      </c>
      <c r="F601">
        <f t="shared" si="30"/>
        <v>-145.71888698666982</v>
      </c>
    </row>
    <row r="602" spans="1:6" x14ac:dyDescent="0.25">
      <c r="A602">
        <v>-127.44256568822489</v>
      </c>
      <c r="B602">
        <v>-178.78395114054871</v>
      </c>
      <c r="C602">
        <v>2.2479359999999815</v>
      </c>
      <c r="E602">
        <f t="shared" si="29"/>
        <v>54.907446847265049</v>
      </c>
      <c r="F602">
        <f t="shared" si="30"/>
        <v>-148.72760232491692</v>
      </c>
    </row>
    <row r="603" spans="1:6" x14ac:dyDescent="0.25">
      <c r="A603">
        <v>-87.813674816892231</v>
      </c>
      <c r="B603">
        <v>-193.00122978156639</v>
      </c>
      <c r="C603">
        <v>2.2479359999999815</v>
      </c>
      <c r="E603">
        <f t="shared" si="29"/>
        <v>12.815673011299552</v>
      </c>
      <c r="F603">
        <f t="shared" si="30"/>
        <v>-148.07087597769916</v>
      </c>
    </row>
    <row r="604" spans="1:6" x14ac:dyDescent="0.25">
      <c r="A604">
        <v>-39.49998230393939</v>
      </c>
      <c r="B604">
        <v>-202.97549618206048</v>
      </c>
      <c r="C604">
        <v>2.2479359999999815</v>
      </c>
      <c r="E604">
        <f t="shared" si="29"/>
        <v>-35.863502048761283</v>
      </c>
      <c r="F604">
        <f t="shared" si="30"/>
        <v>-142.41239606096653</v>
      </c>
    </row>
    <row r="605" spans="1:6" x14ac:dyDescent="0.25">
      <c r="A605">
        <v>4.8407041648140667E-14</v>
      </c>
      <c r="B605">
        <v>-204.09156862356571</v>
      </c>
      <c r="C605">
        <v>2.2479359999999815</v>
      </c>
      <c r="E605">
        <f t="shared" si="29"/>
        <v>-73.139876967111221</v>
      </c>
      <c r="F605">
        <f t="shared" si="30"/>
        <v>-133.13969169134418</v>
      </c>
    </row>
    <row r="606" spans="1:6" x14ac:dyDescent="0.25">
      <c r="A606">
        <v>39.499982303939269</v>
      </c>
      <c r="B606">
        <v>-202.97549618206057</v>
      </c>
      <c r="C606">
        <v>2.2479359999999815</v>
      </c>
      <c r="E606">
        <f t="shared" si="29"/>
        <v>-109.61632270064851</v>
      </c>
      <c r="F606">
        <f t="shared" si="30"/>
        <v>-122.39345685409748</v>
      </c>
    </row>
    <row r="607" spans="1:6" x14ac:dyDescent="0.25">
      <c r="A607">
        <v>87.813674816892245</v>
      </c>
      <c r="B607">
        <v>-193.00122978156634</v>
      </c>
      <c r="C607">
        <v>2.2479359999999815</v>
      </c>
      <c r="E607">
        <f t="shared" si="29"/>
        <v>-151.14658296438211</v>
      </c>
      <c r="F607">
        <f t="shared" si="30"/>
        <v>-103.56613154099541</v>
      </c>
    </row>
    <row r="608" spans="1:6" x14ac:dyDescent="0.25">
      <c r="A608">
        <v>127.4425656882249</v>
      </c>
      <c r="B608">
        <v>-178.78395114054871</v>
      </c>
      <c r="C608">
        <v>2.2479359999999815</v>
      </c>
      <c r="E608">
        <f t="shared" si="29"/>
        <v>-183.04832281095622</v>
      </c>
      <c r="F608">
        <f t="shared" si="30"/>
        <v>-84.138586683116003</v>
      </c>
    </row>
    <row r="609" spans="1:6" x14ac:dyDescent="0.25">
      <c r="A609">
        <v>151.97386288672013</v>
      </c>
      <c r="B609">
        <v>-164.80958284500767</v>
      </c>
      <c r="C609">
        <v>2.2479359999999815</v>
      </c>
      <c r="E609">
        <f t="shared" si="29"/>
        <v>-200.94229599979312</v>
      </c>
      <c r="F609">
        <f t="shared" si="30"/>
        <v>-68.697193691913597</v>
      </c>
    </row>
    <row r="610" spans="1:6" x14ac:dyDescent="0.25">
      <c r="A610">
        <v>176.01235865756229</v>
      </c>
      <c r="B610">
        <v>-150.24972314350723</v>
      </c>
      <c r="C610">
        <v>2.2479359999999815</v>
      </c>
      <c r="E610">
        <f t="shared" si="29"/>
        <v>-218.16637806699316</v>
      </c>
      <c r="F610">
        <f t="shared" si="30"/>
        <v>-52.994171842687742</v>
      </c>
    </row>
    <row r="611" spans="1:6" x14ac:dyDescent="0.25">
      <c r="A611">
        <v>196.59949547253362</v>
      </c>
      <c r="B611">
        <v>-138.20464626913807</v>
      </c>
      <c r="C611">
        <v>2.2479359999999815</v>
      </c>
      <c r="E611">
        <f t="shared" si="29"/>
        <v>-233.06955653348717</v>
      </c>
      <c r="F611">
        <f t="shared" si="30"/>
        <v>-39.825850940924276</v>
      </c>
    </row>
    <row r="612" spans="1:6" x14ac:dyDescent="0.25">
      <c r="A612">
        <v>215.42646398709269</v>
      </c>
      <c r="B612">
        <v>-127.69640409660948</v>
      </c>
      <c r="C612">
        <v>2.2479359999999815</v>
      </c>
      <c r="E612">
        <f t="shared" si="29"/>
        <v>-246.88022862826409</v>
      </c>
      <c r="F612">
        <f t="shared" si="30"/>
        <v>-28.118092118347324</v>
      </c>
    </row>
    <row r="613" spans="1:6" x14ac:dyDescent="0.25">
      <c r="A613">
        <v>234.46183039064147</v>
      </c>
      <c r="B613">
        <v>-117.79744823082375</v>
      </c>
      <c r="C613">
        <v>2.2479359999999815</v>
      </c>
      <c r="E613">
        <f t="shared" si="29"/>
        <v>-261.10380559755856</v>
      </c>
      <c r="F613">
        <f t="shared" si="30"/>
        <v>-16.75973925473453</v>
      </c>
    </row>
    <row r="614" spans="1:6" x14ac:dyDescent="0.25">
      <c r="A614">
        <v>247.59912644214756</v>
      </c>
      <c r="B614">
        <v>-108.95320515089341</v>
      </c>
      <c r="C614">
        <v>2.2479359999999815</v>
      </c>
      <c r="E614">
        <f t="shared" si="29"/>
        <v>-270.19903479050885</v>
      </c>
      <c r="F614">
        <f t="shared" si="30"/>
        <v>-7.5922426190787649</v>
      </c>
    </row>
    <row r="615" spans="1:6" x14ac:dyDescent="0.25">
      <c r="A615">
        <v>262.17277565670162</v>
      </c>
      <c r="B615">
        <v>-100.22764601886234</v>
      </c>
      <c r="C615">
        <v>2.2479359999999815</v>
      </c>
      <c r="E615">
        <f t="shared" si="29"/>
        <v>-280.67774770507054</v>
      </c>
      <c r="F615">
        <f t="shared" si="30"/>
        <v>1.8608840924817924</v>
      </c>
    </row>
    <row r="616" spans="1:6" x14ac:dyDescent="0.25">
      <c r="A616">
        <v>278.3332552611098</v>
      </c>
      <c r="B616">
        <v>-90.67716604555217</v>
      </c>
      <c r="C616">
        <v>2.2479359999999815</v>
      </c>
      <c r="E616">
        <f t="shared" si="29"/>
        <v>-292.34226922134468</v>
      </c>
      <c r="F616">
        <f t="shared" si="30"/>
        <v>12.260684729067815</v>
      </c>
    </row>
    <row r="617" spans="1:6" x14ac:dyDescent="0.25">
      <c r="A617">
        <v>292.58862491367483</v>
      </c>
      <c r="B617">
        <v>-78.155331769218861</v>
      </c>
      <c r="C617">
        <v>2.2479359999999815</v>
      </c>
      <c r="E617">
        <f t="shared" si="29"/>
        <v>-301.16337922730594</v>
      </c>
      <c r="F617">
        <f t="shared" si="30"/>
        <v>24.139235058084356</v>
      </c>
    </row>
    <row r="618" spans="1:6" x14ac:dyDescent="0.25">
      <c r="A618">
        <v>303.77644834967055</v>
      </c>
      <c r="B618">
        <v>-63.705666058663802</v>
      </c>
      <c r="C618">
        <v>2.2479359999999815</v>
      </c>
      <c r="E618">
        <f t="shared" si="29"/>
        <v>-306.42981512995158</v>
      </c>
      <c r="F618">
        <f t="shared" si="30"/>
        <v>36.513096324179308</v>
      </c>
    </row>
    <row r="619" spans="1:6" x14ac:dyDescent="0.25">
      <c r="A619">
        <v>310.11158679452774</v>
      </c>
      <c r="B619">
        <v>-51.500436364698039</v>
      </c>
      <c r="C619">
        <v>2.2479359999999815</v>
      </c>
      <c r="E619">
        <f t="shared" si="29"/>
        <v>-307.97021324206423</v>
      </c>
      <c r="F619">
        <f t="shared" si="30"/>
        <v>46.175621476906493</v>
      </c>
    </row>
    <row r="620" spans="1:6" x14ac:dyDescent="0.25">
      <c r="A620">
        <v>315.26030369199538</v>
      </c>
      <c r="B620">
        <v>-40.246931755564596</v>
      </c>
      <c r="C620">
        <v>2.2479359999999815</v>
      </c>
      <c r="E620">
        <f t="shared" si="29"/>
        <v>-308.74405918714172</v>
      </c>
      <c r="F620">
        <f t="shared" si="30"/>
        <v>54.909229383474759</v>
      </c>
    </row>
    <row r="621" spans="1:6" x14ac:dyDescent="0.25">
      <c r="A621">
        <v>320.4624579015836</v>
      </c>
      <c r="B621">
        <v>-27.769170946626694</v>
      </c>
      <c r="C621">
        <v>2.2479359999999815</v>
      </c>
      <c r="E621">
        <f t="shared" si="29"/>
        <v>-309.12905897681753</v>
      </c>
      <c r="F621">
        <f t="shared" si="30"/>
        <v>64.464560314095465</v>
      </c>
    </row>
    <row r="622" spans="1:6" x14ac:dyDescent="0.25">
      <c r="A622">
        <v>325.58019223223636</v>
      </c>
      <c r="B622">
        <v>-14.546521027121852</v>
      </c>
      <c r="C622">
        <v>2.2479359999999815</v>
      </c>
      <c r="E622">
        <f t="shared" si="29"/>
        <v>-309.16830163671938</v>
      </c>
      <c r="F622">
        <f t="shared" si="30"/>
        <v>74.490230755182353</v>
      </c>
    </row>
    <row r="623" spans="1:6" x14ac:dyDescent="0.25">
      <c r="A623">
        <v>330.98149132585161</v>
      </c>
      <c r="B623">
        <v>1.5087778136584817E-14</v>
      </c>
      <c r="C623">
        <v>2.2479359999999815</v>
      </c>
      <c r="E623">
        <f t="shared" si="29"/>
        <v>-308.99784183466841</v>
      </c>
      <c r="F623">
        <f t="shared" si="30"/>
        <v>85.461699420476734</v>
      </c>
    </row>
    <row r="624" spans="1:6" x14ac:dyDescent="0.25">
      <c r="A624">
        <v>325.58019223223636</v>
      </c>
      <c r="B624">
        <v>14.546521027121852</v>
      </c>
      <c r="C624">
        <v>2.2479359999999815</v>
      </c>
      <c r="E624">
        <f t="shared" si="29"/>
        <v>-298.74228780970492</v>
      </c>
      <c r="F624">
        <f t="shared" si="30"/>
        <v>93.695742095015191</v>
      </c>
    </row>
    <row r="625" spans="1:6" x14ac:dyDescent="0.25">
      <c r="A625">
        <v>320.46245790158372</v>
      </c>
      <c r="B625">
        <v>27.769170946626645</v>
      </c>
      <c r="C625">
        <v>2.2479359999999815</v>
      </c>
      <c r="E625">
        <f t="shared" si="29"/>
        <v>-289.2258972713866</v>
      </c>
      <c r="F625">
        <f t="shared" si="30"/>
        <v>101.12769966671614</v>
      </c>
    </row>
    <row r="626" spans="1:6" x14ac:dyDescent="0.25">
      <c r="A626">
        <v>315.26030369199538</v>
      </c>
      <c r="B626">
        <v>40.24693175556461</v>
      </c>
      <c r="C626">
        <v>2.2479359999999815</v>
      </c>
      <c r="E626">
        <f t="shared" si="29"/>
        <v>-279.89763836967904</v>
      </c>
      <c r="F626">
        <f t="shared" si="30"/>
        <v>108.04653298918173</v>
      </c>
    </row>
    <row r="627" spans="1:6" x14ac:dyDescent="0.25">
      <c r="A627">
        <v>310.11158679452774</v>
      </c>
      <c r="B627">
        <v>51.500436364698039</v>
      </c>
      <c r="C627">
        <v>2.2479359999999815</v>
      </c>
      <c r="E627">
        <f t="shared" si="29"/>
        <v>-271.05800168065412</v>
      </c>
      <c r="F627">
        <f t="shared" si="30"/>
        <v>114.17072578840437</v>
      </c>
    </row>
    <row r="628" spans="1:6" x14ac:dyDescent="0.25">
      <c r="A628">
        <v>303.7764483496706</v>
      </c>
      <c r="B628">
        <v>63.705666058663823</v>
      </c>
      <c r="C628">
        <v>2.2479359999999815</v>
      </c>
      <c r="E628">
        <f t="shared" si="29"/>
        <v>-260.76967729022965</v>
      </c>
      <c r="F628">
        <f t="shared" si="30"/>
        <v>120.62254693577694</v>
      </c>
    </row>
    <row r="629" spans="1:6" x14ac:dyDescent="0.25">
      <c r="A629">
        <v>292.58862491367495</v>
      </c>
      <c r="B629">
        <v>78.155331769218876</v>
      </c>
      <c r="C629">
        <v>2.2479359999999815</v>
      </c>
      <c r="E629">
        <f t="shared" si="29"/>
        <v>-245.1466472429708</v>
      </c>
      <c r="F629">
        <f t="shared" si="30"/>
        <v>127.32632066869228</v>
      </c>
    </row>
    <row r="630" spans="1:6" x14ac:dyDescent="0.25">
      <c r="A630">
        <v>278.33325526110991</v>
      </c>
      <c r="B630">
        <v>90.677166045552084</v>
      </c>
      <c r="C630">
        <v>2.2479359999999815</v>
      </c>
      <c r="E630">
        <f t="shared" si="29"/>
        <v>-227.35068908869826</v>
      </c>
      <c r="F630">
        <f t="shared" si="30"/>
        <v>131.98012400288067</v>
      </c>
    </row>
    <row r="631" spans="1:6" x14ac:dyDescent="0.25">
      <c r="A631">
        <v>262.17277565670162</v>
      </c>
      <c r="B631">
        <v>100.22764601886237</v>
      </c>
      <c r="C631">
        <v>2.2479359999999815</v>
      </c>
      <c r="E631">
        <f t="shared" si="29"/>
        <v>-208.8409957220068</v>
      </c>
      <c r="F631">
        <f t="shared" si="30"/>
        <v>134.18965112832566</v>
      </c>
    </row>
    <row r="632" spans="1:6" x14ac:dyDescent="0.25">
      <c r="A632">
        <v>247.59912644214756</v>
      </c>
      <c r="B632">
        <v>108.95320515089341</v>
      </c>
      <c r="C632">
        <v>2.2479359999999815</v>
      </c>
      <c r="E632">
        <f t="shared" si="29"/>
        <v>-192.10836133788058</v>
      </c>
      <c r="F632">
        <f t="shared" si="30"/>
        <v>136.25672395754569</v>
      </c>
    </row>
    <row r="633" spans="1:6" x14ac:dyDescent="0.25">
      <c r="A633">
        <v>234.46183039064138</v>
      </c>
      <c r="B633">
        <v>117.7974482308237</v>
      </c>
      <c r="C633">
        <v>2.2479359999999815</v>
      </c>
      <c r="E633">
        <f t="shared" si="29"/>
        <v>-176.67414562926064</v>
      </c>
      <c r="F633">
        <f t="shared" si="30"/>
        <v>138.76612315472448</v>
      </c>
    </row>
    <row r="634" spans="1:6" x14ac:dyDescent="0.25">
      <c r="A634">
        <v>215.4264639870928</v>
      </c>
      <c r="B634">
        <v>127.69640409660948</v>
      </c>
      <c r="C634">
        <v>2.2479359999999815</v>
      </c>
      <c r="E634">
        <f t="shared" si="29"/>
        <v>-155.35563162744415</v>
      </c>
      <c r="F634">
        <f t="shared" si="30"/>
        <v>140.47718453651009</v>
      </c>
    </row>
    <row r="635" spans="1:6" x14ac:dyDescent="0.25">
      <c r="A635">
        <v>196.59949547253379</v>
      </c>
      <c r="B635">
        <v>138.20464626913807</v>
      </c>
      <c r="C635">
        <v>2.2479359999999815</v>
      </c>
      <c r="E635">
        <f t="shared" si="29"/>
        <v>-134.01332513127824</v>
      </c>
      <c r="F635">
        <f t="shared" si="30"/>
        <v>142.64326976433688</v>
      </c>
    </row>
    <row r="636" spans="1:6" x14ac:dyDescent="0.25">
      <c r="A636">
        <v>176.01235865756246</v>
      </c>
      <c r="B636">
        <v>150.24972314350711</v>
      </c>
      <c r="C636">
        <v>2.2479359999999815</v>
      </c>
      <c r="E636">
        <f t="shared" si="29"/>
        <v>-110.4770076616179</v>
      </c>
      <c r="F636">
        <f t="shared" si="30"/>
        <v>145.37784826158011</v>
      </c>
    </row>
    <row r="637" spans="1:6" x14ac:dyDescent="0.25">
      <c r="A637">
        <v>151.9738628867203</v>
      </c>
      <c r="B637">
        <v>164.8095828450077</v>
      </c>
      <c r="C637">
        <v>2.2479359999999815</v>
      </c>
      <c r="E637">
        <f t="shared" si="29"/>
        <v>-82.817351460629894</v>
      </c>
      <c r="F637">
        <f t="shared" si="30"/>
        <v>148.89794856521652</v>
      </c>
    </row>
    <row r="638" spans="1:6" x14ac:dyDescent="0.25">
      <c r="A638">
        <v>127.44256568822483</v>
      </c>
      <c r="B638">
        <v>178.78395114054871</v>
      </c>
      <c r="C638">
        <v>2.2479359999999815</v>
      </c>
      <c r="E638">
        <f t="shared" si="29"/>
        <v>-54.907446847265007</v>
      </c>
      <c r="F638">
        <f t="shared" si="30"/>
        <v>151.9066639034636</v>
      </c>
    </row>
    <row r="639" spans="1:6" x14ac:dyDescent="0.25">
      <c r="A639">
        <v>87.813674816892174</v>
      </c>
      <c r="B639">
        <v>193.00122978156645</v>
      </c>
      <c r="C639">
        <v>2.2479359999999815</v>
      </c>
      <c r="E639">
        <f t="shared" si="29"/>
        <v>-12.815673011299467</v>
      </c>
      <c r="F639">
        <f t="shared" si="30"/>
        <v>151.24993755624587</v>
      </c>
    </row>
    <row r="640" spans="1:6" x14ac:dyDescent="0.25">
      <c r="A640">
        <v>39.499982303939269</v>
      </c>
      <c r="B640">
        <v>202.97549618206051</v>
      </c>
      <c r="C640">
        <v>2.2479359999999815</v>
      </c>
      <c r="E640">
        <f t="shared" si="29"/>
        <v>35.863502048761397</v>
      </c>
      <c r="F640">
        <f t="shared" si="30"/>
        <v>145.59145763951318</v>
      </c>
    </row>
    <row r="641" spans="1:6" x14ac:dyDescent="0.25">
      <c r="A641">
        <v>6.0983648071094412E-14</v>
      </c>
      <c r="B641">
        <v>204.09156862356576</v>
      </c>
      <c r="C641">
        <v>2.2479359999999815</v>
      </c>
      <c r="E641">
        <f t="shared" si="29"/>
        <v>73.139876967111149</v>
      </c>
      <c r="F641">
        <f t="shared" si="30"/>
        <v>136.31875326989092</v>
      </c>
    </row>
    <row r="642" spans="1:6" x14ac:dyDescent="0.25">
      <c r="A642">
        <v>-39.499982303939291</v>
      </c>
      <c r="B642">
        <v>202.97549618206057</v>
      </c>
      <c r="C642">
        <v>2.2479359999999815</v>
      </c>
      <c r="E642">
        <f t="shared" si="29"/>
        <v>109.61632270064854</v>
      </c>
      <c r="F642">
        <f t="shared" si="30"/>
        <v>125.57251843264419</v>
      </c>
    </row>
    <row r="643" spans="1:6" x14ac:dyDescent="0.25">
      <c r="A643">
        <v>-87.813674816892132</v>
      </c>
      <c r="B643">
        <v>193.00122978156648</v>
      </c>
      <c r="C643">
        <v>2.2479359999999815</v>
      </c>
      <c r="E643">
        <f t="shared" si="29"/>
        <v>151.14658296438205</v>
      </c>
      <c r="F643">
        <f t="shared" si="30"/>
        <v>106.74519311954226</v>
      </c>
    </row>
    <row r="644" spans="1:6" x14ac:dyDescent="0.25">
      <c r="A644">
        <v>-127.4425656882248</v>
      </c>
      <c r="B644">
        <v>178.78395114054874</v>
      </c>
      <c r="C644">
        <v>2.2479359999999815</v>
      </c>
      <c r="E644">
        <f t="shared" si="29"/>
        <v>183.04832281095617</v>
      </c>
      <c r="F644">
        <f t="shared" si="30"/>
        <v>87.317648261662768</v>
      </c>
    </row>
    <row r="645" spans="1:6" x14ac:dyDescent="0.25">
      <c r="A645">
        <v>-151.97386288672007</v>
      </c>
      <c r="B645">
        <v>164.80958284500775</v>
      </c>
      <c r="C645">
        <v>2.2479359999999815</v>
      </c>
      <c r="E645">
        <f t="shared" si="29"/>
        <v>200.94229599979309</v>
      </c>
      <c r="F645">
        <f t="shared" si="30"/>
        <v>71.876255270460391</v>
      </c>
    </row>
    <row r="646" spans="1:6" x14ac:dyDescent="0.25">
      <c r="A646">
        <v>-176.01235865756217</v>
      </c>
      <c r="B646">
        <v>150.24972314350725</v>
      </c>
      <c r="C646">
        <v>2.2479359999999815</v>
      </c>
      <c r="E646">
        <f t="shared" si="29"/>
        <v>218.16637806699308</v>
      </c>
      <c r="F646">
        <f t="shared" si="30"/>
        <v>56.173233421234478</v>
      </c>
    </row>
    <row r="647" spans="1:6" x14ac:dyDescent="0.25">
      <c r="A647">
        <v>-196.59949547253373</v>
      </c>
      <c r="B647">
        <v>138.20464626913804</v>
      </c>
      <c r="C647">
        <v>2.2479359999999815</v>
      </c>
      <c r="E647">
        <f t="shared" si="29"/>
        <v>233.06955653348726</v>
      </c>
      <c r="F647">
        <f t="shared" si="30"/>
        <v>43.004912519470928</v>
      </c>
    </row>
    <row r="648" spans="1:6" x14ac:dyDescent="0.25">
      <c r="A648">
        <v>-215.42646398709269</v>
      </c>
      <c r="B648">
        <v>127.69640409660941</v>
      </c>
      <c r="C648">
        <v>2.2479359999999815</v>
      </c>
      <c r="E648">
        <f t="shared" si="29"/>
        <v>246.88022862826406</v>
      </c>
      <c r="F648">
        <f t="shared" si="30"/>
        <v>31.297153696893982</v>
      </c>
    </row>
    <row r="649" spans="1:6" x14ac:dyDescent="0.25">
      <c r="A649">
        <v>-234.46183039064132</v>
      </c>
      <c r="B649">
        <v>117.79744823082375</v>
      </c>
      <c r="C649">
        <v>2.2479359999999815</v>
      </c>
      <c r="E649">
        <f t="shared" si="29"/>
        <v>261.10380559755845</v>
      </c>
      <c r="F649">
        <f t="shared" si="30"/>
        <v>19.938800833281267</v>
      </c>
    </row>
    <row r="650" spans="1:6" x14ac:dyDescent="0.25">
      <c r="A650">
        <v>-247.59912644214756</v>
      </c>
      <c r="B650">
        <v>108.95320515089341</v>
      </c>
      <c r="C650">
        <v>2.2479359999999815</v>
      </c>
      <c r="E650">
        <f t="shared" si="29"/>
        <v>270.19903479050885</v>
      </c>
      <c r="F650">
        <f t="shared" si="30"/>
        <v>10.771304197625465</v>
      </c>
    </row>
    <row r="651" spans="1:6" x14ac:dyDescent="0.25">
      <c r="A651">
        <v>-262.17277565670156</v>
      </c>
      <c r="B651">
        <v>100.2276460188623</v>
      </c>
      <c r="C651">
        <v>2.2479359999999815</v>
      </c>
      <c r="E651">
        <f t="shared" si="29"/>
        <v>280.67774770507049</v>
      </c>
      <c r="F651">
        <f t="shared" si="30"/>
        <v>1.3181774860648927</v>
      </c>
    </row>
    <row r="652" spans="1:6" x14ac:dyDescent="0.25">
      <c r="A652">
        <v>-278.33325526110974</v>
      </c>
      <c r="B652">
        <v>90.677166045552141</v>
      </c>
      <c r="C652">
        <v>2.2479359999999815</v>
      </c>
      <c r="E652">
        <f t="shared" si="29"/>
        <v>292.34226922134462</v>
      </c>
      <c r="F652">
        <f t="shared" si="30"/>
        <v>-9.0816231505211213</v>
      </c>
    </row>
    <row r="653" spans="1:6" x14ac:dyDescent="0.25">
      <c r="A653">
        <v>-292.58862491367495</v>
      </c>
      <c r="B653">
        <v>78.155331769219018</v>
      </c>
      <c r="C653">
        <v>2.2479359999999815</v>
      </c>
      <c r="E653">
        <f t="shared" si="29"/>
        <v>301.16337922730611</v>
      </c>
      <c r="F653">
        <f t="shared" si="30"/>
        <v>-20.960173479537577</v>
      </c>
    </row>
    <row r="654" spans="1:6" x14ac:dyDescent="0.25">
      <c r="A654">
        <v>-303.77644834967066</v>
      </c>
      <c r="B654">
        <v>63.705666058663866</v>
      </c>
      <c r="C654">
        <v>2.2479359999999815</v>
      </c>
      <c r="E654">
        <f t="shared" si="29"/>
        <v>306.42981512995169</v>
      </c>
      <c r="F654">
        <f t="shared" si="30"/>
        <v>-33.3340347456326</v>
      </c>
    </row>
    <row r="655" spans="1:6" x14ac:dyDescent="0.25">
      <c r="A655">
        <v>-310.11158679452774</v>
      </c>
      <c r="B655">
        <v>51.500436364698182</v>
      </c>
      <c r="C655">
        <v>2.2479359999999815</v>
      </c>
      <c r="E655">
        <f t="shared" si="29"/>
        <v>307.97021324206429</v>
      </c>
      <c r="F655">
        <f t="shared" si="30"/>
        <v>-42.996559898359706</v>
      </c>
    </row>
    <row r="656" spans="1:6" x14ac:dyDescent="0.25">
      <c r="A656">
        <v>-315.26030369199543</v>
      </c>
      <c r="B656">
        <v>40.246931755564582</v>
      </c>
      <c r="C656">
        <v>2.2479359999999815</v>
      </c>
      <c r="E656">
        <f t="shared" si="29"/>
        <v>308.74405918714177</v>
      </c>
      <c r="F656">
        <f t="shared" si="30"/>
        <v>-51.730167804928094</v>
      </c>
    </row>
    <row r="657" spans="1:6" x14ac:dyDescent="0.25">
      <c r="A657">
        <v>-320.46245790158372</v>
      </c>
      <c r="B657">
        <v>27.769170946626666</v>
      </c>
      <c r="C657">
        <v>2.2479359999999815</v>
      </c>
      <c r="E657">
        <f t="shared" si="29"/>
        <v>309.12905897681765</v>
      </c>
      <c r="F657">
        <f t="shared" si="30"/>
        <v>-61.285498735548806</v>
      </c>
    </row>
    <row r="658" spans="1:6" x14ac:dyDescent="0.25">
      <c r="A658">
        <v>-357.44672769526278</v>
      </c>
      <c r="B658">
        <v>-9.8249664419513561E-15</v>
      </c>
      <c r="C658">
        <v>55.728927999999982</v>
      </c>
      <c r="E658">
        <f t="shared" si="29"/>
        <v>333.70526849177259</v>
      </c>
      <c r="F658">
        <f t="shared" si="30"/>
        <v>-51.172273269952242</v>
      </c>
    </row>
    <row r="659" spans="1:6" x14ac:dyDescent="0.25">
      <c r="A659">
        <v>-352.85953329434034</v>
      </c>
      <c r="B659">
        <v>-13.920908023272759</v>
      </c>
      <c r="C659">
        <v>55.728927999999982</v>
      </c>
      <c r="E659">
        <f t="shared" si="29"/>
        <v>324.43394632242484</v>
      </c>
      <c r="F659">
        <f t="shared" si="30"/>
        <v>-59.199620836129853</v>
      </c>
    </row>
    <row r="660" spans="1:6" x14ac:dyDescent="0.25">
      <c r="A660">
        <v>-348.41063497609736</v>
      </c>
      <c r="B660">
        <v>-26.703757540082481</v>
      </c>
      <c r="C660">
        <v>55.728927999999982</v>
      </c>
      <c r="E660">
        <f t="shared" ref="E660:E723" si="31">($I$2*A660)+($K$2*B660)+($M$2*C660)</f>
        <v>315.69957836235164</v>
      </c>
      <c r="F660">
        <f t="shared" ref="F660:F723" si="32">($J$2*A660)+($L$2*B660)+($N$2*C660)</f>
        <v>-66.510734101341754</v>
      </c>
    </row>
    <row r="661" spans="1:6" x14ac:dyDescent="0.25">
      <c r="A661">
        <v>-343.77762575977317</v>
      </c>
      <c r="B661">
        <v>-38.866947455347379</v>
      </c>
      <c r="C661">
        <v>55.728927999999982</v>
      </c>
      <c r="E661">
        <f t="shared" si="31"/>
        <v>307.01539421234668</v>
      </c>
      <c r="F661">
        <f t="shared" si="32"/>
        <v>-73.366130113322001</v>
      </c>
    </row>
    <row r="662" spans="1:6" x14ac:dyDescent="0.25">
      <c r="A662">
        <v>-338.67880767177411</v>
      </c>
      <c r="B662">
        <v>-50.800495984840282</v>
      </c>
      <c r="C662">
        <v>55.728927999999982</v>
      </c>
      <c r="E662">
        <f t="shared" si="31"/>
        <v>297.97863612980711</v>
      </c>
      <c r="F662">
        <f t="shared" si="32"/>
        <v>-79.951892398658643</v>
      </c>
    </row>
    <row r="663" spans="1:6" x14ac:dyDescent="0.25">
      <c r="A663">
        <v>-327.5989603112298</v>
      </c>
      <c r="B663">
        <v>-63.544800636798726</v>
      </c>
      <c r="C663">
        <v>55.728927999999982</v>
      </c>
      <c r="E663">
        <f t="shared" si="31"/>
        <v>283.06755717892338</v>
      </c>
      <c r="F663">
        <f t="shared" si="32"/>
        <v>-85.557248904510871</v>
      </c>
    </row>
    <row r="664" spans="1:6" x14ac:dyDescent="0.25">
      <c r="A664">
        <v>-307.77067189550962</v>
      </c>
      <c r="B664">
        <v>-76.638059169651171</v>
      </c>
      <c r="C664">
        <v>55.728927999999982</v>
      </c>
      <c r="E664">
        <f t="shared" si="31"/>
        <v>259.86405100978089</v>
      </c>
      <c r="F664">
        <f t="shared" si="32"/>
        <v>-89.176070671582764</v>
      </c>
    </row>
    <row r="665" spans="1:6" x14ac:dyDescent="0.25">
      <c r="A665">
        <v>-288.90101217503246</v>
      </c>
      <c r="B665">
        <v>-88.736095260663475</v>
      </c>
      <c r="C665">
        <v>55.728927999999982</v>
      </c>
      <c r="E665">
        <f t="shared" si="31"/>
        <v>237.9121576526197</v>
      </c>
      <c r="F665">
        <f t="shared" si="32"/>
        <v>-92.380825986880168</v>
      </c>
    </row>
    <row r="666" spans="1:6" x14ac:dyDescent="0.25">
      <c r="A666">
        <v>-272.53710186166296</v>
      </c>
      <c r="B666">
        <v>-98.907446132692996</v>
      </c>
      <c r="C666">
        <v>55.728927999999982</v>
      </c>
      <c r="E666">
        <f t="shared" si="31"/>
        <v>218.99004512698718</v>
      </c>
      <c r="F666">
        <f t="shared" si="32"/>
        <v>-94.948665241315595</v>
      </c>
    </row>
    <row r="667" spans="1:6" x14ac:dyDescent="0.25">
      <c r="A667">
        <v>-255.91386708053156</v>
      </c>
      <c r="B667">
        <v>-107.92968198879575</v>
      </c>
      <c r="C667">
        <v>55.728927999999982</v>
      </c>
      <c r="E667">
        <f t="shared" si="31"/>
        <v>200.23763834618981</v>
      </c>
      <c r="F667">
        <f t="shared" si="32"/>
        <v>-96.692212539106279</v>
      </c>
    </row>
    <row r="668" spans="1:6" x14ac:dyDescent="0.25">
      <c r="A668">
        <v>-237.00856256758556</v>
      </c>
      <c r="B668">
        <v>-119.03490026637512</v>
      </c>
      <c r="C668">
        <v>55.728927999999982</v>
      </c>
      <c r="E668">
        <f t="shared" si="31"/>
        <v>178.60826179254508</v>
      </c>
      <c r="F668">
        <f t="shared" si="32"/>
        <v>-99.232535512720446</v>
      </c>
    </row>
    <row r="669" spans="1:6" x14ac:dyDescent="0.25">
      <c r="A669">
        <v>-218.39672332859985</v>
      </c>
      <c r="B669">
        <v>-130.26793889694437</v>
      </c>
      <c r="C669">
        <v>55.728927999999982</v>
      </c>
      <c r="E669">
        <f t="shared" si="31"/>
        <v>157.20705195671522</v>
      </c>
      <c r="F669">
        <f t="shared" si="32"/>
        <v>-101.93160334222078</v>
      </c>
    </row>
    <row r="670" spans="1:6" x14ac:dyDescent="0.25">
      <c r="A670">
        <v>-200.49230636439833</v>
      </c>
      <c r="B670">
        <v>-142.29639011728264</v>
      </c>
      <c r="C670">
        <v>55.728927999999982</v>
      </c>
      <c r="E670">
        <f t="shared" si="31"/>
        <v>136.18122733105395</v>
      </c>
      <c r="F670">
        <f t="shared" si="32"/>
        <v>-105.33501959644097</v>
      </c>
    </row>
    <row r="671" spans="1:6" x14ac:dyDescent="0.25">
      <c r="A671">
        <v>-179.3546381757015</v>
      </c>
      <c r="B671">
        <v>-155.42783444531554</v>
      </c>
      <c r="C671">
        <v>55.728927999999982</v>
      </c>
      <c r="E671">
        <f t="shared" si="31"/>
        <v>111.74162526988857</v>
      </c>
      <c r="F671">
        <f t="shared" si="32"/>
        <v>-108.64724676917207</v>
      </c>
    </row>
    <row r="672" spans="1:6" x14ac:dyDescent="0.25">
      <c r="A672">
        <v>-154.16749881906378</v>
      </c>
      <c r="B672">
        <v>-170.39083857651156</v>
      </c>
      <c r="C672">
        <v>55.728927999999982</v>
      </c>
      <c r="E672">
        <f t="shared" si="31"/>
        <v>82.865143857539721</v>
      </c>
      <c r="F672">
        <f t="shared" si="32"/>
        <v>-112.14240791303568</v>
      </c>
    </row>
    <row r="673" spans="1:6" x14ac:dyDescent="0.25">
      <c r="A673">
        <v>-122.7185576354738</v>
      </c>
      <c r="B673">
        <v>-188.36753524634807</v>
      </c>
      <c r="C673">
        <v>55.728927999999982</v>
      </c>
      <c r="E673">
        <f t="shared" si="31"/>
        <v>47.062756009311236</v>
      </c>
      <c r="F673">
        <f t="shared" si="32"/>
        <v>-116.04026303433214</v>
      </c>
    </row>
    <row r="674" spans="1:6" x14ac:dyDescent="0.25">
      <c r="A674">
        <v>-88.119617853713052</v>
      </c>
      <c r="B674">
        <v>-206.14823472682929</v>
      </c>
      <c r="C674">
        <v>55.728927999999982</v>
      </c>
      <c r="E674">
        <f t="shared" si="31"/>
        <v>8.3898302372027942</v>
      </c>
      <c r="F674">
        <f t="shared" si="32"/>
        <v>-119.01050883746716</v>
      </c>
    </row>
    <row r="675" spans="1:6" x14ac:dyDescent="0.25">
      <c r="A675">
        <v>-45.117844919649457</v>
      </c>
      <c r="B675">
        <v>-220.77001488796381</v>
      </c>
      <c r="C675">
        <v>55.728927999999982</v>
      </c>
      <c r="E675">
        <f t="shared" si="31"/>
        <v>-36.995760653764044</v>
      </c>
      <c r="F675">
        <f t="shared" si="32"/>
        <v>-117.76610736866807</v>
      </c>
    </row>
    <row r="676" spans="1:6" x14ac:dyDescent="0.25">
      <c r="A676">
        <v>5.6711432557304923E-14</v>
      </c>
      <c r="B676">
        <v>-225.30974110017283</v>
      </c>
      <c r="C676">
        <v>55.728927999999982</v>
      </c>
      <c r="E676">
        <f t="shared" si="31"/>
        <v>-80.743789930651459</v>
      </c>
      <c r="F676">
        <f t="shared" si="32"/>
        <v>-109.32990624897074</v>
      </c>
    </row>
    <row r="677" spans="1:6" x14ac:dyDescent="0.25">
      <c r="A677">
        <v>45.117844919649336</v>
      </c>
      <c r="B677">
        <v>-220.77001488796378</v>
      </c>
      <c r="C677">
        <v>55.728927999999982</v>
      </c>
      <c r="E677">
        <f t="shared" si="31"/>
        <v>-121.23803445920583</v>
      </c>
      <c r="F677">
        <f t="shared" si="32"/>
        <v>-94.899985869131783</v>
      </c>
    </row>
    <row r="678" spans="1:6" x14ac:dyDescent="0.25">
      <c r="A678">
        <v>88.119617853713166</v>
      </c>
      <c r="B678">
        <v>-206.14823472682932</v>
      </c>
      <c r="C678">
        <v>55.728927999999982</v>
      </c>
      <c r="E678">
        <f t="shared" si="31"/>
        <v>-156.14367060007706</v>
      </c>
      <c r="F678">
        <f t="shared" si="32"/>
        <v>-74.350709772947354</v>
      </c>
    </row>
    <row r="679" spans="1:6" x14ac:dyDescent="0.25">
      <c r="A679">
        <v>122.71855763547379</v>
      </c>
      <c r="B679">
        <v>-188.36753524634807</v>
      </c>
      <c r="C679">
        <v>55.728927999999982</v>
      </c>
      <c r="E679">
        <f t="shared" si="31"/>
        <v>-182.07253074358289</v>
      </c>
      <c r="F679">
        <f t="shared" si="32"/>
        <v>-53.84541631375005</v>
      </c>
    </row>
    <row r="680" spans="1:6" x14ac:dyDescent="0.25">
      <c r="A680">
        <v>154.16749881906381</v>
      </c>
      <c r="B680">
        <v>-170.39083857651141</v>
      </c>
      <c r="C680">
        <v>55.728927999999982</v>
      </c>
      <c r="E680">
        <f t="shared" si="31"/>
        <v>-204.99037474147707</v>
      </c>
      <c r="F680">
        <f t="shared" si="32"/>
        <v>-34.008960591817186</v>
      </c>
    </row>
    <row r="681" spans="1:6" x14ac:dyDescent="0.25">
      <c r="A681">
        <v>179.35463817570152</v>
      </c>
      <c r="B681">
        <v>-155.42783444531557</v>
      </c>
      <c r="C681">
        <v>55.728927999999982</v>
      </c>
      <c r="E681">
        <f t="shared" si="31"/>
        <v>-223.14233393475686</v>
      </c>
      <c r="F681">
        <f t="shared" si="32"/>
        <v>-17.748735208287314</v>
      </c>
    </row>
    <row r="682" spans="1:6" x14ac:dyDescent="0.25">
      <c r="A682">
        <v>200.49230636439822</v>
      </c>
      <c r="B682">
        <v>-142.29639011728273</v>
      </c>
      <c r="C682">
        <v>55.728927999999982</v>
      </c>
      <c r="E682">
        <f t="shared" si="31"/>
        <v>-238.17015843911128</v>
      </c>
      <c r="F682">
        <f t="shared" si="32"/>
        <v>-3.7237514781364709</v>
      </c>
    </row>
    <row r="683" spans="1:6" x14ac:dyDescent="0.25">
      <c r="A683">
        <v>218.39672332859976</v>
      </c>
      <c r="B683">
        <v>-130.26793889694446</v>
      </c>
      <c r="C683">
        <v>55.728927999999982</v>
      </c>
      <c r="E683">
        <f t="shared" si="31"/>
        <v>-250.57476026469601</v>
      </c>
      <c r="F683">
        <f t="shared" si="32"/>
        <v>8.7537811132203913</v>
      </c>
    </row>
    <row r="684" spans="1:6" x14ac:dyDescent="0.25">
      <c r="A684">
        <v>237.00856256758561</v>
      </c>
      <c r="B684">
        <v>-119.03490026637512</v>
      </c>
      <c r="C684">
        <v>55.728927999999982</v>
      </c>
      <c r="E684">
        <f t="shared" si="31"/>
        <v>-263.92484805812546</v>
      </c>
      <c r="F684">
        <f t="shared" si="32"/>
        <v>20.885493124339042</v>
      </c>
    </row>
    <row r="685" spans="1:6" x14ac:dyDescent="0.25">
      <c r="A685">
        <v>255.91386708053159</v>
      </c>
      <c r="B685">
        <v>-107.92968198879581</v>
      </c>
      <c r="C685">
        <v>55.728927999999982</v>
      </c>
      <c r="E685">
        <f t="shared" si="31"/>
        <v>-277.59471600499194</v>
      </c>
      <c r="F685">
        <f t="shared" si="32"/>
        <v>33.007191067183712</v>
      </c>
    </row>
    <row r="686" spans="1:6" x14ac:dyDescent="0.25">
      <c r="A686">
        <v>272.53710186166296</v>
      </c>
      <c r="B686">
        <v>-98.907446132692996</v>
      </c>
      <c r="C686">
        <v>55.728927999999982</v>
      </c>
      <c r="E686">
        <f t="shared" si="31"/>
        <v>-289.88056245765807</v>
      </c>
      <c r="F686">
        <f t="shared" si="32"/>
        <v>43.175540278665267</v>
      </c>
    </row>
    <row r="687" spans="1:6" x14ac:dyDescent="0.25">
      <c r="A687">
        <v>288.90101217503252</v>
      </c>
      <c r="B687">
        <v>-88.73609526066349</v>
      </c>
      <c r="C687">
        <v>55.728927999999982</v>
      </c>
      <c r="E687">
        <f t="shared" si="31"/>
        <v>-301.51250267106059</v>
      </c>
      <c r="F687">
        <f t="shared" si="32"/>
        <v>54.036753520696934</v>
      </c>
    </row>
    <row r="688" spans="1:6" x14ac:dyDescent="0.25">
      <c r="A688">
        <v>307.77067189550962</v>
      </c>
      <c r="B688">
        <v>-76.638059169651115</v>
      </c>
      <c r="C688">
        <v>55.728927999999982</v>
      </c>
      <c r="E688">
        <f t="shared" si="31"/>
        <v>-314.79329925329944</v>
      </c>
      <c r="F688">
        <f t="shared" si="32"/>
        <v>66.804818710208309</v>
      </c>
    </row>
    <row r="689" spans="1:6" x14ac:dyDescent="0.25">
      <c r="A689">
        <v>327.59896031122986</v>
      </c>
      <c r="B689">
        <v>-63.544800636798726</v>
      </c>
      <c r="C689">
        <v>55.728927999999982</v>
      </c>
      <c r="E689">
        <f t="shared" si="31"/>
        <v>-328.61239699587225</v>
      </c>
      <c r="F689">
        <f t="shared" si="32"/>
        <v>80.472791824139961</v>
      </c>
    </row>
    <row r="690" spans="1:6" x14ac:dyDescent="0.25">
      <c r="A690">
        <v>338.67880767177411</v>
      </c>
      <c r="B690">
        <v>-50.800495984840261</v>
      </c>
      <c r="C690">
        <v>55.728927999999982</v>
      </c>
      <c r="E690">
        <f t="shared" si="31"/>
        <v>-334.3891752937501</v>
      </c>
      <c r="F690">
        <f t="shared" si="32"/>
        <v>91.693512636370741</v>
      </c>
    </row>
    <row r="691" spans="1:6" x14ac:dyDescent="0.25">
      <c r="A691">
        <v>343.77762575977317</v>
      </c>
      <c r="B691">
        <v>-38.866947455347322</v>
      </c>
      <c r="C691">
        <v>55.728927999999982</v>
      </c>
      <c r="E691">
        <f t="shared" si="31"/>
        <v>-334.87273074166217</v>
      </c>
      <c r="F691">
        <f t="shared" si="32"/>
        <v>100.86340087257798</v>
      </c>
    </row>
    <row r="692" spans="1:6" x14ac:dyDescent="0.25">
      <c r="A692">
        <v>348.41063497609719</v>
      </c>
      <c r="B692">
        <v>-26.70375754008252</v>
      </c>
      <c r="C692">
        <v>55.728927999999982</v>
      </c>
      <c r="E692">
        <f t="shared" si="31"/>
        <v>-334.8391200319399</v>
      </c>
      <c r="F692">
        <f t="shared" si="32"/>
        <v>110.06684679336044</v>
      </c>
    </row>
    <row r="693" spans="1:6" x14ac:dyDescent="0.25">
      <c r="A693">
        <v>352.85953329434034</v>
      </c>
      <c r="B693">
        <v>-13.920908023272746</v>
      </c>
      <c r="C693">
        <v>55.728927999999982</v>
      </c>
      <c r="E693">
        <f t="shared" si="31"/>
        <v>-334.41156085064279</v>
      </c>
      <c r="F693">
        <f t="shared" si="32"/>
        <v>119.63270094136935</v>
      </c>
    </row>
    <row r="694" spans="1:6" x14ac:dyDescent="0.25">
      <c r="A694">
        <v>357.44672769526278</v>
      </c>
      <c r="B694">
        <v>1.6914538514605574E-14</v>
      </c>
      <c r="C694">
        <v>55.728927999999982</v>
      </c>
      <c r="E694">
        <f t="shared" si="31"/>
        <v>-333.70526849177259</v>
      </c>
      <c r="F694">
        <f t="shared" si="32"/>
        <v>129.98487906406595</v>
      </c>
    </row>
    <row r="695" spans="1:6" x14ac:dyDescent="0.25">
      <c r="A695">
        <v>352.85953329434034</v>
      </c>
      <c r="B695">
        <v>13.920908023272753</v>
      </c>
      <c r="C695">
        <v>55.728927999999982</v>
      </c>
      <c r="E695">
        <f t="shared" si="31"/>
        <v>-324.43394632242484</v>
      </c>
      <c r="F695">
        <f t="shared" si="32"/>
        <v>138.01222663024356</v>
      </c>
    </row>
    <row r="696" spans="1:6" x14ac:dyDescent="0.25">
      <c r="A696">
        <v>348.41063497609719</v>
      </c>
      <c r="B696">
        <v>26.703757540082446</v>
      </c>
      <c r="C696">
        <v>55.728927999999982</v>
      </c>
      <c r="E696">
        <f t="shared" si="31"/>
        <v>-315.69957836235147</v>
      </c>
      <c r="F696">
        <f t="shared" si="32"/>
        <v>145.32333989545538</v>
      </c>
    </row>
    <row r="697" spans="1:6" x14ac:dyDescent="0.25">
      <c r="A697">
        <v>343.77762575977317</v>
      </c>
      <c r="B697">
        <v>38.866947455347344</v>
      </c>
      <c r="C697">
        <v>55.728927999999982</v>
      </c>
      <c r="E697">
        <f t="shared" si="31"/>
        <v>-307.01539421234668</v>
      </c>
      <c r="F697">
        <f t="shared" si="32"/>
        <v>152.17873590743568</v>
      </c>
    </row>
    <row r="698" spans="1:6" x14ac:dyDescent="0.25">
      <c r="A698">
        <v>338.67880767177411</v>
      </c>
      <c r="B698">
        <v>50.800495984840232</v>
      </c>
      <c r="C698">
        <v>55.728927999999982</v>
      </c>
      <c r="E698">
        <f t="shared" si="31"/>
        <v>-297.97863612980717</v>
      </c>
      <c r="F698">
        <f t="shared" si="32"/>
        <v>158.76449819277229</v>
      </c>
    </row>
    <row r="699" spans="1:6" x14ac:dyDescent="0.25">
      <c r="A699">
        <v>327.59896031122975</v>
      </c>
      <c r="B699">
        <v>63.544800636798712</v>
      </c>
      <c r="C699">
        <v>55.728927999999982</v>
      </c>
      <c r="E699">
        <f t="shared" si="31"/>
        <v>-283.06755717892332</v>
      </c>
      <c r="F699">
        <f t="shared" si="32"/>
        <v>164.36985469862452</v>
      </c>
    </row>
    <row r="700" spans="1:6" x14ac:dyDescent="0.25">
      <c r="A700">
        <v>307.77067189550974</v>
      </c>
      <c r="B700">
        <v>76.638059169651171</v>
      </c>
      <c r="C700">
        <v>55.728927999999982</v>
      </c>
      <c r="E700">
        <f t="shared" si="31"/>
        <v>-259.86405100978101</v>
      </c>
      <c r="F700">
        <f t="shared" si="32"/>
        <v>167.98867646569647</v>
      </c>
    </row>
    <row r="701" spans="1:6" x14ac:dyDescent="0.25">
      <c r="A701">
        <v>288.90101217503263</v>
      </c>
      <c r="B701">
        <v>88.736095260663404</v>
      </c>
      <c r="C701">
        <v>55.728927999999982</v>
      </c>
      <c r="E701">
        <f t="shared" si="31"/>
        <v>-237.91215765261984</v>
      </c>
      <c r="F701">
        <f t="shared" si="32"/>
        <v>171.19343178099388</v>
      </c>
    </row>
    <row r="702" spans="1:6" x14ac:dyDescent="0.25">
      <c r="A702">
        <v>272.53710186166296</v>
      </c>
      <c r="B702">
        <v>98.907446132693011</v>
      </c>
      <c r="C702">
        <v>55.728927999999982</v>
      </c>
      <c r="E702">
        <f t="shared" si="31"/>
        <v>-218.99004512698718</v>
      </c>
      <c r="F702">
        <f t="shared" si="32"/>
        <v>173.76127103542927</v>
      </c>
    </row>
    <row r="703" spans="1:6" x14ac:dyDescent="0.25">
      <c r="A703">
        <v>255.91386708053159</v>
      </c>
      <c r="B703">
        <v>107.92968198879575</v>
      </c>
      <c r="C703">
        <v>55.728927999999982</v>
      </c>
      <c r="E703">
        <f t="shared" si="31"/>
        <v>-200.23763834618984</v>
      </c>
      <c r="F703">
        <f t="shared" si="32"/>
        <v>175.50481833321999</v>
      </c>
    </row>
    <row r="704" spans="1:6" x14ac:dyDescent="0.25">
      <c r="A704">
        <v>237.00856256758559</v>
      </c>
      <c r="B704">
        <v>119.0349002663751</v>
      </c>
      <c r="C704">
        <v>55.728927999999982</v>
      </c>
      <c r="E704">
        <f t="shared" si="31"/>
        <v>-178.60826179254511</v>
      </c>
      <c r="F704">
        <f t="shared" si="32"/>
        <v>178.04514130683413</v>
      </c>
    </row>
    <row r="705" spans="1:6" x14ac:dyDescent="0.25">
      <c r="A705">
        <v>218.39672332859988</v>
      </c>
      <c r="B705">
        <v>130.2679388969444</v>
      </c>
      <c r="C705">
        <v>55.728927999999982</v>
      </c>
      <c r="E705">
        <f t="shared" si="31"/>
        <v>-157.20705195671519</v>
      </c>
      <c r="F705">
        <f t="shared" si="32"/>
        <v>180.74420913633452</v>
      </c>
    </row>
    <row r="706" spans="1:6" x14ac:dyDescent="0.25">
      <c r="A706">
        <v>200.49230636439842</v>
      </c>
      <c r="B706">
        <v>142.29639011728267</v>
      </c>
      <c r="C706">
        <v>55.728927999999982</v>
      </c>
      <c r="E706">
        <f t="shared" si="31"/>
        <v>-136.18122733105398</v>
      </c>
      <c r="F706">
        <f t="shared" si="32"/>
        <v>184.14762539055471</v>
      </c>
    </row>
    <row r="707" spans="1:6" x14ac:dyDescent="0.25">
      <c r="A707">
        <v>179.35463817570164</v>
      </c>
      <c r="B707">
        <v>155.42783444531548</v>
      </c>
      <c r="C707">
        <v>55.728927999999982</v>
      </c>
      <c r="E707">
        <f t="shared" si="31"/>
        <v>-111.74162526988874</v>
      </c>
      <c r="F707">
        <f t="shared" si="32"/>
        <v>187.45985256328572</v>
      </c>
    </row>
    <row r="708" spans="1:6" x14ac:dyDescent="0.25">
      <c r="A708">
        <v>154.16749881906395</v>
      </c>
      <c r="B708">
        <v>170.39083857651138</v>
      </c>
      <c r="C708">
        <v>55.728927999999982</v>
      </c>
      <c r="E708">
        <f t="shared" si="31"/>
        <v>-82.865143857539948</v>
      </c>
      <c r="F708">
        <f t="shared" si="32"/>
        <v>190.95501370714931</v>
      </c>
    </row>
    <row r="709" spans="1:6" x14ac:dyDescent="0.25">
      <c r="A709">
        <v>122.71855763547372</v>
      </c>
      <c r="B709">
        <v>188.36753524634807</v>
      </c>
      <c r="C709">
        <v>55.728927999999982</v>
      </c>
      <c r="E709">
        <f t="shared" si="31"/>
        <v>-47.062756009311137</v>
      </c>
      <c r="F709">
        <f t="shared" si="32"/>
        <v>194.85286882844582</v>
      </c>
    </row>
    <row r="710" spans="1:6" x14ac:dyDescent="0.25">
      <c r="A710">
        <v>88.119617853713052</v>
      </c>
      <c r="B710">
        <v>206.14823472682937</v>
      </c>
      <c r="C710">
        <v>55.728927999999982</v>
      </c>
      <c r="E710">
        <f t="shared" si="31"/>
        <v>-8.3898302372027516</v>
      </c>
      <c r="F710">
        <f t="shared" si="32"/>
        <v>197.82311463158089</v>
      </c>
    </row>
    <row r="711" spans="1:6" x14ac:dyDescent="0.25">
      <c r="A711">
        <v>45.11784491964935</v>
      </c>
      <c r="B711">
        <v>220.77001488796378</v>
      </c>
      <c r="C711">
        <v>55.728927999999982</v>
      </c>
      <c r="E711">
        <f t="shared" si="31"/>
        <v>36.995760653764158</v>
      </c>
      <c r="F711">
        <f t="shared" si="32"/>
        <v>196.5787131627817</v>
      </c>
    </row>
    <row r="712" spans="1:6" x14ac:dyDescent="0.25">
      <c r="A712">
        <v>6.2893154358417776E-14</v>
      </c>
      <c r="B712">
        <v>225.30974110017286</v>
      </c>
      <c r="C712">
        <v>55.728927999999982</v>
      </c>
      <c r="E712">
        <f t="shared" si="31"/>
        <v>80.74378993065136</v>
      </c>
      <c r="F712">
        <f t="shared" si="32"/>
        <v>188.14251204308454</v>
      </c>
    </row>
    <row r="713" spans="1:6" x14ac:dyDescent="0.25">
      <c r="A713">
        <v>-45.117844919649308</v>
      </c>
      <c r="B713">
        <v>220.77001488796373</v>
      </c>
      <c r="C713">
        <v>55.728927999999982</v>
      </c>
      <c r="E713">
        <f t="shared" si="31"/>
        <v>121.23803445920578</v>
      </c>
      <c r="F713">
        <f t="shared" si="32"/>
        <v>173.71259166324546</v>
      </c>
    </row>
    <row r="714" spans="1:6" x14ac:dyDescent="0.25">
      <c r="A714">
        <v>-88.119617853713009</v>
      </c>
      <c r="B714">
        <v>206.14823472682937</v>
      </c>
      <c r="C714">
        <v>55.728927999999982</v>
      </c>
      <c r="E714">
        <f t="shared" si="31"/>
        <v>156.14367060007692</v>
      </c>
      <c r="F714">
        <f t="shared" si="32"/>
        <v>153.16331556706109</v>
      </c>
    </row>
    <row r="715" spans="1:6" x14ac:dyDescent="0.25">
      <c r="A715">
        <v>-122.7185576354737</v>
      </c>
      <c r="B715">
        <v>188.3675352463481</v>
      </c>
      <c r="C715">
        <v>55.728927999999982</v>
      </c>
      <c r="E715">
        <f t="shared" si="31"/>
        <v>182.07253074358283</v>
      </c>
      <c r="F715">
        <f t="shared" si="32"/>
        <v>132.65802210786381</v>
      </c>
    </row>
    <row r="716" spans="1:6" x14ac:dyDescent="0.25">
      <c r="A716">
        <v>-154.16749881906364</v>
      </c>
      <c r="B716">
        <v>170.39083857651156</v>
      </c>
      <c r="C716">
        <v>55.728927999999982</v>
      </c>
      <c r="E716">
        <f t="shared" si="31"/>
        <v>204.99037474147696</v>
      </c>
      <c r="F716">
        <f t="shared" si="32"/>
        <v>112.82156638593102</v>
      </c>
    </row>
    <row r="717" spans="1:6" x14ac:dyDescent="0.25">
      <c r="A717">
        <v>-179.35463817570138</v>
      </c>
      <c r="B717">
        <v>155.42783444531563</v>
      </c>
      <c r="C717">
        <v>55.728927999999982</v>
      </c>
      <c r="E717">
        <f t="shared" si="31"/>
        <v>223.14233393475675</v>
      </c>
      <c r="F717">
        <f t="shared" si="32"/>
        <v>96.561341002401093</v>
      </c>
    </row>
    <row r="718" spans="1:6" x14ac:dyDescent="0.25">
      <c r="A718">
        <v>-200.49230636439836</v>
      </c>
      <c r="B718">
        <v>142.29639011728267</v>
      </c>
      <c r="C718">
        <v>55.728927999999982</v>
      </c>
      <c r="E718">
        <f t="shared" si="31"/>
        <v>238.17015843911139</v>
      </c>
      <c r="F718">
        <f t="shared" si="32"/>
        <v>82.5363572722501</v>
      </c>
    </row>
    <row r="719" spans="1:6" x14ac:dyDescent="0.25">
      <c r="A719">
        <v>-218.39672332859976</v>
      </c>
      <c r="B719">
        <v>130.26793889694437</v>
      </c>
      <c r="C719">
        <v>55.728927999999982</v>
      </c>
      <c r="E719">
        <f t="shared" si="31"/>
        <v>250.57476026469595</v>
      </c>
      <c r="F719">
        <f t="shared" si="32"/>
        <v>70.058824680893252</v>
      </c>
    </row>
    <row r="720" spans="1:6" x14ac:dyDescent="0.25">
      <c r="A720">
        <v>-237.00856256758556</v>
      </c>
      <c r="B720">
        <v>119.03490026637519</v>
      </c>
      <c r="C720">
        <v>55.728927999999982</v>
      </c>
      <c r="E720">
        <f t="shared" si="31"/>
        <v>263.92484805812546</v>
      </c>
      <c r="F720">
        <f t="shared" si="32"/>
        <v>57.927112669774708</v>
      </c>
    </row>
    <row r="721" spans="1:6" x14ac:dyDescent="0.25">
      <c r="A721">
        <v>-255.91386708053159</v>
      </c>
      <c r="B721">
        <v>107.92968198879579</v>
      </c>
      <c r="C721">
        <v>55.728927999999982</v>
      </c>
      <c r="E721">
        <f t="shared" si="31"/>
        <v>277.59471600499194</v>
      </c>
      <c r="F721">
        <f t="shared" si="32"/>
        <v>45.805414726929968</v>
      </c>
    </row>
    <row r="722" spans="1:6" x14ac:dyDescent="0.25">
      <c r="A722">
        <v>-272.53710186166296</v>
      </c>
      <c r="B722">
        <v>98.907446132692968</v>
      </c>
      <c r="C722">
        <v>55.728927999999982</v>
      </c>
      <c r="E722">
        <f t="shared" si="31"/>
        <v>289.88056245765802</v>
      </c>
      <c r="F722">
        <f t="shared" si="32"/>
        <v>35.637065515448413</v>
      </c>
    </row>
    <row r="723" spans="1:6" x14ac:dyDescent="0.25">
      <c r="A723">
        <v>-288.90101217503246</v>
      </c>
      <c r="B723">
        <v>88.73609526066349</v>
      </c>
      <c r="C723">
        <v>55.728927999999982</v>
      </c>
      <c r="E723">
        <f t="shared" si="31"/>
        <v>301.51250267106053</v>
      </c>
      <c r="F723">
        <f t="shared" si="32"/>
        <v>24.775852273416774</v>
      </c>
    </row>
    <row r="724" spans="1:6" x14ac:dyDescent="0.25">
      <c r="A724">
        <v>-307.77067189550962</v>
      </c>
      <c r="B724">
        <v>76.638059169651271</v>
      </c>
      <c r="C724">
        <v>55.728927999999982</v>
      </c>
      <c r="E724">
        <f t="shared" ref="E724:E787" si="33">($I$2*A724)+($K$2*B724)+($M$2*C724)</f>
        <v>314.79329925329949</v>
      </c>
      <c r="F724">
        <f t="shared" ref="F724:F787" si="34">($J$2*A724)+($L$2*B724)+($N$2*C724)</f>
        <v>12.007787083905484</v>
      </c>
    </row>
    <row r="725" spans="1:6" x14ac:dyDescent="0.25">
      <c r="A725">
        <v>-327.59896031122975</v>
      </c>
      <c r="B725">
        <v>63.544800636798797</v>
      </c>
      <c r="C725">
        <v>55.728927999999982</v>
      </c>
      <c r="E725">
        <f t="shared" si="33"/>
        <v>328.61239699587225</v>
      </c>
      <c r="F725">
        <f t="shared" si="34"/>
        <v>-1.6601860300261961</v>
      </c>
    </row>
    <row r="726" spans="1:6" x14ac:dyDescent="0.25">
      <c r="A726">
        <v>-338.67880767177411</v>
      </c>
      <c r="B726">
        <v>50.80049598484036</v>
      </c>
      <c r="C726">
        <v>55.728927999999982</v>
      </c>
      <c r="E726">
        <f t="shared" si="33"/>
        <v>334.3891752937501</v>
      </c>
      <c r="F726">
        <f t="shared" si="34"/>
        <v>-12.880906842256969</v>
      </c>
    </row>
    <row r="727" spans="1:6" x14ac:dyDescent="0.25">
      <c r="A727">
        <v>-343.77762575977317</v>
      </c>
      <c r="B727">
        <v>38.866947455347315</v>
      </c>
      <c r="C727">
        <v>55.728927999999982</v>
      </c>
      <c r="E727">
        <f t="shared" si="33"/>
        <v>334.87273074166217</v>
      </c>
      <c r="F727">
        <f t="shared" si="34"/>
        <v>-22.05079507846429</v>
      </c>
    </row>
    <row r="728" spans="1:6" x14ac:dyDescent="0.25">
      <c r="A728">
        <v>-348.41063497609724</v>
      </c>
      <c r="B728">
        <v>26.703757540082492</v>
      </c>
      <c r="C728">
        <v>55.728927999999982</v>
      </c>
      <c r="E728">
        <f t="shared" si="33"/>
        <v>334.83912003193996</v>
      </c>
      <c r="F728">
        <f t="shared" si="34"/>
        <v>-31.254240999246775</v>
      </c>
    </row>
    <row r="729" spans="1:6" x14ac:dyDescent="0.25">
      <c r="A729">
        <v>-383.26361554992781</v>
      </c>
      <c r="B729">
        <v>-1.1161158100190292E-14</v>
      </c>
      <c r="C729">
        <v>109.20991999999998</v>
      </c>
      <c r="E729">
        <f t="shared" si="33"/>
        <v>357.80740966596119</v>
      </c>
      <c r="F729">
        <f t="shared" si="34"/>
        <v>-19.897614326882177</v>
      </c>
    </row>
    <row r="730" spans="1:6" x14ac:dyDescent="0.25">
      <c r="A730">
        <v>-379.28636305906491</v>
      </c>
      <c r="B730">
        <v>-13.351875044310756</v>
      </c>
      <c r="C730">
        <v>109.20991999999998</v>
      </c>
      <c r="E730">
        <f t="shared" si="33"/>
        <v>349.3094405070396</v>
      </c>
      <c r="F730">
        <f t="shared" si="34"/>
        <v>-27.703881832834725</v>
      </c>
    </row>
    <row r="731" spans="1:6" x14ac:dyDescent="0.25">
      <c r="A731">
        <v>-375.31640285566851</v>
      </c>
      <c r="B731">
        <v>-25.734723796534276</v>
      </c>
      <c r="C731">
        <v>109.20991999999998</v>
      </c>
      <c r="E731">
        <f t="shared" si="33"/>
        <v>341.16554725031193</v>
      </c>
      <c r="F731">
        <f t="shared" si="34"/>
        <v>-34.872303202286318</v>
      </c>
    </row>
    <row r="732" spans="1:6" x14ac:dyDescent="0.25">
      <c r="A732">
        <v>-369.10615676567545</v>
      </c>
      <c r="B732">
        <v>-37.362493545331041</v>
      </c>
      <c r="C732">
        <v>109.20991999999998</v>
      </c>
      <c r="E732">
        <f t="shared" si="33"/>
        <v>331.20076305430251</v>
      </c>
      <c r="F732">
        <f t="shared" si="34"/>
        <v>-40.974567608073215</v>
      </c>
    </row>
    <row r="733" spans="1:6" x14ac:dyDescent="0.25">
      <c r="A733">
        <v>-350.93455650695262</v>
      </c>
      <c r="B733">
        <v>-49.832929659101723</v>
      </c>
      <c r="C733">
        <v>109.20991999999998</v>
      </c>
      <c r="E733">
        <f t="shared" si="33"/>
        <v>309.76710811459975</v>
      </c>
      <c r="F733">
        <f t="shared" si="34"/>
        <v>-44.602050809702533</v>
      </c>
    </row>
    <row r="734" spans="1:6" x14ac:dyDescent="0.25">
      <c r="A734">
        <v>-333.29287746959227</v>
      </c>
      <c r="B734">
        <v>-62.222421462410004</v>
      </c>
      <c r="C734">
        <v>109.20991999999998</v>
      </c>
      <c r="E734">
        <f t="shared" si="33"/>
        <v>288.85718510131414</v>
      </c>
      <c r="F734">
        <f t="shared" si="34"/>
        <v>-48.310383722208897</v>
      </c>
    </row>
    <row r="735" spans="1:6" x14ac:dyDescent="0.25">
      <c r="A735">
        <v>-317.26142708241991</v>
      </c>
      <c r="B735">
        <v>-73.489450997006315</v>
      </c>
      <c r="C735">
        <v>109.20991999999998</v>
      </c>
      <c r="E735">
        <f t="shared" si="33"/>
        <v>269.85279453970952</v>
      </c>
      <c r="F735">
        <f t="shared" si="34"/>
        <v>-51.68577225035078</v>
      </c>
    </row>
    <row r="736" spans="1:6" x14ac:dyDescent="0.25">
      <c r="A736">
        <v>-299.506527519271</v>
      </c>
      <c r="B736">
        <v>-85.576131440698376</v>
      </c>
      <c r="C736">
        <v>109.20991999999998</v>
      </c>
      <c r="E736">
        <f t="shared" si="33"/>
        <v>248.94568894571472</v>
      </c>
      <c r="F736">
        <f t="shared" si="34"/>
        <v>-55.165516373629615</v>
      </c>
    </row>
    <row r="737" spans="1:6" x14ac:dyDescent="0.25">
      <c r="A737">
        <v>-280.29146751090974</v>
      </c>
      <c r="B737">
        <v>-96.837680715033386</v>
      </c>
      <c r="C737">
        <v>109.20991999999998</v>
      </c>
      <c r="E737">
        <f t="shared" si="33"/>
        <v>226.97110670579266</v>
      </c>
      <c r="F737">
        <f t="shared" si="34"/>
        <v>-57.730546447927267</v>
      </c>
    </row>
    <row r="738" spans="1:6" x14ac:dyDescent="0.25">
      <c r="A738">
        <v>-260.25000074284765</v>
      </c>
      <c r="B738">
        <v>-109.05175355893323</v>
      </c>
      <c r="C738">
        <v>109.20991999999998</v>
      </c>
      <c r="E738">
        <f t="shared" si="33"/>
        <v>203.88365337217047</v>
      </c>
      <c r="F738">
        <f t="shared" si="34"/>
        <v>-60.714961316812364</v>
      </c>
    </row>
    <row r="739" spans="1:6" x14ac:dyDescent="0.25">
      <c r="A739">
        <v>-241.33653486021959</v>
      </c>
      <c r="B739">
        <v>-120.52336142576961</v>
      </c>
      <c r="C739">
        <v>109.20991999999998</v>
      </c>
      <c r="E739">
        <f t="shared" si="33"/>
        <v>182.11535523770038</v>
      </c>
      <c r="F739">
        <f t="shared" si="34"/>
        <v>-63.495084971672426</v>
      </c>
    </row>
    <row r="740" spans="1:6" x14ac:dyDescent="0.25">
      <c r="A740">
        <v>-222.6018016108718</v>
      </c>
      <c r="B740">
        <v>-132.00682538274845</v>
      </c>
      <c r="C740">
        <v>109.20991999999998</v>
      </c>
      <c r="E740">
        <f t="shared" si="33"/>
        <v>160.50966954852314</v>
      </c>
      <c r="F740">
        <f t="shared" si="34"/>
        <v>-66.328326955330837</v>
      </c>
    </row>
    <row r="741" spans="1:6" x14ac:dyDescent="0.25">
      <c r="A741">
        <v>-202.96614647948309</v>
      </c>
      <c r="B741">
        <v>-144.27405111671675</v>
      </c>
      <c r="C741">
        <v>109.20991999999998</v>
      </c>
      <c r="E741">
        <f t="shared" si="33"/>
        <v>137.78202572351771</v>
      </c>
      <c r="F741">
        <f t="shared" si="34"/>
        <v>-69.450664686155292</v>
      </c>
    </row>
    <row r="742" spans="1:6" x14ac:dyDescent="0.25">
      <c r="A742">
        <v>-181.38347936231926</v>
      </c>
      <c r="B742">
        <v>-158.21954251043707</v>
      </c>
      <c r="C742">
        <v>109.20991999999998</v>
      </c>
      <c r="E742">
        <f t="shared" si="33"/>
        <v>112.6352529951596</v>
      </c>
      <c r="F742">
        <f t="shared" si="34"/>
        <v>-73.187513054161187</v>
      </c>
    </row>
    <row r="743" spans="1:6" x14ac:dyDescent="0.25">
      <c r="A743">
        <v>-152.92107765604985</v>
      </c>
      <c r="B743">
        <v>-175.43318272834571</v>
      </c>
      <c r="C743">
        <v>109.20991999999998</v>
      </c>
      <c r="E743">
        <f t="shared" si="33"/>
        <v>79.894494921983508</v>
      </c>
      <c r="F743">
        <f t="shared" si="34"/>
        <v>-77.33844555387752</v>
      </c>
    </row>
    <row r="744" spans="1:6" x14ac:dyDescent="0.25">
      <c r="A744">
        <v>-116.97946650260756</v>
      </c>
      <c r="B744">
        <v>-195.22752490574626</v>
      </c>
      <c r="C744">
        <v>109.20991999999998</v>
      </c>
      <c r="E744">
        <f t="shared" si="33"/>
        <v>39.246452433643185</v>
      </c>
      <c r="F744">
        <f t="shared" si="34"/>
        <v>-81.297740718887653</v>
      </c>
    </row>
    <row r="745" spans="1:6" x14ac:dyDescent="0.25">
      <c r="A745">
        <v>-84.213692684602705</v>
      </c>
      <c r="B745">
        <v>-211.20402379524012</v>
      </c>
      <c r="C745">
        <v>109.20991999999998</v>
      </c>
      <c r="E745">
        <f t="shared" si="33"/>
        <v>2.9315021901786755</v>
      </c>
      <c r="F745">
        <f t="shared" si="34"/>
        <v>-83.541491983327248</v>
      </c>
    </row>
    <row r="746" spans="1:6" x14ac:dyDescent="0.25">
      <c r="A746">
        <v>-48.858231053173249</v>
      </c>
      <c r="B746">
        <v>-227.96418315148446</v>
      </c>
      <c r="C746">
        <v>109.20991999999998</v>
      </c>
      <c r="E746">
        <f t="shared" si="33"/>
        <v>-36.081968701246453</v>
      </c>
      <c r="F746">
        <f t="shared" si="34"/>
        <v>-85.646331386002586</v>
      </c>
    </row>
    <row r="747" spans="1:6" x14ac:dyDescent="0.25">
      <c r="A747">
        <v>5.6414526070380569E-14</v>
      </c>
      <c r="B747">
        <v>-245.30709085716265</v>
      </c>
      <c r="C747">
        <v>109.20991999999998</v>
      </c>
      <c r="E747">
        <f t="shared" si="33"/>
        <v>-87.910199159404101</v>
      </c>
      <c r="F747">
        <f t="shared" si="34"/>
        <v>-84.714205614166829</v>
      </c>
    </row>
    <row r="748" spans="1:6" x14ac:dyDescent="0.25">
      <c r="A748">
        <v>48.858231053173157</v>
      </c>
      <c r="B748">
        <v>-227.96418315148449</v>
      </c>
      <c r="C748">
        <v>109.20991999999998</v>
      </c>
      <c r="E748">
        <f t="shared" si="33"/>
        <v>-127.308145070287</v>
      </c>
      <c r="F748">
        <f t="shared" si="34"/>
        <v>-60.88454922411303</v>
      </c>
    </row>
    <row r="749" spans="1:6" x14ac:dyDescent="0.25">
      <c r="A749">
        <v>84.213692684602691</v>
      </c>
      <c r="B749">
        <v>-211.20402379524003</v>
      </c>
      <c r="C749">
        <v>109.20991999999998</v>
      </c>
      <c r="E749">
        <f t="shared" si="33"/>
        <v>-154.30900807661266</v>
      </c>
      <c r="F749">
        <f t="shared" si="34"/>
        <v>-40.861250223550826</v>
      </c>
    </row>
    <row r="750" spans="1:6" x14ac:dyDescent="0.25">
      <c r="A750">
        <v>116.97946650260761</v>
      </c>
      <c r="B750">
        <v>-195.22752490574629</v>
      </c>
      <c r="C750">
        <v>109.20991999999998</v>
      </c>
      <c r="E750">
        <f t="shared" si="33"/>
        <v>-179.17302802419587</v>
      </c>
      <c r="F750">
        <f t="shared" si="34"/>
        <v>-22.011515972044336</v>
      </c>
    </row>
    <row r="751" spans="1:6" x14ac:dyDescent="0.25">
      <c r="A751">
        <v>152.92107765604982</v>
      </c>
      <c r="B751">
        <v>-175.43318272834566</v>
      </c>
      <c r="C751">
        <v>109.20991999999998</v>
      </c>
      <c r="E751">
        <f t="shared" si="33"/>
        <v>-205.6337548751099</v>
      </c>
      <c r="F751">
        <f t="shared" si="34"/>
        <v>0.1633045352628244</v>
      </c>
    </row>
    <row r="752" spans="1:6" x14ac:dyDescent="0.25">
      <c r="A752">
        <v>181.38347936231924</v>
      </c>
      <c r="B752">
        <v>-158.21954251043698</v>
      </c>
      <c r="C752">
        <v>109.20991999999998</v>
      </c>
      <c r="E752">
        <f t="shared" si="33"/>
        <v>-226.03687905008115</v>
      </c>
      <c r="F752">
        <f t="shared" si="34"/>
        <v>18.739233103457678</v>
      </c>
    </row>
    <row r="753" spans="1:6" x14ac:dyDescent="0.25">
      <c r="A753">
        <v>202.96614647948297</v>
      </c>
      <c r="B753">
        <v>-144.27405111671689</v>
      </c>
      <c r="C753">
        <v>109.20991999999998</v>
      </c>
      <c r="E753">
        <f t="shared" si="33"/>
        <v>-241.18841746610093</v>
      </c>
      <c r="F753">
        <f t="shared" si="34"/>
        <v>33.414367408303072</v>
      </c>
    </row>
    <row r="754" spans="1:6" x14ac:dyDescent="0.25">
      <c r="A754">
        <v>222.60180161087175</v>
      </c>
      <c r="B754">
        <v>-132.00682538274859</v>
      </c>
      <c r="C754">
        <v>109.20991999999998</v>
      </c>
      <c r="E754">
        <f t="shared" si="33"/>
        <v>-255.12370022532323</v>
      </c>
      <c r="F754">
        <f t="shared" si="34"/>
        <v>46.488228239509141</v>
      </c>
    </row>
    <row r="755" spans="1:6" x14ac:dyDescent="0.25">
      <c r="A755">
        <v>241.33653486021959</v>
      </c>
      <c r="B755">
        <v>-120.52336142576958</v>
      </c>
      <c r="C755">
        <v>109.20991999999998</v>
      </c>
      <c r="E755">
        <f t="shared" si="33"/>
        <v>-268.49877505062079</v>
      </c>
      <c r="F755">
        <f t="shared" si="34"/>
        <v>58.816398172494907</v>
      </c>
    </row>
    <row r="756" spans="1:6" x14ac:dyDescent="0.25">
      <c r="A756">
        <v>260.25000074284765</v>
      </c>
      <c r="B756">
        <v>-109.05175355893319</v>
      </c>
      <c r="C756">
        <v>109.20991999999998</v>
      </c>
      <c r="E756">
        <f t="shared" si="33"/>
        <v>-282.04496000663903</v>
      </c>
      <c r="F756">
        <f t="shared" si="34"/>
        <v>71.182033050679323</v>
      </c>
    </row>
    <row r="757" spans="1:6" x14ac:dyDescent="0.25">
      <c r="A757">
        <v>280.2914675109098</v>
      </c>
      <c r="B757">
        <v>-96.837680715033358</v>
      </c>
      <c r="C757">
        <v>109.20991999999998</v>
      </c>
      <c r="E757">
        <f t="shared" si="33"/>
        <v>-296.37814885893067</v>
      </c>
      <c r="F757">
        <f t="shared" si="34"/>
        <v>84.323639934465902</v>
      </c>
    </row>
    <row r="758" spans="1:6" x14ac:dyDescent="0.25">
      <c r="A758">
        <v>299.50652751927106</v>
      </c>
      <c r="B758">
        <v>-85.576131440698404</v>
      </c>
      <c r="C758">
        <v>109.20991999999998</v>
      </c>
      <c r="E758">
        <f t="shared" si="33"/>
        <v>-310.28117445455916</v>
      </c>
      <c r="F758">
        <f t="shared" si="34"/>
        <v>96.62703179343103</v>
      </c>
    </row>
    <row r="759" spans="1:6" x14ac:dyDescent="0.25">
      <c r="A759">
        <v>317.26142708241991</v>
      </c>
      <c r="B759">
        <v>-73.489450997006244</v>
      </c>
      <c r="C759">
        <v>109.20991999999998</v>
      </c>
      <c r="E759">
        <f t="shared" si="33"/>
        <v>-322.52532227372342</v>
      </c>
      <c r="F759">
        <f t="shared" si="34"/>
        <v>109.10511551706202</v>
      </c>
    </row>
    <row r="760" spans="1:6" x14ac:dyDescent="0.25">
      <c r="A760">
        <v>333.29287746959221</v>
      </c>
      <c r="B760">
        <v>-62.222421462410004</v>
      </c>
      <c r="C760">
        <v>109.20991999999998</v>
      </c>
      <c r="E760">
        <f t="shared" si="33"/>
        <v>-333.4542282917688</v>
      </c>
      <c r="F760">
        <f t="shared" si="34"/>
        <v>120.60538441171315</v>
      </c>
    </row>
    <row r="761" spans="1:6" x14ac:dyDescent="0.25">
      <c r="A761">
        <v>350.93455650695267</v>
      </c>
      <c r="B761">
        <v>-49.832929659101694</v>
      </c>
      <c r="C761">
        <v>109.20991999999998</v>
      </c>
      <c r="E761">
        <f t="shared" si="33"/>
        <v>-345.48415775813464</v>
      </c>
      <c r="F761">
        <f t="shared" si="34"/>
        <v>133.25467576411211</v>
      </c>
    </row>
    <row r="762" spans="1:6" x14ac:dyDescent="0.25">
      <c r="A762">
        <v>369.10615676567545</v>
      </c>
      <c r="B762">
        <v>-37.36249354533102</v>
      </c>
      <c r="C762">
        <v>109.20991999999998</v>
      </c>
      <c r="E762">
        <f t="shared" si="33"/>
        <v>-357.97980345778211</v>
      </c>
      <c r="F762">
        <f t="shared" si="34"/>
        <v>146.09168615164651</v>
      </c>
    </row>
    <row r="763" spans="1:6" x14ac:dyDescent="0.25">
      <c r="A763">
        <v>375.31640285566851</v>
      </c>
      <c r="B763">
        <v>-25.734723796534336</v>
      </c>
      <c r="C763">
        <v>109.20991999999998</v>
      </c>
      <c r="E763">
        <f t="shared" si="33"/>
        <v>-359.61054764846921</v>
      </c>
      <c r="F763">
        <f t="shared" si="34"/>
        <v>155.34135801647085</v>
      </c>
    </row>
    <row r="764" spans="1:6" x14ac:dyDescent="0.25">
      <c r="A764">
        <v>379.28636305906491</v>
      </c>
      <c r="B764">
        <v>-13.351875044310725</v>
      </c>
      <c r="C764">
        <v>109.20991999999998</v>
      </c>
      <c r="E764">
        <f t="shared" si="33"/>
        <v>-358.87920867146903</v>
      </c>
      <c r="F764">
        <f t="shared" si="34"/>
        <v>164.52179021048323</v>
      </c>
    </row>
    <row r="765" spans="1:6" x14ac:dyDescent="0.25">
      <c r="A765">
        <v>383.26361554992775</v>
      </c>
      <c r="B765">
        <v>2.0872927090216137E-14</v>
      </c>
      <c r="C765">
        <v>109.20991999999998</v>
      </c>
      <c r="E765">
        <f t="shared" si="33"/>
        <v>-357.80740966596113</v>
      </c>
      <c r="F765">
        <f t="shared" si="34"/>
        <v>174.34376433656286</v>
      </c>
    </row>
    <row r="766" spans="1:6" x14ac:dyDescent="0.25">
      <c r="A766">
        <v>379.28636305906491</v>
      </c>
      <c r="B766">
        <v>13.351875044310743</v>
      </c>
      <c r="C766">
        <v>109.20991999999998</v>
      </c>
      <c r="E766">
        <f t="shared" si="33"/>
        <v>-349.3094405070396</v>
      </c>
      <c r="F766">
        <f t="shared" si="34"/>
        <v>182.15003184251538</v>
      </c>
    </row>
    <row r="767" spans="1:6" x14ac:dyDescent="0.25">
      <c r="A767">
        <v>375.31640285566851</v>
      </c>
      <c r="B767">
        <v>25.734723796534251</v>
      </c>
      <c r="C767">
        <v>109.20991999999998</v>
      </c>
      <c r="E767">
        <f t="shared" si="33"/>
        <v>-341.16554725031193</v>
      </c>
      <c r="F767">
        <f t="shared" si="34"/>
        <v>189.31845321196698</v>
      </c>
    </row>
    <row r="768" spans="1:6" x14ac:dyDescent="0.25">
      <c r="A768">
        <v>369.10615676567545</v>
      </c>
      <c r="B768">
        <v>37.362493545331034</v>
      </c>
      <c r="C768">
        <v>109.20991999999998</v>
      </c>
      <c r="E768">
        <f t="shared" si="33"/>
        <v>-331.20076305430251</v>
      </c>
      <c r="F768">
        <f t="shared" si="34"/>
        <v>195.42071761775389</v>
      </c>
    </row>
    <row r="769" spans="1:6" x14ac:dyDescent="0.25">
      <c r="A769">
        <v>350.93455650695262</v>
      </c>
      <c r="B769">
        <v>49.832929659101673</v>
      </c>
      <c r="C769">
        <v>109.20991999999998</v>
      </c>
      <c r="E769">
        <f t="shared" si="33"/>
        <v>-309.76710811459975</v>
      </c>
      <c r="F769">
        <f t="shared" si="34"/>
        <v>199.04820081938317</v>
      </c>
    </row>
    <row r="770" spans="1:6" x14ac:dyDescent="0.25">
      <c r="A770">
        <v>333.2928774695921</v>
      </c>
      <c r="B770">
        <v>62.22242146240999</v>
      </c>
      <c r="C770">
        <v>109.20991999999998</v>
      </c>
      <c r="E770">
        <f t="shared" si="33"/>
        <v>-288.85718510131409</v>
      </c>
      <c r="F770">
        <f t="shared" si="34"/>
        <v>202.75653373188953</v>
      </c>
    </row>
    <row r="771" spans="1:6" x14ac:dyDescent="0.25">
      <c r="A771">
        <v>317.26142708241991</v>
      </c>
      <c r="B771">
        <v>73.489450997006315</v>
      </c>
      <c r="C771">
        <v>109.20991999999998</v>
      </c>
      <c r="E771">
        <f t="shared" si="33"/>
        <v>-269.85279453970952</v>
      </c>
      <c r="F771">
        <f t="shared" si="34"/>
        <v>206.13192226003144</v>
      </c>
    </row>
    <row r="772" spans="1:6" x14ac:dyDescent="0.25">
      <c r="A772">
        <v>299.50652751927112</v>
      </c>
      <c r="B772">
        <v>85.576131440698305</v>
      </c>
      <c r="C772">
        <v>109.20991999999998</v>
      </c>
      <c r="E772">
        <f t="shared" si="33"/>
        <v>-248.94568894571486</v>
      </c>
      <c r="F772">
        <f t="shared" si="34"/>
        <v>209.61166638331031</v>
      </c>
    </row>
    <row r="773" spans="1:6" x14ac:dyDescent="0.25">
      <c r="A773">
        <v>280.2914675109098</v>
      </c>
      <c r="B773">
        <v>96.8376807150334</v>
      </c>
      <c r="C773">
        <v>109.20991999999998</v>
      </c>
      <c r="E773">
        <f t="shared" si="33"/>
        <v>-226.97110670579272</v>
      </c>
      <c r="F773">
        <f t="shared" si="34"/>
        <v>212.17669645760799</v>
      </c>
    </row>
    <row r="774" spans="1:6" x14ac:dyDescent="0.25">
      <c r="A774">
        <v>260.25000074284765</v>
      </c>
      <c r="B774">
        <v>109.05175355893319</v>
      </c>
      <c r="C774">
        <v>109.20991999999998</v>
      </c>
      <c r="E774">
        <f t="shared" si="33"/>
        <v>-203.88365337217047</v>
      </c>
      <c r="F774">
        <f t="shared" si="34"/>
        <v>215.16111132649303</v>
      </c>
    </row>
    <row r="775" spans="1:6" x14ac:dyDescent="0.25">
      <c r="A775">
        <v>241.33653486021961</v>
      </c>
      <c r="B775">
        <v>120.52336142576961</v>
      </c>
      <c r="C775">
        <v>109.20991999999998</v>
      </c>
      <c r="E775">
        <f t="shared" si="33"/>
        <v>-182.11535523770044</v>
      </c>
      <c r="F775">
        <f t="shared" si="34"/>
        <v>217.94123498135309</v>
      </c>
    </row>
    <row r="776" spans="1:6" x14ac:dyDescent="0.25">
      <c r="A776">
        <v>222.6018016108718</v>
      </c>
      <c r="B776">
        <v>132.00682538274853</v>
      </c>
      <c r="C776">
        <v>109.20991999999998</v>
      </c>
      <c r="E776">
        <f t="shared" si="33"/>
        <v>-160.50966954852311</v>
      </c>
      <c r="F776">
        <f t="shared" si="34"/>
        <v>220.77447696501156</v>
      </c>
    </row>
    <row r="777" spans="1:6" x14ac:dyDescent="0.25">
      <c r="A777">
        <v>202.96614647948309</v>
      </c>
      <c r="B777">
        <v>144.27405111671681</v>
      </c>
      <c r="C777">
        <v>109.20991999999998</v>
      </c>
      <c r="E777">
        <f t="shared" si="33"/>
        <v>-137.78202572351768</v>
      </c>
      <c r="F777">
        <f t="shared" si="34"/>
        <v>223.89681469583599</v>
      </c>
    </row>
    <row r="778" spans="1:6" x14ac:dyDescent="0.25">
      <c r="A778">
        <v>181.38347936231938</v>
      </c>
      <c r="B778">
        <v>158.2195425104369</v>
      </c>
      <c r="C778">
        <v>109.20991999999998</v>
      </c>
      <c r="E778">
        <f t="shared" si="33"/>
        <v>-112.63525299515976</v>
      </c>
      <c r="F778">
        <f t="shared" si="34"/>
        <v>227.63366306384177</v>
      </c>
    </row>
    <row r="779" spans="1:6" x14ac:dyDescent="0.25">
      <c r="A779">
        <v>152.92107765605004</v>
      </c>
      <c r="B779">
        <v>175.43318272834563</v>
      </c>
      <c r="C779">
        <v>109.20991999999998</v>
      </c>
      <c r="E779">
        <f t="shared" si="33"/>
        <v>-79.894494921983679</v>
      </c>
      <c r="F779">
        <f t="shared" si="34"/>
        <v>231.78459556355818</v>
      </c>
    </row>
    <row r="780" spans="1:6" x14ac:dyDescent="0.25">
      <c r="A780">
        <v>116.97946650260745</v>
      </c>
      <c r="B780">
        <v>195.22752490574629</v>
      </c>
      <c r="C780">
        <v>109.20991999999998</v>
      </c>
      <c r="E780">
        <f t="shared" si="33"/>
        <v>-39.246452433643029</v>
      </c>
      <c r="F780">
        <f t="shared" si="34"/>
        <v>235.74389072856832</v>
      </c>
    </row>
    <row r="781" spans="1:6" x14ac:dyDescent="0.25">
      <c r="A781">
        <v>84.213692684602648</v>
      </c>
      <c r="B781">
        <v>211.20402379524018</v>
      </c>
      <c r="C781">
        <v>109.20991999999998</v>
      </c>
      <c r="E781">
        <f t="shared" si="33"/>
        <v>-2.9315021901785778</v>
      </c>
      <c r="F781">
        <f t="shared" si="34"/>
        <v>237.98764199300791</v>
      </c>
    </row>
    <row r="782" spans="1:6" x14ac:dyDescent="0.25">
      <c r="A782">
        <v>48.858231053173149</v>
      </c>
      <c r="B782">
        <v>227.96418315148446</v>
      </c>
      <c r="C782">
        <v>109.20991999999998</v>
      </c>
      <c r="E782">
        <f t="shared" si="33"/>
        <v>36.081968701246574</v>
      </c>
      <c r="F782">
        <f t="shared" si="34"/>
        <v>240.09248139568325</v>
      </c>
    </row>
    <row r="783" spans="1:6" x14ac:dyDescent="0.25">
      <c r="A783">
        <v>7.3254388907894938E-14</v>
      </c>
      <c r="B783">
        <v>245.30709085716259</v>
      </c>
      <c r="C783">
        <v>109.20991999999998</v>
      </c>
      <c r="E783">
        <f t="shared" si="33"/>
        <v>87.910199159403973</v>
      </c>
      <c r="F783">
        <f t="shared" si="34"/>
        <v>239.16035562384752</v>
      </c>
    </row>
    <row r="784" spans="1:6" x14ac:dyDescent="0.25">
      <c r="A784">
        <v>-48.858231053173164</v>
      </c>
      <c r="B784">
        <v>227.96418315148452</v>
      </c>
      <c r="C784">
        <v>109.20991999999998</v>
      </c>
      <c r="E784">
        <f t="shared" si="33"/>
        <v>127.30814507028704</v>
      </c>
      <c r="F784">
        <f t="shared" si="34"/>
        <v>215.33069923379372</v>
      </c>
    </row>
    <row r="785" spans="1:6" x14ac:dyDescent="0.25">
      <c r="A785">
        <v>-84.213692684602677</v>
      </c>
      <c r="B785">
        <v>211.2040237952402</v>
      </c>
      <c r="C785">
        <v>109.20991999999998</v>
      </c>
      <c r="E785">
        <f t="shared" si="33"/>
        <v>154.30900807661268</v>
      </c>
      <c r="F785">
        <f t="shared" si="34"/>
        <v>195.30740023323162</v>
      </c>
    </row>
    <row r="786" spans="1:6" x14ac:dyDescent="0.25">
      <c r="A786">
        <v>-116.97946650260747</v>
      </c>
      <c r="B786">
        <v>195.22752490574635</v>
      </c>
      <c r="C786">
        <v>109.20991999999998</v>
      </c>
      <c r="E786">
        <f t="shared" si="33"/>
        <v>179.17302802419576</v>
      </c>
      <c r="F786">
        <f t="shared" si="34"/>
        <v>176.45766598172509</v>
      </c>
    </row>
    <row r="787" spans="1:6" x14ac:dyDescent="0.25">
      <c r="A787">
        <v>-152.9210776560497</v>
      </c>
      <c r="B787">
        <v>175.4331827283458</v>
      </c>
      <c r="C787">
        <v>109.20991999999998</v>
      </c>
      <c r="E787">
        <f t="shared" si="33"/>
        <v>205.63375487510984</v>
      </c>
      <c r="F787">
        <f t="shared" si="34"/>
        <v>154.28284547441797</v>
      </c>
    </row>
    <row r="788" spans="1:6" x14ac:dyDescent="0.25">
      <c r="A788">
        <v>-181.38347936231915</v>
      </c>
      <c r="B788">
        <v>158.21954251043707</v>
      </c>
      <c r="C788">
        <v>109.20991999999998</v>
      </c>
      <c r="E788">
        <f t="shared" ref="E788:E851" si="35">($I$2*A788)+($K$2*B788)+($M$2*C788)</f>
        <v>226.03687905008113</v>
      </c>
      <c r="F788">
        <f t="shared" ref="F788:F851" si="36">($J$2*A788)+($L$2*B788)+($N$2*C788)</f>
        <v>135.70691690622309</v>
      </c>
    </row>
    <row r="789" spans="1:6" x14ac:dyDescent="0.25">
      <c r="A789">
        <v>-202.96614647948309</v>
      </c>
      <c r="B789">
        <v>144.27405111671675</v>
      </c>
      <c r="C789">
        <v>109.20991999999998</v>
      </c>
      <c r="E789">
        <f t="shared" si="35"/>
        <v>241.18841746610096</v>
      </c>
      <c r="F789">
        <f t="shared" si="36"/>
        <v>121.0317826013775</v>
      </c>
    </row>
    <row r="790" spans="1:6" x14ac:dyDescent="0.25">
      <c r="A790">
        <v>-222.60180161087183</v>
      </c>
      <c r="B790">
        <v>132.00682538274845</v>
      </c>
      <c r="C790">
        <v>109.20991999999998</v>
      </c>
      <c r="E790">
        <f t="shared" si="35"/>
        <v>255.12370022532326</v>
      </c>
      <c r="F790">
        <f t="shared" si="36"/>
        <v>107.95792177017142</v>
      </c>
    </row>
    <row r="791" spans="1:6" x14ac:dyDescent="0.25">
      <c r="A791">
        <v>-241.33653486021959</v>
      </c>
      <c r="B791">
        <v>120.52336142576965</v>
      </c>
      <c r="C791">
        <v>109.20991999999998</v>
      </c>
      <c r="E791">
        <f t="shared" si="35"/>
        <v>268.49877505062079</v>
      </c>
      <c r="F791">
        <f t="shared" si="36"/>
        <v>95.629751837185836</v>
      </c>
    </row>
    <row r="792" spans="1:6" x14ac:dyDescent="0.25">
      <c r="A792">
        <v>-260.2500007428477</v>
      </c>
      <c r="B792">
        <v>109.05175355893326</v>
      </c>
      <c r="C792">
        <v>109.20991999999998</v>
      </c>
      <c r="E792">
        <f t="shared" si="35"/>
        <v>282.04496000663914</v>
      </c>
      <c r="F792">
        <f t="shared" si="36"/>
        <v>83.264116959001385</v>
      </c>
    </row>
    <row r="793" spans="1:6" x14ac:dyDescent="0.25">
      <c r="A793">
        <v>-280.29146751090974</v>
      </c>
      <c r="B793">
        <v>96.837680715033414</v>
      </c>
      <c r="C793">
        <v>109.20991999999998</v>
      </c>
      <c r="E793">
        <f t="shared" si="35"/>
        <v>296.37814885893067</v>
      </c>
      <c r="F793">
        <f t="shared" si="36"/>
        <v>70.122510075214819</v>
      </c>
    </row>
    <row r="794" spans="1:6" x14ac:dyDescent="0.25">
      <c r="A794">
        <v>-299.506527519271</v>
      </c>
      <c r="B794">
        <v>85.576131440698404</v>
      </c>
      <c r="C794">
        <v>109.20991999999998</v>
      </c>
      <c r="E794">
        <f t="shared" si="35"/>
        <v>310.28117445455911</v>
      </c>
      <c r="F794">
        <f t="shared" si="36"/>
        <v>57.819118216249663</v>
      </c>
    </row>
    <row r="795" spans="1:6" x14ac:dyDescent="0.25">
      <c r="A795">
        <v>-317.26142708241986</v>
      </c>
      <c r="B795">
        <v>73.489450997006372</v>
      </c>
      <c r="C795">
        <v>109.20991999999998</v>
      </c>
      <c r="E795">
        <f t="shared" si="35"/>
        <v>322.52532227372342</v>
      </c>
      <c r="F795">
        <f t="shared" si="36"/>
        <v>45.341034492618761</v>
      </c>
    </row>
    <row r="796" spans="1:6" x14ac:dyDescent="0.25">
      <c r="A796">
        <v>-333.2928774695921</v>
      </c>
      <c r="B796">
        <v>62.222421462410075</v>
      </c>
      <c r="C796">
        <v>109.20991999999998</v>
      </c>
      <c r="E796">
        <f t="shared" si="35"/>
        <v>333.4542282917688</v>
      </c>
      <c r="F796">
        <f t="shared" si="36"/>
        <v>33.840765597967604</v>
      </c>
    </row>
    <row r="797" spans="1:6" x14ac:dyDescent="0.25">
      <c r="A797">
        <v>-350.93455650695256</v>
      </c>
      <c r="B797">
        <v>49.832929659101836</v>
      </c>
      <c r="C797">
        <v>109.20991999999998</v>
      </c>
      <c r="E797">
        <f t="shared" si="35"/>
        <v>345.48415775813464</v>
      </c>
      <c r="F797">
        <f t="shared" si="36"/>
        <v>21.191474245568685</v>
      </c>
    </row>
    <row r="798" spans="1:6" x14ac:dyDescent="0.25">
      <c r="A798">
        <v>-369.10615676567545</v>
      </c>
      <c r="B798">
        <v>37.362493545330999</v>
      </c>
      <c r="C798">
        <v>109.20991999999998</v>
      </c>
      <c r="E798">
        <f t="shared" si="35"/>
        <v>357.97980345778211</v>
      </c>
      <c r="F798">
        <f t="shared" si="36"/>
        <v>8.354463858034137</v>
      </c>
    </row>
    <row r="799" spans="1:6" x14ac:dyDescent="0.25">
      <c r="A799">
        <v>-375.31640285566851</v>
      </c>
      <c r="B799">
        <v>25.734723796534311</v>
      </c>
      <c r="C799">
        <v>109.20991999999998</v>
      </c>
      <c r="E799">
        <f t="shared" si="35"/>
        <v>359.61054764846921</v>
      </c>
      <c r="F799">
        <f t="shared" si="36"/>
        <v>-0.89520800679018464</v>
      </c>
    </row>
    <row r="800" spans="1:6" x14ac:dyDescent="0.25">
      <c r="A800">
        <v>-408.07282598015672</v>
      </c>
      <c r="B800">
        <v>-1.024226610266883E-14</v>
      </c>
      <c r="C800">
        <v>162.69091199999997</v>
      </c>
      <c r="E800">
        <f t="shared" si="35"/>
        <v>380.96880292047308</v>
      </c>
      <c r="F800">
        <f t="shared" si="36"/>
        <v>11.632394516660014</v>
      </c>
    </row>
    <row r="801" spans="1:6" x14ac:dyDescent="0.25">
      <c r="A801">
        <v>-404.49685964533154</v>
      </c>
      <c r="B801">
        <v>-12.838640735688768</v>
      </c>
      <c r="C801">
        <v>162.69091199999997</v>
      </c>
      <c r="E801">
        <f t="shared" si="35"/>
        <v>373.02939338906981</v>
      </c>
      <c r="F801">
        <f t="shared" si="36"/>
        <v>4.063246365759781</v>
      </c>
    </row>
    <row r="802" spans="1:6" x14ac:dyDescent="0.25">
      <c r="A802">
        <v>-387.45416339314886</v>
      </c>
      <c r="B802">
        <v>-23.773016232110795</v>
      </c>
      <c r="C802">
        <v>162.69091199999997</v>
      </c>
      <c r="E802">
        <f t="shared" si="35"/>
        <v>353.20013602708372</v>
      </c>
      <c r="F802">
        <f t="shared" si="36"/>
        <v>1.1637105828252174</v>
      </c>
    </row>
    <row r="803" spans="1:6" x14ac:dyDescent="0.25">
      <c r="A803">
        <v>-369.84579462591989</v>
      </c>
      <c r="B803">
        <v>-36.658079904470661</v>
      </c>
      <c r="C803">
        <v>162.69091199999997</v>
      </c>
      <c r="E803">
        <f t="shared" si="35"/>
        <v>332.14371375542987</v>
      </c>
      <c r="F803">
        <f t="shared" si="36"/>
        <v>-2.8802106331043973</v>
      </c>
    </row>
    <row r="804" spans="1:6" x14ac:dyDescent="0.25">
      <c r="A804">
        <v>-353.74170566000191</v>
      </c>
      <c r="B804">
        <v>-48.524343507936287</v>
      </c>
      <c r="C804">
        <v>162.69091199999997</v>
      </c>
      <c r="E804">
        <f t="shared" si="35"/>
        <v>312.85676295394126</v>
      </c>
      <c r="F804">
        <f t="shared" si="36"/>
        <v>-6.6327712328877624</v>
      </c>
    </row>
    <row r="805" spans="1:6" x14ac:dyDescent="0.25">
      <c r="A805">
        <v>-338.44939576936929</v>
      </c>
      <c r="B805">
        <v>-59.815164754604602</v>
      </c>
      <c r="C805">
        <v>162.69091199999997</v>
      </c>
      <c r="E805">
        <f t="shared" si="35"/>
        <v>294.53389330526602</v>
      </c>
      <c r="F805">
        <f t="shared" si="36"/>
        <v>-10.211167106251509</v>
      </c>
    </row>
    <row r="806" spans="1:6" x14ac:dyDescent="0.25">
      <c r="A806">
        <v>-323.08333299638207</v>
      </c>
      <c r="B806">
        <v>-69.917395523882206</v>
      </c>
      <c r="C806">
        <v>162.69091199999997</v>
      </c>
      <c r="E806">
        <f t="shared" si="35"/>
        <v>276.56812214145839</v>
      </c>
      <c r="F806">
        <f t="shared" si="36"/>
        <v>-12.986236307985124</v>
      </c>
    </row>
    <row r="807" spans="1:6" x14ac:dyDescent="0.25">
      <c r="A807">
        <v>-306.24051242617344</v>
      </c>
      <c r="B807">
        <v>-81.881212505176464</v>
      </c>
      <c r="C807">
        <v>162.69091199999997</v>
      </c>
      <c r="E807">
        <f t="shared" si="35"/>
        <v>256.55654596978553</v>
      </c>
      <c r="F807">
        <f t="shared" si="36"/>
        <v>-16.615998052747571</v>
      </c>
    </row>
    <row r="808" spans="1:6" x14ac:dyDescent="0.25">
      <c r="A808">
        <v>-284.7633761753263</v>
      </c>
      <c r="B808">
        <v>-95.917074628814873</v>
      </c>
      <c r="C808">
        <v>162.69091199999997</v>
      </c>
      <c r="E808">
        <f t="shared" si="35"/>
        <v>231.47590881943236</v>
      </c>
      <c r="F808">
        <f t="shared" si="36"/>
        <v>-20.439245835952377</v>
      </c>
    </row>
    <row r="809" spans="1:6" x14ac:dyDescent="0.25">
      <c r="A809">
        <v>-264.34097798096644</v>
      </c>
      <c r="B809">
        <v>-108.77118286504594</v>
      </c>
      <c r="C809">
        <v>162.69091199999997</v>
      </c>
      <c r="E809">
        <f t="shared" si="35"/>
        <v>207.8034571911947</v>
      </c>
      <c r="F809">
        <f t="shared" si="36"/>
        <v>-23.749644638701497</v>
      </c>
    </row>
    <row r="810" spans="1:6" x14ac:dyDescent="0.25">
      <c r="A810">
        <v>-244.62711512708836</v>
      </c>
      <c r="B810">
        <v>-120.89503209490637</v>
      </c>
      <c r="C810">
        <v>162.69091199999997</v>
      </c>
      <c r="E810">
        <f t="shared" si="35"/>
        <v>185.0541817110624</v>
      </c>
      <c r="F810">
        <f t="shared" si="36"/>
        <v>-26.757515471944899</v>
      </c>
    </row>
    <row r="811" spans="1:6" x14ac:dyDescent="0.25">
      <c r="A811">
        <v>-223.70955314867817</v>
      </c>
      <c r="B811">
        <v>-133.11818532728205</v>
      </c>
      <c r="C811">
        <v>162.69091199999997</v>
      </c>
      <c r="E811">
        <f t="shared" si="35"/>
        <v>161.14556891711209</v>
      </c>
      <c r="F811">
        <f t="shared" si="36"/>
        <v>-29.525918290514014</v>
      </c>
    </row>
    <row r="812" spans="1:6" x14ac:dyDescent="0.25">
      <c r="A812">
        <v>-201.87156505872446</v>
      </c>
      <c r="B812">
        <v>-145.85155879510467</v>
      </c>
      <c r="C812">
        <v>162.69091199999997</v>
      </c>
      <c r="E812">
        <f t="shared" si="35"/>
        <v>136.19481774179414</v>
      </c>
      <c r="F812">
        <f t="shared" si="36"/>
        <v>-32.397898397981734</v>
      </c>
    </row>
    <row r="813" spans="1:6" x14ac:dyDescent="0.25">
      <c r="A813">
        <v>-177.43519494373786</v>
      </c>
      <c r="B813">
        <v>-160.18050205292067</v>
      </c>
      <c r="C813">
        <v>162.69091199999997</v>
      </c>
      <c r="E813">
        <f t="shared" si="35"/>
        <v>108.24646689334698</v>
      </c>
      <c r="F813">
        <f t="shared" si="36"/>
        <v>-35.664738165587792</v>
      </c>
    </row>
    <row r="814" spans="1:6" x14ac:dyDescent="0.25">
      <c r="A814">
        <v>-149.25474335289732</v>
      </c>
      <c r="B814">
        <v>-177.12511299637308</v>
      </c>
      <c r="C814">
        <v>162.69091199999997</v>
      </c>
      <c r="E814">
        <f t="shared" si="35"/>
        <v>75.865343398638458</v>
      </c>
      <c r="F814">
        <f t="shared" si="36"/>
        <v>-39.709520799370964</v>
      </c>
    </row>
    <row r="815" spans="1:6" x14ac:dyDescent="0.25">
      <c r="A815">
        <v>-112.74702692124025</v>
      </c>
      <c r="B815">
        <v>-197.45648145479697</v>
      </c>
      <c r="C815">
        <v>162.69091199999997</v>
      </c>
      <c r="E815">
        <f t="shared" si="35"/>
        <v>34.496343096037783</v>
      </c>
      <c r="F815">
        <f t="shared" si="36"/>
        <v>-43.879875485120309</v>
      </c>
    </row>
    <row r="816" spans="1:6" x14ac:dyDescent="0.25">
      <c r="A816">
        <v>-76.156109111412164</v>
      </c>
      <c r="B816">
        <v>-214.86181652196967</v>
      </c>
      <c r="C816">
        <v>162.69091199999997</v>
      </c>
      <c r="E816">
        <f t="shared" si="35"/>
        <v>-5.9017357979571674</v>
      </c>
      <c r="F816">
        <f t="shared" si="36"/>
        <v>-46.097551818662438</v>
      </c>
    </row>
    <row r="817" spans="1:6" x14ac:dyDescent="0.25">
      <c r="A817">
        <v>-43.713386096249174</v>
      </c>
      <c r="B817">
        <v>-229.00785528310882</v>
      </c>
      <c r="C817">
        <v>162.69091199999997</v>
      </c>
      <c r="E817">
        <f t="shared" si="35"/>
        <v>-41.259113892201398</v>
      </c>
      <c r="F817">
        <f t="shared" si="36"/>
        <v>-47.214803708545887</v>
      </c>
    </row>
    <row r="818" spans="1:6" x14ac:dyDescent="0.25">
      <c r="A818">
        <v>7.4424206976677592E-14</v>
      </c>
      <c r="B818">
        <v>-248.50527645781332</v>
      </c>
      <c r="C818">
        <v>162.69091199999997</v>
      </c>
      <c r="E818">
        <f t="shared" si="35"/>
        <v>-89.056326375374596</v>
      </c>
      <c r="F818">
        <f t="shared" si="36"/>
        <v>-49.008687108040547</v>
      </c>
    </row>
    <row r="819" spans="1:6" x14ac:dyDescent="0.25">
      <c r="A819">
        <v>43.713386096249103</v>
      </c>
      <c r="B819">
        <v>-229.00785528310888</v>
      </c>
      <c r="C819">
        <v>162.69091199999997</v>
      </c>
      <c r="E819">
        <f t="shared" si="35"/>
        <v>-122.87903716294765</v>
      </c>
      <c r="F819">
        <f t="shared" si="36"/>
        <v>-25.060474320405021</v>
      </c>
    </row>
    <row r="820" spans="1:6" x14ac:dyDescent="0.25">
      <c r="A820">
        <v>76.156109111412192</v>
      </c>
      <c r="B820">
        <v>-214.8618165219697</v>
      </c>
      <c r="C820">
        <v>162.69091199999997</v>
      </c>
      <c r="E820">
        <f t="shared" si="35"/>
        <v>-148.0974414471564</v>
      </c>
      <c r="F820">
        <f t="shared" si="36"/>
        <v>-7.5009644378877027</v>
      </c>
    </row>
    <row r="821" spans="1:6" x14ac:dyDescent="0.25">
      <c r="A821">
        <v>112.74702692124028</v>
      </c>
      <c r="B821">
        <v>-197.456481454797</v>
      </c>
      <c r="C821">
        <v>162.69091199999997</v>
      </c>
      <c r="E821">
        <f t="shared" si="35"/>
        <v>-176.02049186280817</v>
      </c>
      <c r="F821">
        <f t="shared" si="36"/>
        <v>13.261311574764619</v>
      </c>
    </row>
    <row r="822" spans="1:6" x14ac:dyDescent="0.25">
      <c r="A822">
        <v>149.25474335289735</v>
      </c>
      <c r="B822">
        <v>-177.12511299637299</v>
      </c>
      <c r="C822">
        <v>162.69091199999997</v>
      </c>
      <c r="E822">
        <f t="shared" si="35"/>
        <v>-202.81727051361807</v>
      </c>
      <c r="F822">
        <f t="shared" si="36"/>
        <v>35.934098747783082</v>
      </c>
    </row>
    <row r="823" spans="1:6" x14ac:dyDescent="0.25">
      <c r="A823">
        <v>177.43519494373786</v>
      </c>
      <c r="B823">
        <v>-160.18050205292064</v>
      </c>
      <c r="C823">
        <v>162.69091199999997</v>
      </c>
      <c r="E823">
        <f t="shared" si="35"/>
        <v>-223.05358304903081</v>
      </c>
      <c r="F823">
        <f t="shared" si="36"/>
        <v>54.260982646277206</v>
      </c>
    </row>
    <row r="824" spans="1:6" x14ac:dyDescent="0.25">
      <c r="A824">
        <v>201.87156505872434</v>
      </c>
      <c r="B824">
        <v>-145.85155879510469</v>
      </c>
      <c r="C824">
        <v>162.69091199999997</v>
      </c>
      <c r="E824">
        <f t="shared" si="35"/>
        <v>-240.73186586856892</v>
      </c>
      <c r="F824">
        <f t="shared" si="36"/>
        <v>69.912390184175166</v>
      </c>
    </row>
    <row r="825" spans="1:6" x14ac:dyDescent="0.25">
      <c r="A825">
        <v>223.70955314867808</v>
      </c>
      <c r="B825">
        <v>-133.11818532728222</v>
      </c>
      <c r="C825">
        <v>162.69091199999997</v>
      </c>
      <c r="E825">
        <f t="shared" si="35"/>
        <v>-256.55615116297071</v>
      </c>
      <c r="F825">
        <f t="shared" si="36"/>
        <v>83.852055148036158</v>
      </c>
    </row>
    <row r="826" spans="1:6" x14ac:dyDescent="0.25">
      <c r="A826">
        <v>244.62711512708844</v>
      </c>
      <c r="B826">
        <v>-120.89503209490636</v>
      </c>
      <c r="C826">
        <v>162.69091199999997</v>
      </c>
      <c r="E826">
        <f t="shared" si="35"/>
        <v>-271.70399123519218</v>
      </c>
      <c r="F826">
        <f t="shared" si="36"/>
        <v>97.22166275651108</v>
      </c>
    </row>
    <row r="827" spans="1:6" x14ac:dyDescent="0.25">
      <c r="A827">
        <v>264.34097798096656</v>
      </c>
      <c r="B827">
        <v>-108.771182865046</v>
      </c>
      <c r="C827">
        <v>162.69091199999997</v>
      </c>
      <c r="E827">
        <f t="shared" si="35"/>
        <v>-285.76366873712158</v>
      </c>
      <c r="F827">
        <f t="shared" si="36"/>
        <v>110.22069305326092</v>
      </c>
    </row>
    <row r="828" spans="1:6" x14ac:dyDescent="0.25">
      <c r="A828">
        <v>284.76337617532641</v>
      </c>
      <c r="B828">
        <v>-95.917074628814859</v>
      </c>
      <c r="C828">
        <v>162.69091199999997</v>
      </c>
      <c r="E828">
        <f t="shared" si="35"/>
        <v>-300.22311954165622</v>
      </c>
      <c r="F828">
        <f t="shared" si="36"/>
        <v>123.88134327550473</v>
      </c>
    </row>
    <row r="829" spans="1:6" x14ac:dyDescent="0.25">
      <c r="A829">
        <v>306.24051242617355</v>
      </c>
      <c r="B829">
        <v>-81.881212505176492</v>
      </c>
      <c r="C829">
        <v>162.69091199999997</v>
      </c>
      <c r="E829">
        <f t="shared" si="35"/>
        <v>-315.24375043331179</v>
      </c>
      <c r="F829">
        <f t="shared" si="36"/>
        <v>138.58939302229103</v>
      </c>
    </row>
    <row r="830" spans="1:6" x14ac:dyDescent="0.25">
      <c r="A830">
        <v>323.08333299638196</v>
      </c>
      <c r="B830">
        <v>-69.917395523882206</v>
      </c>
      <c r="C830">
        <v>162.69091199999997</v>
      </c>
      <c r="E830">
        <f t="shared" si="35"/>
        <v>-326.68042948434118</v>
      </c>
      <c r="F830">
        <f t="shared" si="36"/>
        <v>150.75524469420222</v>
      </c>
    </row>
    <row r="831" spans="1:6" x14ac:dyDescent="0.25">
      <c r="A831">
        <v>338.44939576936935</v>
      </c>
      <c r="B831">
        <v>-59.815164754604623</v>
      </c>
      <c r="C831">
        <v>162.69091199999997</v>
      </c>
      <c r="E831">
        <f t="shared" si="35"/>
        <v>-337.40556919491002</v>
      </c>
      <c r="F831">
        <f t="shared" si="36"/>
        <v>161.31796995447255</v>
      </c>
    </row>
    <row r="832" spans="1:6" x14ac:dyDescent="0.25">
      <c r="A832">
        <v>353.74170566000191</v>
      </c>
      <c r="B832">
        <v>-48.524343507936237</v>
      </c>
      <c r="C832">
        <v>162.69091199999997</v>
      </c>
      <c r="E832">
        <f t="shared" si="35"/>
        <v>-347.6359019258831</v>
      </c>
      <c r="F832">
        <f t="shared" si="36"/>
        <v>172.64664327549602</v>
      </c>
    </row>
    <row r="833" spans="1:6" x14ac:dyDescent="0.25">
      <c r="A833">
        <v>369.84579462591989</v>
      </c>
      <c r="B833">
        <v>-36.658079904470618</v>
      </c>
      <c r="C833">
        <v>162.69091199999997</v>
      </c>
      <c r="E833">
        <f t="shared" si="35"/>
        <v>-358.41787561469573</v>
      </c>
      <c r="F833">
        <f t="shared" si="36"/>
        <v>184.56089811377456</v>
      </c>
    </row>
    <row r="834" spans="1:6" x14ac:dyDescent="0.25">
      <c r="A834">
        <v>387.45416339314892</v>
      </c>
      <c r="B834">
        <v>-23.77301623211083</v>
      </c>
      <c r="C834">
        <v>162.69091199999997</v>
      </c>
      <c r="E834">
        <f t="shared" si="35"/>
        <v>-370.23911019030118</v>
      </c>
      <c r="F834">
        <f t="shared" si="36"/>
        <v>197.52889583107856</v>
      </c>
    </row>
    <row r="835" spans="1:6" x14ac:dyDescent="0.25">
      <c r="A835">
        <v>404.49685964533154</v>
      </c>
      <c r="B835">
        <v>-12.83864073568876</v>
      </c>
      <c r="C835">
        <v>162.69091199999997</v>
      </c>
      <c r="E835">
        <f t="shared" si="35"/>
        <v>-382.23130809986492</v>
      </c>
      <c r="F835">
        <f t="shared" si="36"/>
        <v>209.06582029860388</v>
      </c>
    </row>
    <row r="836" spans="1:6" x14ac:dyDescent="0.25">
      <c r="A836">
        <v>408.07282598015684</v>
      </c>
      <c r="B836">
        <v>2.0568059255786789E-14</v>
      </c>
      <c r="C836">
        <v>162.69091199999997</v>
      </c>
      <c r="E836">
        <f t="shared" si="35"/>
        <v>-380.96880292047319</v>
      </c>
      <c r="F836">
        <f t="shared" si="36"/>
        <v>218.44729970858771</v>
      </c>
    </row>
    <row r="837" spans="1:6" x14ac:dyDescent="0.25">
      <c r="A837">
        <v>404.49685964533154</v>
      </c>
      <c r="B837">
        <v>12.838640735688784</v>
      </c>
      <c r="C837">
        <v>162.69091199999997</v>
      </c>
      <c r="E837">
        <f t="shared" si="35"/>
        <v>-373.02939338906981</v>
      </c>
      <c r="F837">
        <f t="shared" si="36"/>
        <v>226.01644785948787</v>
      </c>
    </row>
    <row r="838" spans="1:6" x14ac:dyDescent="0.25">
      <c r="A838">
        <v>387.45416339314892</v>
      </c>
      <c r="B838">
        <v>23.773016232110795</v>
      </c>
      <c r="C838">
        <v>162.69091199999997</v>
      </c>
      <c r="E838">
        <f t="shared" si="35"/>
        <v>-353.20013602708377</v>
      </c>
      <c r="F838">
        <f t="shared" si="36"/>
        <v>228.91598364242247</v>
      </c>
    </row>
    <row r="839" spans="1:6" x14ac:dyDescent="0.25">
      <c r="A839">
        <v>369.84579462591989</v>
      </c>
      <c r="B839">
        <v>36.658079904470647</v>
      </c>
      <c r="C839">
        <v>162.69091199999997</v>
      </c>
      <c r="E839">
        <f t="shared" si="35"/>
        <v>-332.14371375542987</v>
      </c>
      <c r="F839">
        <f t="shared" si="36"/>
        <v>232.95990485835205</v>
      </c>
    </row>
    <row r="840" spans="1:6" x14ac:dyDescent="0.25">
      <c r="A840">
        <v>353.74170566000191</v>
      </c>
      <c r="B840">
        <v>48.524343507936237</v>
      </c>
      <c r="C840">
        <v>162.69091199999997</v>
      </c>
      <c r="E840">
        <f t="shared" si="35"/>
        <v>-312.85676295394126</v>
      </c>
      <c r="F840">
        <f t="shared" si="36"/>
        <v>236.7124654581354</v>
      </c>
    </row>
    <row r="841" spans="1:6" x14ac:dyDescent="0.25">
      <c r="A841">
        <v>338.44939576936923</v>
      </c>
      <c r="B841">
        <v>59.815164754604645</v>
      </c>
      <c r="C841">
        <v>162.69091199999997</v>
      </c>
      <c r="E841">
        <f t="shared" si="35"/>
        <v>-294.53389330526596</v>
      </c>
      <c r="F841">
        <f t="shared" si="36"/>
        <v>240.29086133149917</v>
      </c>
    </row>
    <row r="842" spans="1:6" x14ac:dyDescent="0.25">
      <c r="A842">
        <v>323.08333299638213</v>
      </c>
      <c r="B842">
        <v>69.917395523882206</v>
      </c>
      <c r="C842">
        <v>162.69091199999997</v>
      </c>
      <c r="E842">
        <f t="shared" si="35"/>
        <v>-276.5681221414585</v>
      </c>
      <c r="F842">
        <f t="shared" si="36"/>
        <v>243.0659305332328</v>
      </c>
    </row>
    <row r="843" spans="1:6" x14ac:dyDescent="0.25">
      <c r="A843">
        <v>306.24051242617355</v>
      </c>
      <c r="B843">
        <v>81.881212505176379</v>
      </c>
      <c r="C843">
        <v>162.69091199999997</v>
      </c>
      <c r="E843">
        <f t="shared" si="35"/>
        <v>-256.55654596978565</v>
      </c>
      <c r="F843">
        <f t="shared" si="36"/>
        <v>246.69569227799519</v>
      </c>
    </row>
    <row r="844" spans="1:6" x14ac:dyDescent="0.25">
      <c r="A844">
        <v>284.76337617532641</v>
      </c>
      <c r="B844">
        <v>95.917074628814888</v>
      </c>
      <c r="C844">
        <v>162.69091199999997</v>
      </c>
      <c r="E844">
        <f t="shared" si="35"/>
        <v>-231.47590881943233</v>
      </c>
      <c r="F844">
        <f t="shared" si="36"/>
        <v>250.51894006120011</v>
      </c>
    </row>
    <row r="845" spans="1:6" x14ac:dyDescent="0.25">
      <c r="A845">
        <v>264.3409779809665</v>
      </c>
      <c r="B845">
        <v>108.77118286504592</v>
      </c>
      <c r="C845">
        <v>162.69091199999997</v>
      </c>
      <c r="E845">
        <f t="shared" si="35"/>
        <v>-207.80345719119467</v>
      </c>
      <c r="F845">
        <f t="shared" si="36"/>
        <v>253.82933886394915</v>
      </c>
    </row>
    <row r="846" spans="1:6" x14ac:dyDescent="0.25">
      <c r="A846">
        <v>244.62711512708839</v>
      </c>
      <c r="B846">
        <v>120.89503209490636</v>
      </c>
      <c r="C846">
        <v>162.69091199999997</v>
      </c>
      <c r="E846">
        <f t="shared" si="35"/>
        <v>-185.05418171106237</v>
      </c>
      <c r="F846">
        <f t="shared" si="36"/>
        <v>256.83720969719258</v>
      </c>
    </row>
    <row r="847" spans="1:6" x14ac:dyDescent="0.25">
      <c r="A847">
        <v>223.70955314867822</v>
      </c>
      <c r="B847">
        <v>133.11818532728213</v>
      </c>
      <c r="C847">
        <v>162.69091199999997</v>
      </c>
      <c r="E847">
        <f t="shared" si="35"/>
        <v>-161.14556891711203</v>
      </c>
      <c r="F847">
        <f t="shared" si="36"/>
        <v>259.60561251576178</v>
      </c>
    </row>
    <row r="848" spans="1:6" x14ac:dyDescent="0.25">
      <c r="A848">
        <v>201.87156505872451</v>
      </c>
      <c r="B848">
        <v>145.85155879510458</v>
      </c>
      <c r="C848">
        <v>162.69091199999997</v>
      </c>
      <c r="E848">
        <f t="shared" si="35"/>
        <v>-136.1948177417942</v>
      </c>
      <c r="F848">
        <f t="shared" si="36"/>
        <v>262.47759262322938</v>
      </c>
    </row>
    <row r="849" spans="1:6" x14ac:dyDescent="0.25">
      <c r="A849">
        <v>177.43519494373803</v>
      </c>
      <c r="B849">
        <v>160.18050205292059</v>
      </c>
      <c r="C849">
        <v>162.69091199999997</v>
      </c>
      <c r="E849">
        <f t="shared" si="35"/>
        <v>-108.24646689334715</v>
      </c>
      <c r="F849">
        <f t="shared" si="36"/>
        <v>265.74443239083547</v>
      </c>
    </row>
    <row r="850" spans="1:6" x14ac:dyDescent="0.25">
      <c r="A850">
        <v>149.25474335289758</v>
      </c>
      <c r="B850">
        <v>177.12511299637296</v>
      </c>
      <c r="C850">
        <v>162.69091199999997</v>
      </c>
      <c r="E850">
        <f t="shared" si="35"/>
        <v>-75.8653433986387</v>
      </c>
      <c r="F850">
        <f t="shared" si="36"/>
        <v>269.78921502461861</v>
      </c>
    </row>
    <row r="851" spans="1:6" x14ac:dyDescent="0.25">
      <c r="A851">
        <v>112.74702692124015</v>
      </c>
      <c r="B851">
        <v>197.45648145479694</v>
      </c>
      <c r="C851">
        <v>162.69091199999997</v>
      </c>
      <c r="E851">
        <f t="shared" si="35"/>
        <v>-34.496343096037656</v>
      </c>
      <c r="F851">
        <f t="shared" si="36"/>
        <v>273.95956971036793</v>
      </c>
    </row>
    <row r="852" spans="1:6" x14ac:dyDescent="0.25">
      <c r="A852">
        <v>76.15610911141215</v>
      </c>
      <c r="B852">
        <v>214.86181652196973</v>
      </c>
      <c r="C852">
        <v>162.69091199999997</v>
      </c>
      <c r="E852">
        <f t="shared" ref="E852:E915" si="37">($I$2*A852)+($K$2*B852)+($M$2*C852)</f>
        <v>5.9017357979572491</v>
      </c>
      <c r="F852">
        <f t="shared" ref="F852:F915" si="38">($J$2*A852)+($L$2*B852)+($N$2*C852)</f>
        <v>276.17724604391015</v>
      </c>
    </row>
    <row r="853" spans="1:6" x14ac:dyDescent="0.25">
      <c r="A853">
        <v>43.713386096249089</v>
      </c>
      <c r="B853">
        <v>229.00785528310885</v>
      </c>
      <c r="C853">
        <v>162.69091199999997</v>
      </c>
      <c r="E853">
        <f t="shared" si="37"/>
        <v>41.259113892201533</v>
      </c>
      <c r="F853">
        <f t="shared" si="38"/>
        <v>277.29449793379354</v>
      </c>
    </row>
    <row r="854" spans="1:6" x14ac:dyDescent="0.25">
      <c r="A854">
        <v>7.015841515170583E-14</v>
      </c>
      <c r="B854">
        <v>248.50527645781327</v>
      </c>
      <c r="C854">
        <v>162.69091199999997</v>
      </c>
      <c r="E854">
        <f t="shared" si="37"/>
        <v>89.056326375374468</v>
      </c>
      <c r="F854">
        <f t="shared" si="38"/>
        <v>279.08838133328823</v>
      </c>
    </row>
    <row r="855" spans="1:6" x14ac:dyDescent="0.25">
      <c r="A855">
        <v>-43.713386096249089</v>
      </c>
      <c r="B855">
        <v>229.00785528310882</v>
      </c>
      <c r="C855">
        <v>162.69091199999997</v>
      </c>
      <c r="E855">
        <f t="shared" si="37"/>
        <v>122.87903716294765</v>
      </c>
      <c r="F855">
        <f t="shared" si="38"/>
        <v>255.14016854565267</v>
      </c>
    </row>
    <row r="856" spans="1:6" x14ac:dyDescent="0.25">
      <c r="A856">
        <v>-76.156109111412107</v>
      </c>
      <c r="B856">
        <v>214.86181652196973</v>
      </c>
      <c r="C856">
        <v>162.69091199999997</v>
      </c>
      <c r="E856">
        <f t="shared" si="37"/>
        <v>148.0974414471564</v>
      </c>
      <c r="F856">
        <f t="shared" si="38"/>
        <v>237.58065866313541</v>
      </c>
    </row>
    <row r="857" spans="1:6" x14ac:dyDescent="0.25">
      <c r="A857">
        <v>-112.74702692124015</v>
      </c>
      <c r="B857">
        <v>197.45648145479697</v>
      </c>
      <c r="C857">
        <v>162.69091199999997</v>
      </c>
      <c r="E857">
        <f t="shared" si="37"/>
        <v>176.02049186280809</v>
      </c>
      <c r="F857">
        <f t="shared" si="38"/>
        <v>216.81838265048304</v>
      </c>
    </row>
    <row r="858" spans="1:6" x14ac:dyDescent="0.25">
      <c r="A858">
        <v>-149.25474335289718</v>
      </c>
      <c r="B858">
        <v>177.12511299637316</v>
      </c>
      <c r="C858">
        <v>162.69091199999997</v>
      </c>
      <c r="E858">
        <f t="shared" si="37"/>
        <v>202.81727051361801</v>
      </c>
      <c r="F858">
        <f t="shared" si="38"/>
        <v>194.14559547746472</v>
      </c>
    </row>
    <row r="859" spans="1:6" x14ac:dyDescent="0.25">
      <c r="A859">
        <v>-177.43519494373777</v>
      </c>
      <c r="B859">
        <v>160.18050205292079</v>
      </c>
      <c r="C859">
        <v>162.69091199999997</v>
      </c>
      <c r="E859">
        <f t="shared" si="37"/>
        <v>223.05358304903083</v>
      </c>
      <c r="F859">
        <f t="shared" si="38"/>
        <v>175.81871157897058</v>
      </c>
    </row>
    <row r="860" spans="1:6" x14ac:dyDescent="0.25">
      <c r="A860">
        <v>-201.87156505872446</v>
      </c>
      <c r="B860">
        <v>145.85155879510467</v>
      </c>
      <c r="C860">
        <v>162.69091199999997</v>
      </c>
      <c r="E860">
        <f t="shared" si="37"/>
        <v>240.73186586856909</v>
      </c>
      <c r="F860">
        <f t="shared" si="38"/>
        <v>160.16730404107244</v>
      </c>
    </row>
    <row r="861" spans="1:6" x14ac:dyDescent="0.25">
      <c r="A861">
        <v>-223.70955314867811</v>
      </c>
      <c r="B861">
        <v>133.11818532728205</v>
      </c>
      <c r="C861">
        <v>162.69091199999997</v>
      </c>
      <c r="E861">
        <f t="shared" si="37"/>
        <v>256.55615116297071</v>
      </c>
      <c r="F861">
        <f t="shared" si="38"/>
        <v>146.22763907721139</v>
      </c>
    </row>
    <row r="862" spans="1:6" x14ac:dyDescent="0.25">
      <c r="A862">
        <v>-244.6271151270883</v>
      </c>
      <c r="B862">
        <v>120.89503209490636</v>
      </c>
      <c r="C862">
        <v>162.69091199999997</v>
      </c>
      <c r="E862">
        <f t="shared" si="37"/>
        <v>271.70399123519201</v>
      </c>
      <c r="F862">
        <f t="shared" si="38"/>
        <v>132.85803146873661</v>
      </c>
    </row>
    <row r="863" spans="1:6" x14ac:dyDescent="0.25">
      <c r="A863">
        <v>-264.34097798096644</v>
      </c>
      <c r="B863">
        <v>108.77118286504596</v>
      </c>
      <c r="C863">
        <v>162.69091199999997</v>
      </c>
      <c r="E863">
        <f t="shared" si="37"/>
        <v>285.76366873712152</v>
      </c>
      <c r="F863">
        <f t="shared" si="38"/>
        <v>119.85900117198675</v>
      </c>
    </row>
    <row r="864" spans="1:6" x14ac:dyDescent="0.25">
      <c r="A864">
        <v>-284.7633761753263</v>
      </c>
      <c r="B864">
        <v>95.917074628814859</v>
      </c>
      <c r="C864">
        <v>162.69091199999997</v>
      </c>
      <c r="E864">
        <f t="shared" si="37"/>
        <v>300.22311954165616</v>
      </c>
      <c r="F864">
        <f t="shared" si="38"/>
        <v>106.19835094974296</v>
      </c>
    </row>
    <row r="865" spans="1:6" x14ac:dyDescent="0.25">
      <c r="A865">
        <v>-306.2405124261735</v>
      </c>
      <c r="B865">
        <v>81.881212505176535</v>
      </c>
      <c r="C865">
        <v>162.69091199999997</v>
      </c>
      <c r="E865">
        <f t="shared" si="37"/>
        <v>315.24375043331179</v>
      </c>
      <c r="F865">
        <f t="shared" si="38"/>
        <v>91.490301202956658</v>
      </c>
    </row>
    <row r="866" spans="1:6" x14ac:dyDescent="0.25">
      <c r="A866">
        <v>-323.08333299638196</v>
      </c>
      <c r="B866">
        <v>69.917395523882334</v>
      </c>
      <c r="C866">
        <v>162.69091199999997</v>
      </c>
      <c r="E866">
        <f t="shared" si="37"/>
        <v>326.68042948434118</v>
      </c>
      <c r="F866">
        <f t="shared" si="38"/>
        <v>79.324449531045531</v>
      </c>
    </row>
    <row r="867" spans="1:6" x14ac:dyDescent="0.25">
      <c r="A867">
        <v>-338.44939576936918</v>
      </c>
      <c r="B867">
        <v>59.815164754604695</v>
      </c>
      <c r="C867">
        <v>162.69091199999997</v>
      </c>
      <c r="E867">
        <f t="shared" si="37"/>
        <v>337.40556919490984</v>
      </c>
      <c r="F867">
        <f t="shared" si="38"/>
        <v>68.761724270775204</v>
      </c>
    </row>
    <row r="868" spans="1:6" x14ac:dyDescent="0.25">
      <c r="A868">
        <v>-353.74170566000186</v>
      </c>
      <c r="B868">
        <v>48.524343507936393</v>
      </c>
      <c r="C868">
        <v>162.69091199999997</v>
      </c>
      <c r="E868">
        <f t="shared" si="37"/>
        <v>347.6359019258831</v>
      </c>
      <c r="F868">
        <f t="shared" si="38"/>
        <v>57.433050949751753</v>
      </c>
    </row>
    <row r="869" spans="1:6" x14ac:dyDescent="0.25">
      <c r="A869">
        <v>-369.84579462592001</v>
      </c>
      <c r="B869">
        <v>36.658079904470611</v>
      </c>
      <c r="C869">
        <v>162.69091199999997</v>
      </c>
      <c r="E869">
        <f t="shared" si="37"/>
        <v>358.41787561469579</v>
      </c>
      <c r="F869">
        <f t="shared" si="38"/>
        <v>45.518796111473065</v>
      </c>
    </row>
    <row r="870" spans="1:6" x14ac:dyDescent="0.25">
      <c r="A870">
        <v>-387.45416339314886</v>
      </c>
      <c r="B870">
        <v>23.773016232110816</v>
      </c>
      <c r="C870">
        <v>162.69091199999997</v>
      </c>
      <c r="E870">
        <f t="shared" si="37"/>
        <v>370.23911019030112</v>
      </c>
      <c r="F870">
        <f t="shared" si="38"/>
        <v>32.550798394169121</v>
      </c>
    </row>
    <row r="871" spans="1:6" x14ac:dyDescent="0.25">
      <c r="A871">
        <v>-419.50371889847401</v>
      </c>
      <c r="B871">
        <v>-8.6577209483435684E-15</v>
      </c>
      <c r="C871">
        <v>216.17190399999998</v>
      </c>
      <c r="E871">
        <f t="shared" si="37"/>
        <v>391.64046080639957</v>
      </c>
      <c r="F871">
        <f t="shared" si="38"/>
        <v>46.552527979757315</v>
      </c>
    </row>
    <row r="872" spans="1:6" x14ac:dyDescent="0.25">
      <c r="A872">
        <v>-399.48612588004016</v>
      </c>
      <c r="B872">
        <v>-12.25963613568284</v>
      </c>
      <c r="C872">
        <v>216.17190399999998</v>
      </c>
      <c r="E872">
        <f t="shared" si="37"/>
        <v>368.5589671146866</v>
      </c>
      <c r="F872">
        <f t="shared" si="38"/>
        <v>43.531985198202591</v>
      </c>
    </row>
    <row r="873" spans="1:6" x14ac:dyDescent="0.25">
      <c r="A873">
        <v>-382.55892907456638</v>
      </c>
      <c r="B873">
        <v>-24.932235506871983</v>
      </c>
      <c r="C873">
        <v>216.17190399999998</v>
      </c>
      <c r="E873">
        <f t="shared" si="37"/>
        <v>348.21461404956824</v>
      </c>
      <c r="F873">
        <f t="shared" si="38"/>
        <v>39.455708411985</v>
      </c>
    </row>
    <row r="874" spans="1:6" x14ac:dyDescent="0.25">
      <c r="A874">
        <v>-367.40178961289888</v>
      </c>
      <c r="B874">
        <v>-35.782536920799217</v>
      </c>
      <c r="C874">
        <v>216.17190399999998</v>
      </c>
      <c r="E874">
        <f t="shared" si="37"/>
        <v>330.17580505680951</v>
      </c>
      <c r="F874">
        <f t="shared" si="38"/>
        <v>36.133864981276844</v>
      </c>
    </row>
    <row r="875" spans="1:6" x14ac:dyDescent="0.25">
      <c r="A875">
        <v>-352.71431300552314</v>
      </c>
      <c r="B875">
        <v>-44.908345789980835</v>
      </c>
      <c r="C875">
        <v>216.17190399999998</v>
      </c>
      <c r="E875">
        <f t="shared" si="37"/>
        <v>313.19346696913703</v>
      </c>
      <c r="F875">
        <f t="shared" si="38"/>
        <v>33.831415233178845</v>
      </c>
    </row>
    <row r="876" spans="1:6" x14ac:dyDescent="0.25">
      <c r="A876">
        <v>-339.27631519253418</v>
      </c>
      <c r="B876">
        <v>-54.767359916798213</v>
      </c>
      <c r="C876">
        <v>216.17190399999998</v>
      </c>
      <c r="E876">
        <f t="shared" si="37"/>
        <v>297.11486056245269</v>
      </c>
      <c r="F876">
        <f t="shared" si="38"/>
        <v>30.728323162871533</v>
      </c>
    </row>
    <row r="877" spans="1:6" x14ac:dyDescent="0.25">
      <c r="A877">
        <v>-322.91247753108752</v>
      </c>
      <c r="B877">
        <v>-66.624607304402105</v>
      </c>
      <c r="C877">
        <v>216.17190399999998</v>
      </c>
      <c r="E877">
        <f t="shared" si="37"/>
        <v>277.58864458580138</v>
      </c>
      <c r="F877">
        <f t="shared" si="38"/>
        <v>27.047536001530489</v>
      </c>
    </row>
    <row r="878" spans="1:6" x14ac:dyDescent="0.25">
      <c r="A878">
        <v>-305.18357452169323</v>
      </c>
      <c r="B878">
        <v>-79.218304348887955</v>
      </c>
      <c r="C878">
        <v>216.17190399999998</v>
      </c>
      <c r="E878">
        <f t="shared" si="37"/>
        <v>256.52411036593639</v>
      </c>
      <c r="F878">
        <f t="shared" si="38"/>
        <v>23.226501765558481</v>
      </c>
    </row>
    <row r="879" spans="1:6" x14ac:dyDescent="0.25">
      <c r="A879">
        <v>-287.33655229112861</v>
      </c>
      <c r="B879">
        <v>-91.782594302003019</v>
      </c>
      <c r="C879">
        <v>216.17190399999998</v>
      </c>
      <c r="E879">
        <f t="shared" si="37"/>
        <v>235.3598409122304</v>
      </c>
      <c r="F879">
        <f t="shared" si="38"/>
        <v>19.454812289001467</v>
      </c>
    </row>
    <row r="880" spans="1:6" x14ac:dyDescent="0.25">
      <c r="A880">
        <v>-264.49520066294446</v>
      </c>
      <c r="B880">
        <v>-105.69519202033057</v>
      </c>
      <c r="C880">
        <v>216.17190399999998</v>
      </c>
      <c r="E880">
        <f t="shared" si="37"/>
        <v>209.04977300025203</v>
      </c>
      <c r="F880">
        <f t="shared" si="38"/>
        <v>16.058634588891437</v>
      </c>
    </row>
    <row r="881" spans="1:6" x14ac:dyDescent="0.25">
      <c r="A881">
        <v>-242.7136527385052</v>
      </c>
      <c r="B881">
        <v>-118.75121149190808</v>
      </c>
      <c r="C881">
        <v>216.17190399999998</v>
      </c>
      <c r="E881">
        <f t="shared" si="37"/>
        <v>184.03608727193205</v>
      </c>
      <c r="F881">
        <f t="shared" si="38"/>
        <v>12.959360422921577</v>
      </c>
    </row>
    <row r="882" spans="1:6" x14ac:dyDescent="0.25">
      <c r="A882">
        <v>-221.1964315487221</v>
      </c>
      <c r="B882">
        <v>-131.65978929451194</v>
      </c>
      <c r="C882">
        <v>216.17190399999998</v>
      </c>
      <c r="E882">
        <f t="shared" si="37"/>
        <v>159.32201017787457</v>
      </c>
      <c r="F882">
        <f t="shared" si="38"/>
        <v>9.8904369956500204</v>
      </c>
    </row>
    <row r="883" spans="1:6" x14ac:dyDescent="0.25">
      <c r="A883">
        <v>-198.66373103044819</v>
      </c>
      <c r="B883">
        <v>-145.32379548587753</v>
      </c>
      <c r="C883">
        <v>216.17190399999998</v>
      </c>
      <c r="E883">
        <f t="shared" si="37"/>
        <v>133.38918013651673</v>
      </c>
      <c r="F883">
        <f t="shared" si="38"/>
        <v>6.5801512156948831</v>
      </c>
    </row>
    <row r="884" spans="1:6" x14ac:dyDescent="0.25">
      <c r="A884">
        <v>-173.50886004299164</v>
      </c>
      <c r="B884">
        <v>-160.13453169034196</v>
      </c>
      <c r="C884">
        <v>216.17190399999998</v>
      </c>
      <c r="E884">
        <f t="shared" si="37"/>
        <v>104.5973917867147</v>
      </c>
      <c r="F884">
        <f t="shared" si="38"/>
        <v>3.1773314339535261</v>
      </c>
    </row>
    <row r="885" spans="1:6" x14ac:dyDescent="0.25">
      <c r="A885">
        <v>-142.35004665164044</v>
      </c>
      <c r="B885">
        <v>-178.98923229381305</v>
      </c>
      <c r="C885">
        <v>216.17190399999998</v>
      </c>
      <c r="E885">
        <f t="shared" si="37"/>
        <v>68.751213097113848</v>
      </c>
      <c r="F885">
        <f t="shared" si="38"/>
        <v>-1.3736497875406997</v>
      </c>
    </row>
    <row r="886" spans="1:6" x14ac:dyDescent="0.25">
      <c r="A886">
        <v>-109.59439097163262</v>
      </c>
      <c r="B886">
        <v>-196.98582483518283</v>
      </c>
      <c r="C886">
        <v>216.17190399999998</v>
      </c>
      <c r="E886">
        <f t="shared" si="37"/>
        <v>31.721772129323721</v>
      </c>
      <c r="F886">
        <f t="shared" si="38"/>
        <v>-4.9535117779155655</v>
      </c>
    </row>
    <row r="887" spans="1:6" x14ac:dyDescent="0.25">
      <c r="A887">
        <v>-74.027248932918212</v>
      </c>
      <c r="B887">
        <v>-213.66793938717331</v>
      </c>
      <c r="C887">
        <v>216.17190399999998</v>
      </c>
      <c r="E887">
        <f t="shared" si="37"/>
        <v>-7.4613506905424618</v>
      </c>
      <c r="F887">
        <f t="shared" si="38"/>
        <v>-6.9531898533941217</v>
      </c>
    </row>
    <row r="888" spans="1:6" x14ac:dyDescent="0.25">
      <c r="A888">
        <v>-38.658937243072891</v>
      </c>
      <c r="B888">
        <v>-228.24063190447114</v>
      </c>
      <c r="C888">
        <v>216.17190399999998</v>
      </c>
      <c r="E888">
        <f t="shared" si="37"/>
        <v>-45.702900139212382</v>
      </c>
      <c r="F888">
        <f t="shared" si="38"/>
        <v>-7.6107363379449566</v>
      </c>
    </row>
    <row r="889" spans="1:6" x14ac:dyDescent="0.25">
      <c r="A889">
        <v>7.6605521646045621E-14</v>
      </c>
      <c r="B889">
        <v>-244.34073911376879</v>
      </c>
      <c r="C889">
        <v>216.17190399999998</v>
      </c>
      <c r="E889">
        <f t="shared" si="37"/>
        <v>-87.563889666584515</v>
      </c>
      <c r="F889">
        <f t="shared" si="38"/>
        <v>-8.4427329436993546</v>
      </c>
    </row>
    <row r="890" spans="1:6" x14ac:dyDescent="0.25">
      <c r="A890">
        <v>38.658937243072778</v>
      </c>
      <c r="B890">
        <v>-228.24063190447114</v>
      </c>
      <c r="C890">
        <v>216.17190399999998</v>
      </c>
      <c r="E890">
        <f t="shared" si="37"/>
        <v>-117.88535437784537</v>
      </c>
      <c r="F890">
        <f t="shared" si="38"/>
        <v>11.981953818629137</v>
      </c>
    </row>
    <row r="891" spans="1:6" x14ac:dyDescent="0.25">
      <c r="A891">
        <v>74.027248932918312</v>
      </c>
      <c r="B891">
        <v>-213.66793938717333</v>
      </c>
      <c r="C891">
        <v>216.17190399999998</v>
      </c>
      <c r="E891">
        <f t="shared" si="37"/>
        <v>-145.68213195295917</v>
      </c>
      <c r="F891">
        <f t="shared" si="38"/>
        <v>30.564472423939634</v>
      </c>
    </row>
    <row r="892" spans="1:6" x14ac:dyDescent="0.25">
      <c r="A892">
        <v>109.59439097163263</v>
      </c>
      <c r="B892">
        <v>-196.98582483518285</v>
      </c>
      <c r="C892">
        <v>216.17190399999998</v>
      </c>
      <c r="E892">
        <f t="shared" si="37"/>
        <v>-172.90858440067203</v>
      </c>
      <c r="F892">
        <f t="shared" si="38"/>
        <v>50.58989159358805</v>
      </c>
    </row>
    <row r="893" spans="1:6" x14ac:dyDescent="0.25">
      <c r="A893">
        <v>142.35004665164044</v>
      </c>
      <c r="B893">
        <v>-178.98923229381293</v>
      </c>
      <c r="C893">
        <v>216.17190399999998</v>
      </c>
      <c r="E893">
        <f t="shared" si="37"/>
        <v>-197.03922143275619</v>
      </c>
      <c r="F893">
        <f t="shared" si="38"/>
        <v>70.77060860950607</v>
      </c>
    </row>
    <row r="894" spans="1:6" x14ac:dyDescent="0.25">
      <c r="A894">
        <v>173.50886004299164</v>
      </c>
      <c r="B894">
        <v>-160.13453169034196</v>
      </c>
      <c r="C894">
        <v>216.17190399999998</v>
      </c>
      <c r="E894">
        <f t="shared" si="37"/>
        <v>-219.37155933324414</v>
      </c>
      <c r="F894">
        <f t="shared" si="38"/>
        <v>91.113151109179086</v>
      </c>
    </row>
    <row r="895" spans="1:6" x14ac:dyDescent="0.25">
      <c r="A895">
        <v>198.66373103044805</v>
      </c>
      <c r="B895">
        <v>-145.32379548587761</v>
      </c>
      <c r="C895">
        <v>216.17190399999998</v>
      </c>
      <c r="E895">
        <f t="shared" si="37"/>
        <v>-237.54796135334556</v>
      </c>
      <c r="F895">
        <f t="shared" si="38"/>
        <v>107.26468123665401</v>
      </c>
    </row>
    <row r="896" spans="1:6" x14ac:dyDescent="0.25">
      <c r="A896">
        <v>221.19643154872202</v>
      </c>
      <c r="B896">
        <v>-131.659789294512</v>
      </c>
      <c r="C896">
        <v>216.17190399999998</v>
      </c>
      <c r="E896">
        <f t="shared" si="37"/>
        <v>-253.68730763195552</v>
      </c>
      <c r="F896">
        <f t="shared" si="38"/>
        <v>121.99473825526431</v>
      </c>
    </row>
    <row r="897" spans="1:6" x14ac:dyDescent="0.25">
      <c r="A897">
        <v>242.71365273850512</v>
      </c>
      <c r="B897">
        <v>-118.75121149190801</v>
      </c>
      <c r="C897">
        <v>216.17190399999998</v>
      </c>
      <c r="E897">
        <f t="shared" si="37"/>
        <v>-269.14934360868267</v>
      </c>
      <c r="F897">
        <f t="shared" si="38"/>
        <v>135.9687790465016</v>
      </c>
    </row>
    <row r="898" spans="1:6" x14ac:dyDescent="0.25">
      <c r="A898">
        <v>264.49520066294446</v>
      </c>
      <c r="B898">
        <v>-105.69519202033058</v>
      </c>
      <c r="C898">
        <v>216.17190399999998</v>
      </c>
      <c r="E898">
        <f t="shared" si="37"/>
        <v>-284.8053114824973</v>
      </c>
      <c r="F898">
        <f t="shared" si="38"/>
        <v>150.10713369548643</v>
      </c>
    </row>
    <row r="899" spans="1:6" x14ac:dyDescent="0.25">
      <c r="A899">
        <v>287.33655229112867</v>
      </c>
      <c r="B899">
        <v>-91.782594302003062</v>
      </c>
      <c r="C899">
        <v>216.17190399999998</v>
      </c>
      <c r="E899">
        <f t="shared" si="37"/>
        <v>-301.14372116014442</v>
      </c>
      <c r="F899">
        <f t="shared" si="38"/>
        <v>165.07950973737991</v>
      </c>
    </row>
    <row r="900" spans="1:6" x14ac:dyDescent="0.25">
      <c r="A900">
        <v>305.18357452169312</v>
      </c>
      <c r="B900">
        <v>-79.218304348887941</v>
      </c>
      <c r="C900">
        <v>216.17190399999998</v>
      </c>
      <c r="E900">
        <f t="shared" si="37"/>
        <v>-313.30271295786929</v>
      </c>
      <c r="F900">
        <f t="shared" si="38"/>
        <v>177.89622739415671</v>
      </c>
    </row>
    <row r="901" spans="1:6" x14ac:dyDescent="0.25">
      <c r="A901">
        <v>322.91247753108735</v>
      </c>
      <c r="B901">
        <v>-66.624607304402033</v>
      </c>
      <c r="C901">
        <v>216.17190399999998</v>
      </c>
      <c r="E901">
        <f t="shared" si="37"/>
        <v>-325.34089240368002</v>
      </c>
      <c r="F901">
        <f t="shared" si="38"/>
        <v>190.70242594788965</v>
      </c>
    </row>
    <row r="902" spans="1:6" x14ac:dyDescent="0.25">
      <c r="A902">
        <v>339.27631519253401</v>
      </c>
      <c r="B902">
        <v>-54.767359916798213</v>
      </c>
      <c r="C902">
        <v>216.17190399999998</v>
      </c>
      <c r="E902">
        <f t="shared" si="37"/>
        <v>-336.36859351323739</v>
      </c>
      <c r="F902">
        <f t="shared" si="38"/>
        <v>202.67655027619202</v>
      </c>
    </row>
    <row r="903" spans="1:6" x14ac:dyDescent="0.25">
      <c r="A903">
        <v>352.71431300552308</v>
      </c>
      <c r="B903">
        <v>-44.908345789980821</v>
      </c>
      <c r="C903">
        <v>216.17190399999998</v>
      </c>
      <c r="E903">
        <f t="shared" si="37"/>
        <v>-345.38089056559051</v>
      </c>
      <c r="F903">
        <f t="shared" si="38"/>
        <v>212.59013808825156</v>
      </c>
    </row>
    <row r="904" spans="1:6" x14ac:dyDescent="0.25">
      <c r="A904">
        <v>367.40178961289877</v>
      </c>
      <c r="B904">
        <v>-35.782536920799195</v>
      </c>
      <c r="C904">
        <v>216.17190399999998</v>
      </c>
      <c r="E904">
        <f t="shared" si="37"/>
        <v>-355.82243382848105</v>
      </c>
      <c r="F904">
        <f t="shared" si="38"/>
        <v>222.33633044471128</v>
      </c>
    </row>
    <row r="905" spans="1:6" x14ac:dyDescent="0.25">
      <c r="A905">
        <v>382.55892907456638</v>
      </c>
      <c r="B905">
        <v>-24.932235506872019</v>
      </c>
      <c r="C905">
        <v>216.17190399999998</v>
      </c>
      <c r="E905">
        <f t="shared" si="37"/>
        <v>-366.08444228192474</v>
      </c>
      <c r="F905">
        <f t="shared" si="38"/>
        <v>233.3399457582108</v>
      </c>
    </row>
    <row r="906" spans="1:6" x14ac:dyDescent="0.25">
      <c r="A906">
        <v>399.48612588004005</v>
      </c>
      <c r="B906">
        <v>-12.259636135682833</v>
      </c>
      <c r="C906">
        <v>216.17190399999998</v>
      </c>
      <c r="E906">
        <f t="shared" si="37"/>
        <v>-377.34588844291869</v>
      </c>
      <c r="F906">
        <f t="shared" si="38"/>
        <v>245.99507509134949</v>
      </c>
    </row>
    <row r="907" spans="1:6" x14ac:dyDescent="0.25">
      <c r="A907">
        <v>419.50371889847412</v>
      </c>
      <c r="B907">
        <v>2.628369552525081E-14</v>
      </c>
      <c r="C907">
        <v>216.17190399999998</v>
      </c>
      <c r="E907">
        <f t="shared" si="37"/>
        <v>-391.64046080639969</v>
      </c>
      <c r="F907">
        <f t="shared" si="38"/>
        <v>259.16071046105742</v>
      </c>
    </row>
    <row r="908" spans="1:6" x14ac:dyDescent="0.25">
      <c r="A908">
        <v>399.48612588004016</v>
      </c>
      <c r="B908">
        <v>12.259636135682859</v>
      </c>
      <c r="C908">
        <v>216.17190399999998</v>
      </c>
      <c r="E908">
        <f t="shared" si="37"/>
        <v>-368.55896711468654</v>
      </c>
      <c r="F908">
        <f t="shared" si="38"/>
        <v>262.18125324261212</v>
      </c>
    </row>
    <row r="909" spans="1:6" x14ac:dyDescent="0.25">
      <c r="A909">
        <v>382.55892907456644</v>
      </c>
      <c r="B909">
        <v>24.932235506871997</v>
      </c>
      <c r="C909">
        <v>216.17190399999998</v>
      </c>
      <c r="E909">
        <f t="shared" si="37"/>
        <v>-348.21461404956824</v>
      </c>
      <c r="F909">
        <f t="shared" si="38"/>
        <v>266.25753002882971</v>
      </c>
    </row>
    <row r="910" spans="1:6" x14ac:dyDescent="0.25">
      <c r="A910">
        <v>367.40178961289877</v>
      </c>
      <c r="B910">
        <v>35.782536920799203</v>
      </c>
      <c r="C910">
        <v>216.17190399999998</v>
      </c>
      <c r="E910">
        <f t="shared" si="37"/>
        <v>-330.17580505680939</v>
      </c>
      <c r="F910">
        <f t="shared" si="38"/>
        <v>269.57937345953781</v>
      </c>
    </row>
    <row r="911" spans="1:6" x14ac:dyDescent="0.25">
      <c r="A911">
        <v>352.71431300552308</v>
      </c>
      <c r="B911">
        <v>44.9083457899808</v>
      </c>
      <c r="C911">
        <v>216.17190399999998</v>
      </c>
      <c r="E911">
        <f t="shared" si="37"/>
        <v>-313.19346696913703</v>
      </c>
      <c r="F911">
        <f t="shared" si="38"/>
        <v>271.88182320763576</v>
      </c>
    </row>
    <row r="912" spans="1:6" x14ac:dyDescent="0.25">
      <c r="A912">
        <v>339.27631519253413</v>
      </c>
      <c r="B912">
        <v>54.767359916798227</v>
      </c>
      <c r="C912">
        <v>216.17190399999998</v>
      </c>
      <c r="E912">
        <f t="shared" si="37"/>
        <v>-297.11486056245263</v>
      </c>
      <c r="F912">
        <f t="shared" si="38"/>
        <v>274.98491527794317</v>
      </c>
    </row>
    <row r="913" spans="1:6" x14ac:dyDescent="0.25">
      <c r="A913">
        <v>322.9124775310874</v>
      </c>
      <c r="B913">
        <v>66.624607304402076</v>
      </c>
      <c r="C913">
        <v>216.17190399999998</v>
      </c>
      <c r="E913">
        <f t="shared" si="37"/>
        <v>-277.58864458580126</v>
      </c>
      <c r="F913">
        <f t="shared" si="38"/>
        <v>278.66570243928413</v>
      </c>
    </row>
    <row r="914" spans="1:6" x14ac:dyDescent="0.25">
      <c r="A914">
        <v>305.18357452169317</v>
      </c>
      <c r="B914">
        <v>79.218304348887898</v>
      </c>
      <c r="C914">
        <v>216.17190399999998</v>
      </c>
      <c r="E914">
        <f t="shared" si="37"/>
        <v>-256.52411036593634</v>
      </c>
      <c r="F914">
        <f t="shared" si="38"/>
        <v>282.48673667525611</v>
      </c>
    </row>
    <row r="915" spans="1:6" x14ac:dyDescent="0.25">
      <c r="A915">
        <v>287.33655229112867</v>
      </c>
      <c r="B915">
        <v>91.782594302003119</v>
      </c>
      <c r="C915">
        <v>216.17190399999998</v>
      </c>
      <c r="E915">
        <f t="shared" si="37"/>
        <v>-235.35984091223037</v>
      </c>
      <c r="F915">
        <f t="shared" si="38"/>
        <v>286.2584261518133</v>
      </c>
    </row>
    <row r="916" spans="1:6" x14ac:dyDescent="0.25">
      <c r="A916">
        <v>264.49520066294446</v>
      </c>
      <c r="B916">
        <v>105.69519202033058</v>
      </c>
      <c r="C916">
        <v>216.17190399999998</v>
      </c>
      <c r="E916">
        <f t="shared" ref="E916:E979" si="39">($I$2*A916)+($K$2*B916)+($M$2*C916)</f>
        <v>-209.04977300025197</v>
      </c>
      <c r="F916">
        <f t="shared" ref="F916:F979" si="40">($J$2*A916)+($L$2*B916)+($N$2*C916)</f>
        <v>289.6546038519233</v>
      </c>
    </row>
    <row r="917" spans="1:6" x14ac:dyDescent="0.25">
      <c r="A917">
        <v>242.7136527385052</v>
      </c>
      <c r="B917">
        <v>118.75121149190801</v>
      </c>
      <c r="C917">
        <v>216.17190399999998</v>
      </c>
      <c r="E917">
        <f t="shared" si="39"/>
        <v>-184.03608727193202</v>
      </c>
      <c r="F917">
        <f t="shared" si="40"/>
        <v>292.75387801789304</v>
      </c>
    </row>
    <row r="918" spans="1:6" x14ac:dyDescent="0.25">
      <c r="A918">
        <v>221.19643154872219</v>
      </c>
      <c r="B918">
        <v>131.65978929451202</v>
      </c>
      <c r="C918">
        <v>216.17190399999998</v>
      </c>
      <c r="E918">
        <f t="shared" si="39"/>
        <v>-159.32201017787457</v>
      </c>
      <c r="F918">
        <f t="shared" si="40"/>
        <v>295.82280144516471</v>
      </c>
    </row>
    <row r="919" spans="1:6" x14ac:dyDescent="0.25">
      <c r="A919">
        <v>198.6637310304483</v>
      </c>
      <c r="B919">
        <v>145.32379548587755</v>
      </c>
      <c r="C919">
        <v>216.17190399999998</v>
      </c>
      <c r="E919">
        <f t="shared" si="39"/>
        <v>-133.38918013651679</v>
      </c>
      <c r="F919">
        <f t="shared" si="40"/>
        <v>299.13308722511988</v>
      </c>
    </row>
    <row r="920" spans="1:6" x14ac:dyDescent="0.25">
      <c r="A920">
        <v>173.50886004299184</v>
      </c>
      <c r="B920">
        <v>160.13453169034193</v>
      </c>
      <c r="C920">
        <v>216.17190399999998</v>
      </c>
      <c r="E920">
        <f t="shared" si="39"/>
        <v>-104.59739178671484</v>
      </c>
      <c r="F920">
        <f t="shared" si="40"/>
        <v>302.53590700686118</v>
      </c>
    </row>
    <row r="921" spans="1:6" x14ac:dyDescent="0.25">
      <c r="A921">
        <v>142.35004665164064</v>
      </c>
      <c r="B921">
        <v>178.98923229381293</v>
      </c>
      <c r="C921">
        <v>216.17190399999998</v>
      </c>
      <c r="E921">
        <f t="shared" si="39"/>
        <v>-68.751213097114032</v>
      </c>
      <c r="F921">
        <f t="shared" si="40"/>
        <v>307.08688822835535</v>
      </c>
    </row>
    <row r="922" spans="1:6" x14ac:dyDescent="0.25">
      <c r="A922">
        <v>109.59439097163254</v>
      </c>
      <c r="B922">
        <v>196.98582483518283</v>
      </c>
      <c r="C922">
        <v>216.17190399999998</v>
      </c>
      <c r="E922">
        <f t="shared" si="39"/>
        <v>-31.7217721293236</v>
      </c>
      <c r="F922">
        <f t="shared" si="40"/>
        <v>310.66675021873021</v>
      </c>
    </row>
    <row r="923" spans="1:6" x14ac:dyDescent="0.25">
      <c r="A923">
        <v>74.027248932918198</v>
      </c>
      <c r="B923">
        <v>213.66793938717345</v>
      </c>
      <c r="C923">
        <v>216.17190399999998</v>
      </c>
      <c r="E923">
        <f t="shared" si="39"/>
        <v>7.4613506905425862</v>
      </c>
      <c r="F923">
        <f t="shared" si="40"/>
        <v>312.66642829420891</v>
      </c>
    </row>
    <row r="924" spans="1:6" x14ac:dyDescent="0.25">
      <c r="A924">
        <v>38.658937243072778</v>
      </c>
      <c r="B924">
        <v>228.2406319044712</v>
      </c>
      <c r="C924">
        <v>216.17190399999998</v>
      </c>
      <c r="E924">
        <f t="shared" si="39"/>
        <v>45.702900139212574</v>
      </c>
      <c r="F924">
        <f t="shared" si="40"/>
        <v>313.32397477875963</v>
      </c>
    </row>
    <row r="925" spans="1:6" x14ac:dyDescent="0.25">
      <c r="A925">
        <v>8.2036508693117369E-14</v>
      </c>
      <c r="B925">
        <v>244.34073911376888</v>
      </c>
      <c r="C925">
        <v>216.17190399999998</v>
      </c>
      <c r="E925">
        <f t="shared" si="39"/>
        <v>87.563889666584458</v>
      </c>
      <c r="F925">
        <f t="shared" si="40"/>
        <v>314.15597138451415</v>
      </c>
    </row>
    <row r="926" spans="1:6" x14ac:dyDescent="0.25">
      <c r="A926">
        <v>-38.65893724307282</v>
      </c>
      <c r="B926">
        <v>228.24063190447117</v>
      </c>
      <c r="C926">
        <v>216.17190399999998</v>
      </c>
      <c r="E926">
        <f t="shared" si="39"/>
        <v>117.88535437784549</v>
      </c>
      <c r="F926">
        <f t="shared" si="40"/>
        <v>293.73128462218557</v>
      </c>
    </row>
    <row r="927" spans="1:6" x14ac:dyDescent="0.25">
      <c r="A927">
        <v>-74.027248932918127</v>
      </c>
      <c r="B927">
        <v>213.66793938717345</v>
      </c>
      <c r="C927">
        <v>216.17190399999998</v>
      </c>
      <c r="E927">
        <f t="shared" si="39"/>
        <v>145.68213195295911</v>
      </c>
      <c r="F927">
        <f t="shared" si="40"/>
        <v>275.14876601687519</v>
      </c>
    </row>
    <row r="928" spans="1:6" x14ac:dyDescent="0.25">
      <c r="A928">
        <v>-109.59439097163254</v>
      </c>
      <c r="B928">
        <v>196.98582483518294</v>
      </c>
      <c r="C928">
        <v>216.17190399999998</v>
      </c>
      <c r="E928">
        <f t="shared" si="39"/>
        <v>172.90858440067203</v>
      </c>
      <c r="F928">
        <f t="shared" si="40"/>
        <v>255.12334684722671</v>
      </c>
    </row>
    <row r="929" spans="1:6" x14ac:dyDescent="0.25">
      <c r="A929">
        <v>-142.35004665164024</v>
      </c>
      <c r="B929">
        <v>178.98923229381319</v>
      </c>
      <c r="C929">
        <v>216.17190399999998</v>
      </c>
      <c r="E929">
        <f t="shared" si="39"/>
        <v>197.03922143275619</v>
      </c>
      <c r="F929">
        <f t="shared" si="40"/>
        <v>234.94262983130884</v>
      </c>
    </row>
    <row r="930" spans="1:6" x14ac:dyDescent="0.25">
      <c r="A930">
        <v>-173.5088600429915</v>
      </c>
      <c r="B930">
        <v>160.13453169034213</v>
      </c>
      <c r="C930">
        <v>216.17190399999998</v>
      </c>
      <c r="E930">
        <f t="shared" si="39"/>
        <v>219.37155933324414</v>
      </c>
      <c r="F930">
        <f t="shared" si="40"/>
        <v>214.60008733163573</v>
      </c>
    </row>
    <row r="931" spans="1:6" x14ac:dyDescent="0.25">
      <c r="A931">
        <v>-198.66373103044822</v>
      </c>
      <c r="B931">
        <v>145.32379548587755</v>
      </c>
      <c r="C931">
        <v>216.17190399999998</v>
      </c>
      <c r="E931">
        <f t="shared" si="39"/>
        <v>237.54796135334576</v>
      </c>
      <c r="F931">
        <f t="shared" si="40"/>
        <v>198.44855720416058</v>
      </c>
    </row>
    <row r="932" spans="1:6" x14ac:dyDescent="0.25">
      <c r="A932">
        <v>-221.1964315487221</v>
      </c>
      <c r="B932">
        <v>131.65978929451197</v>
      </c>
      <c r="C932">
        <v>216.17190399999998</v>
      </c>
      <c r="E932">
        <f t="shared" si="39"/>
        <v>253.68730763195563</v>
      </c>
      <c r="F932">
        <f t="shared" si="40"/>
        <v>183.71850018555034</v>
      </c>
    </row>
    <row r="933" spans="1:6" x14ac:dyDescent="0.25">
      <c r="A933">
        <v>-242.7136527385052</v>
      </c>
      <c r="B933">
        <v>118.75121149190805</v>
      </c>
      <c r="C933">
        <v>216.17190399999998</v>
      </c>
      <c r="E933">
        <f t="shared" si="39"/>
        <v>269.14934360868278</v>
      </c>
      <c r="F933">
        <f t="shared" si="40"/>
        <v>169.74445939431311</v>
      </c>
    </row>
    <row r="934" spans="1:6" x14ac:dyDescent="0.25">
      <c r="A934">
        <v>-264.49520066294457</v>
      </c>
      <c r="B934">
        <v>105.69519202033057</v>
      </c>
      <c r="C934">
        <v>216.17190399999998</v>
      </c>
      <c r="E934">
        <f t="shared" si="39"/>
        <v>284.80531148249736</v>
      </c>
      <c r="F934">
        <f t="shared" si="40"/>
        <v>155.60610474532822</v>
      </c>
    </row>
    <row r="935" spans="1:6" x14ac:dyDescent="0.25">
      <c r="A935">
        <v>-287.33655229112861</v>
      </c>
      <c r="B935">
        <v>91.782594302003048</v>
      </c>
      <c r="C935">
        <v>216.17190399999998</v>
      </c>
      <c r="E935">
        <f t="shared" si="39"/>
        <v>301.14372116014437</v>
      </c>
      <c r="F935">
        <f t="shared" si="40"/>
        <v>140.63372870343477</v>
      </c>
    </row>
    <row r="936" spans="1:6" x14ac:dyDescent="0.25">
      <c r="A936">
        <v>-305.18357452169323</v>
      </c>
      <c r="B936">
        <v>79.218304348887983</v>
      </c>
      <c r="C936">
        <v>216.17190399999998</v>
      </c>
      <c r="E936">
        <f t="shared" si="39"/>
        <v>313.3027129578694</v>
      </c>
      <c r="F936">
        <f t="shared" si="40"/>
        <v>127.81701104665794</v>
      </c>
    </row>
    <row r="937" spans="1:6" x14ac:dyDescent="0.25">
      <c r="A937">
        <v>-322.9124775310874</v>
      </c>
      <c r="B937">
        <v>66.62460730440219</v>
      </c>
      <c r="C937">
        <v>216.17190399999998</v>
      </c>
      <c r="E937">
        <f t="shared" si="39"/>
        <v>325.34089240368013</v>
      </c>
      <c r="F937">
        <f t="shared" si="40"/>
        <v>115.01081249292511</v>
      </c>
    </row>
    <row r="938" spans="1:6" x14ac:dyDescent="0.25">
      <c r="A938">
        <v>-339.27631519253413</v>
      </c>
      <c r="B938">
        <v>54.76735991679827</v>
      </c>
      <c r="C938">
        <v>216.17190399999998</v>
      </c>
      <c r="E938">
        <f t="shared" si="39"/>
        <v>336.36859351323756</v>
      </c>
      <c r="F938">
        <f t="shared" si="40"/>
        <v>103.03668816462269</v>
      </c>
    </row>
    <row r="939" spans="1:6" x14ac:dyDescent="0.25">
      <c r="A939">
        <v>-352.71431300552319</v>
      </c>
      <c r="B939">
        <v>44.908345789980942</v>
      </c>
      <c r="C939">
        <v>216.17190399999998</v>
      </c>
      <c r="E939">
        <f t="shared" si="39"/>
        <v>345.38089056559062</v>
      </c>
      <c r="F939">
        <f t="shared" si="40"/>
        <v>93.123100352563156</v>
      </c>
    </row>
    <row r="940" spans="1:6" x14ac:dyDescent="0.25">
      <c r="A940">
        <v>-367.40178961289894</v>
      </c>
      <c r="B940">
        <v>35.782536920799188</v>
      </c>
      <c r="C940">
        <v>216.17190399999998</v>
      </c>
      <c r="E940">
        <f t="shared" si="39"/>
        <v>355.82243382848122</v>
      </c>
      <c r="F940">
        <f t="shared" si="40"/>
        <v>83.376907996103355</v>
      </c>
    </row>
    <row r="941" spans="1:6" x14ac:dyDescent="0.25">
      <c r="A941">
        <v>-382.55892907456644</v>
      </c>
      <c r="B941">
        <v>24.932235506872015</v>
      </c>
      <c r="C941">
        <v>216.17190399999998</v>
      </c>
      <c r="E941">
        <f t="shared" si="39"/>
        <v>366.08444228192474</v>
      </c>
      <c r="F941">
        <f t="shared" si="40"/>
        <v>72.373292682603861</v>
      </c>
    </row>
    <row r="942" spans="1:6" x14ac:dyDescent="0.25">
      <c r="A942">
        <v>-404.91162064222635</v>
      </c>
      <c r="B942">
        <v>-5.2581981618848771E-15</v>
      </c>
      <c r="C942">
        <v>269.652896</v>
      </c>
      <c r="E942">
        <f t="shared" si="39"/>
        <v>378.0175634928429</v>
      </c>
      <c r="F942">
        <f t="shared" si="40"/>
        <v>88.067002097186389</v>
      </c>
    </row>
    <row r="943" spans="1:6" x14ac:dyDescent="0.25">
      <c r="A943">
        <v>-388.1299311501474</v>
      </c>
      <c r="B943">
        <v>-11.859776672401049</v>
      </c>
      <c r="C943">
        <v>269.652896</v>
      </c>
      <c r="E943">
        <f t="shared" si="39"/>
        <v>358.10034281133068</v>
      </c>
      <c r="F943">
        <f t="shared" si="40"/>
        <v>84.490430746596346</v>
      </c>
    </row>
    <row r="944" spans="1:6" x14ac:dyDescent="0.25">
      <c r="A944">
        <v>-373.7778925107803</v>
      </c>
      <c r="B944">
        <v>-22.423397449072546</v>
      </c>
      <c r="C944">
        <v>269.652896</v>
      </c>
      <c r="E944">
        <f t="shared" si="39"/>
        <v>340.91589733977611</v>
      </c>
      <c r="F944">
        <f t="shared" si="40"/>
        <v>81.15382087620543</v>
      </c>
    </row>
    <row r="945" spans="1:6" x14ac:dyDescent="0.25">
      <c r="A945">
        <v>-360.17952377751169</v>
      </c>
      <c r="B945">
        <v>-31.264560992656449</v>
      </c>
      <c r="C945">
        <v>269.652896</v>
      </c>
      <c r="E945">
        <f t="shared" si="39"/>
        <v>325.05233680739616</v>
      </c>
      <c r="F945">
        <f t="shared" si="40"/>
        <v>78.763292457021535</v>
      </c>
    </row>
    <row r="946" spans="1:6" x14ac:dyDescent="0.25">
      <c r="A946">
        <v>-347.7106956354404</v>
      </c>
      <c r="B946">
        <v>-41.080429059143853</v>
      </c>
      <c r="C946">
        <v>269.652896</v>
      </c>
      <c r="E946">
        <f t="shared" si="39"/>
        <v>309.89399040060664</v>
      </c>
      <c r="F946">
        <f t="shared" si="40"/>
        <v>75.443091006283368</v>
      </c>
    </row>
    <row r="947" spans="1:6" x14ac:dyDescent="0.25">
      <c r="A947">
        <v>-333.29369493256377</v>
      </c>
      <c r="B947">
        <v>-52.453283111182436</v>
      </c>
      <c r="C947">
        <v>269.652896</v>
      </c>
      <c r="E947">
        <f t="shared" si="39"/>
        <v>292.35889434849764</v>
      </c>
      <c r="F947">
        <f t="shared" si="40"/>
        <v>71.588734704705544</v>
      </c>
    </row>
    <row r="948" spans="1:6" x14ac:dyDescent="0.25">
      <c r="A948">
        <v>-318.43863876425479</v>
      </c>
      <c r="B948">
        <v>-63.891435936870259</v>
      </c>
      <c r="C948">
        <v>269.652896</v>
      </c>
      <c r="E948">
        <f t="shared" si="39"/>
        <v>274.39143730052029</v>
      </c>
      <c r="F948">
        <f t="shared" si="40"/>
        <v>67.802277187678882</v>
      </c>
    </row>
    <row r="949" spans="1:6" x14ac:dyDescent="0.25">
      <c r="A949">
        <v>-301.41571811431118</v>
      </c>
      <c r="B949">
        <v>-75.81356138146765</v>
      </c>
      <c r="C949">
        <v>269.652896</v>
      </c>
      <c r="E949">
        <f t="shared" si="39"/>
        <v>254.22666413011567</v>
      </c>
      <c r="F949">
        <f t="shared" si="40"/>
        <v>64.245675891699534</v>
      </c>
    </row>
    <row r="950" spans="1:6" x14ac:dyDescent="0.25">
      <c r="A950">
        <v>-282.86384578491572</v>
      </c>
      <c r="B950">
        <v>-88.454953489068799</v>
      </c>
      <c r="C950">
        <v>269.652896</v>
      </c>
      <c r="E950">
        <f t="shared" si="39"/>
        <v>232.37672947951782</v>
      </c>
      <c r="F950">
        <f t="shared" si="40"/>
        <v>60.601700239412963</v>
      </c>
    </row>
    <row r="951" spans="1:6" x14ac:dyDescent="0.25">
      <c r="A951">
        <v>-261.85434372816928</v>
      </c>
      <c r="B951">
        <v>-102.21616205594974</v>
      </c>
      <c r="C951">
        <v>269.652896</v>
      </c>
      <c r="E951">
        <f t="shared" si="39"/>
        <v>207.83109349150834</v>
      </c>
      <c r="F951">
        <f t="shared" si="40"/>
        <v>56.84126197786938</v>
      </c>
    </row>
    <row r="952" spans="1:6" x14ac:dyDescent="0.25">
      <c r="A952">
        <v>-240.70776352272225</v>
      </c>
      <c r="B952">
        <v>-115.81009111289625</v>
      </c>
      <c r="C952">
        <v>269.652896</v>
      </c>
      <c r="E952">
        <f t="shared" si="39"/>
        <v>183.2174316419476</v>
      </c>
      <c r="F952">
        <f t="shared" si="40"/>
        <v>53.22598799474045</v>
      </c>
    </row>
    <row r="953" spans="1:6" x14ac:dyDescent="0.25">
      <c r="A953">
        <v>-218.19229086330762</v>
      </c>
      <c r="B953">
        <v>-129.69753091381264</v>
      </c>
      <c r="C953">
        <v>269.652896</v>
      </c>
      <c r="E953">
        <f t="shared" si="39"/>
        <v>157.220613747897</v>
      </c>
      <c r="F953">
        <f t="shared" si="40"/>
        <v>49.763838901727894</v>
      </c>
    </row>
    <row r="954" spans="1:6" x14ac:dyDescent="0.25">
      <c r="A954">
        <v>-194.59469634101083</v>
      </c>
      <c r="B954">
        <v>-143.45847662513737</v>
      </c>
      <c r="C954">
        <v>269.652896</v>
      </c>
      <c r="E954">
        <f t="shared" si="39"/>
        <v>130.25887949109153</v>
      </c>
      <c r="F954">
        <f t="shared" si="40"/>
        <v>46.659408199154683</v>
      </c>
    </row>
    <row r="955" spans="1:6" x14ac:dyDescent="0.25">
      <c r="A955">
        <v>-167.22710606691362</v>
      </c>
      <c r="B955">
        <v>-159.85093421752265</v>
      </c>
      <c r="C955">
        <v>269.652896</v>
      </c>
      <c r="E955">
        <f t="shared" si="39"/>
        <v>98.834501475407762</v>
      </c>
      <c r="F955">
        <f t="shared" si="40"/>
        <v>42.773142018331384</v>
      </c>
    </row>
    <row r="956" spans="1:6" x14ac:dyDescent="0.25">
      <c r="A956">
        <v>-136.20638105709028</v>
      </c>
      <c r="B956">
        <v>-177.40105845728601</v>
      </c>
      <c r="C956">
        <v>269.652896</v>
      </c>
      <c r="E956">
        <f t="shared" si="39"/>
        <v>63.584757752415221</v>
      </c>
      <c r="F956">
        <f t="shared" si="40"/>
        <v>39.048373003375161</v>
      </c>
    </row>
    <row r="957" spans="1:6" x14ac:dyDescent="0.25">
      <c r="A957">
        <v>-105.62379623589011</v>
      </c>
      <c r="B957">
        <v>-192.74354592607267</v>
      </c>
      <c r="C957">
        <v>269.652896</v>
      </c>
      <c r="E957">
        <f t="shared" si="39"/>
        <v>29.53519939653879</v>
      </c>
      <c r="F957">
        <f t="shared" si="40"/>
        <v>36.669928990418015</v>
      </c>
    </row>
    <row r="958" spans="1:6" x14ac:dyDescent="0.25">
      <c r="A958">
        <v>-73.554597424059253</v>
      </c>
      <c r="B958">
        <v>-208.66267871361748</v>
      </c>
      <c r="C958">
        <v>269.652896</v>
      </c>
      <c r="E958">
        <f t="shared" si="39"/>
        <v>-6.1088838832456345</v>
      </c>
      <c r="F958">
        <f t="shared" si="40"/>
        <v>34.287532268206121</v>
      </c>
    </row>
    <row r="959" spans="1:6" x14ac:dyDescent="0.25">
      <c r="A959">
        <v>-35.94084215784121</v>
      </c>
      <c r="B959">
        <v>-224.02492686515379</v>
      </c>
      <c r="C959">
        <v>269.652896</v>
      </c>
      <c r="E959">
        <f t="shared" si="39"/>
        <v>-46.729686937314966</v>
      </c>
      <c r="F959">
        <f t="shared" si="40"/>
        <v>33.677772996511123</v>
      </c>
    </row>
    <row r="960" spans="1:6" x14ac:dyDescent="0.25">
      <c r="A960">
        <v>5.3089759954774336E-14</v>
      </c>
      <c r="B960">
        <v>-237.57108789827745</v>
      </c>
      <c r="C960">
        <v>269.652896</v>
      </c>
      <c r="E960">
        <f t="shared" si="39"/>
        <v>-85.137863641351998</v>
      </c>
      <c r="F960">
        <f t="shared" si="40"/>
        <v>33.842963828043992</v>
      </c>
    </row>
    <row r="961" spans="1:6" x14ac:dyDescent="0.25">
      <c r="A961">
        <v>35.940842157841089</v>
      </c>
      <c r="B961">
        <v>-224.02492686515379</v>
      </c>
      <c r="C961">
        <v>269.652896</v>
      </c>
      <c r="E961">
        <f t="shared" si="39"/>
        <v>-113.83702043808688</v>
      </c>
      <c r="F961">
        <f t="shared" si="40"/>
        <v>51.892908605059091</v>
      </c>
    </row>
    <row r="962" spans="1:6" x14ac:dyDescent="0.25">
      <c r="A962">
        <v>73.55459742405931</v>
      </c>
      <c r="B962">
        <v>-208.66267871361754</v>
      </c>
      <c r="C962">
        <v>269.652896</v>
      </c>
      <c r="E962">
        <f t="shared" si="39"/>
        <v>-143.44714875121213</v>
      </c>
      <c r="F962">
        <f t="shared" si="40"/>
        <v>71.565650594631833</v>
      </c>
    </row>
    <row r="963" spans="1:6" x14ac:dyDescent="0.25">
      <c r="A963">
        <v>105.62379623589017</v>
      </c>
      <c r="B963">
        <v>-192.74354592607267</v>
      </c>
      <c r="C963">
        <v>269.652896</v>
      </c>
      <c r="E963">
        <f t="shared" si="39"/>
        <v>-167.6814180797729</v>
      </c>
      <c r="F963">
        <f t="shared" si="40"/>
        <v>90.200999950774815</v>
      </c>
    </row>
    <row r="964" spans="1:6" x14ac:dyDescent="0.25">
      <c r="A964">
        <v>136.20638105709023</v>
      </c>
      <c r="B964">
        <v>-177.4010584572859</v>
      </c>
      <c r="C964">
        <v>269.652896</v>
      </c>
      <c r="E964">
        <f t="shared" si="39"/>
        <v>-190.73446488542214</v>
      </c>
      <c r="F964">
        <f t="shared" si="40"/>
        <v>108.0789675233531</v>
      </c>
    </row>
    <row r="965" spans="1:6" x14ac:dyDescent="0.25">
      <c r="A965">
        <v>167.22710606691365</v>
      </c>
      <c r="B965">
        <v>-159.85093421752268</v>
      </c>
      <c r="C965">
        <v>269.652896</v>
      </c>
      <c r="E965">
        <f t="shared" si="39"/>
        <v>-213.40540453227626</v>
      </c>
      <c r="F965">
        <f t="shared" si="40"/>
        <v>127.52531340754052</v>
      </c>
    </row>
    <row r="966" spans="1:6" x14ac:dyDescent="0.25">
      <c r="A966">
        <v>194.59469634101066</v>
      </c>
      <c r="B966">
        <v>-143.45847662513751</v>
      </c>
      <c r="C966">
        <v>269.652896</v>
      </c>
      <c r="E966">
        <f t="shared" si="39"/>
        <v>-233.08071971717709</v>
      </c>
      <c r="F966">
        <f t="shared" si="40"/>
        <v>145.28171557272884</v>
      </c>
    </row>
    <row r="967" spans="1:6" x14ac:dyDescent="0.25">
      <c r="A967">
        <v>218.19229086330753</v>
      </c>
      <c r="B967">
        <v>-129.69753091381281</v>
      </c>
      <c r="C967">
        <v>269.652896</v>
      </c>
      <c r="E967">
        <f t="shared" si="39"/>
        <v>-250.17949017723942</v>
      </c>
      <c r="F967">
        <f t="shared" si="40"/>
        <v>160.34561518177532</v>
      </c>
    </row>
    <row r="968" spans="1:6" x14ac:dyDescent="0.25">
      <c r="A968">
        <v>240.70776352272227</v>
      </c>
      <c r="B968">
        <v>-115.81009111289616</v>
      </c>
      <c r="C968">
        <v>269.652896</v>
      </c>
      <c r="E968">
        <f t="shared" si="39"/>
        <v>-266.22268141951355</v>
      </c>
      <c r="F968">
        <f t="shared" si="40"/>
        <v>175.2188042827172</v>
      </c>
    </row>
    <row r="969" spans="1:6" x14ac:dyDescent="0.25">
      <c r="A969">
        <v>261.85434372816934</v>
      </c>
      <c r="B969">
        <v>-102.21616205594978</v>
      </c>
      <c r="C969">
        <v>269.652896</v>
      </c>
      <c r="E969">
        <f t="shared" si="39"/>
        <v>-281.09308630427</v>
      </c>
      <c r="F969">
        <f t="shared" si="40"/>
        <v>189.55135151191041</v>
      </c>
    </row>
    <row r="970" spans="1:6" x14ac:dyDescent="0.25">
      <c r="A970">
        <v>282.86384578491578</v>
      </c>
      <c r="B970">
        <v>-88.454953489068856</v>
      </c>
      <c r="C970">
        <v>269.652896</v>
      </c>
      <c r="E970">
        <f t="shared" si="39"/>
        <v>-295.7755700975228</v>
      </c>
      <c r="F970">
        <f t="shared" si="40"/>
        <v>203.95959060547244</v>
      </c>
    </row>
    <row r="971" spans="1:6" x14ac:dyDescent="0.25">
      <c r="A971">
        <v>301.41571811431129</v>
      </c>
      <c r="B971">
        <v>-75.813561381467693</v>
      </c>
      <c r="C971">
        <v>269.652896</v>
      </c>
      <c r="E971">
        <f t="shared" si="39"/>
        <v>-308.56496521012235</v>
      </c>
      <c r="F971">
        <f t="shared" si="40"/>
        <v>217.00581868101457</v>
      </c>
    </row>
    <row r="972" spans="1:6" x14ac:dyDescent="0.25">
      <c r="A972">
        <v>318.43863876425473</v>
      </c>
      <c r="B972">
        <v>-63.891435936870252</v>
      </c>
      <c r="C972">
        <v>269.652896</v>
      </c>
      <c r="E972">
        <f t="shared" si="39"/>
        <v>-320.18472308092237</v>
      </c>
      <c r="F972">
        <f t="shared" si="40"/>
        <v>229.18978621205656</v>
      </c>
    </row>
    <row r="973" spans="1:6" x14ac:dyDescent="0.25">
      <c r="A973">
        <v>333.29369493256382</v>
      </c>
      <c r="B973">
        <v>-52.453283111182465</v>
      </c>
      <c r="C973">
        <v>269.652896</v>
      </c>
      <c r="E973">
        <f t="shared" si="39"/>
        <v>-329.95404537944466</v>
      </c>
      <c r="F973">
        <f t="shared" si="40"/>
        <v>240.50491713606715</v>
      </c>
    </row>
    <row r="974" spans="1:6" x14ac:dyDescent="0.25">
      <c r="A974">
        <v>347.71069563544023</v>
      </c>
      <c r="B974">
        <v>-41.080429059143789</v>
      </c>
      <c r="C974">
        <v>269.652896</v>
      </c>
      <c r="E974">
        <f t="shared" si="39"/>
        <v>-339.33780865733945</v>
      </c>
      <c r="F974">
        <f t="shared" si="40"/>
        <v>251.66593647347861</v>
      </c>
    </row>
    <row r="975" spans="1:6" x14ac:dyDescent="0.25">
      <c r="A975">
        <v>360.17952377751163</v>
      </c>
      <c r="B975">
        <v>-31.264560992656431</v>
      </c>
      <c r="C975">
        <v>269.652896</v>
      </c>
      <c r="E975">
        <f t="shared" si="39"/>
        <v>-347.46077004014052</v>
      </c>
      <c r="F975">
        <f t="shared" si="40"/>
        <v>261.3054499339371</v>
      </c>
    </row>
    <row r="976" spans="1:6" x14ac:dyDescent="0.25">
      <c r="A976">
        <v>373.7778925107803</v>
      </c>
      <c r="B976">
        <v>-22.423397449072592</v>
      </c>
      <c r="C976">
        <v>269.652896</v>
      </c>
      <c r="E976">
        <f t="shared" si="39"/>
        <v>-356.98755127110292</v>
      </c>
      <c r="F976">
        <f t="shared" si="40"/>
        <v>270.58775149087103</v>
      </c>
    </row>
    <row r="977" spans="1:6" x14ac:dyDescent="0.25">
      <c r="A977">
        <v>388.12993115014746</v>
      </c>
      <c r="B977">
        <v>-11.859776672401061</v>
      </c>
      <c r="C977">
        <v>269.652896</v>
      </c>
      <c r="E977">
        <f t="shared" si="39"/>
        <v>-366.60067050763769</v>
      </c>
      <c r="F977">
        <f t="shared" si="40"/>
        <v>281.19810105069655</v>
      </c>
    </row>
    <row r="978" spans="1:6" x14ac:dyDescent="0.25">
      <c r="A978">
        <v>404.91162064222641</v>
      </c>
      <c r="B978">
        <v>2.5587053455105009E-14</v>
      </c>
      <c r="C978">
        <v>269.652896</v>
      </c>
      <c r="E978">
        <f t="shared" si="39"/>
        <v>-378.01756349284284</v>
      </c>
      <c r="F978">
        <f t="shared" si="40"/>
        <v>293.27978055919527</v>
      </c>
    </row>
    <row r="979" spans="1:6" x14ac:dyDescent="0.25">
      <c r="A979">
        <v>388.12993115014746</v>
      </c>
      <c r="B979">
        <v>11.859776672401079</v>
      </c>
      <c r="C979">
        <v>269.652896</v>
      </c>
      <c r="E979">
        <f t="shared" si="39"/>
        <v>-358.10034281133062</v>
      </c>
      <c r="F979">
        <f t="shared" si="40"/>
        <v>296.85635190978536</v>
      </c>
    </row>
    <row r="980" spans="1:6" x14ac:dyDescent="0.25">
      <c r="A980">
        <v>373.77789251078036</v>
      </c>
      <c r="B980">
        <v>22.423397449072567</v>
      </c>
      <c r="C980">
        <v>269.652896</v>
      </c>
      <c r="E980">
        <f t="shared" ref="E980:E1043" si="41">($I$2*A980)+($K$2*B980)+($M$2*C980)</f>
        <v>-340.91589733977605</v>
      </c>
      <c r="F980">
        <f t="shared" ref="F980:F1043" si="42">($J$2*A980)+($L$2*B980)+($N$2*C980)</f>
        <v>300.19296178017623</v>
      </c>
    </row>
    <row r="981" spans="1:6" x14ac:dyDescent="0.25">
      <c r="A981">
        <v>360.17952377751158</v>
      </c>
      <c r="B981">
        <v>31.264560992656435</v>
      </c>
      <c r="C981">
        <v>269.652896</v>
      </c>
      <c r="E981">
        <f t="shared" si="41"/>
        <v>-325.05233680739593</v>
      </c>
      <c r="F981">
        <f t="shared" si="42"/>
        <v>302.58349019936009</v>
      </c>
    </row>
    <row r="982" spans="1:6" x14ac:dyDescent="0.25">
      <c r="A982">
        <v>347.71069563544023</v>
      </c>
      <c r="B982">
        <v>41.080429059143817</v>
      </c>
      <c r="C982">
        <v>269.652896</v>
      </c>
      <c r="E982">
        <f t="shared" si="41"/>
        <v>-309.89399040060641</v>
      </c>
      <c r="F982">
        <f t="shared" si="42"/>
        <v>305.90369165009827</v>
      </c>
    </row>
    <row r="983" spans="1:6" x14ac:dyDescent="0.25">
      <c r="A983">
        <v>333.29369493256371</v>
      </c>
      <c r="B983">
        <v>52.453283111182479</v>
      </c>
      <c r="C983">
        <v>269.652896</v>
      </c>
      <c r="E983">
        <f t="shared" si="41"/>
        <v>-292.35889434849747</v>
      </c>
      <c r="F983">
        <f t="shared" si="42"/>
        <v>309.75804795167613</v>
      </c>
    </row>
    <row r="984" spans="1:6" x14ac:dyDescent="0.25">
      <c r="A984">
        <v>318.43863876425479</v>
      </c>
      <c r="B984">
        <v>63.891435936870252</v>
      </c>
      <c r="C984">
        <v>269.652896</v>
      </c>
      <c r="E984">
        <f t="shared" si="41"/>
        <v>-274.39143730052018</v>
      </c>
      <c r="F984">
        <f t="shared" si="42"/>
        <v>313.54450546870277</v>
      </c>
    </row>
    <row r="985" spans="1:6" x14ac:dyDescent="0.25">
      <c r="A985">
        <v>301.41571811431123</v>
      </c>
      <c r="B985">
        <v>75.813561381467636</v>
      </c>
      <c r="C985">
        <v>269.652896</v>
      </c>
      <c r="E985">
        <f t="shared" si="41"/>
        <v>-254.22666413011567</v>
      </c>
      <c r="F985">
        <f t="shared" si="42"/>
        <v>317.10110676468213</v>
      </c>
    </row>
    <row r="986" spans="1:6" x14ac:dyDescent="0.25">
      <c r="A986">
        <v>282.86384578491578</v>
      </c>
      <c r="B986">
        <v>88.454953489068856</v>
      </c>
      <c r="C986">
        <v>269.652896</v>
      </c>
      <c r="E986">
        <f t="shared" si="41"/>
        <v>-232.37672947951782</v>
      </c>
      <c r="F986">
        <f t="shared" si="42"/>
        <v>320.74508241696878</v>
      </c>
    </row>
    <row r="987" spans="1:6" x14ac:dyDescent="0.25">
      <c r="A987">
        <v>261.85434372816928</v>
      </c>
      <c r="B987">
        <v>102.21616205594978</v>
      </c>
      <c r="C987">
        <v>269.652896</v>
      </c>
      <c r="E987">
        <f t="shared" si="41"/>
        <v>-207.83109349150826</v>
      </c>
      <c r="F987">
        <f t="shared" si="42"/>
        <v>324.50552067851231</v>
      </c>
    </row>
    <row r="988" spans="1:6" x14ac:dyDescent="0.25">
      <c r="A988">
        <v>240.70776352272227</v>
      </c>
      <c r="B988">
        <v>115.81009111289617</v>
      </c>
      <c r="C988">
        <v>269.652896</v>
      </c>
      <c r="E988">
        <f t="shared" si="41"/>
        <v>-183.2174316419476</v>
      </c>
      <c r="F988">
        <f t="shared" si="42"/>
        <v>328.12079466164118</v>
      </c>
    </row>
    <row r="989" spans="1:6" x14ac:dyDescent="0.25">
      <c r="A989">
        <v>218.19229086330768</v>
      </c>
      <c r="B989">
        <v>129.69753091381276</v>
      </c>
      <c r="C989">
        <v>269.652896</v>
      </c>
      <c r="E989">
        <f t="shared" si="41"/>
        <v>-157.22061374789698</v>
      </c>
      <c r="F989">
        <f t="shared" si="42"/>
        <v>331.58294375465385</v>
      </c>
    </row>
    <row r="990" spans="1:6" x14ac:dyDescent="0.25">
      <c r="A990">
        <v>194.59469634101089</v>
      </c>
      <c r="B990">
        <v>143.45847662513745</v>
      </c>
      <c r="C990">
        <v>269.652896</v>
      </c>
      <c r="E990">
        <f t="shared" si="41"/>
        <v>-130.25887949109148</v>
      </c>
      <c r="F990">
        <f t="shared" si="42"/>
        <v>334.68737445722707</v>
      </c>
    </row>
    <row r="991" spans="1:6" x14ac:dyDescent="0.25">
      <c r="A991">
        <v>167.22710606691379</v>
      </c>
      <c r="B991">
        <v>159.85093421752259</v>
      </c>
      <c r="C991">
        <v>269.652896</v>
      </c>
      <c r="E991">
        <f t="shared" si="41"/>
        <v>-98.83450147540789</v>
      </c>
      <c r="F991">
        <f t="shared" si="42"/>
        <v>338.57364063805028</v>
      </c>
    </row>
    <row r="992" spans="1:6" x14ac:dyDescent="0.25">
      <c r="A992">
        <v>136.20638105709051</v>
      </c>
      <c r="B992">
        <v>177.40105845728598</v>
      </c>
      <c r="C992">
        <v>269.652896</v>
      </c>
      <c r="E992">
        <f t="shared" si="41"/>
        <v>-63.584757752415371</v>
      </c>
      <c r="F992">
        <f t="shared" si="42"/>
        <v>342.2984096530065</v>
      </c>
    </row>
    <row r="993" spans="1:6" x14ac:dyDescent="0.25">
      <c r="A993">
        <v>105.62379623589005</v>
      </c>
      <c r="B993">
        <v>192.7435459260727</v>
      </c>
      <c r="C993">
        <v>269.652896</v>
      </c>
      <c r="E993">
        <f t="shared" si="41"/>
        <v>-29.535199396538655</v>
      </c>
      <c r="F993">
        <f t="shared" si="42"/>
        <v>344.67685366596368</v>
      </c>
    </row>
    <row r="994" spans="1:6" x14ac:dyDescent="0.25">
      <c r="A994">
        <v>73.55459742405921</v>
      </c>
      <c r="B994">
        <v>208.66267871361759</v>
      </c>
      <c r="C994">
        <v>269.652896</v>
      </c>
      <c r="E994">
        <f t="shared" si="41"/>
        <v>6.108883883245757</v>
      </c>
      <c r="F994">
        <f t="shared" si="42"/>
        <v>347.05925038817566</v>
      </c>
    </row>
    <row r="995" spans="1:6" x14ac:dyDescent="0.25">
      <c r="A995">
        <v>35.940842157841097</v>
      </c>
      <c r="B995">
        <v>224.02492686515379</v>
      </c>
      <c r="C995">
        <v>269.652896</v>
      </c>
      <c r="E995">
        <f t="shared" si="41"/>
        <v>46.729686937315144</v>
      </c>
      <c r="F995">
        <f t="shared" si="42"/>
        <v>347.66900965987054</v>
      </c>
    </row>
    <row r="996" spans="1:6" x14ac:dyDescent="0.25">
      <c r="A996">
        <v>6.4857772139259305E-14</v>
      </c>
      <c r="B996">
        <v>237.57108789827751</v>
      </c>
      <c r="C996">
        <v>269.652896</v>
      </c>
      <c r="E996">
        <f t="shared" si="41"/>
        <v>85.137863641351984</v>
      </c>
      <c r="F996">
        <f t="shared" si="42"/>
        <v>347.50381882833773</v>
      </c>
    </row>
    <row r="997" spans="1:6" x14ac:dyDescent="0.25">
      <c r="A997">
        <v>-35.940842157841111</v>
      </c>
      <c r="B997">
        <v>224.02492686515382</v>
      </c>
      <c r="C997">
        <v>269.652896</v>
      </c>
      <c r="E997">
        <f t="shared" si="41"/>
        <v>113.83702043808697</v>
      </c>
      <c r="F997">
        <f t="shared" si="42"/>
        <v>329.4538740513226</v>
      </c>
    </row>
    <row r="998" spans="1:6" x14ac:dyDescent="0.25">
      <c r="A998">
        <v>-73.554597424059196</v>
      </c>
      <c r="B998">
        <v>208.66267871361765</v>
      </c>
      <c r="C998">
        <v>269.652896</v>
      </c>
      <c r="E998">
        <f t="shared" si="41"/>
        <v>143.44714875121213</v>
      </c>
      <c r="F998">
        <f t="shared" si="42"/>
        <v>309.78113206174993</v>
      </c>
    </row>
    <row r="999" spans="1:6" x14ac:dyDescent="0.25">
      <c r="A999">
        <v>-105.62379623589005</v>
      </c>
      <c r="B999">
        <v>192.74354592607273</v>
      </c>
      <c r="C999">
        <v>269.652896</v>
      </c>
      <c r="E999">
        <f t="shared" si="41"/>
        <v>167.6814180797729</v>
      </c>
      <c r="F999">
        <f t="shared" si="42"/>
        <v>291.1457827056069</v>
      </c>
    </row>
    <row r="1000" spans="1:6" x14ac:dyDescent="0.25">
      <c r="A1000">
        <v>-136.20638105709014</v>
      </c>
      <c r="B1000">
        <v>177.40105845728615</v>
      </c>
      <c r="C1000">
        <v>269.652896</v>
      </c>
      <c r="E1000">
        <f t="shared" si="41"/>
        <v>190.73446488542223</v>
      </c>
      <c r="F1000">
        <f t="shared" si="42"/>
        <v>273.26781513302876</v>
      </c>
    </row>
    <row r="1001" spans="1:6" x14ac:dyDescent="0.25">
      <c r="A1001">
        <v>-167.22710606691345</v>
      </c>
      <c r="B1001">
        <v>159.85093421752279</v>
      </c>
      <c r="C1001">
        <v>269.652896</v>
      </c>
      <c r="E1001">
        <f t="shared" si="41"/>
        <v>213.40540453227621</v>
      </c>
      <c r="F1001">
        <f t="shared" si="42"/>
        <v>253.82146924884125</v>
      </c>
    </row>
    <row r="1002" spans="1:6" x14ac:dyDescent="0.25">
      <c r="A1002">
        <v>-194.59469634101086</v>
      </c>
      <c r="B1002">
        <v>143.45847662513754</v>
      </c>
      <c r="C1002">
        <v>269.652896</v>
      </c>
      <c r="E1002">
        <f t="shared" si="41"/>
        <v>233.08071971717732</v>
      </c>
      <c r="F1002">
        <f t="shared" si="42"/>
        <v>236.06506708365279</v>
      </c>
    </row>
    <row r="1003" spans="1:6" x14ac:dyDescent="0.25">
      <c r="A1003">
        <v>-218.19229086330762</v>
      </c>
      <c r="B1003">
        <v>129.6975309138127</v>
      </c>
      <c r="C1003">
        <v>269.652896</v>
      </c>
      <c r="E1003">
        <f t="shared" si="41"/>
        <v>250.1794901772395</v>
      </c>
      <c r="F1003">
        <f t="shared" si="42"/>
        <v>221.00116747460626</v>
      </c>
    </row>
    <row r="1004" spans="1:6" x14ac:dyDescent="0.25">
      <c r="A1004">
        <v>-240.70776352272227</v>
      </c>
      <c r="B1004">
        <v>115.81009111289627</v>
      </c>
      <c r="C1004">
        <v>269.652896</v>
      </c>
      <c r="E1004">
        <f t="shared" si="41"/>
        <v>266.22268141951372</v>
      </c>
      <c r="F1004">
        <f t="shared" si="42"/>
        <v>206.12797837366455</v>
      </c>
    </row>
    <row r="1005" spans="1:6" x14ac:dyDescent="0.25">
      <c r="A1005">
        <v>-261.85434372816923</v>
      </c>
      <c r="B1005">
        <v>102.21616205594974</v>
      </c>
      <c r="C1005">
        <v>269.652896</v>
      </c>
      <c r="E1005">
        <f t="shared" si="41"/>
        <v>281.09308630427</v>
      </c>
      <c r="F1005">
        <f t="shared" si="42"/>
        <v>191.79543114447125</v>
      </c>
    </row>
    <row r="1006" spans="1:6" x14ac:dyDescent="0.25">
      <c r="A1006">
        <v>-282.86384578491572</v>
      </c>
      <c r="B1006">
        <v>88.45495348906887</v>
      </c>
      <c r="C1006">
        <v>269.652896</v>
      </c>
      <c r="E1006">
        <f t="shared" si="41"/>
        <v>295.77557009752286</v>
      </c>
      <c r="F1006">
        <f t="shared" si="42"/>
        <v>177.38719205090922</v>
      </c>
    </row>
    <row r="1007" spans="1:6" x14ac:dyDescent="0.25">
      <c r="A1007">
        <v>-301.41571811431118</v>
      </c>
      <c r="B1007">
        <v>75.813561381467721</v>
      </c>
      <c r="C1007">
        <v>269.652896</v>
      </c>
      <c r="E1007">
        <f t="shared" si="41"/>
        <v>308.56496521012235</v>
      </c>
      <c r="F1007">
        <f t="shared" si="42"/>
        <v>164.34096397536715</v>
      </c>
    </row>
    <row r="1008" spans="1:6" x14ac:dyDescent="0.25">
      <c r="A1008">
        <v>-318.43863876425479</v>
      </c>
      <c r="B1008">
        <v>63.891435936870359</v>
      </c>
      <c r="C1008">
        <v>269.652896</v>
      </c>
      <c r="E1008">
        <f t="shared" si="41"/>
        <v>320.18472308092254</v>
      </c>
      <c r="F1008">
        <f t="shared" si="42"/>
        <v>152.15699644432516</v>
      </c>
    </row>
    <row r="1009" spans="1:6" x14ac:dyDescent="0.25">
      <c r="A1009">
        <v>-333.29369493256371</v>
      </c>
      <c r="B1009">
        <v>52.453283111182557</v>
      </c>
      <c r="C1009">
        <v>269.652896</v>
      </c>
      <c r="E1009">
        <f t="shared" si="41"/>
        <v>329.95404537944478</v>
      </c>
      <c r="F1009">
        <f t="shared" si="42"/>
        <v>140.84186552031463</v>
      </c>
    </row>
    <row r="1010" spans="1:6" x14ac:dyDescent="0.25">
      <c r="A1010">
        <v>-347.71069563544029</v>
      </c>
      <c r="B1010">
        <v>41.080429059143952</v>
      </c>
      <c r="C1010">
        <v>269.652896</v>
      </c>
      <c r="E1010">
        <f t="shared" si="41"/>
        <v>339.33780865733968</v>
      </c>
      <c r="F1010">
        <f t="shared" si="42"/>
        <v>129.68084618290317</v>
      </c>
    </row>
    <row r="1011" spans="1:6" x14ac:dyDescent="0.25">
      <c r="A1011">
        <v>-360.17952377751175</v>
      </c>
      <c r="B1011">
        <v>31.264560992656392</v>
      </c>
      <c r="C1011">
        <v>269.652896</v>
      </c>
      <c r="E1011">
        <f t="shared" si="41"/>
        <v>347.46077004014074</v>
      </c>
      <c r="F1011">
        <f t="shared" si="42"/>
        <v>120.04133272244452</v>
      </c>
    </row>
    <row r="1012" spans="1:6" x14ac:dyDescent="0.25">
      <c r="A1012">
        <v>-373.77789251078036</v>
      </c>
      <c r="B1012">
        <v>22.423397449072567</v>
      </c>
      <c r="C1012">
        <v>269.652896</v>
      </c>
      <c r="E1012">
        <f t="shared" si="41"/>
        <v>356.98755127110303</v>
      </c>
      <c r="F1012">
        <f t="shared" si="42"/>
        <v>110.75903116551058</v>
      </c>
    </row>
    <row r="1013" spans="1:6" x14ac:dyDescent="0.25">
      <c r="A1013">
        <v>-381.41756763549961</v>
      </c>
      <c r="B1013">
        <v>-2.324092103537451E-15</v>
      </c>
      <c r="C1013">
        <v>323.13388799999996</v>
      </c>
      <c r="E1013">
        <f t="shared" si="41"/>
        <v>356.0839754666751</v>
      </c>
      <c r="F1013">
        <f t="shared" si="42"/>
        <v>131.83727078182423</v>
      </c>
    </row>
    <row r="1014" spans="1:6" x14ac:dyDescent="0.25">
      <c r="A1014">
        <v>-371.26812637734548</v>
      </c>
      <c r="B1014">
        <v>-9.2170802027139516</v>
      </c>
      <c r="C1014">
        <v>323.13388799999996</v>
      </c>
      <c r="E1014">
        <f t="shared" si="41"/>
        <v>343.30554963513805</v>
      </c>
      <c r="F1014">
        <f t="shared" si="42"/>
        <v>128.32461092183991</v>
      </c>
    </row>
    <row r="1015" spans="1:6" x14ac:dyDescent="0.25">
      <c r="A1015">
        <v>-359.64012801366272</v>
      </c>
      <c r="B1015">
        <v>-18.583876660292301</v>
      </c>
      <c r="C1015">
        <v>323.13388799999996</v>
      </c>
      <c r="E1015">
        <f t="shared" si="41"/>
        <v>329.09311832315183</v>
      </c>
      <c r="F1015">
        <f t="shared" si="42"/>
        <v>125.08779010307465</v>
      </c>
    </row>
    <row r="1016" spans="1:6" x14ac:dyDescent="0.25">
      <c r="A1016">
        <v>-347.30554142523744</v>
      </c>
      <c r="B1016">
        <v>-29.283483877735879</v>
      </c>
      <c r="C1016">
        <v>323.13388799999996</v>
      </c>
      <c r="E1016">
        <f t="shared" si="41"/>
        <v>313.7433934158077</v>
      </c>
      <c r="F1016">
        <f t="shared" si="42"/>
        <v>121.15017875964625</v>
      </c>
    </row>
    <row r="1017" spans="1:6" x14ac:dyDescent="0.25">
      <c r="A1017">
        <v>-334.48623374732728</v>
      </c>
      <c r="B1017">
        <v>-39.844319440736186</v>
      </c>
      <c r="C1017">
        <v>323.13388799999996</v>
      </c>
      <c r="E1017">
        <f t="shared" si="41"/>
        <v>297.99087370026803</v>
      </c>
      <c r="F1017">
        <f t="shared" si="42"/>
        <v>117.42700674232081</v>
      </c>
    </row>
    <row r="1018" spans="1:6" x14ac:dyDescent="0.25">
      <c r="A1018">
        <v>-321.3870713669989</v>
      </c>
      <c r="B1018">
        <v>-50.388403243808355</v>
      </c>
      <c r="C1018">
        <v>323.13388799999996</v>
      </c>
      <c r="E1018">
        <f t="shared" si="41"/>
        <v>281.98309040614413</v>
      </c>
      <c r="F1018">
        <f t="shared" si="42"/>
        <v>113.78580966438145</v>
      </c>
    </row>
    <row r="1019" spans="1:6" x14ac:dyDescent="0.25">
      <c r="A1019">
        <v>-307.84288612024397</v>
      </c>
      <c r="B1019">
        <v>-61.142431399523964</v>
      </c>
      <c r="C1019">
        <v>323.13388799999996</v>
      </c>
      <c r="E1019">
        <f t="shared" si="41"/>
        <v>265.48460514740538</v>
      </c>
      <c r="F1019">
        <f t="shared" si="42"/>
        <v>110.11879045666542</v>
      </c>
    </row>
    <row r="1020" spans="1:6" x14ac:dyDescent="0.25">
      <c r="A1020">
        <v>-293.38515550986409</v>
      </c>
      <c r="B1020">
        <v>-72.360764274938731</v>
      </c>
      <c r="C1020">
        <v>323.13388799999996</v>
      </c>
      <c r="E1020">
        <f t="shared" si="41"/>
        <v>247.9668598881062</v>
      </c>
      <c r="F1020">
        <f t="shared" si="42"/>
        <v>106.37676106499634</v>
      </c>
    </row>
    <row r="1021" spans="1:6" x14ac:dyDescent="0.25">
      <c r="A1021">
        <v>-277.37286727663678</v>
      </c>
      <c r="B1021">
        <v>-84.333191733957179</v>
      </c>
      <c r="C1021">
        <v>323.13388799999996</v>
      </c>
      <c r="E1021">
        <f t="shared" si="41"/>
        <v>228.7275667305654</v>
      </c>
      <c r="F1021">
        <f t="shared" si="42"/>
        <v>102.53085463584253</v>
      </c>
    </row>
    <row r="1022" spans="1:6" x14ac:dyDescent="0.25">
      <c r="A1022">
        <v>-258.40594722416012</v>
      </c>
      <c r="B1022">
        <v>-97.209241727278695</v>
      </c>
      <c r="C1022">
        <v>323.13388799999996</v>
      </c>
      <c r="E1022">
        <f t="shared" si="41"/>
        <v>206.4060577842865</v>
      </c>
      <c r="F1022">
        <f t="shared" si="42"/>
        <v>98.837146602663154</v>
      </c>
    </row>
    <row r="1023" spans="1:6" x14ac:dyDescent="0.25">
      <c r="A1023">
        <v>-237.2156185905784</v>
      </c>
      <c r="B1023">
        <v>-112.56395955686088</v>
      </c>
      <c r="C1023">
        <v>323.13388799999996</v>
      </c>
      <c r="E1023">
        <f t="shared" si="41"/>
        <v>181.12054299649742</v>
      </c>
      <c r="F1023">
        <f t="shared" si="42"/>
        <v>94.070589714206903</v>
      </c>
    </row>
    <row r="1024" spans="1:6" x14ac:dyDescent="0.25">
      <c r="A1024">
        <v>-215.64424602313963</v>
      </c>
      <c r="B1024">
        <v>-126.88210491722039</v>
      </c>
      <c r="C1024">
        <v>323.13388799999996</v>
      </c>
      <c r="E1024">
        <f t="shared" si="41"/>
        <v>155.85076740077429</v>
      </c>
      <c r="F1024">
        <f t="shared" si="42"/>
        <v>90.084875076564657</v>
      </c>
    </row>
    <row r="1025" spans="1:6" x14ac:dyDescent="0.25">
      <c r="A1025">
        <v>-190.01290821468749</v>
      </c>
      <c r="B1025">
        <v>-142.85505302571394</v>
      </c>
      <c r="C1025">
        <v>323.13388799999996</v>
      </c>
      <c r="E1025">
        <f t="shared" si="41"/>
        <v>126.19765945603137</v>
      </c>
      <c r="F1025">
        <f t="shared" si="42"/>
        <v>86.035570300122174</v>
      </c>
    </row>
    <row r="1026" spans="1:6" x14ac:dyDescent="0.25">
      <c r="A1026">
        <v>-160.31617525716348</v>
      </c>
      <c r="B1026">
        <v>-159.76367591033838</v>
      </c>
      <c r="C1026">
        <v>323.13388799999996</v>
      </c>
      <c r="E1026">
        <f t="shared" si="41"/>
        <v>92.413862323175024</v>
      </c>
      <c r="F1026">
        <f t="shared" si="42"/>
        <v>82.398777242293363</v>
      </c>
    </row>
    <row r="1027" spans="1:6" x14ac:dyDescent="0.25">
      <c r="A1027">
        <v>-130.0191424681025</v>
      </c>
      <c r="B1027">
        <v>-175.00229586901719</v>
      </c>
      <c r="C1027">
        <v>323.13388799999996</v>
      </c>
      <c r="E1027">
        <f t="shared" si="41"/>
        <v>58.668112541871949</v>
      </c>
      <c r="F1027">
        <f t="shared" si="42"/>
        <v>80.016540293104185</v>
      </c>
    </row>
    <row r="1028" spans="1:6" x14ac:dyDescent="0.25">
      <c r="A1028">
        <v>-100.85813471751463</v>
      </c>
      <c r="B1028">
        <v>-187.81491810533277</v>
      </c>
      <c r="C1028">
        <v>323.13388799999996</v>
      </c>
      <c r="E1028">
        <f t="shared" si="41"/>
        <v>26.852333329862983</v>
      </c>
      <c r="F1028">
        <f t="shared" si="42"/>
        <v>78.947930276991542</v>
      </c>
    </row>
    <row r="1029" spans="1:6" x14ac:dyDescent="0.25">
      <c r="A1029">
        <v>-70.853224443597639</v>
      </c>
      <c r="B1029">
        <v>-200.35086829676953</v>
      </c>
      <c r="C1029">
        <v>323.13388799999996</v>
      </c>
      <c r="E1029">
        <f t="shared" si="41"/>
        <v>-5.6521463663779086</v>
      </c>
      <c r="F1029">
        <f t="shared" si="42"/>
        <v>78.275811453919403</v>
      </c>
    </row>
    <row r="1030" spans="1:6" x14ac:dyDescent="0.25">
      <c r="A1030">
        <v>-37.322780384255303</v>
      </c>
      <c r="B1030">
        <v>-212.7793950571897</v>
      </c>
      <c r="C1030">
        <v>323.13388799999996</v>
      </c>
      <c r="E1030">
        <f t="shared" si="41"/>
        <v>-41.409498282939971</v>
      </c>
      <c r="F1030">
        <f t="shared" si="42"/>
        <v>78.567993046685046</v>
      </c>
    </row>
    <row r="1031" spans="1:6" x14ac:dyDescent="0.25">
      <c r="A1031">
        <v>6.480062949355333E-14</v>
      </c>
      <c r="B1031">
        <v>-226.41313543336875</v>
      </c>
      <c r="C1031">
        <v>323.13388799999996</v>
      </c>
      <c r="E1031">
        <f t="shared" si="41"/>
        <v>-81.139211095378741</v>
      </c>
      <c r="F1031">
        <f t="shared" si="42"/>
        <v>79.025558395870348</v>
      </c>
    </row>
    <row r="1032" spans="1:6" x14ac:dyDescent="0.25">
      <c r="A1032">
        <v>37.322780384255267</v>
      </c>
      <c r="B1032">
        <v>-212.77939505718976</v>
      </c>
      <c r="C1032">
        <v>323.13388799999996</v>
      </c>
      <c r="E1032">
        <f t="shared" si="41"/>
        <v>-111.09713274132888</v>
      </c>
      <c r="F1032">
        <f t="shared" si="42"/>
        <v>97.483507129566476</v>
      </c>
    </row>
    <row r="1033" spans="1:6" x14ac:dyDescent="0.25">
      <c r="A1033">
        <v>70.853224443597682</v>
      </c>
      <c r="B1033">
        <v>-200.35086829676951</v>
      </c>
      <c r="C1033">
        <v>323.13388799999996</v>
      </c>
      <c r="E1033">
        <f t="shared" si="41"/>
        <v>-137.94651335588966</v>
      </c>
      <c r="F1033">
        <f t="shared" si="42"/>
        <v>114.18485014241463</v>
      </c>
    </row>
    <row r="1034" spans="1:6" x14ac:dyDescent="0.25">
      <c r="A1034">
        <v>100.85813471751466</v>
      </c>
      <c r="B1034">
        <v>-187.81491810533277</v>
      </c>
      <c r="C1034">
        <v>323.13388799999996</v>
      </c>
      <c r="E1034">
        <f t="shared" si="41"/>
        <v>-161.46602752071612</v>
      </c>
      <c r="F1034">
        <f t="shared" si="42"/>
        <v>130.06372197259384</v>
      </c>
    </row>
    <row r="1035" spans="1:6" x14ac:dyDescent="0.25">
      <c r="A1035">
        <v>130.0191424681025</v>
      </c>
      <c r="B1035">
        <v>-175.0022958690171</v>
      </c>
      <c r="C1035">
        <v>323.13388799999996</v>
      </c>
      <c r="E1035">
        <f t="shared" si="41"/>
        <v>-184.09854041447116</v>
      </c>
      <c r="F1035">
        <f t="shared" si="42"/>
        <v>145.91138775835526</v>
      </c>
    </row>
    <row r="1036" spans="1:6" x14ac:dyDescent="0.25">
      <c r="A1036">
        <v>160.31617525716345</v>
      </c>
      <c r="B1036">
        <v>-159.76367591033835</v>
      </c>
      <c r="C1036">
        <v>323.13388799999996</v>
      </c>
      <c r="E1036">
        <f t="shared" si="41"/>
        <v>-206.9222242187906</v>
      </c>
      <c r="F1036">
        <f t="shared" si="42"/>
        <v>163.64842798025987</v>
      </c>
    </row>
    <row r="1037" spans="1:6" x14ac:dyDescent="0.25">
      <c r="A1037">
        <v>190.01290821468731</v>
      </c>
      <c r="B1037">
        <v>-142.85505302571406</v>
      </c>
      <c r="C1037">
        <v>323.13388799999996</v>
      </c>
      <c r="E1037">
        <f t="shared" si="41"/>
        <v>-228.5870043260517</v>
      </c>
      <c r="F1037">
        <f t="shared" si="42"/>
        <v>182.33578706479813</v>
      </c>
    </row>
    <row r="1038" spans="1:6" x14ac:dyDescent="0.25">
      <c r="A1038">
        <v>215.64424602313954</v>
      </c>
      <c r="B1038">
        <v>-126.88210491722054</v>
      </c>
      <c r="C1038">
        <v>323.13388799999996</v>
      </c>
      <c r="E1038">
        <f t="shared" si="41"/>
        <v>-246.79172694712608</v>
      </c>
      <c r="F1038">
        <f t="shared" si="42"/>
        <v>199.3752797717035</v>
      </c>
    </row>
    <row r="1039" spans="1:6" x14ac:dyDescent="0.25">
      <c r="A1039">
        <v>237.2156185905784</v>
      </c>
      <c r="B1039">
        <v>-112.56395955686085</v>
      </c>
      <c r="C1039">
        <v>323.13388799999996</v>
      </c>
      <c r="E1039">
        <f t="shared" si="41"/>
        <v>-261.79917375468199</v>
      </c>
      <c r="F1039">
        <f t="shared" si="42"/>
        <v>214.2935561688283</v>
      </c>
    </row>
    <row r="1040" spans="1:6" x14ac:dyDescent="0.25">
      <c r="A1040">
        <v>258.40594722416023</v>
      </c>
      <c r="B1040">
        <v>-97.209241727278737</v>
      </c>
      <c r="C1040">
        <v>323.13388799999996</v>
      </c>
      <c r="E1040">
        <f t="shared" si="41"/>
        <v>-276.07941105360317</v>
      </c>
      <c r="F1040">
        <f t="shared" si="42"/>
        <v>229.79955839235106</v>
      </c>
    </row>
    <row r="1041" spans="1:6" x14ac:dyDescent="0.25">
      <c r="A1041">
        <v>277.37286727663673</v>
      </c>
      <c r="B1041">
        <v>-84.333191733957221</v>
      </c>
      <c r="C1041">
        <v>323.13388799999996</v>
      </c>
      <c r="E1041">
        <f t="shared" si="41"/>
        <v>-289.17219273118315</v>
      </c>
      <c r="F1041">
        <f t="shared" si="42"/>
        <v>243.10586869330933</v>
      </c>
    </row>
    <row r="1042" spans="1:6" x14ac:dyDescent="0.25">
      <c r="A1042">
        <v>293.38515550986409</v>
      </c>
      <c r="B1042">
        <v>-72.360764274938717</v>
      </c>
      <c r="C1042">
        <v>323.13388799999996</v>
      </c>
      <c r="E1042">
        <f t="shared" si="41"/>
        <v>-299.83041732958736</v>
      </c>
      <c r="F1042">
        <f t="shared" si="42"/>
        <v>255.06694394044712</v>
      </c>
    </row>
    <row r="1043" spans="1:6" x14ac:dyDescent="0.25">
      <c r="A1043">
        <v>307.84288612024386</v>
      </c>
      <c r="B1043">
        <v>-61.142431399523886</v>
      </c>
      <c r="C1043">
        <v>323.13388799999996</v>
      </c>
      <c r="E1043">
        <f t="shared" si="41"/>
        <v>-309.30758068912832</v>
      </c>
      <c r="F1043">
        <f t="shared" si="42"/>
        <v>266.13627864408897</v>
      </c>
    </row>
    <row r="1044" spans="1:6" x14ac:dyDescent="0.25">
      <c r="A1044">
        <v>321.3870713669989</v>
      </c>
      <c r="B1044">
        <v>-50.38840324380832</v>
      </c>
      <c r="C1044">
        <v>323.13388799999996</v>
      </c>
      <c r="E1044">
        <f t="shared" ref="E1044:E1107" si="43">($I$2*A1044)+($K$2*B1044)+($M$2*C1044)</f>
        <v>-318.09826790883471</v>
      </c>
      <c r="F1044">
        <f t="shared" ref="F1044:F1107" si="44">($J$2*A1044)+($L$2*B1044)+($N$2*C1044)</f>
        <v>276.667610320986</v>
      </c>
    </row>
    <row r="1045" spans="1:6" x14ac:dyDescent="0.25">
      <c r="A1045">
        <v>334.48623374732722</v>
      </c>
      <c r="B1045">
        <v>-39.844319440736157</v>
      </c>
      <c r="C1045">
        <v>323.13388799999996</v>
      </c>
      <c r="E1045">
        <f t="shared" si="43"/>
        <v>-326.54872781827697</v>
      </c>
      <c r="F1045">
        <f t="shared" si="44"/>
        <v>286.9475783567176</v>
      </c>
    </row>
    <row r="1046" spans="1:6" x14ac:dyDescent="0.25">
      <c r="A1046">
        <v>347.30554142523738</v>
      </c>
      <c r="B1046">
        <v>-29.283483877735875</v>
      </c>
      <c r="C1046">
        <v>323.13388799999996</v>
      </c>
      <c r="E1046">
        <f t="shared" si="43"/>
        <v>-334.73191756142171</v>
      </c>
      <c r="F1046">
        <f t="shared" si="44"/>
        <v>297.16768850185179</v>
      </c>
    </row>
    <row r="1047" spans="1:6" x14ac:dyDescent="0.25">
      <c r="A1047">
        <v>359.64012801366272</v>
      </c>
      <c r="B1047">
        <v>-18.58387666029234</v>
      </c>
      <c r="C1047">
        <v>323.13388799999996</v>
      </c>
      <c r="E1047">
        <f t="shared" si="43"/>
        <v>-342.41284986985517</v>
      </c>
      <c r="F1047">
        <f t="shared" si="44"/>
        <v>307.35657705233155</v>
      </c>
    </row>
    <row r="1048" spans="1:6" x14ac:dyDescent="0.25">
      <c r="A1048">
        <v>371.26812637734542</v>
      </c>
      <c r="B1048">
        <v>-9.2170802027139285</v>
      </c>
      <c r="C1048">
        <v>323.13388799999996</v>
      </c>
      <c r="E1048">
        <f t="shared" si="43"/>
        <v>-349.91176190122025</v>
      </c>
      <c r="F1048">
        <f t="shared" si="44"/>
        <v>316.48656993757953</v>
      </c>
    </row>
    <row r="1049" spans="1:6" x14ac:dyDescent="0.25">
      <c r="A1049">
        <v>381.41756763549972</v>
      </c>
      <c r="B1049">
        <v>2.7331463849039469E-14</v>
      </c>
      <c r="C1049">
        <v>323.13388799999996</v>
      </c>
      <c r="E1049">
        <f t="shared" si="43"/>
        <v>-356.08397546667504</v>
      </c>
      <c r="F1049">
        <f t="shared" si="44"/>
        <v>325.14305609012439</v>
      </c>
    </row>
    <row r="1050" spans="1:6" x14ac:dyDescent="0.25">
      <c r="A1050">
        <v>371.26812637734542</v>
      </c>
      <c r="B1050">
        <v>9.2170802027139587</v>
      </c>
      <c r="C1050">
        <v>323.13388799999996</v>
      </c>
      <c r="E1050">
        <f t="shared" si="43"/>
        <v>-343.30554963513788</v>
      </c>
      <c r="F1050">
        <f t="shared" si="44"/>
        <v>328.65571595010869</v>
      </c>
    </row>
    <row r="1051" spans="1:6" x14ac:dyDescent="0.25">
      <c r="A1051">
        <v>359.64012801366277</v>
      </c>
      <c r="B1051">
        <v>18.583876660292315</v>
      </c>
      <c r="C1051">
        <v>323.13388799999996</v>
      </c>
      <c r="E1051">
        <f t="shared" si="43"/>
        <v>-329.09311832315177</v>
      </c>
      <c r="F1051">
        <f t="shared" si="44"/>
        <v>331.89253676887398</v>
      </c>
    </row>
    <row r="1052" spans="1:6" x14ac:dyDescent="0.25">
      <c r="A1052">
        <v>347.30554142523744</v>
      </c>
      <c r="B1052">
        <v>29.283483877735879</v>
      </c>
      <c r="C1052">
        <v>323.13388799999996</v>
      </c>
      <c r="E1052">
        <f t="shared" si="43"/>
        <v>-313.74339341580759</v>
      </c>
      <c r="F1052">
        <f t="shared" si="44"/>
        <v>335.83014811230237</v>
      </c>
    </row>
    <row r="1053" spans="1:6" x14ac:dyDescent="0.25">
      <c r="A1053">
        <v>334.48623374732716</v>
      </c>
      <c r="B1053">
        <v>39.844319440736186</v>
      </c>
      <c r="C1053">
        <v>323.13388799999996</v>
      </c>
      <c r="E1053">
        <f t="shared" si="43"/>
        <v>-297.9908737002678</v>
      </c>
      <c r="F1053">
        <f t="shared" si="44"/>
        <v>339.55332012962776</v>
      </c>
    </row>
    <row r="1054" spans="1:6" x14ac:dyDescent="0.25">
      <c r="A1054">
        <v>321.38707136699873</v>
      </c>
      <c r="B1054">
        <v>50.388403243808298</v>
      </c>
      <c r="C1054">
        <v>323.13388799999996</v>
      </c>
      <c r="E1054">
        <f t="shared" si="43"/>
        <v>-281.9830904061439</v>
      </c>
      <c r="F1054">
        <f t="shared" si="44"/>
        <v>343.19451720756706</v>
      </c>
    </row>
    <row r="1055" spans="1:6" x14ac:dyDescent="0.25">
      <c r="A1055">
        <v>307.84288612024397</v>
      </c>
      <c r="B1055">
        <v>61.142431399523936</v>
      </c>
      <c r="C1055">
        <v>323.13388799999996</v>
      </c>
      <c r="E1055">
        <f t="shared" si="43"/>
        <v>-265.48460514740526</v>
      </c>
      <c r="F1055">
        <f t="shared" si="44"/>
        <v>346.86153641528313</v>
      </c>
    </row>
    <row r="1056" spans="1:6" x14ac:dyDescent="0.25">
      <c r="A1056">
        <v>293.38515550986409</v>
      </c>
      <c r="B1056">
        <v>72.360764274938703</v>
      </c>
      <c r="C1056">
        <v>323.13388799999996</v>
      </c>
      <c r="E1056">
        <f t="shared" si="43"/>
        <v>-247.96685988810617</v>
      </c>
      <c r="F1056">
        <f t="shared" si="44"/>
        <v>350.60356580695225</v>
      </c>
    </row>
    <row r="1057" spans="1:6" x14ac:dyDescent="0.25">
      <c r="A1057">
        <v>277.37286727663678</v>
      </c>
      <c r="B1057">
        <v>84.333191733957221</v>
      </c>
      <c r="C1057">
        <v>323.13388799999996</v>
      </c>
      <c r="E1057">
        <f t="shared" si="43"/>
        <v>-228.72756673056531</v>
      </c>
      <c r="F1057">
        <f t="shared" si="44"/>
        <v>354.44947223610609</v>
      </c>
    </row>
    <row r="1058" spans="1:6" x14ac:dyDescent="0.25">
      <c r="A1058">
        <v>258.40594722416023</v>
      </c>
      <c r="B1058">
        <v>97.209241727278766</v>
      </c>
      <c r="C1058">
        <v>323.13388799999996</v>
      </c>
      <c r="E1058">
        <f t="shared" si="43"/>
        <v>-206.40605778428656</v>
      </c>
      <c r="F1058">
        <f t="shared" si="44"/>
        <v>358.14318026928549</v>
      </c>
    </row>
    <row r="1059" spans="1:6" x14ac:dyDescent="0.25">
      <c r="A1059">
        <v>237.21561859057846</v>
      </c>
      <c r="B1059">
        <v>112.56395955686085</v>
      </c>
      <c r="C1059">
        <v>323.13388799999996</v>
      </c>
      <c r="E1059">
        <f t="shared" si="43"/>
        <v>-181.12054299649745</v>
      </c>
      <c r="F1059">
        <f t="shared" si="44"/>
        <v>362.90973715774169</v>
      </c>
    </row>
    <row r="1060" spans="1:6" x14ac:dyDescent="0.25">
      <c r="A1060">
        <v>215.64424602313971</v>
      </c>
      <c r="B1060">
        <v>126.88210491722049</v>
      </c>
      <c r="C1060">
        <v>323.13388799999996</v>
      </c>
      <c r="E1060">
        <f t="shared" si="43"/>
        <v>-155.85076740077429</v>
      </c>
      <c r="F1060">
        <f t="shared" si="44"/>
        <v>366.89545179538402</v>
      </c>
    </row>
    <row r="1061" spans="1:6" x14ac:dyDescent="0.25">
      <c r="A1061">
        <v>190.01290821468754</v>
      </c>
      <c r="B1061">
        <v>142.85505302571397</v>
      </c>
      <c r="C1061">
        <v>323.13388799999996</v>
      </c>
      <c r="E1061">
        <f t="shared" si="43"/>
        <v>-126.19765945603133</v>
      </c>
      <c r="F1061">
        <f t="shared" si="44"/>
        <v>370.94475657182647</v>
      </c>
    </row>
    <row r="1062" spans="1:6" x14ac:dyDescent="0.25">
      <c r="A1062">
        <v>160.31617525716359</v>
      </c>
      <c r="B1062">
        <v>159.76367591033832</v>
      </c>
      <c r="C1062">
        <v>323.13388799999996</v>
      </c>
      <c r="E1062">
        <f t="shared" si="43"/>
        <v>-92.413862323175067</v>
      </c>
      <c r="F1062">
        <f t="shared" si="44"/>
        <v>374.58154962965523</v>
      </c>
    </row>
    <row r="1063" spans="1:6" x14ac:dyDescent="0.25">
      <c r="A1063">
        <v>130.0191424681027</v>
      </c>
      <c r="B1063">
        <v>175.0022958690171</v>
      </c>
      <c r="C1063">
        <v>323.13388799999996</v>
      </c>
      <c r="E1063">
        <f t="shared" si="43"/>
        <v>-58.668112541872077</v>
      </c>
      <c r="F1063">
        <f t="shared" si="44"/>
        <v>376.96378657884441</v>
      </c>
    </row>
    <row r="1064" spans="1:6" x14ac:dyDescent="0.25">
      <c r="A1064">
        <v>100.85813471751459</v>
      </c>
      <c r="B1064">
        <v>187.81491810533277</v>
      </c>
      <c r="C1064">
        <v>323.13388799999996</v>
      </c>
      <c r="E1064">
        <f t="shared" si="43"/>
        <v>-26.852333329862876</v>
      </c>
      <c r="F1064">
        <f t="shared" si="44"/>
        <v>378.03239659495705</v>
      </c>
    </row>
    <row r="1065" spans="1:6" x14ac:dyDescent="0.25">
      <c r="A1065">
        <v>70.853224443597639</v>
      </c>
      <c r="B1065">
        <v>200.35086829676965</v>
      </c>
      <c r="C1065">
        <v>323.13388799999996</v>
      </c>
      <c r="E1065">
        <f t="shared" si="43"/>
        <v>5.6521463663780311</v>
      </c>
      <c r="F1065">
        <f t="shared" si="44"/>
        <v>378.70451541802925</v>
      </c>
    </row>
    <row r="1066" spans="1:6" x14ac:dyDescent="0.25">
      <c r="A1066">
        <v>37.322780384255239</v>
      </c>
      <c r="B1066">
        <v>212.77939505718973</v>
      </c>
      <c r="C1066">
        <v>323.13388799999996</v>
      </c>
      <c r="E1066">
        <f t="shared" si="43"/>
        <v>41.40949828294012</v>
      </c>
      <c r="F1066">
        <f t="shared" si="44"/>
        <v>378.41233382526354</v>
      </c>
    </row>
    <row r="1067" spans="1:6" x14ac:dyDescent="0.25">
      <c r="A1067">
        <v>6.6189506240499741E-14</v>
      </c>
      <c r="B1067">
        <v>226.41313543336875</v>
      </c>
      <c r="C1067">
        <v>323.13388799999996</v>
      </c>
      <c r="E1067">
        <f t="shared" si="43"/>
        <v>81.139211095378712</v>
      </c>
      <c r="F1067">
        <f t="shared" si="44"/>
        <v>377.9547684760783</v>
      </c>
    </row>
    <row r="1068" spans="1:6" x14ac:dyDescent="0.25">
      <c r="A1068">
        <v>-37.322780384255246</v>
      </c>
      <c r="B1068">
        <v>212.77939505718982</v>
      </c>
      <c r="C1068">
        <v>323.13388799999996</v>
      </c>
      <c r="E1068">
        <f t="shared" si="43"/>
        <v>111.09713274132896</v>
      </c>
      <c r="F1068">
        <f t="shared" si="44"/>
        <v>359.49681974238217</v>
      </c>
    </row>
    <row r="1069" spans="1:6" x14ac:dyDescent="0.25">
      <c r="A1069">
        <v>-70.853224443597611</v>
      </c>
      <c r="B1069">
        <v>200.35086829676965</v>
      </c>
      <c r="C1069">
        <v>323.13388799999996</v>
      </c>
      <c r="E1069">
        <f t="shared" si="43"/>
        <v>137.94651335588969</v>
      </c>
      <c r="F1069">
        <f t="shared" si="44"/>
        <v>342.79547672953407</v>
      </c>
    </row>
    <row r="1070" spans="1:6" x14ac:dyDescent="0.25">
      <c r="A1070">
        <v>-100.85813471751459</v>
      </c>
      <c r="B1070">
        <v>187.81491810533282</v>
      </c>
      <c r="C1070">
        <v>323.13388799999996</v>
      </c>
      <c r="E1070">
        <f t="shared" si="43"/>
        <v>161.46602752071615</v>
      </c>
      <c r="F1070">
        <f t="shared" si="44"/>
        <v>326.91660489935481</v>
      </c>
    </row>
    <row r="1071" spans="1:6" x14ac:dyDescent="0.25">
      <c r="A1071">
        <v>-130.0191424681023</v>
      </c>
      <c r="B1071">
        <v>175.00229586901725</v>
      </c>
      <c r="C1071">
        <v>323.13388799999996</v>
      </c>
      <c r="E1071">
        <f t="shared" si="43"/>
        <v>184.0985404144711</v>
      </c>
      <c r="F1071">
        <f t="shared" si="44"/>
        <v>311.0689391135935</v>
      </c>
    </row>
    <row r="1072" spans="1:6" x14ac:dyDescent="0.25">
      <c r="A1072">
        <v>-160.31617525716325</v>
      </c>
      <c r="B1072">
        <v>159.76367591033846</v>
      </c>
      <c r="C1072">
        <v>323.13388799999996</v>
      </c>
      <c r="E1072">
        <f t="shared" si="43"/>
        <v>206.92222421879055</v>
      </c>
      <c r="F1072">
        <f t="shared" si="44"/>
        <v>293.33189889168887</v>
      </c>
    </row>
    <row r="1073" spans="1:6" x14ac:dyDescent="0.25">
      <c r="A1073">
        <v>-190.01290821468737</v>
      </c>
      <c r="B1073">
        <v>142.85505302571394</v>
      </c>
      <c r="C1073">
        <v>323.13388799999996</v>
      </c>
      <c r="E1073">
        <f t="shared" si="43"/>
        <v>228.58700432605175</v>
      </c>
      <c r="F1073">
        <f t="shared" si="44"/>
        <v>274.64453980715035</v>
      </c>
    </row>
    <row r="1074" spans="1:6" x14ac:dyDescent="0.25">
      <c r="A1074">
        <v>-215.64424602313963</v>
      </c>
      <c r="B1074">
        <v>126.88210491722043</v>
      </c>
      <c r="C1074">
        <v>323.13388799999996</v>
      </c>
      <c r="E1074">
        <f t="shared" si="43"/>
        <v>246.79172694712616</v>
      </c>
      <c r="F1074">
        <f t="shared" si="44"/>
        <v>257.60504710024503</v>
      </c>
    </row>
    <row r="1075" spans="1:6" x14ac:dyDescent="0.25">
      <c r="A1075">
        <v>-237.2156185905784</v>
      </c>
      <c r="B1075">
        <v>112.56395955686095</v>
      </c>
      <c r="C1075">
        <v>323.13388799999996</v>
      </c>
      <c r="E1075">
        <f t="shared" si="43"/>
        <v>261.79917375468216</v>
      </c>
      <c r="F1075">
        <f t="shared" si="44"/>
        <v>242.68677070312037</v>
      </c>
    </row>
    <row r="1076" spans="1:6" x14ac:dyDescent="0.25">
      <c r="A1076">
        <v>-258.40594722416017</v>
      </c>
      <c r="B1076">
        <v>97.209241727278723</v>
      </c>
      <c r="C1076">
        <v>323.13388799999996</v>
      </c>
      <c r="E1076">
        <f t="shared" si="43"/>
        <v>276.07941105360322</v>
      </c>
      <c r="F1076">
        <f t="shared" si="44"/>
        <v>227.18076847959753</v>
      </c>
    </row>
    <row r="1077" spans="1:6" x14ac:dyDescent="0.25">
      <c r="A1077">
        <v>-277.37286727663678</v>
      </c>
      <c r="B1077">
        <v>84.333191733957236</v>
      </c>
      <c r="C1077">
        <v>323.13388799999996</v>
      </c>
      <c r="E1077">
        <f t="shared" si="43"/>
        <v>289.17219273118326</v>
      </c>
      <c r="F1077">
        <f t="shared" si="44"/>
        <v>213.87445817863926</v>
      </c>
    </row>
    <row r="1078" spans="1:6" x14ac:dyDescent="0.25">
      <c r="A1078">
        <v>-293.38515550986403</v>
      </c>
      <c r="B1078">
        <v>72.360764274938774</v>
      </c>
      <c r="C1078">
        <v>323.13388799999996</v>
      </c>
      <c r="E1078">
        <f t="shared" si="43"/>
        <v>299.83041732958742</v>
      </c>
      <c r="F1078">
        <f t="shared" si="44"/>
        <v>201.91338293150153</v>
      </c>
    </row>
    <row r="1079" spans="1:6" x14ac:dyDescent="0.25">
      <c r="A1079">
        <v>-307.84288612024397</v>
      </c>
      <c r="B1079">
        <v>61.142431399524028</v>
      </c>
      <c r="C1079">
        <v>323.13388799999996</v>
      </c>
      <c r="E1079">
        <f t="shared" si="43"/>
        <v>309.30758068912854</v>
      </c>
      <c r="F1079">
        <f t="shared" si="44"/>
        <v>190.8440482278597</v>
      </c>
    </row>
    <row r="1080" spans="1:6" x14ac:dyDescent="0.25">
      <c r="A1080">
        <v>-321.38707136699878</v>
      </c>
      <c r="B1080">
        <v>50.388403243808391</v>
      </c>
      <c r="C1080">
        <v>323.13388799999996</v>
      </c>
      <c r="E1080">
        <f t="shared" si="43"/>
        <v>318.09826790883477</v>
      </c>
      <c r="F1080">
        <f t="shared" si="44"/>
        <v>180.31271655096268</v>
      </c>
    </row>
    <row r="1081" spans="1:6" x14ac:dyDescent="0.25">
      <c r="A1081">
        <v>-334.48623374732716</v>
      </c>
      <c r="B1081">
        <v>39.844319440736342</v>
      </c>
      <c r="C1081">
        <v>323.13388799999996</v>
      </c>
      <c r="E1081">
        <f t="shared" si="43"/>
        <v>326.54872781827709</v>
      </c>
      <c r="F1081">
        <f t="shared" si="44"/>
        <v>170.03274851523113</v>
      </c>
    </row>
    <row r="1082" spans="1:6" x14ac:dyDescent="0.25">
      <c r="A1082">
        <v>-347.30554142523755</v>
      </c>
      <c r="B1082">
        <v>29.283483877735865</v>
      </c>
      <c r="C1082">
        <v>323.13388799999996</v>
      </c>
      <c r="E1082">
        <f t="shared" si="43"/>
        <v>334.73191756142199</v>
      </c>
      <c r="F1082">
        <f t="shared" si="44"/>
        <v>159.81263837009678</v>
      </c>
    </row>
    <row r="1083" spans="1:6" x14ac:dyDescent="0.25">
      <c r="A1083">
        <v>-359.64012801366272</v>
      </c>
      <c r="B1083">
        <v>18.583876660292329</v>
      </c>
      <c r="C1083">
        <v>323.13388799999996</v>
      </c>
      <c r="E1083">
        <f t="shared" si="43"/>
        <v>342.41284986985528</v>
      </c>
      <c r="F1083">
        <f t="shared" si="44"/>
        <v>149.62374981961705</v>
      </c>
    </row>
    <row r="1084" spans="1:6" x14ac:dyDescent="0.25">
      <c r="A1084">
        <v>-350.70456128660379</v>
      </c>
      <c r="B1084">
        <v>-1.2076471206231797E-15</v>
      </c>
      <c r="C1084">
        <v>376.61487999999997</v>
      </c>
      <c r="E1084">
        <f t="shared" si="43"/>
        <v>327.41091390046165</v>
      </c>
      <c r="F1084">
        <f t="shared" si="44"/>
        <v>177.43685405934099</v>
      </c>
    </row>
    <row r="1085" spans="1:6" x14ac:dyDescent="0.25">
      <c r="A1085">
        <v>-344.88760099890465</v>
      </c>
      <c r="B1085">
        <v>-9.2398400917560064</v>
      </c>
      <c r="C1085">
        <v>376.61487999999997</v>
      </c>
      <c r="E1085">
        <f t="shared" si="43"/>
        <v>318.66905108634512</v>
      </c>
      <c r="F1085">
        <f t="shared" si="44"/>
        <v>172.8112996899136</v>
      </c>
    </row>
    <row r="1086" spans="1:6" x14ac:dyDescent="0.25">
      <c r="A1086">
        <v>-336.72994601688725</v>
      </c>
      <c r="B1086">
        <v>-19.168583191241101</v>
      </c>
      <c r="C1086">
        <v>376.61487999999997</v>
      </c>
      <c r="E1086">
        <f t="shared" si="43"/>
        <v>307.4950807628918</v>
      </c>
      <c r="F1086">
        <f t="shared" si="44"/>
        <v>168.32411451701344</v>
      </c>
    </row>
    <row r="1087" spans="1:6" x14ac:dyDescent="0.25">
      <c r="A1087">
        <v>-327.98879861080707</v>
      </c>
      <c r="B1087">
        <v>-28.917943639489192</v>
      </c>
      <c r="C1087">
        <v>376.61487999999997</v>
      </c>
      <c r="E1087">
        <f t="shared" si="43"/>
        <v>295.84065832623185</v>
      </c>
      <c r="F1087">
        <f t="shared" si="44"/>
        <v>164.10320674779109</v>
      </c>
    </row>
    <row r="1088" spans="1:6" x14ac:dyDescent="0.25">
      <c r="A1088">
        <v>-319.6100707170155</v>
      </c>
      <c r="B1088">
        <v>-38.020294215117431</v>
      </c>
      <c r="C1088">
        <v>376.61487999999997</v>
      </c>
      <c r="E1088">
        <f t="shared" si="43"/>
        <v>284.75645125381152</v>
      </c>
      <c r="F1088">
        <f t="shared" si="44"/>
        <v>160.21757805377334</v>
      </c>
    </row>
    <row r="1089" spans="1:6" x14ac:dyDescent="0.25">
      <c r="A1089">
        <v>-310.17505603465719</v>
      </c>
      <c r="B1089">
        <v>-48.009413139470482</v>
      </c>
      <c r="C1089">
        <v>376.61487999999997</v>
      </c>
      <c r="E1089">
        <f t="shared" si="43"/>
        <v>272.36832615596353</v>
      </c>
      <c r="F1089">
        <f t="shared" si="44"/>
        <v>156.01422489818111</v>
      </c>
    </row>
    <row r="1090" spans="1:6" x14ac:dyDescent="0.25">
      <c r="A1090">
        <v>-299.94797761469908</v>
      </c>
      <c r="B1090">
        <v>-58.423903026694184</v>
      </c>
      <c r="C1090">
        <v>376.61487999999997</v>
      </c>
      <c r="E1090">
        <f t="shared" si="43"/>
        <v>259.0883065363941</v>
      </c>
      <c r="F1090">
        <f t="shared" si="44"/>
        <v>151.73077935032433</v>
      </c>
    </row>
    <row r="1091" spans="1:6" x14ac:dyDescent="0.25">
      <c r="A1091">
        <v>-288.505721911916</v>
      </c>
      <c r="B1091">
        <v>-69.513185000395623</v>
      </c>
      <c r="C1091">
        <v>376.61487999999997</v>
      </c>
      <c r="E1091">
        <f t="shared" si="43"/>
        <v>244.43199733445476</v>
      </c>
      <c r="F1091">
        <f t="shared" si="44"/>
        <v>147.30980712482457</v>
      </c>
    </row>
    <row r="1092" spans="1:6" x14ac:dyDescent="0.25">
      <c r="A1092">
        <v>-275.25296426024096</v>
      </c>
      <c r="B1092">
        <v>-81.592217695325814</v>
      </c>
      <c r="C1092">
        <v>376.61487999999997</v>
      </c>
      <c r="E1092">
        <f t="shared" si="43"/>
        <v>227.73074401436719</v>
      </c>
      <c r="F1092">
        <f t="shared" si="44"/>
        <v>142.6942489918635</v>
      </c>
    </row>
    <row r="1093" spans="1:6" x14ac:dyDescent="0.25">
      <c r="A1093">
        <v>-259.72842064859196</v>
      </c>
      <c r="B1093">
        <v>-94.31123919724655</v>
      </c>
      <c r="C1093">
        <v>376.61487999999997</v>
      </c>
      <c r="E1093">
        <f t="shared" si="43"/>
        <v>208.67924431236358</v>
      </c>
      <c r="F1093">
        <f t="shared" si="44"/>
        <v>138.23188855029952</v>
      </c>
    </row>
    <row r="1094" spans="1:6" x14ac:dyDescent="0.25">
      <c r="A1094">
        <v>-239.65573285856144</v>
      </c>
      <c r="B1094">
        <v>-109.82032345980654</v>
      </c>
      <c r="C1094">
        <v>376.61487999999997</v>
      </c>
      <c r="E1094">
        <f t="shared" si="43"/>
        <v>184.38181715790276</v>
      </c>
      <c r="F1094">
        <f t="shared" si="44"/>
        <v>133.08021292712124</v>
      </c>
    </row>
    <row r="1095" spans="1:6" x14ac:dyDescent="0.25">
      <c r="A1095">
        <v>-215.89476836943186</v>
      </c>
      <c r="B1095">
        <v>-126.6177066769701</v>
      </c>
      <c r="C1095">
        <v>376.61487999999997</v>
      </c>
      <c r="E1095">
        <f t="shared" si="43"/>
        <v>156.17940201489478</v>
      </c>
      <c r="F1095">
        <f t="shared" si="44"/>
        <v>128.01270384970667</v>
      </c>
    </row>
    <row r="1096" spans="1:6" x14ac:dyDescent="0.25">
      <c r="A1096">
        <v>-187.91199114586311</v>
      </c>
      <c r="B1096">
        <v>-144.33106672205986</v>
      </c>
      <c r="C1096">
        <v>376.61487999999997</v>
      </c>
      <c r="E1096">
        <f t="shared" si="43"/>
        <v>123.70732840102282</v>
      </c>
      <c r="F1096">
        <f t="shared" si="44"/>
        <v>123.4103468206323</v>
      </c>
    </row>
    <row r="1097" spans="1:6" x14ac:dyDescent="0.25">
      <c r="A1097">
        <v>-157.18881914409775</v>
      </c>
      <c r="B1097">
        <v>-161.46914684372203</v>
      </c>
      <c r="C1097">
        <v>376.61487999999997</v>
      </c>
      <c r="E1097">
        <f t="shared" si="43"/>
        <v>88.883037747924689</v>
      </c>
      <c r="F1097">
        <f t="shared" si="44"/>
        <v>119.88218379895142</v>
      </c>
    </row>
    <row r="1098" spans="1:6" x14ac:dyDescent="0.25">
      <c r="A1098">
        <v>-128.35900930115596</v>
      </c>
      <c r="B1098">
        <v>-175.23249255106711</v>
      </c>
      <c r="C1098">
        <v>376.61487999999997</v>
      </c>
      <c r="E1098">
        <f t="shared" si="43"/>
        <v>57.035749598893489</v>
      </c>
      <c r="F1098">
        <f t="shared" si="44"/>
        <v>118.10203518259164</v>
      </c>
    </row>
    <row r="1099" spans="1:6" x14ac:dyDescent="0.25">
      <c r="A1099">
        <v>-98.389044282331938</v>
      </c>
      <c r="B1099">
        <v>-187.85109092380671</v>
      </c>
      <c r="C1099">
        <v>376.61487999999997</v>
      </c>
      <c r="E1099">
        <f t="shared" si="43"/>
        <v>24.534275649539186</v>
      </c>
      <c r="F1099">
        <f t="shared" si="44"/>
        <v>117.36650162064979</v>
      </c>
    </row>
    <row r="1100" spans="1:6" x14ac:dyDescent="0.25">
      <c r="A1100">
        <v>-67.578313456172353</v>
      </c>
      <c r="B1100">
        <v>-199.39446082660896</v>
      </c>
      <c r="C1100">
        <v>376.61487999999997</v>
      </c>
      <c r="E1100">
        <f t="shared" si="43"/>
        <v>-8.3667933787475413</v>
      </c>
      <c r="F1100">
        <f t="shared" si="44"/>
        <v>117.55382427130047</v>
      </c>
    </row>
    <row r="1101" spans="1:6" x14ac:dyDescent="0.25">
      <c r="A1101">
        <v>-36.173564101377394</v>
      </c>
      <c r="B1101">
        <v>-210.65824855751936</v>
      </c>
      <c r="C1101">
        <v>376.61487999999997</v>
      </c>
      <c r="E1101">
        <f t="shared" si="43"/>
        <v>-41.722233188674608</v>
      </c>
      <c r="F1101">
        <f t="shared" si="44"/>
        <v>118.07623750372977</v>
      </c>
    </row>
    <row r="1102" spans="1:6" x14ac:dyDescent="0.25">
      <c r="A1102">
        <v>5.9479338780490178E-14</v>
      </c>
      <c r="B1102">
        <v>-222.37189304728426</v>
      </c>
      <c r="C1102">
        <v>376.61487999999997</v>
      </c>
      <c r="E1102">
        <f t="shared" si="43"/>
        <v>-79.690959347862091</v>
      </c>
      <c r="F1102">
        <f t="shared" si="44"/>
        <v>119.51012049715979</v>
      </c>
    </row>
    <row r="1103" spans="1:6" x14ac:dyDescent="0.25">
      <c r="A1103">
        <v>36.173564101377295</v>
      </c>
      <c r="B1103">
        <v>-210.65824855751936</v>
      </c>
      <c r="C1103">
        <v>376.61487999999997</v>
      </c>
      <c r="E1103">
        <f t="shared" si="43"/>
        <v>-109.26409599205006</v>
      </c>
      <c r="F1103">
        <f t="shared" si="44"/>
        <v>136.40931864460501</v>
      </c>
    </row>
    <row r="1104" spans="1:6" x14ac:dyDescent="0.25">
      <c r="A1104">
        <v>67.578313456172339</v>
      </c>
      <c r="B1104">
        <v>-199.39446082660896</v>
      </c>
      <c r="C1104">
        <v>376.61487999999997</v>
      </c>
      <c r="E1104">
        <f t="shared" si="43"/>
        <v>-134.54637477549747</v>
      </c>
      <c r="F1104">
        <f t="shared" si="44"/>
        <v>151.80310920444686</v>
      </c>
    </row>
    <row r="1105" spans="1:6" x14ac:dyDescent="0.25">
      <c r="A1105">
        <v>98.38904428233198</v>
      </c>
      <c r="B1105">
        <v>-187.85109092380668</v>
      </c>
      <c r="C1105">
        <v>376.61487999999997</v>
      </c>
      <c r="E1105">
        <f t="shared" si="43"/>
        <v>-159.17389619796387</v>
      </c>
      <c r="F1105">
        <f t="shared" si="44"/>
        <v>167.23093651973892</v>
      </c>
    </row>
    <row r="1106" spans="1:6" x14ac:dyDescent="0.25">
      <c r="A1106">
        <v>128.35900930115594</v>
      </c>
      <c r="B1106">
        <v>-175.23249255106708</v>
      </c>
      <c r="C1106">
        <v>376.61487999999997</v>
      </c>
      <c r="E1106">
        <f t="shared" si="43"/>
        <v>-182.63116769736939</v>
      </c>
      <c r="F1106">
        <f t="shared" si="44"/>
        <v>183.15551252547948</v>
      </c>
    </row>
    <row r="1107" spans="1:6" x14ac:dyDescent="0.25">
      <c r="A1107">
        <v>157.18881914409775</v>
      </c>
      <c r="B1107">
        <v>-161.46914684372206</v>
      </c>
      <c r="C1107">
        <v>376.61487999999997</v>
      </c>
      <c r="E1107">
        <f t="shared" si="43"/>
        <v>-204.61377188635191</v>
      </c>
      <c r="F1107">
        <f t="shared" si="44"/>
        <v>199.54686289252683</v>
      </c>
    </row>
    <row r="1108" spans="1:6" x14ac:dyDescent="0.25">
      <c r="A1108">
        <v>187.91199114586294</v>
      </c>
      <c r="B1108">
        <v>-144.33106672205994</v>
      </c>
      <c r="C1108">
        <v>376.61487999999997</v>
      </c>
      <c r="E1108">
        <f t="shared" ref="E1108:E1171" si="45">($I$2*A1108)+($K$2*B1108)+($M$2*C1108)</f>
        <v>-227.1545852747636</v>
      </c>
      <c r="F1108">
        <f t="shared" ref="F1108:F1171" si="46">($J$2*A1108)+($L$2*B1108)+($N$2*C1108)</f>
        <v>218.64580029615425</v>
      </c>
    </row>
    <row r="1109" spans="1:6" x14ac:dyDescent="0.25">
      <c r="A1109">
        <v>215.89476836943186</v>
      </c>
      <c r="B1109">
        <v>-126.61770667697019</v>
      </c>
      <c r="C1109">
        <v>376.61487999999997</v>
      </c>
      <c r="E1109">
        <f t="shared" si="45"/>
        <v>-246.93085785080279</v>
      </c>
      <c r="F1109">
        <f t="shared" si="46"/>
        <v>237.43007547819244</v>
      </c>
    </row>
    <row r="1110" spans="1:6" x14ac:dyDescent="0.25">
      <c r="A1110">
        <v>239.65573285856155</v>
      </c>
      <c r="B1110">
        <v>-109.82032345980642</v>
      </c>
      <c r="C1110">
        <v>376.61487999999997</v>
      </c>
      <c r="E1110">
        <f t="shared" si="45"/>
        <v>-263.09398543128776</v>
      </c>
      <c r="F1110">
        <f t="shared" si="46"/>
        <v>254.53985080130676</v>
      </c>
    </row>
    <row r="1111" spans="1:6" x14ac:dyDescent="0.25">
      <c r="A1111">
        <v>259.72842064859208</v>
      </c>
      <c r="B1111">
        <v>-94.311239197246536</v>
      </c>
      <c r="C1111">
        <v>376.61487999999997</v>
      </c>
      <c r="E1111">
        <f t="shared" si="45"/>
        <v>-276.27549513275073</v>
      </c>
      <c r="F1111">
        <f t="shared" si="46"/>
        <v>269.86454152851979</v>
      </c>
    </row>
    <row r="1112" spans="1:6" x14ac:dyDescent="0.25">
      <c r="A1112">
        <v>275.25296426024107</v>
      </c>
      <c r="B1112">
        <v>-81.5922176953259</v>
      </c>
      <c r="C1112">
        <v>376.61487999999997</v>
      </c>
      <c r="E1112">
        <f t="shared" si="45"/>
        <v>-286.21081552302257</v>
      </c>
      <c r="F1112">
        <f t="shared" si="46"/>
        <v>282.19487751459417</v>
      </c>
    </row>
    <row r="1113" spans="1:6" x14ac:dyDescent="0.25">
      <c r="A1113">
        <v>288.505721911916</v>
      </c>
      <c r="B1113">
        <v>-69.513185000395652</v>
      </c>
      <c r="C1113">
        <v>376.61487999999997</v>
      </c>
      <c r="E1113">
        <f t="shared" si="45"/>
        <v>-294.25459248436448</v>
      </c>
      <c r="F1113">
        <f t="shared" si="46"/>
        <v>293.52705004274179</v>
      </c>
    </row>
    <row r="1114" spans="1:6" x14ac:dyDescent="0.25">
      <c r="A1114">
        <v>299.94797761469903</v>
      </c>
      <c r="B1114">
        <v>-58.423903026694177</v>
      </c>
      <c r="C1114">
        <v>376.61487999999997</v>
      </c>
      <c r="E1114">
        <f t="shared" si="45"/>
        <v>-300.96281520061359</v>
      </c>
      <c r="F1114">
        <f t="shared" si="46"/>
        <v>303.74705831693927</v>
      </c>
    </row>
    <row r="1115" spans="1:6" x14ac:dyDescent="0.25">
      <c r="A1115">
        <v>310.17505603465719</v>
      </c>
      <c r="B1115">
        <v>-48.009413139470453</v>
      </c>
      <c r="C1115">
        <v>376.61487999999997</v>
      </c>
      <c r="E1115">
        <f t="shared" si="45"/>
        <v>-306.77839604729388</v>
      </c>
      <c r="F1115">
        <f t="shared" si="46"/>
        <v>313.2136773552968</v>
      </c>
    </row>
    <row r="1116" spans="1:6" x14ac:dyDescent="0.25">
      <c r="A1116">
        <v>319.6100707170155</v>
      </c>
      <c r="B1116">
        <v>-38.02029421511741</v>
      </c>
      <c r="C1116">
        <v>376.61487999999997</v>
      </c>
      <c r="E1116">
        <f t="shared" si="45"/>
        <v>-312.00696101177277</v>
      </c>
      <c r="F1116">
        <f t="shared" si="46"/>
        <v>322.19877911747534</v>
      </c>
    </row>
    <row r="1117" spans="1:6" x14ac:dyDescent="0.25">
      <c r="A1117">
        <v>327.98879861080707</v>
      </c>
      <c r="B1117">
        <v>-28.917943639489163</v>
      </c>
      <c r="C1117">
        <v>376.61487999999997</v>
      </c>
      <c r="E1117">
        <f t="shared" si="45"/>
        <v>-316.56718666053234</v>
      </c>
      <c r="F1117">
        <f t="shared" si="46"/>
        <v>330.33082096292338</v>
      </c>
    </row>
    <row r="1118" spans="1:6" x14ac:dyDescent="0.25">
      <c r="A1118">
        <v>336.72994601688731</v>
      </c>
      <c r="B1118">
        <v>-19.168583191241162</v>
      </c>
      <c r="C1118">
        <v>376.61487999999997</v>
      </c>
      <c r="E1118">
        <f t="shared" si="45"/>
        <v>-321.23389247075892</v>
      </c>
      <c r="F1118">
        <f t="shared" si="46"/>
        <v>338.98181928697488</v>
      </c>
    </row>
    <row r="1119" spans="1:6" x14ac:dyDescent="0.25">
      <c r="A1119">
        <v>344.88760099890459</v>
      </c>
      <c r="B1119">
        <v>-9.2398400917559851</v>
      </c>
      <c r="C1119">
        <v>376.61487999999997</v>
      </c>
      <c r="E1119">
        <f t="shared" si="45"/>
        <v>-325.29157618196308</v>
      </c>
      <c r="F1119">
        <f t="shared" si="46"/>
        <v>347.60337591095629</v>
      </c>
    </row>
    <row r="1120" spans="1:6" x14ac:dyDescent="0.25">
      <c r="A1120">
        <v>350.70456128660402</v>
      </c>
      <c r="B1120">
        <v>2.94177415537488E-14</v>
      </c>
      <c r="C1120">
        <v>376.61487999999997</v>
      </c>
      <c r="E1120">
        <f t="shared" si="45"/>
        <v>-327.41091390046176</v>
      </c>
      <c r="F1120">
        <f t="shared" si="46"/>
        <v>355.17701702817465</v>
      </c>
    </row>
    <row r="1121" spans="1:6" x14ac:dyDescent="0.25">
      <c r="A1121">
        <v>344.88760099890465</v>
      </c>
      <c r="B1121">
        <v>9.2398400917560117</v>
      </c>
      <c r="C1121">
        <v>376.61487999999997</v>
      </c>
      <c r="E1121">
        <f t="shared" si="45"/>
        <v>-318.66905108634501</v>
      </c>
      <c r="F1121">
        <f t="shared" si="46"/>
        <v>359.80257139760198</v>
      </c>
    </row>
    <row r="1122" spans="1:6" x14ac:dyDescent="0.25">
      <c r="A1122">
        <v>336.72994601688731</v>
      </c>
      <c r="B1122">
        <v>19.168583191241144</v>
      </c>
      <c r="C1122">
        <v>376.61487999999997</v>
      </c>
      <c r="E1122">
        <f t="shared" si="45"/>
        <v>-307.49508076289175</v>
      </c>
      <c r="F1122">
        <f t="shared" si="46"/>
        <v>364.28975657050216</v>
      </c>
    </row>
    <row r="1123" spans="1:6" x14ac:dyDescent="0.25">
      <c r="A1123">
        <v>327.98879861080701</v>
      </c>
      <c r="B1123">
        <v>28.917943639489177</v>
      </c>
      <c r="C1123">
        <v>376.61487999999997</v>
      </c>
      <c r="E1123">
        <f t="shared" si="45"/>
        <v>-295.84065832623168</v>
      </c>
      <c r="F1123">
        <f t="shared" si="46"/>
        <v>368.51066433972449</v>
      </c>
    </row>
    <row r="1124" spans="1:6" x14ac:dyDescent="0.25">
      <c r="A1124">
        <v>319.6100707170155</v>
      </c>
      <c r="B1124">
        <v>38.020294215117431</v>
      </c>
      <c r="C1124">
        <v>376.61487999999997</v>
      </c>
      <c r="E1124">
        <f t="shared" si="45"/>
        <v>-284.75645125381141</v>
      </c>
      <c r="F1124">
        <f t="shared" si="46"/>
        <v>372.39629303374227</v>
      </c>
    </row>
    <row r="1125" spans="1:6" x14ac:dyDescent="0.25">
      <c r="A1125">
        <v>310.17505603465719</v>
      </c>
      <c r="B1125">
        <v>48.009413139470496</v>
      </c>
      <c r="C1125">
        <v>376.61487999999997</v>
      </c>
      <c r="E1125">
        <f t="shared" si="45"/>
        <v>-272.36832615596342</v>
      </c>
      <c r="F1125">
        <f t="shared" si="46"/>
        <v>376.59964618933446</v>
      </c>
    </row>
    <row r="1126" spans="1:6" x14ac:dyDescent="0.25">
      <c r="A1126">
        <v>299.94797761469903</v>
      </c>
      <c r="B1126">
        <v>58.423903026694205</v>
      </c>
      <c r="C1126">
        <v>376.61487999999997</v>
      </c>
      <c r="E1126">
        <f t="shared" si="45"/>
        <v>-259.08830653639387</v>
      </c>
      <c r="F1126">
        <f t="shared" si="46"/>
        <v>380.88309173719125</v>
      </c>
    </row>
    <row r="1127" spans="1:6" x14ac:dyDescent="0.25">
      <c r="A1127">
        <v>288.50572191191605</v>
      </c>
      <c r="B1127">
        <v>69.513185000395609</v>
      </c>
      <c r="C1127">
        <v>376.61487999999997</v>
      </c>
      <c r="E1127">
        <f t="shared" si="45"/>
        <v>-244.43199733445473</v>
      </c>
      <c r="F1127">
        <f t="shared" si="46"/>
        <v>385.30406396269098</v>
      </c>
    </row>
    <row r="1128" spans="1:6" x14ac:dyDescent="0.25">
      <c r="A1128">
        <v>275.25296426024107</v>
      </c>
      <c r="B1128">
        <v>81.5922176953259</v>
      </c>
      <c r="C1128">
        <v>376.61487999999997</v>
      </c>
      <c r="E1128">
        <f t="shared" si="45"/>
        <v>-227.73074401436713</v>
      </c>
      <c r="F1128">
        <f t="shared" si="46"/>
        <v>389.91962209565213</v>
      </c>
    </row>
    <row r="1129" spans="1:6" x14ac:dyDescent="0.25">
      <c r="A1129">
        <v>259.72842064859196</v>
      </c>
      <c r="B1129">
        <v>94.311239197246536</v>
      </c>
      <c r="C1129">
        <v>376.61487999999997</v>
      </c>
      <c r="E1129">
        <f t="shared" si="45"/>
        <v>-208.67924431236347</v>
      </c>
      <c r="F1129">
        <f t="shared" si="46"/>
        <v>394.38198253721606</v>
      </c>
    </row>
    <row r="1130" spans="1:6" x14ac:dyDescent="0.25">
      <c r="A1130">
        <v>239.65573285856144</v>
      </c>
      <c r="B1130">
        <v>109.82032345980647</v>
      </c>
      <c r="C1130">
        <v>376.61487999999997</v>
      </c>
      <c r="E1130">
        <f t="shared" si="45"/>
        <v>-184.38181715790267</v>
      </c>
      <c r="F1130">
        <f t="shared" si="46"/>
        <v>399.53365816039434</v>
      </c>
    </row>
    <row r="1131" spans="1:6" x14ac:dyDescent="0.25">
      <c r="A1131">
        <v>215.89476836943194</v>
      </c>
      <c r="B1131">
        <v>126.61770667697009</v>
      </c>
      <c r="C1131">
        <v>376.61487999999997</v>
      </c>
      <c r="E1131">
        <f t="shared" si="45"/>
        <v>-156.17940201489475</v>
      </c>
      <c r="F1131">
        <f t="shared" si="46"/>
        <v>404.60116723780891</v>
      </c>
    </row>
    <row r="1132" spans="1:6" x14ac:dyDescent="0.25">
      <c r="A1132">
        <v>187.9119911458632</v>
      </c>
      <c r="B1132">
        <v>144.33106672205983</v>
      </c>
      <c r="C1132">
        <v>376.61487999999997</v>
      </c>
      <c r="E1132">
        <f t="shared" si="45"/>
        <v>-123.70732840102279</v>
      </c>
      <c r="F1132">
        <f t="shared" si="46"/>
        <v>409.20352426688328</v>
      </c>
    </row>
    <row r="1133" spans="1:6" x14ac:dyDescent="0.25">
      <c r="A1133">
        <v>157.18881914409795</v>
      </c>
      <c r="B1133">
        <v>161.46914684372203</v>
      </c>
      <c r="C1133">
        <v>376.61487999999997</v>
      </c>
      <c r="E1133">
        <f t="shared" si="45"/>
        <v>-88.883037747924774</v>
      </c>
      <c r="F1133">
        <f t="shared" si="46"/>
        <v>412.73168728856422</v>
      </c>
    </row>
    <row r="1134" spans="1:6" x14ac:dyDescent="0.25">
      <c r="A1134">
        <v>128.35900930115614</v>
      </c>
      <c r="B1134">
        <v>175.23249255106705</v>
      </c>
      <c r="C1134">
        <v>376.61487999999997</v>
      </c>
      <c r="E1134">
        <f t="shared" si="45"/>
        <v>-57.035749598893581</v>
      </c>
      <c r="F1134">
        <f t="shared" si="46"/>
        <v>414.51183590492394</v>
      </c>
    </row>
    <row r="1135" spans="1:6" x14ac:dyDescent="0.25">
      <c r="A1135">
        <v>98.389044282331866</v>
      </c>
      <c r="B1135">
        <v>187.85109092380665</v>
      </c>
      <c r="C1135">
        <v>376.61487999999997</v>
      </c>
      <c r="E1135">
        <f t="shared" si="45"/>
        <v>-24.534275649539051</v>
      </c>
      <c r="F1135">
        <f t="shared" si="46"/>
        <v>415.24736946686573</v>
      </c>
    </row>
    <row r="1136" spans="1:6" x14ac:dyDescent="0.25">
      <c r="A1136">
        <v>67.57831345617231</v>
      </c>
      <c r="B1136">
        <v>199.39446082660902</v>
      </c>
      <c r="C1136">
        <v>376.61487999999997</v>
      </c>
      <c r="E1136">
        <f t="shared" si="45"/>
        <v>8.3667933787476834</v>
      </c>
      <c r="F1136">
        <f t="shared" si="46"/>
        <v>415.06004681621516</v>
      </c>
    </row>
    <row r="1137" spans="1:6" x14ac:dyDescent="0.25">
      <c r="A1137">
        <v>36.173564101377281</v>
      </c>
      <c r="B1137">
        <v>210.65824855751939</v>
      </c>
      <c r="C1137">
        <v>376.61487999999997</v>
      </c>
      <c r="E1137">
        <f t="shared" si="45"/>
        <v>41.722233188674799</v>
      </c>
      <c r="F1137">
        <f t="shared" si="46"/>
        <v>414.53763358378581</v>
      </c>
    </row>
    <row r="1138" spans="1:6" x14ac:dyDescent="0.25">
      <c r="A1138">
        <v>6.3943915636849452E-14</v>
      </c>
      <c r="B1138">
        <v>222.37189304728435</v>
      </c>
      <c r="C1138">
        <v>376.61487999999997</v>
      </c>
      <c r="E1138">
        <f t="shared" si="45"/>
        <v>79.690959347862091</v>
      </c>
      <c r="F1138">
        <f t="shared" si="46"/>
        <v>413.1037505903559</v>
      </c>
    </row>
    <row r="1139" spans="1:6" x14ac:dyDescent="0.25">
      <c r="A1139">
        <v>-36.173564101377288</v>
      </c>
      <c r="B1139">
        <v>210.65824855751936</v>
      </c>
      <c r="C1139">
        <v>376.61487999999997</v>
      </c>
      <c r="E1139">
        <f t="shared" si="45"/>
        <v>109.26409599205014</v>
      </c>
      <c r="F1139">
        <f t="shared" si="46"/>
        <v>396.20455244291054</v>
      </c>
    </row>
    <row r="1140" spans="1:6" x14ac:dyDescent="0.25">
      <c r="A1140">
        <v>-67.578313456172268</v>
      </c>
      <c r="B1140">
        <v>199.39446082660902</v>
      </c>
      <c r="C1140">
        <v>376.61487999999997</v>
      </c>
      <c r="E1140">
        <f t="shared" si="45"/>
        <v>134.54637477549753</v>
      </c>
      <c r="F1140">
        <f t="shared" si="46"/>
        <v>380.81076188306878</v>
      </c>
    </row>
    <row r="1141" spans="1:6" x14ac:dyDescent="0.25">
      <c r="A1141">
        <v>-98.389044282331866</v>
      </c>
      <c r="B1141">
        <v>187.85109092380671</v>
      </c>
      <c r="C1141">
        <v>376.61487999999997</v>
      </c>
      <c r="E1141">
        <f t="shared" si="45"/>
        <v>159.17389619796387</v>
      </c>
      <c r="F1141">
        <f t="shared" si="46"/>
        <v>365.38293456777672</v>
      </c>
    </row>
    <row r="1142" spans="1:6" x14ac:dyDescent="0.25">
      <c r="A1142">
        <v>-128.35900930115574</v>
      </c>
      <c r="B1142">
        <v>175.23249255106722</v>
      </c>
      <c r="C1142">
        <v>376.61487999999997</v>
      </c>
      <c r="E1142">
        <f t="shared" si="45"/>
        <v>182.63116769736939</v>
      </c>
      <c r="F1142">
        <f t="shared" si="46"/>
        <v>349.45835856203621</v>
      </c>
    </row>
    <row r="1143" spans="1:6" x14ac:dyDescent="0.25">
      <c r="A1143">
        <v>-157.18881914409758</v>
      </c>
      <c r="B1143">
        <v>161.46914684372217</v>
      </c>
      <c r="C1143">
        <v>376.61487999999997</v>
      </c>
      <c r="E1143">
        <f t="shared" si="45"/>
        <v>204.61377188635188</v>
      </c>
      <c r="F1143">
        <f t="shared" si="46"/>
        <v>333.06700819498883</v>
      </c>
    </row>
    <row r="1144" spans="1:6" x14ac:dyDescent="0.25">
      <c r="A1144">
        <v>-187.91199114586311</v>
      </c>
      <c r="B1144">
        <v>144.33106672205989</v>
      </c>
      <c r="C1144">
        <v>376.61487999999997</v>
      </c>
      <c r="E1144">
        <f t="shared" si="45"/>
        <v>227.15458527476386</v>
      </c>
      <c r="F1144">
        <f t="shared" si="46"/>
        <v>313.96807079136124</v>
      </c>
    </row>
    <row r="1145" spans="1:6" x14ac:dyDescent="0.25">
      <c r="A1145">
        <v>-215.89476836943186</v>
      </c>
      <c r="B1145">
        <v>126.61770667697009</v>
      </c>
      <c r="C1145">
        <v>376.61487999999997</v>
      </c>
      <c r="E1145">
        <f t="shared" si="45"/>
        <v>246.93085785080288</v>
      </c>
      <c r="F1145">
        <f t="shared" si="46"/>
        <v>295.18379560932306</v>
      </c>
    </row>
    <row r="1146" spans="1:6" x14ac:dyDescent="0.25">
      <c r="A1146">
        <v>-239.65573285856144</v>
      </c>
      <c r="B1146">
        <v>109.8203234598065</v>
      </c>
      <c r="C1146">
        <v>376.61487999999997</v>
      </c>
      <c r="E1146">
        <f t="shared" si="45"/>
        <v>263.09398543128776</v>
      </c>
      <c r="F1146">
        <f t="shared" si="46"/>
        <v>278.07402028620891</v>
      </c>
    </row>
    <row r="1147" spans="1:6" x14ac:dyDescent="0.25">
      <c r="A1147">
        <v>-259.72842064859196</v>
      </c>
      <c r="B1147">
        <v>94.311239197246579</v>
      </c>
      <c r="C1147">
        <v>376.61487999999997</v>
      </c>
      <c r="E1147">
        <f t="shared" si="45"/>
        <v>276.27549513275079</v>
      </c>
      <c r="F1147">
        <f t="shared" si="46"/>
        <v>262.74932955899578</v>
      </c>
    </row>
    <row r="1148" spans="1:6" x14ac:dyDescent="0.25">
      <c r="A1148">
        <v>-275.25296426024096</v>
      </c>
      <c r="B1148">
        <v>81.592217695325871</v>
      </c>
      <c r="C1148">
        <v>376.61487999999997</v>
      </c>
      <c r="E1148">
        <f t="shared" si="45"/>
        <v>286.21081552302257</v>
      </c>
      <c r="F1148">
        <f t="shared" si="46"/>
        <v>250.41899357292141</v>
      </c>
    </row>
    <row r="1149" spans="1:6" x14ac:dyDescent="0.25">
      <c r="A1149">
        <v>-288.505721911916</v>
      </c>
      <c r="B1149">
        <v>69.51318500039568</v>
      </c>
      <c r="C1149">
        <v>376.61487999999997</v>
      </c>
      <c r="E1149">
        <f t="shared" si="45"/>
        <v>294.25459248436459</v>
      </c>
      <c r="F1149">
        <f t="shared" si="46"/>
        <v>239.08682104477379</v>
      </c>
    </row>
    <row r="1150" spans="1:6" x14ac:dyDescent="0.25">
      <c r="A1150">
        <v>-299.94797761469897</v>
      </c>
      <c r="B1150">
        <v>58.423903026694262</v>
      </c>
      <c r="C1150">
        <v>376.61487999999997</v>
      </c>
      <c r="E1150">
        <f t="shared" si="45"/>
        <v>300.9628152006137</v>
      </c>
      <c r="F1150">
        <f t="shared" si="46"/>
        <v>228.86681277057636</v>
      </c>
    </row>
    <row r="1151" spans="1:6" x14ac:dyDescent="0.25">
      <c r="A1151">
        <v>-310.17505603465713</v>
      </c>
      <c r="B1151">
        <v>48.009413139470574</v>
      </c>
      <c r="C1151">
        <v>376.61487999999997</v>
      </c>
      <c r="E1151">
        <f t="shared" si="45"/>
        <v>306.778396047294</v>
      </c>
      <c r="F1151">
        <f t="shared" si="46"/>
        <v>219.4001937322189</v>
      </c>
    </row>
    <row r="1152" spans="1:6" x14ac:dyDescent="0.25">
      <c r="A1152">
        <v>-319.6100707170155</v>
      </c>
      <c r="B1152">
        <v>38.020294215117602</v>
      </c>
      <c r="C1152">
        <v>376.61487999999997</v>
      </c>
      <c r="E1152">
        <f t="shared" si="45"/>
        <v>312.00696101177294</v>
      </c>
      <c r="F1152">
        <f t="shared" si="46"/>
        <v>210.41509197004035</v>
      </c>
    </row>
    <row r="1153" spans="1:6" x14ac:dyDescent="0.25">
      <c r="A1153">
        <v>-327.98879861080712</v>
      </c>
      <c r="B1153">
        <v>28.917943639489156</v>
      </c>
      <c r="C1153">
        <v>376.61487999999997</v>
      </c>
      <c r="E1153">
        <f t="shared" si="45"/>
        <v>316.56718666053251</v>
      </c>
      <c r="F1153">
        <f t="shared" si="46"/>
        <v>202.28305012459217</v>
      </c>
    </row>
    <row r="1154" spans="1:6" x14ac:dyDescent="0.25">
      <c r="A1154">
        <v>-336.72994601688725</v>
      </c>
      <c r="B1154">
        <v>19.16858319124113</v>
      </c>
      <c r="C1154">
        <v>376.61487999999997</v>
      </c>
      <c r="E1154">
        <f t="shared" si="45"/>
        <v>321.23389247075897</v>
      </c>
      <c r="F1154">
        <f t="shared" si="46"/>
        <v>193.63205180054069</v>
      </c>
    </row>
    <row r="1155" spans="1:6" x14ac:dyDescent="0.25">
      <c r="A1155">
        <v>-340.30507294670036</v>
      </c>
      <c r="B1155">
        <v>9.1763069350798808E-16</v>
      </c>
      <c r="C1155">
        <v>430.09587199999999</v>
      </c>
      <c r="E1155">
        <f t="shared" si="45"/>
        <v>317.70215514074192</v>
      </c>
      <c r="F1155">
        <f t="shared" si="46"/>
        <v>217.8889023459484</v>
      </c>
    </row>
    <row r="1156" spans="1:6" x14ac:dyDescent="0.25">
      <c r="A1156">
        <v>-336.46879491538351</v>
      </c>
      <c r="B1156">
        <v>-8.7908856882710147</v>
      </c>
      <c r="C1156">
        <v>430.09587199999999</v>
      </c>
      <c r="E1156">
        <f t="shared" si="45"/>
        <v>310.97030938131053</v>
      </c>
      <c r="F1156">
        <f t="shared" si="46"/>
        <v>213.05780759480567</v>
      </c>
    </row>
    <row r="1157" spans="1:6" x14ac:dyDescent="0.25">
      <c r="A1157">
        <v>-330.25431904418599</v>
      </c>
      <c r="B1157">
        <v>-18.316266483805823</v>
      </c>
      <c r="C1157">
        <v>430.09587199999999</v>
      </c>
      <c r="E1157">
        <f t="shared" si="45"/>
        <v>301.75500516268738</v>
      </c>
      <c r="F1157">
        <f t="shared" si="46"/>
        <v>208.34448828608777</v>
      </c>
    </row>
    <row r="1158" spans="1:6" x14ac:dyDescent="0.25">
      <c r="A1158">
        <v>-322.56102733013955</v>
      </c>
      <c r="B1158">
        <v>-27.851776954316446</v>
      </c>
      <c r="C1158">
        <v>430.09587199999999</v>
      </c>
      <c r="E1158">
        <f t="shared" si="45"/>
        <v>291.15547726793585</v>
      </c>
      <c r="F1158">
        <f t="shared" si="46"/>
        <v>203.99922041522996</v>
      </c>
    </row>
    <row r="1159" spans="1:6" x14ac:dyDescent="0.25">
      <c r="A1159">
        <v>-314.40241165787808</v>
      </c>
      <c r="B1159">
        <v>-37.431304284414779</v>
      </c>
      <c r="C1159">
        <v>430.09587199999999</v>
      </c>
      <c r="E1159">
        <f t="shared" si="45"/>
        <v>280.10575780209871</v>
      </c>
      <c r="F1159">
        <f t="shared" si="46"/>
        <v>199.74281035027667</v>
      </c>
    </row>
    <row r="1160" spans="1:6" x14ac:dyDescent="0.25">
      <c r="A1160">
        <v>-306.32519977611651</v>
      </c>
      <c r="B1160">
        <v>-46.583959888134437</v>
      </c>
      <c r="C1160">
        <v>430.09587199999999</v>
      </c>
      <c r="E1160">
        <f t="shared" si="45"/>
        <v>269.28501246701614</v>
      </c>
      <c r="F1160">
        <f t="shared" si="46"/>
        <v>195.74756775586138</v>
      </c>
    </row>
    <row r="1161" spans="1:6" x14ac:dyDescent="0.25">
      <c r="A1161">
        <v>-296.83282249489554</v>
      </c>
      <c r="B1161">
        <v>-56.851418955508855</v>
      </c>
      <c r="C1161">
        <v>430.09587199999999</v>
      </c>
      <c r="E1161">
        <f t="shared" si="45"/>
        <v>256.74358658332631</v>
      </c>
      <c r="F1161">
        <f t="shared" si="46"/>
        <v>191.37500678126295</v>
      </c>
    </row>
    <row r="1162" spans="1:6" x14ac:dyDescent="0.25">
      <c r="A1162">
        <v>-286.11814228027026</v>
      </c>
      <c r="B1162">
        <v>-67.811409865342426</v>
      </c>
      <c r="C1162">
        <v>430.09587199999999</v>
      </c>
      <c r="E1162">
        <f t="shared" si="45"/>
        <v>242.8128613893831</v>
      </c>
      <c r="F1162">
        <f t="shared" si="46"/>
        <v>186.85501405913641</v>
      </c>
    </row>
    <row r="1163" spans="1:6" x14ac:dyDescent="0.25">
      <c r="A1163">
        <v>-273.93923422802055</v>
      </c>
      <c r="B1163">
        <v>-79.011354538639182</v>
      </c>
      <c r="C1163">
        <v>430.09587199999999</v>
      </c>
      <c r="E1163">
        <f t="shared" si="45"/>
        <v>227.42917000810345</v>
      </c>
      <c r="F1163">
        <f t="shared" si="46"/>
        <v>182.54765979488073</v>
      </c>
    </row>
    <row r="1164" spans="1:6" x14ac:dyDescent="0.25">
      <c r="A1164">
        <v>-258.74940692542106</v>
      </c>
      <c r="B1164">
        <v>-92.405263251120829</v>
      </c>
      <c r="C1164">
        <v>430.09587199999999</v>
      </c>
      <c r="E1164">
        <f t="shared" si="45"/>
        <v>208.4482969548348</v>
      </c>
      <c r="F1164">
        <f t="shared" si="46"/>
        <v>177.5549600133603</v>
      </c>
    </row>
    <row r="1165" spans="1:6" x14ac:dyDescent="0.25">
      <c r="A1165">
        <v>-239.44594952090549</v>
      </c>
      <c r="B1165">
        <v>-107.83731076848542</v>
      </c>
      <c r="C1165">
        <v>430.09587199999999</v>
      </c>
      <c r="E1165">
        <f t="shared" si="45"/>
        <v>184.89661573217302</v>
      </c>
      <c r="F1165">
        <f t="shared" si="46"/>
        <v>172.25921313816576</v>
      </c>
    </row>
    <row r="1166" spans="1:6" x14ac:dyDescent="0.25">
      <c r="A1166">
        <v>-213.70718644993269</v>
      </c>
      <c r="B1166">
        <v>-126.1494057467914</v>
      </c>
      <c r="C1166">
        <v>430.09587199999999</v>
      </c>
      <c r="E1166">
        <f t="shared" si="45"/>
        <v>154.30494239760947</v>
      </c>
      <c r="F1166">
        <f t="shared" si="46"/>
        <v>166.69296352511714</v>
      </c>
    </row>
    <row r="1167" spans="1:6" x14ac:dyDescent="0.25">
      <c r="A1167">
        <v>-184.41418924082566</v>
      </c>
      <c r="B1167">
        <v>-144.85750414547164</v>
      </c>
      <c r="C1167">
        <v>430.09587199999999</v>
      </c>
      <c r="E1167">
        <f t="shared" si="45"/>
        <v>120.25319070672325</v>
      </c>
      <c r="F1167">
        <f t="shared" si="46"/>
        <v>161.76595439331717</v>
      </c>
    </row>
    <row r="1168" spans="1:6" x14ac:dyDescent="0.25">
      <c r="A1168">
        <v>-155.09354126079617</v>
      </c>
      <c r="B1168">
        <v>-160.88423227640479</v>
      </c>
      <c r="C1168">
        <v>430.09587199999999</v>
      </c>
      <c r="E1168">
        <f t="shared" si="45"/>
        <v>87.136541962150503</v>
      </c>
      <c r="F1168">
        <f t="shared" si="46"/>
        <v>158.61603467368622</v>
      </c>
    </row>
    <row r="1169" spans="1:6" x14ac:dyDescent="0.25">
      <c r="A1169">
        <v>-125.60080359256784</v>
      </c>
      <c r="B1169">
        <v>-174.8665843449381</v>
      </c>
      <c r="C1169">
        <v>430.09587199999999</v>
      </c>
      <c r="E1169">
        <f t="shared" si="45"/>
        <v>54.591872510655037</v>
      </c>
      <c r="F1169">
        <f t="shared" si="46"/>
        <v>156.85929980065472</v>
      </c>
    </row>
    <row r="1170" spans="1:6" x14ac:dyDescent="0.25">
      <c r="A1170">
        <v>-96.068931279281472</v>
      </c>
      <c r="B1170">
        <v>-186.84406861535211</v>
      </c>
      <c r="C1170">
        <v>430.09587199999999</v>
      </c>
      <c r="E1170">
        <f t="shared" si="45"/>
        <v>22.729148082456884</v>
      </c>
      <c r="F1170">
        <f t="shared" si="46"/>
        <v>156.43597735324019</v>
      </c>
    </row>
    <row r="1171" spans="1:6" x14ac:dyDescent="0.25">
      <c r="A1171">
        <v>-65.775405115727892</v>
      </c>
      <c r="B1171">
        <v>-197.59534773645174</v>
      </c>
      <c r="C1171">
        <v>430.09587199999999</v>
      </c>
      <c r="E1171">
        <f t="shared" si="45"/>
        <v>-9.4052088470352722</v>
      </c>
      <c r="F1171">
        <f t="shared" si="46"/>
        <v>157.01512970353204</v>
      </c>
    </row>
    <row r="1172" spans="1:6" x14ac:dyDescent="0.25">
      <c r="A1172">
        <v>-33.779752721243355</v>
      </c>
      <c r="B1172">
        <v>-207.83198133268766</v>
      </c>
      <c r="C1172">
        <v>430.09587199999999</v>
      </c>
      <c r="E1172">
        <f t="shared" ref="E1172:E1235" si="47">($I$2*A1172)+($K$2*B1172)+($M$2*C1172)</f>
        <v>-42.944205047663978</v>
      </c>
      <c r="F1172">
        <f t="shared" ref="F1172:F1235" si="48">($J$2*A1172)+($L$2*B1172)+($N$2*C1172)</f>
        <v>158.36534697984064</v>
      </c>
    </row>
    <row r="1173" spans="1:6" x14ac:dyDescent="0.25">
      <c r="A1173">
        <v>5.4401944838178063E-14</v>
      </c>
      <c r="B1173">
        <v>-218.45995399540669</v>
      </c>
      <c r="C1173">
        <v>430.09587199999999</v>
      </c>
      <c r="E1173">
        <f t="shared" si="47"/>
        <v>-78.289045771094521</v>
      </c>
      <c r="F1173">
        <f t="shared" si="48"/>
        <v>159.90932415959094</v>
      </c>
    </row>
    <row r="1174" spans="1:6" x14ac:dyDescent="0.25">
      <c r="A1174">
        <v>33.779752721243256</v>
      </c>
      <c r="B1174">
        <v>-207.83198133268766</v>
      </c>
      <c r="C1174">
        <v>430.09587199999999</v>
      </c>
      <c r="E1174">
        <f t="shared" si="47"/>
        <v>-106.01643695260064</v>
      </c>
      <c r="F1174">
        <f t="shared" si="48"/>
        <v>175.48522341285363</v>
      </c>
    </row>
    <row r="1175" spans="1:6" x14ac:dyDescent="0.25">
      <c r="A1175">
        <v>65.775405115727864</v>
      </c>
      <c r="B1175">
        <v>-197.59534773645169</v>
      </c>
      <c r="C1175">
        <v>430.09587199999999</v>
      </c>
      <c r="E1175">
        <f t="shared" si="47"/>
        <v>-132.21847036897017</v>
      </c>
      <c r="F1175">
        <f t="shared" si="48"/>
        <v>190.35068479788521</v>
      </c>
    </row>
    <row r="1176" spans="1:6" x14ac:dyDescent="0.25">
      <c r="A1176">
        <v>96.068931279281543</v>
      </c>
      <c r="B1176">
        <v>-186.84406861535211</v>
      </c>
      <c r="C1176">
        <v>430.09587199999999</v>
      </c>
      <c r="E1176">
        <f t="shared" si="47"/>
        <v>-156.64699959122709</v>
      </c>
      <c r="F1176">
        <f t="shared" si="48"/>
        <v>205.1245585315923</v>
      </c>
    </row>
    <row r="1177" spans="1:6" x14ac:dyDescent="0.25">
      <c r="A1177">
        <v>125.60080359256777</v>
      </c>
      <c r="B1177">
        <v>-174.86658434493799</v>
      </c>
      <c r="C1177">
        <v>430.09587199999999</v>
      </c>
      <c r="E1177">
        <f t="shared" si="47"/>
        <v>-179.92503106202636</v>
      </c>
      <c r="F1177">
        <f t="shared" si="48"/>
        <v>220.51489417804166</v>
      </c>
    </row>
    <row r="1178" spans="1:6" x14ac:dyDescent="0.25">
      <c r="A1178">
        <v>155.09354126079617</v>
      </c>
      <c r="B1178">
        <v>-160.88423227640479</v>
      </c>
      <c r="C1178">
        <v>430.09587199999999</v>
      </c>
      <c r="E1178">
        <f t="shared" si="47"/>
        <v>-202.4480468322804</v>
      </c>
      <c r="F1178">
        <f t="shared" si="48"/>
        <v>237.21880846703755</v>
      </c>
    </row>
    <row r="1179" spans="1:6" x14ac:dyDescent="0.25">
      <c r="A1179">
        <v>184.41418924082552</v>
      </c>
      <c r="B1179">
        <v>-144.85750414547175</v>
      </c>
      <c r="C1179">
        <v>430.09587199999999</v>
      </c>
      <c r="E1179">
        <f t="shared" si="47"/>
        <v>-224.07776418044804</v>
      </c>
      <c r="F1179">
        <f t="shared" si="48"/>
        <v>255.22869103175759</v>
      </c>
    </row>
    <row r="1180" spans="1:6" x14ac:dyDescent="0.25">
      <c r="A1180">
        <v>213.70718644993264</v>
      </c>
      <c r="B1180">
        <v>-126.14940574679159</v>
      </c>
      <c r="C1180">
        <v>430.09587199999999</v>
      </c>
      <c r="E1180">
        <f t="shared" si="47"/>
        <v>-244.72075014528087</v>
      </c>
      <c r="F1180">
        <f t="shared" si="48"/>
        <v>275.00164935421367</v>
      </c>
    </row>
    <row r="1181" spans="1:6" x14ac:dyDescent="0.25">
      <c r="A1181">
        <v>239.4459495209056</v>
      </c>
      <c r="B1181">
        <v>-107.8373107684853</v>
      </c>
      <c r="C1181">
        <v>430.09587199999999</v>
      </c>
      <c r="E1181">
        <f t="shared" si="47"/>
        <v>-262.18748762133583</v>
      </c>
      <c r="F1181">
        <f t="shared" si="48"/>
        <v>293.61253096767803</v>
      </c>
    </row>
    <row r="1182" spans="1:6" x14ac:dyDescent="0.25">
      <c r="A1182">
        <v>258.74940692542123</v>
      </c>
      <c r="B1182">
        <v>-92.405263251120829</v>
      </c>
      <c r="C1182">
        <v>430.09587199999999</v>
      </c>
      <c r="E1182">
        <f t="shared" si="47"/>
        <v>-274.67846639183057</v>
      </c>
      <c r="F1182">
        <f t="shared" si="48"/>
        <v>308.69144020709575</v>
      </c>
    </row>
    <row r="1183" spans="1:6" x14ac:dyDescent="0.25">
      <c r="A1183">
        <v>273.93923422802061</v>
      </c>
      <c r="B1183">
        <v>-79.011354538639225</v>
      </c>
      <c r="C1183">
        <v>430.09587199999999</v>
      </c>
      <c r="E1183">
        <f t="shared" si="47"/>
        <v>-284.05944424172117</v>
      </c>
      <c r="F1183">
        <f t="shared" si="48"/>
        <v>321.38247835732102</v>
      </c>
    </row>
    <row r="1184" spans="1:6" x14ac:dyDescent="0.25">
      <c r="A1184">
        <v>286.11814228027038</v>
      </c>
      <c r="B1184">
        <v>-67.811409865342469</v>
      </c>
      <c r="C1184">
        <v>430.09587199999999</v>
      </c>
      <c r="E1184">
        <f t="shared" si="47"/>
        <v>-291.41573320782055</v>
      </c>
      <c r="F1184">
        <f t="shared" si="48"/>
        <v>331.86221057425547</v>
      </c>
    </row>
    <row r="1185" spans="1:6" x14ac:dyDescent="0.25">
      <c r="A1185">
        <v>296.83282249489554</v>
      </c>
      <c r="B1185">
        <v>-56.851418955508855</v>
      </c>
      <c r="C1185">
        <v>430.09587199999999</v>
      </c>
      <c r="E1185">
        <f t="shared" si="47"/>
        <v>-297.49103946297919</v>
      </c>
      <c r="F1185">
        <f t="shared" si="48"/>
        <v>341.81249767441858</v>
      </c>
    </row>
    <row r="1186" spans="1:6" x14ac:dyDescent="0.25">
      <c r="A1186">
        <v>306.32519977611662</v>
      </c>
      <c r="B1186">
        <v>-46.583959888134466</v>
      </c>
      <c r="C1186">
        <v>430.09587199999999</v>
      </c>
      <c r="E1186">
        <f t="shared" si="47"/>
        <v>-302.67340884063867</v>
      </c>
      <c r="F1186">
        <f t="shared" si="48"/>
        <v>350.99587912633342</v>
      </c>
    </row>
    <row r="1187" spans="1:6" x14ac:dyDescent="0.25">
      <c r="A1187">
        <v>314.40241165787819</v>
      </c>
      <c r="B1187">
        <v>-37.431304284414779</v>
      </c>
      <c r="C1187">
        <v>430.09587199999999</v>
      </c>
      <c r="E1187">
        <f t="shared" si="47"/>
        <v>-306.93411733252259</v>
      </c>
      <c r="F1187">
        <f t="shared" si="48"/>
        <v>359.0847238995492</v>
      </c>
    </row>
    <row r="1188" spans="1:6" x14ac:dyDescent="0.25">
      <c r="A1188">
        <v>322.56102733013955</v>
      </c>
      <c r="B1188">
        <v>-27.85177695431641</v>
      </c>
      <c r="C1188">
        <v>430.09587199999999</v>
      </c>
      <c r="E1188">
        <f t="shared" si="47"/>
        <v>-311.11784566455862</v>
      </c>
      <c r="F1188">
        <f t="shared" si="48"/>
        <v>367.47599230186745</v>
      </c>
    </row>
    <row r="1189" spans="1:6" x14ac:dyDescent="0.25">
      <c r="A1189">
        <v>330.2543190441861</v>
      </c>
      <c r="B1189">
        <v>-18.316266483805869</v>
      </c>
      <c r="C1189">
        <v>430.09587199999999</v>
      </c>
      <c r="E1189">
        <f t="shared" si="47"/>
        <v>-314.8829308889409</v>
      </c>
      <c r="F1189">
        <f t="shared" si="48"/>
        <v>375.72028822643767</v>
      </c>
    </row>
    <row r="1190" spans="1:6" x14ac:dyDescent="0.25">
      <c r="A1190">
        <v>336.46879491538346</v>
      </c>
      <c r="B1190">
        <v>-8.7908856882709987</v>
      </c>
      <c r="C1190">
        <v>430.09587199999999</v>
      </c>
      <c r="E1190">
        <f t="shared" si="47"/>
        <v>-317.27105273889595</v>
      </c>
      <c r="F1190">
        <f t="shared" si="48"/>
        <v>383.58315868459124</v>
      </c>
    </row>
    <row r="1191" spans="1:6" x14ac:dyDescent="0.25">
      <c r="A1191">
        <v>340.30507294670048</v>
      </c>
      <c r="B1191">
        <v>3.1833489299634652E-14</v>
      </c>
      <c r="C1191">
        <v>430.09587199999999</v>
      </c>
      <c r="E1191">
        <f t="shared" si="47"/>
        <v>-317.70215514074192</v>
      </c>
      <c r="F1191">
        <f t="shared" si="48"/>
        <v>390.35851295713434</v>
      </c>
    </row>
    <row r="1192" spans="1:6" x14ac:dyDescent="0.25">
      <c r="A1192">
        <v>336.46879491538351</v>
      </c>
      <c r="B1192">
        <v>8.7908856882710431</v>
      </c>
      <c r="C1192">
        <v>430.09587199999999</v>
      </c>
      <c r="E1192">
        <f t="shared" si="47"/>
        <v>-310.97030938131041</v>
      </c>
      <c r="F1192">
        <f t="shared" si="48"/>
        <v>395.18960770827704</v>
      </c>
    </row>
    <row r="1193" spans="1:6" x14ac:dyDescent="0.25">
      <c r="A1193">
        <v>330.2543190441861</v>
      </c>
      <c r="B1193">
        <v>18.316266483805855</v>
      </c>
      <c r="C1193">
        <v>430.09587199999999</v>
      </c>
      <c r="E1193">
        <f t="shared" si="47"/>
        <v>-301.75500516268733</v>
      </c>
      <c r="F1193">
        <f t="shared" si="48"/>
        <v>399.90292701699497</v>
      </c>
    </row>
    <row r="1194" spans="1:6" x14ac:dyDescent="0.25">
      <c r="A1194">
        <v>322.56102733013955</v>
      </c>
      <c r="B1194">
        <v>27.851776954316435</v>
      </c>
      <c r="C1194">
        <v>430.09587199999999</v>
      </c>
      <c r="E1194">
        <f t="shared" si="47"/>
        <v>-291.15547726793574</v>
      </c>
      <c r="F1194">
        <f t="shared" si="48"/>
        <v>404.24819488785272</v>
      </c>
    </row>
    <row r="1195" spans="1:6" x14ac:dyDescent="0.25">
      <c r="A1195">
        <v>314.40241165787808</v>
      </c>
      <c r="B1195">
        <v>37.431304284414765</v>
      </c>
      <c r="C1195">
        <v>430.09587199999999</v>
      </c>
      <c r="E1195">
        <f t="shared" si="47"/>
        <v>-280.10575780209859</v>
      </c>
      <c r="F1195">
        <f t="shared" si="48"/>
        <v>408.50460495280601</v>
      </c>
    </row>
    <row r="1196" spans="1:6" x14ac:dyDescent="0.25">
      <c r="A1196">
        <v>306.32519977611656</v>
      </c>
      <c r="B1196">
        <v>46.583959888134501</v>
      </c>
      <c r="C1196">
        <v>430.09587199999999</v>
      </c>
      <c r="E1196">
        <f t="shared" si="47"/>
        <v>-269.28501246701609</v>
      </c>
      <c r="F1196">
        <f t="shared" si="48"/>
        <v>412.49984754722135</v>
      </c>
    </row>
    <row r="1197" spans="1:6" x14ac:dyDescent="0.25">
      <c r="A1197">
        <v>296.83282249489559</v>
      </c>
      <c r="B1197">
        <v>56.851418955508876</v>
      </c>
      <c r="C1197">
        <v>430.09587199999999</v>
      </c>
      <c r="E1197">
        <f t="shared" si="47"/>
        <v>-256.74358658332619</v>
      </c>
      <c r="F1197">
        <f t="shared" si="48"/>
        <v>416.87240852181975</v>
      </c>
    </row>
    <row r="1198" spans="1:6" x14ac:dyDescent="0.25">
      <c r="A1198">
        <v>286.11814228027038</v>
      </c>
      <c r="B1198">
        <v>67.811409865342426</v>
      </c>
      <c r="C1198">
        <v>430.09587199999999</v>
      </c>
      <c r="E1198">
        <f t="shared" si="47"/>
        <v>-242.8128613893831</v>
      </c>
      <c r="F1198">
        <f t="shared" si="48"/>
        <v>421.39240124394632</v>
      </c>
    </row>
    <row r="1199" spans="1:6" x14ac:dyDescent="0.25">
      <c r="A1199">
        <v>273.93923422802061</v>
      </c>
      <c r="B1199">
        <v>79.011354538639225</v>
      </c>
      <c r="C1199">
        <v>430.09587199999999</v>
      </c>
      <c r="E1199">
        <f t="shared" si="47"/>
        <v>-227.42917000810337</v>
      </c>
      <c r="F1199">
        <f t="shared" si="48"/>
        <v>425.69975550820197</v>
      </c>
    </row>
    <row r="1200" spans="1:6" x14ac:dyDescent="0.25">
      <c r="A1200">
        <v>258.74940692542123</v>
      </c>
      <c r="B1200">
        <v>92.405263251120871</v>
      </c>
      <c r="C1200">
        <v>430.09587199999999</v>
      </c>
      <c r="E1200">
        <f t="shared" si="47"/>
        <v>-208.4482969548348</v>
      </c>
      <c r="F1200">
        <f t="shared" si="48"/>
        <v>430.69245528972249</v>
      </c>
    </row>
    <row r="1201" spans="1:6" x14ac:dyDescent="0.25">
      <c r="A1201">
        <v>239.4459495209056</v>
      </c>
      <c r="B1201">
        <v>107.83731076848535</v>
      </c>
      <c r="C1201">
        <v>430.09587199999999</v>
      </c>
      <c r="E1201">
        <f t="shared" si="47"/>
        <v>-184.89661573217302</v>
      </c>
      <c r="F1201">
        <f t="shared" si="48"/>
        <v>435.98820216491686</v>
      </c>
    </row>
    <row r="1202" spans="1:6" x14ac:dyDescent="0.25">
      <c r="A1202">
        <v>213.70718644993269</v>
      </c>
      <c r="B1202">
        <v>126.14940574679144</v>
      </c>
      <c r="C1202">
        <v>430.09587199999999</v>
      </c>
      <c r="E1202">
        <f t="shared" si="47"/>
        <v>-154.30494239760935</v>
      </c>
      <c r="F1202">
        <f t="shared" si="48"/>
        <v>441.55445177796554</v>
      </c>
    </row>
    <row r="1203" spans="1:6" x14ac:dyDescent="0.25">
      <c r="A1203">
        <v>184.41418924082578</v>
      </c>
      <c r="B1203">
        <v>144.85750414547164</v>
      </c>
      <c r="C1203">
        <v>430.09587199999999</v>
      </c>
      <c r="E1203">
        <f t="shared" si="47"/>
        <v>-120.25319070672325</v>
      </c>
      <c r="F1203">
        <f t="shared" si="48"/>
        <v>446.48146090976553</v>
      </c>
    </row>
    <row r="1204" spans="1:6" x14ac:dyDescent="0.25">
      <c r="A1204">
        <v>155.09354126079631</v>
      </c>
      <c r="B1204">
        <v>160.88423227640476</v>
      </c>
      <c r="C1204">
        <v>430.09587199999999</v>
      </c>
      <c r="E1204">
        <f t="shared" si="47"/>
        <v>-87.136541962150545</v>
      </c>
      <c r="F1204">
        <f t="shared" si="48"/>
        <v>449.63138062939646</v>
      </c>
    </row>
    <row r="1205" spans="1:6" x14ac:dyDescent="0.25">
      <c r="A1205">
        <v>125.60080359256798</v>
      </c>
      <c r="B1205">
        <v>174.86658434493799</v>
      </c>
      <c r="C1205">
        <v>430.09587199999999</v>
      </c>
      <c r="E1205">
        <f t="shared" si="47"/>
        <v>-54.591872510655101</v>
      </c>
      <c r="F1205">
        <f t="shared" si="48"/>
        <v>451.38811550242792</v>
      </c>
    </row>
    <row r="1206" spans="1:6" x14ac:dyDescent="0.25">
      <c r="A1206">
        <v>96.068931279281429</v>
      </c>
      <c r="B1206">
        <v>186.84406861535211</v>
      </c>
      <c r="C1206">
        <v>430.09587199999999</v>
      </c>
      <c r="E1206">
        <f t="shared" si="47"/>
        <v>-22.729148082456735</v>
      </c>
      <c r="F1206">
        <f t="shared" si="48"/>
        <v>451.81143794984246</v>
      </c>
    </row>
    <row r="1207" spans="1:6" x14ac:dyDescent="0.25">
      <c r="A1207">
        <v>65.775405115727807</v>
      </c>
      <c r="B1207">
        <v>197.5953477364518</v>
      </c>
      <c r="C1207">
        <v>430.09587199999999</v>
      </c>
      <c r="E1207">
        <f t="shared" si="47"/>
        <v>9.4052088470354782</v>
      </c>
      <c r="F1207">
        <f t="shared" si="48"/>
        <v>451.23228559955066</v>
      </c>
    </row>
    <row r="1208" spans="1:6" x14ac:dyDescent="0.25">
      <c r="A1208">
        <v>33.779752721243248</v>
      </c>
      <c r="B1208">
        <v>207.83198133268775</v>
      </c>
      <c r="C1208">
        <v>430.09587199999999</v>
      </c>
      <c r="E1208">
        <f t="shared" si="47"/>
        <v>42.944205047664205</v>
      </c>
      <c r="F1208">
        <f t="shared" si="48"/>
        <v>449.88206832324204</v>
      </c>
    </row>
    <row r="1209" spans="1:6" x14ac:dyDescent="0.25">
      <c r="A1209">
        <v>5.5787503172910254E-14</v>
      </c>
      <c r="B1209">
        <v>218.45995399540672</v>
      </c>
      <c r="C1209">
        <v>430.09587199999999</v>
      </c>
      <c r="E1209">
        <f t="shared" si="47"/>
        <v>78.289045771094536</v>
      </c>
      <c r="F1209">
        <f t="shared" si="48"/>
        <v>448.33809114349174</v>
      </c>
    </row>
    <row r="1210" spans="1:6" x14ac:dyDescent="0.25">
      <c r="A1210">
        <v>-33.779752721243256</v>
      </c>
      <c r="B1210">
        <v>207.83198133268775</v>
      </c>
      <c r="C1210">
        <v>430.09587199999999</v>
      </c>
      <c r="E1210">
        <f t="shared" si="47"/>
        <v>106.01643695260078</v>
      </c>
      <c r="F1210">
        <f t="shared" si="48"/>
        <v>432.76219189022913</v>
      </c>
    </row>
    <row r="1211" spans="1:6" x14ac:dyDescent="0.25">
      <c r="A1211">
        <v>-65.775405115727779</v>
      </c>
      <c r="B1211">
        <v>197.5953477364518</v>
      </c>
      <c r="C1211">
        <v>430.09587199999999</v>
      </c>
      <c r="E1211">
        <f t="shared" si="47"/>
        <v>132.21847036897023</v>
      </c>
      <c r="F1211">
        <f t="shared" si="48"/>
        <v>417.89673050519758</v>
      </c>
    </row>
    <row r="1212" spans="1:6" x14ac:dyDescent="0.25">
      <c r="A1212">
        <v>-96.068931279281472</v>
      </c>
      <c r="B1212">
        <v>186.84406861535211</v>
      </c>
      <c r="C1212">
        <v>430.09587199999999</v>
      </c>
      <c r="E1212">
        <f t="shared" si="47"/>
        <v>156.64699959122714</v>
      </c>
      <c r="F1212">
        <f t="shared" si="48"/>
        <v>403.12285677149038</v>
      </c>
    </row>
    <row r="1213" spans="1:6" x14ac:dyDescent="0.25">
      <c r="A1213">
        <v>-125.60080359256762</v>
      </c>
      <c r="B1213">
        <v>174.8665843449381</v>
      </c>
      <c r="C1213">
        <v>430.09587199999999</v>
      </c>
      <c r="E1213">
        <f t="shared" si="47"/>
        <v>179.92503106202636</v>
      </c>
      <c r="F1213">
        <f t="shared" si="48"/>
        <v>387.7325211250411</v>
      </c>
    </row>
    <row r="1214" spans="1:6" x14ac:dyDescent="0.25">
      <c r="A1214">
        <v>-155.09354126079597</v>
      </c>
      <c r="B1214">
        <v>160.88423227640487</v>
      </c>
      <c r="C1214">
        <v>430.09587199999999</v>
      </c>
      <c r="E1214">
        <f t="shared" si="47"/>
        <v>202.44804683228037</v>
      </c>
      <c r="F1214">
        <f t="shared" si="48"/>
        <v>371.02860683604524</v>
      </c>
    </row>
    <row r="1215" spans="1:6" x14ac:dyDescent="0.25">
      <c r="A1215">
        <v>-184.41418924082566</v>
      </c>
      <c r="B1215">
        <v>144.85750414547167</v>
      </c>
      <c r="C1215">
        <v>430.09587199999999</v>
      </c>
      <c r="E1215">
        <f t="shared" si="47"/>
        <v>224.07776418044827</v>
      </c>
      <c r="F1215">
        <f t="shared" si="48"/>
        <v>353.01872427132497</v>
      </c>
    </row>
    <row r="1216" spans="1:6" x14ac:dyDescent="0.25">
      <c r="A1216">
        <v>-213.70718644993275</v>
      </c>
      <c r="B1216">
        <v>126.14940574679143</v>
      </c>
      <c r="C1216">
        <v>430.09587199999999</v>
      </c>
      <c r="E1216">
        <f t="shared" si="47"/>
        <v>244.72075014528104</v>
      </c>
      <c r="F1216">
        <f t="shared" si="48"/>
        <v>333.24576594886884</v>
      </c>
    </row>
    <row r="1217" spans="1:6" x14ac:dyDescent="0.25">
      <c r="A1217">
        <v>-239.44594952090549</v>
      </c>
      <c r="B1217">
        <v>107.83731076848539</v>
      </c>
      <c r="C1217">
        <v>430.09587199999999</v>
      </c>
      <c r="E1217">
        <f t="shared" si="47"/>
        <v>262.18748762133589</v>
      </c>
      <c r="F1217">
        <f t="shared" si="48"/>
        <v>314.63488433540476</v>
      </c>
    </row>
    <row r="1218" spans="1:6" x14ac:dyDescent="0.25">
      <c r="A1218">
        <v>-258.74940692542111</v>
      </c>
      <c r="B1218">
        <v>92.405263251120871</v>
      </c>
      <c r="C1218">
        <v>430.09587199999999</v>
      </c>
      <c r="E1218">
        <f t="shared" si="47"/>
        <v>274.67846639183057</v>
      </c>
      <c r="F1218">
        <f t="shared" si="48"/>
        <v>299.55597509598698</v>
      </c>
    </row>
    <row r="1219" spans="1:6" x14ac:dyDescent="0.25">
      <c r="A1219">
        <v>-273.93923422802055</v>
      </c>
      <c r="B1219">
        <v>79.011354538639225</v>
      </c>
      <c r="C1219">
        <v>430.09587199999999</v>
      </c>
      <c r="E1219">
        <f t="shared" si="47"/>
        <v>284.05944424172122</v>
      </c>
      <c r="F1219">
        <f t="shared" si="48"/>
        <v>286.86493694576166</v>
      </c>
    </row>
    <row r="1220" spans="1:6" x14ac:dyDescent="0.25">
      <c r="A1220">
        <v>-286.11814228027026</v>
      </c>
      <c r="B1220">
        <v>67.811409865342497</v>
      </c>
      <c r="C1220">
        <v>430.09587199999999</v>
      </c>
      <c r="E1220">
        <f t="shared" si="47"/>
        <v>291.41573320782055</v>
      </c>
      <c r="F1220">
        <f t="shared" si="48"/>
        <v>276.38520472882726</v>
      </c>
    </row>
    <row r="1221" spans="1:6" x14ac:dyDescent="0.25">
      <c r="A1221">
        <v>-296.83282249489548</v>
      </c>
      <c r="B1221">
        <v>56.851418955508933</v>
      </c>
      <c r="C1221">
        <v>430.09587199999999</v>
      </c>
      <c r="E1221">
        <f t="shared" si="47"/>
        <v>297.4910394629793</v>
      </c>
      <c r="F1221">
        <f t="shared" si="48"/>
        <v>266.43491762866415</v>
      </c>
    </row>
    <row r="1222" spans="1:6" x14ac:dyDescent="0.25">
      <c r="A1222">
        <v>-306.32519977611656</v>
      </c>
      <c r="B1222">
        <v>46.58395988813453</v>
      </c>
      <c r="C1222">
        <v>430.09587199999999</v>
      </c>
      <c r="E1222">
        <f t="shared" si="47"/>
        <v>302.67340884063873</v>
      </c>
      <c r="F1222">
        <f t="shared" si="48"/>
        <v>257.25153617674931</v>
      </c>
    </row>
    <row r="1223" spans="1:6" x14ac:dyDescent="0.25">
      <c r="A1223">
        <v>-314.40241165787808</v>
      </c>
      <c r="B1223">
        <v>37.4313042844149</v>
      </c>
      <c r="C1223">
        <v>430.09587199999999</v>
      </c>
      <c r="E1223">
        <f t="shared" si="47"/>
        <v>306.93411733252265</v>
      </c>
      <c r="F1223">
        <f t="shared" si="48"/>
        <v>249.16269140353359</v>
      </c>
    </row>
    <row r="1224" spans="1:6" x14ac:dyDescent="0.25">
      <c r="A1224">
        <v>-322.56102733013955</v>
      </c>
      <c r="B1224">
        <v>27.851776954316414</v>
      </c>
      <c r="C1224">
        <v>430.09587199999999</v>
      </c>
      <c r="E1224">
        <f t="shared" si="47"/>
        <v>311.11784566455873</v>
      </c>
      <c r="F1224">
        <f t="shared" si="48"/>
        <v>240.77142300121523</v>
      </c>
    </row>
    <row r="1225" spans="1:6" x14ac:dyDescent="0.25">
      <c r="A1225">
        <v>-330.25431904418599</v>
      </c>
      <c r="B1225">
        <v>18.316266483805851</v>
      </c>
      <c r="C1225">
        <v>430.09587199999999</v>
      </c>
      <c r="E1225">
        <f t="shared" si="47"/>
        <v>314.88293088894096</v>
      </c>
      <c r="F1225">
        <f t="shared" si="48"/>
        <v>232.527127076645</v>
      </c>
    </row>
    <row r="1226" spans="1:6" x14ac:dyDescent="0.25">
      <c r="A1226">
        <v>-329.82898451872001</v>
      </c>
      <c r="B1226">
        <v>4.6199863935019944E-15</v>
      </c>
      <c r="C1226">
        <v>483.576864</v>
      </c>
      <c r="E1226">
        <f t="shared" si="47"/>
        <v>307.92188403812565</v>
      </c>
      <c r="F1226">
        <f t="shared" si="48"/>
        <v>258.36036143247276</v>
      </c>
    </row>
    <row r="1227" spans="1:6" x14ac:dyDescent="0.25">
      <c r="A1227">
        <v>-326.68220733990324</v>
      </c>
      <c r="B1227">
        <v>-8.5760978663253873</v>
      </c>
      <c r="C1227">
        <v>483.576864</v>
      </c>
      <c r="E1227">
        <f t="shared" si="47"/>
        <v>301.91071584997934</v>
      </c>
      <c r="F1227">
        <f t="shared" si="48"/>
        <v>253.49633438486438</v>
      </c>
    </row>
    <row r="1228" spans="1:6" x14ac:dyDescent="0.25">
      <c r="A1228">
        <v>-322.00633193780698</v>
      </c>
      <c r="B1228">
        <v>-17.511678811543124</v>
      </c>
      <c r="C1228">
        <v>483.576864</v>
      </c>
      <c r="E1228">
        <f t="shared" si="47"/>
        <v>294.34318427650879</v>
      </c>
      <c r="F1228">
        <f t="shared" si="48"/>
        <v>248.78247802891792</v>
      </c>
    </row>
    <row r="1229" spans="1:6" x14ac:dyDescent="0.25">
      <c r="A1229">
        <v>-315.75956189860267</v>
      </c>
      <c r="B1229">
        <v>-26.855478007105614</v>
      </c>
      <c r="C1229">
        <v>483.576864</v>
      </c>
      <c r="E1229">
        <f t="shared" si="47"/>
        <v>285.16280388040173</v>
      </c>
      <c r="F1229">
        <f t="shared" si="48"/>
        <v>244.19721167283413</v>
      </c>
    </row>
    <row r="1230" spans="1:6" x14ac:dyDescent="0.25">
      <c r="A1230">
        <v>-308.23416436151234</v>
      </c>
      <c r="B1230">
        <v>-36.257415773622959</v>
      </c>
      <c r="C1230">
        <v>483.576864</v>
      </c>
      <c r="E1230">
        <f t="shared" si="47"/>
        <v>274.76788687902462</v>
      </c>
      <c r="F1230">
        <f t="shared" si="48"/>
        <v>239.89757550269186</v>
      </c>
    </row>
    <row r="1231" spans="1:6" x14ac:dyDescent="0.25">
      <c r="A1231">
        <v>-300.17474429417246</v>
      </c>
      <c r="B1231">
        <v>-45.918202046850695</v>
      </c>
      <c r="C1231">
        <v>483.576864</v>
      </c>
      <c r="E1231">
        <f t="shared" si="47"/>
        <v>263.78165388750534</v>
      </c>
      <c r="F1231">
        <f t="shared" si="48"/>
        <v>235.56238647019978</v>
      </c>
    </row>
    <row r="1232" spans="1:6" x14ac:dyDescent="0.25">
      <c r="A1232">
        <v>-291.28099452409901</v>
      </c>
      <c r="B1232">
        <v>-56.043065456966978</v>
      </c>
      <c r="C1232">
        <v>483.576864</v>
      </c>
      <c r="E1232">
        <f t="shared" si="47"/>
        <v>251.85019664429123</v>
      </c>
      <c r="F1232">
        <f t="shared" si="48"/>
        <v>231.13226389291452</v>
      </c>
    </row>
    <row r="1233" spans="1:6" x14ac:dyDescent="0.25">
      <c r="A1233">
        <v>-282.01179750703307</v>
      </c>
      <c r="B1233">
        <v>-65.458673593076725</v>
      </c>
      <c r="C1233">
        <v>483.576864</v>
      </c>
      <c r="E1233">
        <f t="shared" si="47"/>
        <v>239.82240355835251</v>
      </c>
      <c r="F1233">
        <f t="shared" si="48"/>
        <v>227.26548982427505</v>
      </c>
    </row>
    <row r="1234" spans="1:6" x14ac:dyDescent="0.25">
      <c r="A1234">
        <v>-270.07003480338568</v>
      </c>
      <c r="B1234">
        <v>-77.315062485814309</v>
      </c>
      <c r="C1234">
        <v>483.576864</v>
      </c>
      <c r="E1234">
        <f t="shared" si="47"/>
        <v>224.42485786385095</v>
      </c>
      <c r="F1234">
        <f t="shared" si="48"/>
        <v>222.46469610699288</v>
      </c>
    </row>
    <row r="1235" spans="1:6" x14ac:dyDescent="0.25">
      <c r="A1235">
        <v>-255.44090817996565</v>
      </c>
      <c r="B1235">
        <v>-90.617723618507512</v>
      </c>
      <c r="C1235">
        <v>483.576864</v>
      </c>
      <c r="E1235">
        <f t="shared" si="47"/>
        <v>206.00014419785768</v>
      </c>
      <c r="F1235">
        <f t="shared" si="48"/>
        <v>217.39014857536586</v>
      </c>
    </row>
    <row r="1236" spans="1:6" x14ac:dyDescent="0.25">
      <c r="A1236">
        <v>-236.70849049392129</v>
      </c>
      <c r="B1236">
        <v>-105.97514098369646</v>
      </c>
      <c r="C1236">
        <v>483.576864</v>
      </c>
      <c r="E1236">
        <f t="shared" ref="E1236:E1299" si="49">($I$2*A1236)+($K$2*B1236)+($M$2*C1236)</f>
        <v>183.0083195337225</v>
      </c>
      <c r="F1236">
        <f t="shared" ref="F1236:F1299" si="50">($J$2*A1236)+($L$2*B1236)+($N$2*C1236)</f>
        <v>211.99896414582255</v>
      </c>
    </row>
    <row r="1237" spans="1:6" x14ac:dyDescent="0.25">
      <c r="A1237">
        <v>-211.42451077701361</v>
      </c>
      <c r="B1237">
        <v>-124.31405027675275</v>
      </c>
      <c r="C1237">
        <v>483.576864</v>
      </c>
      <c r="E1237">
        <f t="shared" si="49"/>
        <v>152.83161364581539</v>
      </c>
      <c r="F1237">
        <f t="shared" si="50"/>
        <v>206.29976919659077</v>
      </c>
    </row>
    <row r="1238" spans="1:6" x14ac:dyDescent="0.25">
      <c r="A1238">
        <v>-179.61764100047372</v>
      </c>
      <c r="B1238">
        <v>-144.33311221231639</v>
      </c>
      <c r="C1238">
        <v>483.576864</v>
      </c>
      <c r="E1238">
        <f t="shared" si="49"/>
        <v>115.96315241662403</v>
      </c>
      <c r="F1238">
        <f t="shared" si="50"/>
        <v>201.14436560650628</v>
      </c>
    </row>
    <row r="1239" spans="1:6" x14ac:dyDescent="0.25">
      <c r="A1239">
        <v>-151.82340563288918</v>
      </c>
      <c r="B1239">
        <v>-159.26160049556356</v>
      </c>
      <c r="C1239">
        <v>483.576864</v>
      </c>
      <c r="E1239">
        <f t="shared" si="49"/>
        <v>84.665106572112506</v>
      </c>
      <c r="F1239">
        <f t="shared" si="50"/>
        <v>198.33263941014656</v>
      </c>
    </row>
    <row r="1240" spans="1:6" x14ac:dyDescent="0.25">
      <c r="A1240">
        <v>-122.52775361151502</v>
      </c>
      <c r="B1240">
        <v>-172.78720116638962</v>
      </c>
      <c r="C1240">
        <v>483.576864</v>
      </c>
      <c r="E1240">
        <f t="shared" si="49"/>
        <v>52.468117484711939</v>
      </c>
      <c r="F1240">
        <f t="shared" si="50"/>
        <v>196.82748251302542</v>
      </c>
    </row>
    <row r="1241" spans="1:6" x14ac:dyDescent="0.25">
      <c r="A1241">
        <v>-93.52936400795943</v>
      </c>
      <c r="B1241">
        <v>-184.36051440319599</v>
      </c>
      <c r="C1241">
        <v>483.576864</v>
      </c>
      <c r="E1241">
        <f t="shared" si="49"/>
        <v>21.248284016772704</v>
      </c>
      <c r="F1241">
        <f t="shared" si="50"/>
        <v>196.53578308640613</v>
      </c>
    </row>
    <row r="1242" spans="1:6" x14ac:dyDescent="0.25">
      <c r="A1242">
        <v>-64.024313013058048</v>
      </c>
      <c r="B1242">
        <v>-194.6774830026859</v>
      </c>
      <c r="C1242">
        <v>483.576864</v>
      </c>
      <c r="E1242">
        <f t="shared" si="49"/>
        <v>-9.994324957391461</v>
      </c>
      <c r="F1242">
        <f t="shared" si="50"/>
        <v>197.20183855784546</v>
      </c>
    </row>
    <row r="1243" spans="1:6" x14ac:dyDescent="0.25">
      <c r="A1243">
        <v>-32.781257378770292</v>
      </c>
      <c r="B1243">
        <v>-204.19594200130757</v>
      </c>
      <c r="C1243">
        <v>483.576864</v>
      </c>
      <c r="E1243">
        <f t="shared" si="49"/>
        <v>-42.573340795692687</v>
      </c>
      <c r="F1243">
        <f t="shared" si="50"/>
        <v>198.83544103142336</v>
      </c>
    </row>
    <row r="1244" spans="1:6" x14ac:dyDescent="0.25">
      <c r="A1244">
        <v>5.5441663453355098E-14</v>
      </c>
      <c r="B1244">
        <v>-213.87994261302822</v>
      </c>
      <c r="C1244">
        <v>483.576864</v>
      </c>
      <c r="E1244">
        <f t="shared" si="49"/>
        <v>-76.647716483097412</v>
      </c>
      <c r="F1244">
        <f t="shared" si="50"/>
        <v>200.74954979199484</v>
      </c>
    </row>
    <row r="1245" spans="1:6" x14ac:dyDescent="0.25">
      <c r="A1245">
        <v>32.781257378770214</v>
      </c>
      <c r="B1245">
        <v>-204.19594200130757</v>
      </c>
      <c r="C1245">
        <v>483.576864</v>
      </c>
      <c r="E1245">
        <f t="shared" si="49"/>
        <v>-103.78122128526644</v>
      </c>
      <c r="F1245">
        <f t="shared" si="50"/>
        <v>215.44927122356711</v>
      </c>
    </row>
    <row r="1246" spans="1:6" x14ac:dyDescent="0.25">
      <c r="A1246">
        <v>64.024313013058048</v>
      </c>
      <c r="B1246">
        <v>-194.6774830026859</v>
      </c>
      <c r="C1246">
        <v>483.576864</v>
      </c>
      <c r="E1246">
        <f t="shared" si="49"/>
        <v>-129.53801585523362</v>
      </c>
      <c r="F1246">
        <f t="shared" si="50"/>
        <v>229.64992473944721</v>
      </c>
    </row>
    <row r="1247" spans="1:6" x14ac:dyDescent="0.25">
      <c r="A1247">
        <v>93.529364007959444</v>
      </c>
      <c r="B1247">
        <v>-184.36051440319608</v>
      </c>
      <c r="C1247">
        <v>483.576864</v>
      </c>
      <c r="E1247">
        <f t="shared" si="49"/>
        <v>-153.38608306435293</v>
      </c>
      <c r="F1247">
        <f t="shared" si="50"/>
        <v>243.93728918646681</v>
      </c>
    </row>
    <row r="1248" spans="1:6" x14ac:dyDescent="0.25">
      <c r="A1248">
        <v>122.527753611515</v>
      </c>
      <c r="B1248">
        <v>-172.78720116638956</v>
      </c>
      <c r="C1248">
        <v>483.576864</v>
      </c>
      <c r="E1248">
        <f t="shared" si="49"/>
        <v>-176.31090746405249</v>
      </c>
      <c r="F1248">
        <f t="shared" si="50"/>
        <v>258.9256280724104</v>
      </c>
    </row>
    <row r="1249" spans="1:6" x14ac:dyDescent="0.25">
      <c r="A1249">
        <v>151.82340563288909</v>
      </c>
      <c r="B1249">
        <v>-159.26160049556347</v>
      </c>
      <c r="C1249">
        <v>483.576864</v>
      </c>
      <c r="E1249">
        <f t="shared" si="49"/>
        <v>-198.81361299390807</v>
      </c>
      <c r="F1249">
        <f t="shared" si="50"/>
        <v>275.27807964244573</v>
      </c>
    </row>
    <row r="1250" spans="1:6" x14ac:dyDescent="0.25">
      <c r="A1250">
        <v>179.61764100047353</v>
      </c>
      <c r="B1250">
        <v>-144.33311221231645</v>
      </c>
      <c r="C1250">
        <v>483.576864</v>
      </c>
      <c r="E1250">
        <f t="shared" si="49"/>
        <v>-219.41187536666285</v>
      </c>
      <c r="F1250">
        <f t="shared" si="50"/>
        <v>292.17616931724149</v>
      </c>
    </row>
    <row r="1251" spans="1:6" x14ac:dyDescent="0.25">
      <c r="A1251">
        <v>211.42451077701361</v>
      </c>
      <c r="B1251">
        <v>-124.31405027675291</v>
      </c>
      <c r="C1251">
        <v>483.576864</v>
      </c>
      <c r="E1251">
        <f t="shared" si="49"/>
        <v>-241.93195624051785</v>
      </c>
      <c r="F1251">
        <f t="shared" si="50"/>
        <v>313.45157487385472</v>
      </c>
    </row>
    <row r="1252" spans="1:6" x14ac:dyDescent="0.25">
      <c r="A1252">
        <v>236.7084904939214</v>
      </c>
      <c r="B1252">
        <v>-105.97514098369631</v>
      </c>
      <c r="C1252">
        <v>483.576864</v>
      </c>
      <c r="E1252">
        <f t="shared" si="49"/>
        <v>-258.96450748792529</v>
      </c>
      <c r="F1252">
        <f t="shared" si="50"/>
        <v>331.96491361094377</v>
      </c>
    </row>
    <row r="1253" spans="1:6" x14ac:dyDescent="0.25">
      <c r="A1253">
        <v>255.44090817996585</v>
      </c>
      <c r="B1253">
        <v>-90.617723618507569</v>
      </c>
      <c r="C1253">
        <v>483.576864</v>
      </c>
      <c r="E1253">
        <f t="shared" si="49"/>
        <v>-270.94911980911229</v>
      </c>
      <c r="F1253">
        <f t="shared" si="50"/>
        <v>346.84985244192126</v>
      </c>
    </row>
    <row r="1254" spans="1:6" x14ac:dyDescent="0.25">
      <c r="A1254">
        <v>270.07003480338574</v>
      </c>
      <c r="B1254">
        <v>-77.315062485814366</v>
      </c>
      <c r="C1254">
        <v>483.576864</v>
      </c>
      <c r="E1254">
        <f t="shared" si="49"/>
        <v>-279.83933868786698</v>
      </c>
      <c r="F1254">
        <f t="shared" si="50"/>
        <v>359.33857029571141</v>
      </c>
    </row>
    <row r="1255" spans="1:6" x14ac:dyDescent="0.25">
      <c r="A1255">
        <v>282.01179750703312</v>
      </c>
      <c r="B1255">
        <v>-65.458673593076725</v>
      </c>
      <c r="C1255">
        <v>483.576864</v>
      </c>
      <c r="E1255">
        <f t="shared" si="49"/>
        <v>-286.73898482936443</v>
      </c>
      <c r="F1255">
        <f t="shared" si="50"/>
        <v>370.19155461266718</v>
      </c>
    </row>
    <row r="1256" spans="1:6" x14ac:dyDescent="0.25">
      <c r="A1256">
        <v>291.28099452409901</v>
      </c>
      <c r="B1256">
        <v>-56.043065456966971</v>
      </c>
      <c r="C1256">
        <v>483.576864</v>
      </c>
      <c r="E1256">
        <f t="shared" si="49"/>
        <v>-292.01827355238373</v>
      </c>
      <c r="F1256">
        <f t="shared" si="50"/>
        <v>378.75603943351194</v>
      </c>
    </row>
    <row r="1257" spans="1:6" x14ac:dyDescent="0.25">
      <c r="A1257">
        <v>300.17474429417234</v>
      </c>
      <c r="B1257">
        <v>-45.918202046850659</v>
      </c>
      <c r="C1257">
        <v>483.576864</v>
      </c>
      <c r="E1257">
        <f t="shared" si="49"/>
        <v>-296.69287771617849</v>
      </c>
      <c r="F1257">
        <f t="shared" si="50"/>
        <v>387.69359278882189</v>
      </c>
    </row>
    <row r="1258" spans="1:6" x14ac:dyDescent="0.25">
      <c r="A1258">
        <v>308.2341643615124</v>
      </c>
      <c r="B1258">
        <v>-36.257415773622952</v>
      </c>
      <c r="C1258">
        <v>483.576864</v>
      </c>
      <c r="E1258">
        <f t="shared" si="49"/>
        <v>-300.75487837223397</v>
      </c>
      <c r="F1258">
        <f t="shared" si="50"/>
        <v>396.11336695173839</v>
      </c>
    </row>
    <row r="1259" spans="1:6" x14ac:dyDescent="0.25">
      <c r="A1259">
        <v>315.75956189860278</v>
      </c>
      <c r="B1259">
        <v>-26.855478007105553</v>
      </c>
      <c r="C1259">
        <v>483.576864</v>
      </c>
      <c r="E1259">
        <f t="shared" si="49"/>
        <v>-304.41108905533241</v>
      </c>
      <c r="F1259">
        <f t="shared" si="50"/>
        <v>404.2269409267974</v>
      </c>
    </row>
    <row r="1260" spans="1:6" x14ac:dyDescent="0.25">
      <c r="A1260">
        <v>322.00633193780709</v>
      </c>
      <c r="B1260">
        <v>-17.51167881154316</v>
      </c>
      <c r="C1260">
        <v>483.576864</v>
      </c>
      <c r="E1260">
        <f t="shared" si="49"/>
        <v>-306.894433134086</v>
      </c>
      <c r="F1260">
        <f t="shared" si="50"/>
        <v>411.97812540132168</v>
      </c>
    </row>
    <row r="1261" spans="1:6" x14ac:dyDescent="0.25">
      <c r="A1261">
        <v>326.68220733990324</v>
      </c>
      <c r="B1261">
        <v>-8.5760978663253695</v>
      </c>
      <c r="C1261">
        <v>483.576864</v>
      </c>
      <c r="E1261">
        <f t="shared" si="49"/>
        <v>-308.05751306488895</v>
      </c>
      <c r="F1261">
        <f t="shared" si="50"/>
        <v>419.06175662686661</v>
      </c>
    </row>
    <row r="1262" spans="1:6" x14ac:dyDescent="0.25">
      <c r="A1262">
        <v>329.82898451872006</v>
      </c>
      <c r="B1262">
        <v>3.2712859383712461E-14</v>
      </c>
      <c r="C1262">
        <v>483.576864</v>
      </c>
      <c r="E1262">
        <f t="shared" si="49"/>
        <v>-307.9218840381256</v>
      </c>
      <c r="F1262">
        <f t="shared" si="50"/>
        <v>425.52059808617696</v>
      </c>
    </row>
    <row r="1263" spans="1:6" x14ac:dyDescent="0.25">
      <c r="A1263">
        <v>326.68220733990324</v>
      </c>
      <c r="B1263">
        <v>8.5760978663253891</v>
      </c>
      <c r="C1263">
        <v>483.576864</v>
      </c>
      <c r="E1263">
        <f t="shared" si="49"/>
        <v>-301.91071584997923</v>
      </c>
      <c r="F1263">
        <f t="shared" si="50"/>
        <v>430.38462513378528</v>
      </c>
    </row>
    <row r="1264" spans="1:6" x14ac:dyDescent="0.25">
      <c r="A1264">
        <v>322.00633193780715</v>
      </c>
      <c r="B1264">
        <v>17.511678811543142</v>
      </c>
      <c r="C1264">
        <v>483.576864</v>
      </c>
      <c r="E1264">
        <f t="shared" si="49"/>
        <v>-294.34318427650885</v>
      </c>
      <c r="F1264">
        <f t="shared" si="50"/>
        <v>435.0984814897318</v>
      </c>
    </row>
    <row r="1265" spans="1:6" x14ac:dyDescent="0.25">
      <c r="A1265">
        <v>315.75956189860267</v>
      </c>
      <c r="B1265">
        <v>26.855478007105578</v>
      </c>
      <c r="C1265">
        <v>483.576864</v>
      </c>
      <c r="E1265">
        <f t="shared" si="49"/>
        <v>-285.16280388040167</v>
      </c>
      <c r="F1265">
        <f t="shared" si="50"/>
        <v>439.6837478458155</v>
      </c>
    </row>
    <row r="1266" spans="1:6" x14ac:dyDescent="0.25">
      <c r="A1266">
        <v>308.23416436151234</v>
      </c>
      <c r="B1266">
        <v>36.257415773622959</v>
      </c>
      <c r="C1266">
        <v>483.576864</v>
      </c>
      <c r="E1266">
        <f t="shared" si="49"/>
        <v>-274.7678868790245</v>
      </c>
      <c r="F1266">
        <f t="shared" si="50"/>
        <v>443.98338401595777</v>
      </c>
    </row>
    <row r="1267" spans="1:6" x14ac:dyDescent="0.25">
      <c r="A1267">
        <v>300.17474429417234</v>
      </c>
      <c r="B1267">
        <v>45.91820204685073</v>
      </c>
      <c r="C1267">
        <v>483.576864</v>
      </c>
      <c r="E1267">
        <f t="shared" si="49"/>
        <v>-263.78165388750512</v>
      </c>
      <c r="F1267">
        <f t="shared" si="50"/>
        <v>448.31857304844988</v>
      </c>
    </row>
    <row r="1268" spans="1:6" x14ac:dyDescent="0.25">
      <c r="A1268">
        <v>291.28099452409913</v>
      </c>
      <c r="B1268">
        <v>56.043065456966936</v>
      </c>
      <c r="C1268">
        <v>483.576864</v>
      </c>
      <c r="E1268">
        <f t="shared" si="49"/>
        <v>-251.85019664429117</v>
      </c>
      <c r="F1268">
        <f t="shared" si="50"/>
        <v>452.74869562573514</v>
      </c>
    </row>
    <row r="1269" spans="1:6" x14ac:dyDescent="0.25">
      <c r="A1269">
        <v>282.01179750703318</v>
      </c>
      <c r="B1269">
        <v>65.458673593076682</v>
      </c>
      <c r="C1269">
        <v>483.576864</v>
      </c>
      <c r="E1269">
        <f t="shared" si="49"/>
        <v>-239.82240355835251</v>
      </c>
      <c r="F1269">
        <f t="shared" si="50"/>
        <v>456.61546969437461</v>
      </c>
    </row>
    <row r="1270" spans="1:6" x14ac:dyDescent="0.25">
      <c r="A1270">
        <v>270.07003480338585</v>
      </c>
      <c r="B1270">
        <v>77.315062485814423</v>
      </c>
      <c r="C1270">
        <v>483.576864</v>
      </c>
      <c r="E1270">
        <f t="shared" si="49"/>
        <v>-224.42485786385095</v>
      </c>
      <c r="F1270">
        <f t="shared" si="50"/>
        <v>461.41626341165693</v>
      </c>
    </row>
    <row r="1271" spans="1:6" x14ac:dyDescent="0.25">
      <c r="A1271">
        <v>255.44090817996582</v>
      </c>
      <c r="B1271">
        <v>90.617723618507554</v>
      </c>
      <c r="C1271">
        <v>483.576864</v>
      </c>
      <c r="E1271">
        <f t="shared" si="49"/>
        <v>-206.00014419785771</v>
      </c>
      <c r="F1271">
        <f t="shared" si="50"/>
        <v>466.49081094328392</v>
      </c>
    </row>
    <row r="1272" spans="1:6" x14ac:dyDescent="0.25">
      <c r="A1272">
        <v>236.70849049392132</v>
      </c>
      <c r="B1272">
        <v>105.97514098369631</v>
      </c>
      <c r="C1272">
        <v>483.576864</v>
      </c>
      <c r="E1272">
        <f t="shared" si="49"/>
        <v>-183.00831953372247</v>
      </c>
      <c r="F1272">
        <f t="shared" si="50"/>
        <v>471.88199537282702</v>
      </c>
    </row>
    <row r="1273" spans="1:6" x14ac:dyDescent="0.25">
      <c r="A1273">
        <v>211.42451077701364</v>
      </c>
      <c r="B1273">
        <v>124.31405027675279</v>
      </c>
      <c r="C1273">
        <v>483.576864</v>
      </c>
      <c r="E1273">
        <f t="shared" si="49"/>
        <v>-152.83161364581531</v>
      </c>
      <c r="F1273">
        <f t="shared" si="50"/>
        <v>477.58119032205894</v>
      </c>
    </row>
    <row r="1274" spans="1:6" x14ac:dyDescent="0.25">
      <c r="A1274">
        <v>179.61764100047378</v>
      </c>
      <c r="B1274">
        <v>144.33311221231637</v>
      </c>
      <c r="C1274">
        <v>483.576864</v>
      </c>
      <c r="E1274">
        <f t="shared" si="49"/>
        <v>-115.96315241662398</v>
      </c>
      <c r="F1274">
        <f t="shared" si="50"/>
        <v>482.73659391214335</v>
      </c>
    </row>
    <row r="1275" spans="1:6" x14ac:dyDescent="0.25">
      <c r="A1275">
        <v>151.82340563288932</v>
      </c>
      <c r="B1275">
        <v>159.26160049556347</v>
      </c>
      <c r="C1275">
        <v>483.576864</v>
      </c>
      <c r="E1275">
        <f t="shared" si="49"/>
        <v>-84.665106572112563</v>
      </c>
      <c r="F1275">
        <f t="shared" si="50"/>
        <v>485.54832010850305</v>
      </c>
    </row>
    <row r="1276" spans="1:6" x14ac:dyDescent="0.25">
      <c r="A1276">
        <v>122.52775361151519</v>
      </c>
      <c r="B1276">
        <v>172.78720116638951</v>
      </c>
      <c r="C1276">
        <v>483.576864</v>
      </c>
      <c r="E1276">
        <f t="shared" si="49"/>
        <v>-52.468117484712018</v>
      </c>
      <c r="F1276">
        <f t="shared" si="50"/>
        <v>487.05347700562425</v>
      </c>
    </row>
    <row r="1277" spans="1:6" x14ac:dyDescent="0.25">
      <c r="A1277">
        <v>93.529364007959373</v>
      </c>
      <c r="B1277">
        <v>184.36051440319602</v>
      </c>
      <c r="C1277">
        <v>483.576864</v>
      </c>
      <c r="E1277">
        <f t="shared" si="49"/>
        <v>-21.248284016772526</v>
      </c>
      <c r="F1277">
        <f t="shared" si="50"/>
        <v>487.34517643224353</v>
      </c>
    </row>
    <row r="1278" spans="1:6" x14ac:dyDescent="0.25">
      <c r="A1278">
        <v>64.02431301305802</v>
      </c>
      <c r="B1278">
        <v>194.67748300268596</v>
      </c>
      <c r="C1278">
        <v>483.576864</v>
      </c>
      <c r="E1278">
        <f t="shared" si="49"/>
        <v>9.9943249573916209</v>
      </c>
      <c r="F1278">
        <f t="shared" si="50"/>
        <v>486.6791209608042</v>
      </c>
    </row>
    <row r="1279" spans="1:6" x14ac:dyDescent="0.25">
      <c r="A1279">
        <v>32.781257378770178</v>
      </c>
      <c r="B1279">
        <v>204.1959420013076</v>
      </c>
      <c r="C1279">
        <v>483.576864</v>
      </c>
      <c r="E1279">
        <f t="shared" si="49"/>
        <v>42.573340795692907</v>
      </c>
      <c r="F1279">
        <f t="shared" si="50"/>
        <v>485.04551848722633</v>
      </c>
    </row>
    <row r="1280" spans="1:6" x14ac:dyDescent="0.25">
      <c r="A1280">
        <v>6.7603786613782148E-14</v>
      </c>
      <c r="B1280">
        <v>213.87994261302825</v>
      </c>
      <c r="C1280">
        <v>483.576864</v>
      </c>
      <c r="E1280">
        <f t="shared" si="49"/>
        <v>76.647716483097426</v>
      </c>
      <c r="F1280">
        <f t="shared" si="50"/>
        <v>483.13140972665485</v>
      </c>
    </row>
    <row r="1281" spans="1:6" x14ac:dyDescent="0.25">
      <c r="A1281">
        <v>-32.781257378770214</v>
      </c>
      <c r="B1281">
        <v>204.1959420013076</v>
      </c>
      <c r="C1281">
        <v>483.576864</v>
      </c>
      <c r="E1281">
        <f t="shared" si="49"/>
        <v>103.78122128526655</v>
      </c>
      <c r="F1281">
        <f t="shared" si="50"/>
        <v>468.43168829508261</v>
      </c>
    </row>
    <row r="1282" spans="1:6" x14ac:dyDescent="0.25">
      <c r="A1282">
        <v>-64.024313013057991</v>
      </c>
      <c r="B1282">
        <v>194.67748300268596</v>
      </c>
      <c r="C1282">
        <v>483.576864</v>
      </c>
      <c r="E1282">
        <f t="shared" si="49"/>
        <v>129.53801585523368</v>
      </c>
      <c r="F1282">
        <f t="shared" si="50"/>
        <v>454.2310347792025</v>
      </c>
    </row>
    <row r="1283" spans="1:6" x14ac:dyDescent="0.25">
      <c r="A1283">
        <v>-93.529364007959373</v>
      </c>
      <c r="B1283">
        <v>184.36051440319608</v>
      </c>
      <c r="C1283">
        <v>483.576864</v>
      </c>
      <c r="E1283">
        <f t="shared" si="49"/>
        <v>153.38608306435299</v>
      </c>
      <c r="F1283">
        <f t="shared" si="50"/>
        <v>439.94367033218288</v>
      </c>
    </row>
    <row r="1284" spans="1:6" x14ac:dyDescent="0.25">
      <c r="A1284">
        <v>-122.52775361151484</v>
      </c>
      <c r="B1284">
        <v>172.78720116638968</v>
      </c>
      <c r="C1284">
        <v>483.576864</v>
      </c>
      <c r="E1284">
        <f t="shared" si="49"/>
        <v>176.31090746405252</v>
      </c>
      <c r="F1284">
        <f t="shared" si="50"/>
        <v>424.95533144623937</v>
      </c>
    </row>
    <row r="1285" spans="1:6" x14ac:dyDescent="0.25">
      <c r="A1285">
        <v>-151.82340563288895</v>
      </c>
      <c r="B1285">
        <v>159.26160049556364</v>
      </c>
      <c r="C1285">
        <v>483.576864</v>
      </c>
      <c r="E1285">
        <f t="shared" si="49"/>
        <v>198.81361299390809</v>
      </c>
      <c r="F1285">
        <f t="shared" si="50"/>
        <v>408.6028798762041</v>
      </c>
    </row>
    <row r="1286" spans="1:6" x14ac:dyDescent="0.25">
      <c r="A1286">
        <v>-179.61764100047367</v>
      </c>
      <c r="B1286">
        <v>144.33311221231637</v>
      </c>
      <c r="C1286">
        <v>483.576864</v>
      </c>
      <c r="E1286">
        <f t="shared" si="49"/>
        <v>219.41187536666308</v>
      </c>
      <c r="F1286">
        <f t="shared" si="50"/>
        <v>391.70479020140806</v>
      </c>
    </row>
    <row r="1287" spans="1:6" x14ac:dyDescent="0.25">
      <c r="A1287">
        <v>-211.42451077701361</v>
      </c>
      <c r="B1287">
        <v>124.31405027675274</v>
      </c>
      <c r="C1287">
        <v>483.576864</v>
      </c>
      <c r="E1287">
        <f t="shared" si="49"/>
        <v>241.93195624051791</v>
      </c>
      <c r="F1287">
        <f t="shared" si="50"/>
        <v>370.42938464479482</v>
      </c>
    </row>
    <row r="1288" spans="1:6" x14ac:dyDescent="0.25">
      <c r="A1288">
        <v>-236.70849049392126</v>
      </c>
      <c r="B1288">
        <v>105.97514098369649</v>
      </c>
      <c r="C1288">
        <v>483.576864</v>
      </c>
      <c r="E1288">
        <f t="shared" si="49"/>
        <v>258.96450748792535</v>
      </c>
      <c r="F1288">
        <f t="shared" si="50"/>
        <v>351.91604590770606</v>
      </c>
    </row>
    <row r="1289" spans="1:6" x14ac:dyDescent="0.25">
      <c r="A1289">
        <v>-255.4409081799657</v>
      </c>
      <c r="B1289">
        <v>90.617723618507512</v>
      </c>
      <c r="C1289">
        <v>483.576864</v>
      </c>
      <c r="E1289">
        <f t="shared" si="49"/>
        <v>270.94911980911223</v>
      </c>
      <c r="F1289">
        <f t="shared" si="50"/>
        <v>337.0311070767284</v>
      </c>
    </row>
    <row r="1290" spans="1:6" x14ac:dyDescent="0.25">
      <c r="A1290">
        <v>-270.07003480338574</v>
      </c>
      <c r="B1290">
        <v>77.31506248581438</v>
      </c>
      <c r="C1290">
        <v>483.576864</v>
      </c>
      <c r="E1290">
        <f t="shared" si="49"/>
        <v>279.8393386878671</v>
      </c>
      <c r="F1290">
        <f t="shared" si="50"/>
        <v>324.54238922293825</v>
      </c>
    </row>
    <row r="1291" spans="1:6" x14ac:dyDescent="0.25">
      <c r="A1291">
        <v>-282.01179750703307</v>
      </c>
      <c r="B1291">
        <v>65.458673593076767</v>
      </c>
      <c r="C1291">
        <v>483.576864</v>
      </c>
      <c r="E1291">
        <f t="shared" si="49"/>
        <v>286.73898482936448</v>
      </c>
      <c r="F1291">
        <f t="shared" si="50"/>
        <v>313.68940490598254</v>
      </c>
    </row>
    <row r="1292" spans="1:6" x14ac:dyDescent="0.25">
      <c r="A1292">
        <v>-291.28099452409901</v>
      </c>
      <c r="B1292">
        <v>56.043065456967071</v>
      </c>
      <c r="C1292">
        <v>483.576864</v>
      </c>
      <c r="E1292">
        <f t="shared" si="49"/>
        <v>292.01827355238385</v>
      </c>
      <c r="F1292">
        <f t="shared" si="50"/>
        <v>305.12492008513777</v>
      </c>
    </row>
    <row r="1293" spans="1:6" x14ac:dyDescent="0.25">
      <c r="A1293">
        <v>-300.17474429417234</v>
      </c>
      <c r="B1293">
        <v>45.918202046850766</v>
      </c>
      <c r="C1293">
        <v>483.576864</v>
      </c>
      <c r="E1293">
        <f t="shared" si="49"/>
        <v>296.69287771617866</v>
      </c>
      <c r="F1293">
        <f t="shared" si="50"/>
        <v>296.18736672982789</v>
      </c>
    </row>
    <row r="1294" spans="1:6" x14ac:dyDescent="0.25">
      <c r="A1294">
        <v>-308.2341643615124</v>
      </c>
      <c r="B1294">
        <v>36.257415773623123</v>
      </c>
      <c r="C1294">
        <v>483.576864</v>
      </c>
      <c r="E1294">
        <f t="shared" si="49"/>
        <v>300.75487837223415</v>
      </c>
      <c r="F1294">
        <f t="shared" si="50"/>
        <v>287.76759256691139</v>
      </c>
    </row>
    <row r="1295" spans="1:6" x14ac:dyDescent="0.25">
      <c r="A1295">
        <v>-315.75956189860273</v>
      </c>
      <c r="B1295">
        <v>26.855478007105571</v>
      </c>
      <c r="C1295">
        <v>483.576864</v>
      </c>
      <c r="E1295">
        <f t="shared" si="49"/>
        <v>304.41108905533247</v>
      </c>
      <c r="F1295">
        <f t="shared" si="50"/>
        <v>279.65401859185232</v>
      </c>
    </row>
    <row r="1296" spans="1:6" x14ac:dyDescent="0.25">
      <c r="A1296">
        <v>-322.00633193780709</v>
      </c>
      <c r="B1296">
        <v>17.511678811543153</v>
      </c>
      <c r="C1296">
        <v>483.576864</v>
      </c>
      <c r="E1296">
        <f t="shared" si="49"/>
        <v>306.89443313408611</v>
      </c>
      <c r="F1296">
        <f t="shared" si="50"/>
        <v>271.90283411732798</v>
      </c>
    </row>
    <row r="1297" spans="1:6" x14ac:dyDescent="0.25">
      <c r="A1297">
        <v>-318.04551945000401</v>
      </c>
      <c r="B1297">
        <v>6.943005810994128E-15</v>
      </c>
      <c r="C1297">
        <v>537.05785600000002</v>
      </c>
      <c r="E1297">
        <f t="shared" si="49"/>
        <v>296.92107169365886</v>
      </c>
      <c r="F1297">
        <f t="shared" si="50"/>
        <v>299.16311552173886</v>
      </c>
    </row>
    <row r="1298" spans="1:6" x14ac:dyDescent="0.25">
      <c r="A1298">
        <v>-315.45677176056898</v>
      </c>
      <c r="B1298">
        <v>-8.377149716018673</v>
      </c>
      <c r="C1298">
        <v>537.05785600000002</v>
      </c>
      <c r="E1298">
        <f t="shared" si="49"/>
        <v>291.50216555489885</v>
      </c>
      <c r="F1298">
        <f t="shared" si="50"/>
        <v>294.28901518303758</v>
      </c>
    </row>
    <row r="1299" spans="1:6" x14ac:dyDescent="0.25">
      <c r="A1299">
        <v>-312.16983295792761</v>
      </c>
      <c r="B1299">
        <v>-16.764323204622503</v>
      </c>
      <c r="C1299">
        <v>537.05785600000002</v>
      </c>
      <c r="E1299">
        <f t="shared" si="49"/>
        <v>285.42784966006707</v>
      </c>
      <c r="F1299">
        <f t="shared" si="50"/>
        <v>289.58522244578592</v>
      </c>
    </row>
    <row r="1300" spans="1:6" x14ac:dyDescent="0.25">
      <c r="A1300">
        <v>-306.64611390367014</v>
      </c>
      <c r="B1300">
        <v>-25.916886009707184</v>
      </c>
      <c r="C1300">
        <v>537.05785600000002</v>
      </c>
      <c r="E1300">
        <f t="shared" ref="E1300:E1363" si="51">($I$2*A1300)+($K$2*B1300)+($M$2*C1300)</f>
        <v>276.99102850399987</v>
      </c>
      <c r="F1300">
        <f t="shared" ref="F1300:F1363" si="52">($J$2*A1300)+($L$2*B1300)+($N$2*C1300)</f>
        <v>284.94297477510293</v>
      </c>
    </row>
    <row r="1301" spans="1:6" x14ac:dyDescent="0.25">
      <c r="A1301">
        <v>-300.19014849754137</v>
      </c>
      <c r="B1301">
        <v>-35.163302224047086</v>
      </c>
      <c r="C1301">
        <v>537.05785600000002</v>
      </c>
      <c r="E1301">
        <f t="shared" si="51"/>
        <v>267.65024634731958</v>
      </c>
      <c r="F1301">
        <f t="shared" si="52"/>
        <v>280.47500595049246</v>
      </c>
    </row>
    <row r="1302" spans="1:6" x14ac:dyDescent="0.25">
      <c r="A1302">
        <v>-292.73154892706555</v>
      </c>
      <c r="B1302">
        <v>-43.929348270563139</v>
      </c>
      <c r="C1302">
        <v>537.05785600000002</v>
      </c>
      <c r="E1302">
        <f t="shared" si="51"/>
        <v>257.54557383193327</v>
      </c>
      <c r="F1302">
        <f t="shared" si="52"/>
        <v>276.57822110916885</v>
      </c>
    </row>
    <row r="1303" spans="1:6" x14ac:dyDescent="0.25">
      <c r="A1303">
        <v>-284.28071501426058</v>
      </c>
      <c r="B1303">
        <v>-53.92032293235642</v>
      </c>
      <c r="C1303">
        <v>537.05785600000002</v>
      </c>
      <c r="E1303">
        <f t="shared" si="51"/>
        <v>246.0755955998539</v>
      </c>
      <c r="F1303">
        <f t="shared" si="52"/>
        <v>272.12424716054528</v>
      </c>
    </row>
    <row r="1304" spans="1:6" x14ac:dyDescent="0.25">
      <c r="A1304">
        <v>-274.5746205432543</v>
      </c>
      <c r="B1304">
        <v>-64.635773561627317</v>
      </c>
      <c r="C1304">
        <v>537.05785600000002</v>
      </c>
      <c r="E1304">
        <f t="shared" si="51"/>
        <v>233.17410171352404</v>
      </c>
      <c r="F1304">
        <f t="shared" si="52"/>
        <v>267.51010544352829</v>
      </c>
    </row>
    <row r="1305" spans="1:6" x14ac:dyDescent="0.25">
      <c r="A1305">
        <v>-263.72631040823717</v>
      </c>
      <c r="B1305">
        <v>-75.728376477263893</v>
      </c>
      <c r="C1305">
        <v>537.05785600000002</v>
      </c>
      <c r="E1305">
        <f t="shared" si="51"/>
        <v>219.07109834890392</v>
      </c>
      <c r="F1305">
        <f t="shared" si="52"/>
        <v>262.93643250337294</v>
      </c>
    </row>
    <row r="1306" spans="1:6" x14ac:dyDescent="0.25">
      <c r="A1306">
        <v>-249.48892374891966</v>
      </c>
      <c r="B1306">
        <v>-88.94348975995203</v>
      </c>
      <c r="C1306">
        <v>537.05785600000002</v>
      </c>
      <c r="E1306">
        <f t="shared" si="51"/>
        <v>201.04347978916692</v>
      </c>
      <c r="F1306">
        <f t="shared" si="52"/>
        <v>257.82041026799232</v>
      </c>
    </row>
    <row r="1307" spans="1:6" x14ac:dyDescent="0.25">
      <c r="A1307">
        <v>-231.14367773730515</v>
      </c>
      <c r="B1307">
        <v>-104.22825335673019</v>
      </c>
      <c r="C1307">
        <v>537.05785600000002</v>
      </c>
      <c r="E1307">
        <f t="shared" si="51"/>
        <v>178.43914780398569</v>
      </c>
      <c r="F1307">
        <f t="shared" si="52"/>
        <v>252.37907656476443</v>
      </c>
    </row>
    <row r="1308" spans="1:6" x14ac:dyDescent="0.25">
      <c r="A1308">
        <v>-206.44750239573821</v>
      </c>
      <c r="B1308">
        <v>-122.35512019022123</v>
      </c>
      <c r="C1308">
        <v>537.05785600000002</v>
      </c>
      <c r="E1308">
        <f t="shared" si="51"/>
        <v>148.88719379695709</v>
      </c>
      <c r="F1308">
        <f t="shared" si="52"/>
        <v>246.67090732817903</v>
      </c>
    </row>
    <row r="1309" spans="1:6" x14ac:dyDescent="0.25">
      <c r="A1309">
        <v>-177.62455001006464</v>
      </c>
      <c r="B1309">
        <v>-140.28635866691781</v>
      </c>
      <c r="C1309">
        <v>537.05785600000002</v>
      </c>
      <c r="E1309">
        <f t="shared" si="51"/>
        <v>115.55266845012987</v>
      </c>
      <c r="F1309">
        <f t="shared" si="52"/>
        <v>242.13762389138051</v>
      </c>
    </row>
    <row r="1310" spans="1:6" x14ac:dyDescent="0.25">
      <c r="A1310">
        <v>-148.75957777102033</v>
      </c>
      <c r="B1310">
        <v>-155.81612202374188</v>
      </c>
      <c r="C1310">
        <v>537.05785600000002</v>
      </c>
      <c r="E1310">
        <f t="shared" si="51"/>
        <v>83.039525905264227</v>
      </c>
      <c r="F1310">
        <f t="shared" si="52"/>
        <v>239.20030077866369</v>
      </c>
    </row>
    <row r="1311" spans="1:6" x14ac:dyDescent="0.25">
      <c r="A1311">
        <v>-119.65416405404061</v>
      </c>
      <c r="B1311">
        <v>-169.04128049778768</v>
      </c>
      <c r="C1311">
        <v>537.05785600000002</v>
      </c>
      <c r="E1311">
        <f t="shared" si="51"/>
        <v>51.127808429233312</v>
      </c>
      <c r="F1311">
        <f t="shared" si="52"/>
        <v>237.8452708841296</v>
      </c>
    </row>
    <row r="1312" spans="1:6" x14ac:dyDescent="0.25">
      <c r="A1312">
        <v>-90.938112770582691</v>
      </c>
      <c r="B1312">
        <v>-180.24424798743749</v>
      </c>
      <c r="C1312">
        <v>537.05785600000002</v>
      </c>
      <c r="E1312">
        <f t="shared" si="51"/>
        <v>20.304280536618702</v>
      </c>
      <c r="F1312">
        <f t="shared" si="52"/>
        <v>237.72650611337659</v>
      </c>
    </row>
    <row r="1313" spans="1:6" x14ac:dyDescent="0.25">
      <c r="A1313">
        <v>-61.84221002439611</v>
      </c>
      <c r="B1313">
        <v>-190.09476600703465</v>
      </c>
      <c r="C1313">
        <v>537.05785600000002</v>
      </c>
      <c r="E1313">
        <f t="shared" si="51"/>
        <v>-10.389194703129339</v>
      </c>
      <c r="F1313">
        <f t="shared" si="52"/>
        <v>238.59680479111037</v>
      </c>
    </row>
    <row r="1314" spans="1:6" x14ac:dyDescent="0.25">
      <c r="A1314">
        <v>-31.483864735740969</v>
      </c>
      <c r="B1314">
        <v>-199.19592484030431</v>
      </c>
      <c r="C1314">
        <v>537.05785600000002</v>
      </c>
      <c r="E1314">
        <f t="shared" si="51"/>
        <v>-41.992715275026278</v>
      </c>
      <c r="F1314">
        <f t="shared" si="52"/>
        <v>240.28169473340628</v>
      </c>
    </row>
    <row r="1315" spans="1:6" x14ac:dyDescent="0.25">
      <c r="A1315">
        <v>8.1030233669678069E-14</v>
      </c>
      <c r="B1315">
        <v>-207.94014884687354</v>
      </c>
      <c r="C1315">
        <v>537.05785600000002</v>
      </c>
      <c r="E1315">
        <f t="shared" si="51"/>
        <v>-74.519084770398607</v>
      </c>
      <c r="F1315">
        <f t="shared" si="52"/>
        <v>242.48742359548476</v>
      </c>
    </row>
    <row r="1316" spans="1:6" x14ac:dyDescent="0.25">
      <c r="A1316">
        <v>31.483864735740884</v>
      </c>
      <c r="B1316">
        <v>-199.19592484030434</v>
      </c>
      <c r="C1316">
        <v>537.05785600000002</v>
      </c>
      <c r="E1316">
        <f t="shared" si="51"/>
        <v>-100.77815501057272</v>
      </c>
      <c r="F1316">
        <f t="shared" si="52"/>
        <v>256.23799489810858</v>
      </c>
    </row>
    <row r="1317" spans="1:6" x14ac:dyDescent="0.25">
      <c r="A1317">
        <v>61.842210024396195</v>
      </c>
      <c r="B1317">
        <v>-190.09476600703465</v>
      </c>
      <c r="C1317">
        <v>537.05785600000002</v>
      </c>
      <c r="E1317">
        <f t="shared" si="51"/>
        <v>-125.8585483233399</v>
      </c>
      <c r="F1317">
        <f t="shared" si="52"/>
        <v>269.93898194376573</v>
      </c>
    </row>
    <row r="1318" spans="1:6" x14ac:dyDescent="0.25">
      <c r="A1318">
        <v>90.938112770582677</v>
      </c>
      <c r="B1318">
        <v>-180.24424798743755</v>
      </c>
      <c r="C1318">
        <v>537.05785600000002</v>
      </c>
      <c r="E1318">
        <f t="shared" si="51"/>
        <v>-149.49180367380376</v>
      </c>
      <c r="F1318">
        <f t="shared" si="52"/>
        <v>283.81474324557757</v>
      </c>
    </row>
    <row r="1319" spans="1:6" x14ac:dyDescent="0.25">
      <c r="A1319">
        <v>119.65416405404059</v>
      </c>
      <c r="B1319">
        <v>-169.04128049778754</v>
      </c>
      <c r="C1319">
        <v>537.05785600000002</v>
      </c>
      <c r="E1319">
        <f t="shared" si="51"/>
        <v>-172.28576259024138</v>
      </c>
      <c r="F1319">
        <f t="shared" si="52"/>
        <v>298.48705592633951</v>
      </c>
    </row>
    <row r="1320" spans="1:6" x14ac:dyDescent="0.25">
      <c r="A1320">
        <v>148.75957777102033</v>
      </c>
      <c r="B1320">
        <v>-155.81612202374183</v>
      </c>
      <c r="C1320">
        <v>537.05785600000002</v>
      </c>
      <c r="E1320">
        <f t="shared" si="51"/>
        <v>-194.71853421676144</v>
      </c>
      <c r="F1320">
        <f t="shared" si="52"/>
        <v>314.59296604425231</v>
      </c>
    </row>
    <row r="1321" spans="1:6" x14ac:dyDescent="0.25">
      <c r="A1321">
        <v>177.62455001006452</v>
      </c>
      <c r="B1321">
        <v>-140.28635866691789</v>
      </c>
      <c r="C1321">
        <v>537.05785600000002</v>
      </c>
      <c r="E1321">
        <f t="shared" si="51"/>
        <v>-216.10093785940944</v>
      </c>
      <c r="F1321">
        <f t="shared" si="52"/>
        <v>332.15931151994272</v>
      </c>
    </row>
    <row r="1322" spans="1:6" x14ac:dyDescent="0.25">
      <c r="A1322">
        <v>206.44750239573821</v>
      </c>
      <c r="B1322">
        <v>-122.35512019022136</v>
      </c>
      <c r="C1322">
        <v>537.05785600000002</v>
      </c>
      <c r="E1322">
        <f t="shared" si="51"/>
        <v>-236.5835008748337</v>
      </c>
      <c r="F1322">
        <f t="shared" si="52"/>
        <v>351.3003212876398</v>
      </c>
    </row>
    <row r="1323" spans="1:6" x14ac:dyDescent="0.25">
      <c r="A1323">
        <v>231.14367773730524</v>
      </c>
      <c r="B1323">
        <v>-104.22825335673008</v>
      </c>
      <c r="C1323">
        <v>537.05785600000002</v>
      </c>
      <c r="E1323">
        <f t="shared" si="51"/>
        <v>-253.14327868426454</v>
      </c>
      <c r="F1323">
        <f t="shared" si="52"/>
        <v>369.52472987341883</v>
      </c>
    </row>
    <row r="1324" spans="1:6" x14ac:dyDescent="0.25">
      <c r="A1324">
        <v>249.48892374891975</v>
      </c>
      <c r="B1324">
        <v>-88.943489759951973</v>
      </c>
      <c r="C1324">
        <v>537.05785600000002</v>
      </c>
      <c r="E1324">
        <f t="shared" si="51"/>
        <v>-264.79247189052165</v>
      </c>
      <c r="F1324">
        <f t="shared" si="52"/>
        <v>384.26359596072933</v>
      </c>
    </row>
    <row r="1325" spans="1:6" x14ac:dyDescent="0.25">
      <c r="A1325">
        <v>263.72631040823717</v>
      </c>
      <c r="B1325">
        <v>-75.728376477263936</v>
      </c>
      <c r="C1325">
        <v>537.05785600000002</v>
      </c>
      <c r="E1325">
        <f t="shared" si="51"/>
        <v>-273.34834435000704</v>
      </c>
      <c r="F1325">
        <f t="shared" si="52"/>
        <v>396.59525125144773</v>
      </c>
    </row>
    <row r="1326" spans="1:6" x14ac:dyDescent="0.25">
      <c r="A1326">
        <v>274.5746205432543</v>
      </c>
      <c r="B1326">
        <v>-64.635773561627303</v>
      </c>
      <c r="C1326">
        <v>537.05785600000002</v>
      </c>
      <c r="E1326">
        <f t="shared" si="51"/>
        <v>-279.50088099063333</v>
      </c>
      <c r="F1326">
        <f t="shared" si="52"/>
        <v>406.66694339118419</v>
      </c>
    </row>
    <row r="1327" spans="1:6" x14ac:dyDescent="0.25">
      <c r="A1327">
        <v>284.28071501426058</v>
      </c>
      <c r="B1327">
        <v>-53.920322932356363</v>
      </c>
      <c r="C1327">
        <v>537.05785600000002</v>
      </c>
      <c r="E1327">
        <f t="shared" si="51"/>
        <v>-284.72222673603176</v>
      </c>
      <c r="F1327">
        <f t="shared" si="52"/>
        <v>416.20021934112526</v>
      </c>
    </row>
    <row r="1328" spans="1:6" x14ac:dyDescent="0.25">
      <c r="A1328">
        <v>292.73154892706543</v>
      </c>
      <c r="B1328">
        <v>-43.929348270563068</v>
      </c>
      <c r="C1328">
        <v>537.05785600000002</v>
      </c>
      <c r="E1328">
        <f t="shared" si="51"/>
        <v>-289.03131476109922</v>
      </c>
      <c r="F1328">
        <f t="shared" si="52"/>
        <v>424.93715040719843</v>
      </c>
    </row>
    <row r="1329" spans="1:6" x14ac:dyDescent="0.25">
      <c r="A1329">
        <v>300.19014849754132</v>
      </c>
      <c r="B1329">
        <v>-35.163302224047051</v>
      </c>
      <c r="C1329">
        <v>537.05785600000002</v>
      </c>
      <c r="E1329">
        <f t="shared" si="51"/>
        <v>-292.8530473818663</v>
      </c>
      <c r="F1329">
        <f t="shared" si="52"/>
        <v>432.61401925516327</v>
      </c>
    </row>
    <row r="1330" spans="1:6" x14ac:dyDescent="0.25">
      <c r="A1330">
        <v>306.64611390367014</v>
      </c>
      <c r="B1330">
        <v>-25.916886009707159</v>
      </c>
      <c r="C1330">
        <v>537.05785600000002</v>
      </c>
      <c r="E1330">
        <f t="shared" si="51"/>
        <v>-295.56659109979586</v>
      </c>
      <c r="F1330">
        <f t="shared" si="52"/>
        <v>440.35392825413817</v>
      </c>
    </row>
    <row r="1331" spans="1:6" x14ac:dyDescent="0.25">
      <c r="A1331">
        <v>312.16983295792767</v>
      </c>
      <c r="B1331">
        <v>-16.764323204622514</v>
      </c>
      <c r="C1331">
        <v>537.05785600000002</v>
      </c>
      <c r="E1331">
        <f t="shared" si="51"/>
        <v>-297.44344192477757</v>
      </c>
      <c r="F1331">
        <f t="shared" si="52"/>
        <v>447.79564543070944</v>
      </c>
    </row>
    <row r="1332" spans="1:6" x14ac:dyDescent="0.25">
      <c r="A1332">
        <v>315.45677176056887</v>
      </c>
      <c r="B1332">
        <v>-8.3771497160186907</v>
      </c>
      <c r="C1332">
        <v>537.05785600000002</v>
      </c>
      <c r="E1332">
        <f t="shared" si="51"/>
        <v>-297.50636948842589</v>
      </c>
      <c r="F1332">
        <f t="shared" si="52"/>
        <v>454.16528772608137</v>
      </c>
    </row>
    <row r="1333" spans="1:6" x14ac:dyDescent="0.25">
      <c r="A1333">
        <v>318.04551945000401</v>
      </c>
      <c r="B1333">
        <v>3.6671247920590995E-14</v>
      </c>
      <c r="C1333">
        <v>537.05785600000002</v>
      </c>
      <c r="E1333">
        <f t="shared" si="51"/>
        <v>-296.92107169365875</v>
      </c>
      <c r="F1333">
        <f t="shared" si="52"/>
        <v>460.35138821247779</v>
      </c>
    </row>
    <row r="1334" spans="1:6" x14ac:dyDescent="0.25">
      <c r="A1334">
        <v>315.45677176056887</v>
      </c>
      <c r="B1334">
        <v>8.3771497160186872</v>
      </c>
      <c r="C1334">
        <v>537.05785600000002</v>
      </c>
      <c r="E1334">
        <f t="shared" si="51"/>
        <v>-291.50216555489862</v>
      </c>
      <c r="F1334">
        <f t="shared" si="52"/>
        <v>465.22548855117907</v>
      </c>
    </row>
    <row r="1335" spans="1:6" x14ac:dyDescent="0.25">
      <c r="A1335">
        <v>312.16983295792772</v>
      </c>
      <c r="B1335">
        <v>16.764323204622535</v>
      </c>
      <c r="C1335">
        <v>537.05785600000002</v>
      </c>
      <c r="E1335">
        <f t="shared" si="51"/>
        <v>-285.42784966006707</v>
      </c>
      <c r="F1335">
        <f t="shared" si="52"/>
        <v>469.92928128843073</v>
      </c>
    </row>
    <row r="1336" spans="1:6" x14ac:dyDescent="0.25">
      <c r="A1336">
        <v>306.64611390367008</v>
      </c>
      <c r="B1336">
        <v>25.916886009707216</v>
      </c>
      <c r="C1336">
        <v>537.05785600000002</v>
      </c>
      <c r="E1336">
        <f t="shared" si="51"/>
        <v>-276.9910285039997</v>
      </c>
      <c r="F1336">
        <f t="shared" si="52"/>
        <v>474.57152895911372</v>
      </c>
    </row>
    <row r="1337" spans="1:6" x14ac:dyDescent="0.25">
      <c r="A1337">
        <v>300.19014849754126</v>
      </c>
      <c r="B1337">
        <v>35.163302224047051</v>
      </c>
      <c r="C1337">
        <v>537.05785600000002</v>
      </c>
      <c r="E1337">
        <f t="shared" si="51"/>
        <v>-267.65024634731941</v>
      </c>
      <c r="F1337">
        <f t="shared" si="52"/>
        <v>479.03949778372413</v>
      </c>
    </row>
    <row r="1338" spans="1:6" x14ac:dyDescent="0.25">
      <c r="A1338">
        <v>292.73154892706543</v>
      </c>
      <c r="B1338">
        <v>43.929348270563104</v>
      </c>
      <c r="C1338">
        <v>537.05785600000002</v>
      </c>
      <c r="E1338">
        <f t="shared" si="51"/>
        <v>-257.5455738319331</v>
      </c>
      <c r="F1338">
        <f t="shared" si="52"/>
        <v>482.93628262504774</v>
      </c>
    </row>
    <row r="1339" spans="1:6" x14ac:dyDescent="0.25">
      <c r="A1339">
        <v>284.28071501426058</v>
      </c>
      <c r="B1339">
        <v>53.920322932356363</v>
      </c>
      <c r="C1339">
        <v>537.05785600000002</v>
      </c>
      <c r="E1339">
        <f t="shared" si="51"/>
        <v>-246.07559559985381</v>
      </c>
      <c r="F1339">
        <f t="shared" si="52"/>
        <v>487.39025657367131</v>
      </c>
    </row>
    <row r="1340" spans="1:6" x14ac:dyDescent="0.25">
      <c r="A1340">
        <v>274.5746205432543</v>
      </c>
      <c r="B1340">
        <v>64.635773561627275</v>
      </c>
      <c r="C1340">
        <v>537.05785600000002</v>
      </c>
      <c r="E1340">
        <f t="shared" si="51"/>
        <v>-233.17410171352395</v>
      </c>
      <c r="F1340">
        <f t="shared" si="52"/>
        <v>492.0043982906883</v>
      </c>
    </row>
    <row r="1341" spans="1:6" x14ac:dyDescent="0.25">
      <c r="A1341">
        <v>263.72631040823717</v>
      </c>
      <c r="B1341">
        <v>75.72837647726395</v>
      </c>
      <c r="C1341">
        <v>537.05785600000002</v>
      </c>
      <c r="E1341">
        <f t="shared" si="51"/>
        <v>-219.07109834890377</v>
      </c>
      <c r="F1341">
        <f t="shared" si="52"/>
        <v>496.57807123084376</v>
      </c>
    </row>
    <row r="1342" spans="1:6" x14ac:dyDescent="0.25">
      <c r="A1342">
        <v>249.48892374891972</v>
      </c>
      <c r="B1342">
        <v>88.94348975995193</v>
      </c>
      <c r="C1342">
        <v>537.05785600000002</v>
      </c>
      <c r="E1342">
        <f t="shared" si="51"/>
        <v>-201.04347978916687</v>
      </c>
      <c r="F1342">
        <f t="shared" si="52"/>
        <v>501.69409346622427</v>
      </c>
    </row>
    <row r="1343" spans="1:6" x14ac:dyDescent="0.25">
      <c r="A1343">
        <v>231.14367773730513</v>
      </c>
      <c r="B1343">
        <v>104.22825335673008</v>
      </c>
      <c r="C1343">
        <v>537.05785600000002</v>
      </c>
      <c r="E1343">
        <f t="shared" si="51"/>
        <v>-178.43914780398558</v>
      </c>
      <c r="F1343">
        <f t="shared" si="52"/>
        <v>507.1354271694521</v>
      </c>
    </row>
    <row r="1344" spans="1:6" x14ac:dyDescent="0.25">
      <c r="A1344">
        <v>206.44750239573827</v>
      </c>
      <c r="B1344">
        <v>122.3551201902213</v>
      </c>
      <c r="C1344">
        <v>537.05785600000002</v>
      </c>
      <c r="E1344">
        <f t="shared" si="51"/>
        <v>-148.88719379695698</v>
      </c>
      <c r="F1344">
        <f t="shared" si="52"/>
        <v>512.8435964060377</v>
      </c>
    </row>
    <row r="1345" spans="1:6" x14ac:dyDescent="0.25">
      <c r="A1345">
        <v>177.62455001006475</v>
      </c>
      <c r="B1345">
        <v>140.28635866691781</v>
      </c>
      <c r="C1345">
        <v>537.05785600000002</v>
      </c>
      <c r="E1345">
        <f t="shared" si="51"/>
        <v>-115.55266845012981</v>
      </c>
      <c r="F1345">
        <f t="shared" si="52"/>
        <v>517.37687984283616</v>
      </c>
    </row>
    <row r="1346" spans="1:6" x14ac:dyDescent="0.25">
      <c r="A1346">
        <v>148.75957777102047</v>
      </c>
      <c r="B1346">
        <v>155.81612202374183</v>
      </c>
      <c r="C1346">
        <v>537.05785600000002</v>
      </c>
      <c r="E1346">
        <f t="shared" si="51"/>
        <v>-83.039525905264199</v>
      </c>
      <c r="F1346">
        <f t="shared" si="52"/>
        <v>520.3142029555529</v>
      </c>
    </row>
    <row r="1347" spans="1:6" x14ac:dyDescent="0.25">
      <c r="A1347">
        <v>119.65416405404075</v>
      </c>
      <c r="B1347">
        <v>169.04128049778757</v>
      </c>
      <c r="C1347">
        <v>537.05785600000002</v>
      </c>
      <c r="E1347">
        <f t="shared" si="51"/>
        <v>-51.127808429233362</v>
      </c>
      <c r="F1347">
        <f t="shared" si="52"/>
        <v>521.66923285008704</v>
      </c>
    </row>
    <row r="1348" spans="1:6" x14ac:dyDescent="0.25">
      <c r="A1348">
        <v>90.93811277058262</v>
      </c>
      <c r="B1348">
        <v>180.24424798743755</v>
      </c>
      <c r="C1348">
        <v>537.05785600000002</v>
      </c>
      <c r="E1348">
        <f t="shared" si="51"/>
        <v>-20.304280536618467</v>
      </c>
      <c r="F1348">
        <f t="shared" si="52"/>
        <v>521.78799762084009</v>
      </c>
    </row>
    <row r="1349" spans="1:6" x14ac:dyDescent="0.25">
      <c r="A1349">
        <v>61.842210024396131</v>
      </c>
      <c r="B1349">
        <v>190.09476600703479</v>
      </c>
      <c r="C1349">
        <v>537.05785600000002</v>
      </c>
      <c r="E1349">
        <f t="shared" si="51"/>
        <v>10.389194703129506</v>
      </c>
      <c r="F1349">
        <f t="shared" si="52"/>
        <v>520.91769894310642</v>
      </c>
    </row>
    <row r="1350" spans="1:6" x14ac:dyDescent="0.25">
      <c r="A1350">
        <v>31.483864735740823</v>
      </c>
      <c r="B1350">
        <v>199.19592484030437</v>
      </c>
      <c r="C1350">
        <v>537.05785600000002</v>
      </c>
      <c r="E1350">
        <f t="shared" si="51"/>
        <v>41.992715275026562</v>
      </c>
      <c r="F1350">
        <f t="shared" si="52"/>
        <v>519.23280900081045</v>
      </c>
    </row>
    <row r="1351" spans="1:6" x14ac:dyDescent="0.25">
      <c r="A1351">
        <v>7.1639227178715421E-14</v>
      </c>
      <c r="B1351">
        <v>207.94014884687363</v>
      </c>
      <c r="C1351">
        <v>537.05785600000002</v>
      </c>
      <c r="E1351">
        <f t="shared" si="51"/>
        <v>74.519084770398635</v>
      </c>
      <c r="F1351">
        <f t="shared" si="52"/>
        <v>517.027080138732</v>
      </c>
    </row>
    <row r="1352" spans="1:6" x14ac:dyDescent="0.25">
      <c r="A1352">
        <v>-31.483864735740845</v>
      </c>
      <c r="B1352">
        <v>199.19592484030437</v>
      </c>
      <c r="C1352">
        <v>537.05785600000002</v>
      </c>
      <c r="E1352">
        <f t="shared" si="51"/>
        <v>100.77815501057285</v>
      </c>
      <c r="F1352">
        <f t="shared" si="52"/>
        <v>503.27650883610806</v>
      </c>
    </row>
    <row r="1353" spans="1:6" x14ac:dyDescent="0.25">
      <c r="A1353">
        <v>-61.842210024396053</v>
      </c>
      <c r="B1353">
        <v>190.09476600703476</v>
      </c>
      <c r="C1353">
        <v>537.05785600000002</v>
      </c>
      <c r="E1353">
        <f t="shared" si="51"/>
        <v>125.85854832333995</v>
      </c>
      <c r="F1353">
        <f t="shared" si="52"/>
        <v>489.57552179045103</v>
      </c>
    </row>
    <row r="1354" spans="1:6" x14ac:dyDescent="0.25">
      <c r="A1354">
        <v>-90.938112770582606</v>
      </c>
      <c r="B1354">
        <v>180.2442479874376</v>
      </c>
      <c r="C1354">
        <v>537.05785600000002</v>
      </c>
      <c r="E1354">
        <f t="shared" si="51"/>
        <v>149.49180367380382</v>
      </c>
      <c r="F1354">
        <f t="shared" si="52"/>
        <v>475.69976048863907</v>
      </c>
    </row>
    <row r="1355" spans="1:6" x14ac:dyDescent="0.25">
      <c r="A1355">
        <v>-119.65416405404036</v>
      </c>
      <c r="B1355">
        <v>169.04128049778777</v>
      </c>
      <c r="C1355">
        <v>537.05785600000002</v>
      </c>
      <c r="E1355">
        <f t="shared" si="51"/>
        <v>172.28576259024135</v>
      </c>
      <c r="F1355">
        <f t="shared" si="52"/>
        <v>461.02744780787737</v>
      </c>
    </row>
    <row r="1356" spans="1:6" x14ac:dyDescent="0.25">
      <c r="A1356">
        <v>-148.75957777102013</v>
      </c>
      <c r="B1356">
        <v>155.81612202374197</v>
      </c>
      <c r="C1356">
        <v>537.05785600000002</v>
      </c>
      <c r="E1356">
        <f t="shared" si="51"/>
        <v>194.71853421676138</v>
      </c>
      <c r="F1356">
        <f t="shared" si="52"/>
        <v>444.92153768996445</v>
      </c>
    </row>
    <row r="1357" spans="1:6" x14ac:dyDescent="0.25">
      <c r="A1357">
        <v>-177.62455001006461</v>
      </c>
      <c r="B1357">
        <v>140.28635866691781</v>
      </c>
      <c r="C1357">
        <v>537.05785600000002</v>
      </c>
      <c r="E1357">
        <f t="shared" si="51"/>
        <v>216.10093785940961</v>
      </c>
      <c r="F1357">
        <f t="shared" si="52"/>
        <v>427.35519221427387</v>
      </c>
    </row>
    <row r="1358" spans="1:6" x14ac:dyDescent="0.25">
      <c r="A1358">
        <v>-206.44750239573821</v>
      </c>
      <c r="B1358">
        <v>122.3551201902213</v>
      </c>
      <c r="C1358">
        <v>537.05785600000002</v>
      </c>
      <c r="E1358">
        <f t="shared" si="51"/>
        <v>236.58350087483382</v>
      </c>
      <c r="F1358">
        <f t="shared" si="52"/>
        <v>408.21418244657684</v>
      </c>
    </row>
    <row r="1359" spans="1:6" x14ac:dyDescent="0.25">
      <c r="A1359">
        <v>-231.14367773730507</v>
      </c>
      <c r="B1359">
        <v>104.22825335673011</v>
      </c>
      <c r="C1359">
        <v>537.05785600000002</v>
      </c>
      <c r="E1359">
        <f t="shared" si="51"/>
        <v>253.14327868426452</v>
      </c>
      <c r="F1359">
        <f t="shared" si="52"/>
        <v>389.98977386079792</v>
      </c>
    </row>
    <row r="1360" spans="1:6" x14ac:dyDescent="0.25">
      <c r="A1360">
        <v>-249.48892374891972</v>
      </c>
      <c r="B1360">
        <v>88.94348975995203</v>
      </c>
      <c r="C1360">
        <v>537.05785600000002</v>
      </c>
      <c r="E1360">
        <f t="shared" si="51"/>
        <v>264.79247189052177</v>
      </c>
      <c r="F1360">
        <f t="shared" si="52"/>
        <v>375.25090777348737</v>
      </c>
    </row>
    <row r="1361" spans="1:6" x14ac:dyDescent="0.25">
      <c r="A1361">
        <v>-263.72631040823711</v>
      </c>
      <c r="B1361">
        <v>75.728376477263936</v>
      </c>
      <c r="C1361">
        <v>537.05785600000002</v>
      </c>
      <c r="E1361">
        <f t="shared" si="51"/>
        <v>273.3483443500071</v>
      </c>
      <c r="F1361">
        <f t="shared" si="52"/>
        <v>362.91925248276891</v>
      </c>
    </row>
    <row r="1362" spans="1:6" x14ac:dyDescent="0.25">
      <c r="A1362">
        <v>-274.5746205432543</v>
      </c>
      <c r="B1362">
        <v>64.635773561627374</v>
      </c>
      <c r="C1362">
        <v>537.05785600000002</v>
      </c>
      <c r="E1362">
        <f t="shared" si="51"/>
        <v>279.5008809906335</v>
      </c>
      <c r="F1362">
        <f t="shared" si="52"/>
        <v>352.84756034303251</v>
      </c>
    </row>
    <row r="1363" spans="1:6" x14ac:dyDescent="0.25">
      <c r="A1363">
        <v>-284.28071501426058</v>
      </c>
      <c r="B1363">
        <v>53.920322932356484</v>
      </c>
      <c r="C1363">
        <v>537.05785600000002</v>
      </c>
      <c r="E1363">
        <f t="shared" si="51"/>
        <v>284.72222673603193</v>
      </c>
      <c r="F1363">
        <f t="shared" si="52"/>
        <v>343.31428439309144</v>
      </c>
    </row>
    <row r="1364" spans="1:6" x14ac:dyDescent="0.25">
      <c r="A1364">
        <v>-292.73154892706543</v>
      </c>
      <c r="B1364">
        <v>43.929348270563175</v>
      </c>
      <c r="C1364">
        <v>537.05785600000002</v>
      </c>
      <c r="E1364">
        <f t="shared" ref="E1364:E1427" si="53">($I$2*A1364)+($K$2*B1364)+($M$2*C1364)</f>
        <v>289.0313147610994</v>
      </c>
      <c r="F1364">
        <f t="shared" ref="F1364:F1427" si="54">($J$2*A1364)+($L$2*B1364)+($N$2*C1364)</f>
        <v>334.57735332701827</v>
      </c>
    </row>
    <row r="1365" spans="1:6" x14ac:dyDescent="0.25">
      <c r="A1365">
        <v>-300.19014849754132</v>
      </c>
      <c r="B1365">
        <v>35.163302224047193</v>
      </c>
      <c r="C1365">
        <v>537.05785600000002</v>
      </c>
      <c r="E1365">
        <f t="shared" si="53"/>
        <v>292.85304738186647</v>
      </c>
      <c r="F1365">
        <f t="shared" si="54"/>
        <v>326.90048447905343</v>
      </c>
    </row>
    <row r="1366" spans="1:6" x14ac:dyDescent="0.25">
      <c r="A1366">
        <v>-306.64611390367025</v>
      </c>
      <c r="B1366">
        <v>25.916886009707191</v>
      </c>
      <c r="C1366">
        <v>537.05785600000002</v>
      </c>
      <c r="E1366">
        <f t="shared" si="53"/>
        <v>295.56659109979609</v>
      </c>
      <c r="F1366">
        <f t="shared" si="54"/>
        <v>319.16057548007848</v>
      </c>
    </row>
    <row r="1367" spans="1:6" x14ac:dyDescent="0.25">
      <c r="A1367">
        <v>-312.16983295792761</v>
      </c>
      <c r="B1367">
        <v>16.764323204622496</v>
      </c>
      <c r="C1367">
        <v>537.05785600000002</v>
      </c>
      <c r="E1367">
        <f t="shared" si="53"/>
        <v>297.44344192477763</v>
      </c>
      <c r="F1367">
        <f t="shared" si="54"/>
        <v>311.7188583035072</v>
      </c>
    </row>
    <row r="1368" spans="1:6" x14ac:dyDescent="0.25">
      <c r="A1368">
        <v>-304.54570837968146</v>
      </c>
      <c r="B1368">
        <v>1.024605781054889E-14</v>
      </c>
      <c r="C1368">
        <v>590.53884800000003</v>
      </c>
      <c r="E1368">
        <f t="shared" si="53"/>
        <v>284.31791231699549</v>
      </c>
      <c r="F1368">
        <f t="shared" si="54"/>
        <v>340.40079925223534</v>
      </c>
    </row>
    <row r="1369" spans="1:6" x14ac:dyDescent="0.25">
      <c r="A1369">
        <v>-302.38551027379327</v>
      </c>
      <c r="B1369">
        <v>-8.1935027150049571</v>
      </c>
      <c r="C1369">
        <v>590.53884800000003</v>
      </c>
      <c r="E1369">
        <f t="shared" si="53"/>
        <v>279.36490488041176</v>
      </c>
      <c r="F1369">
        <f t="shared" si="54"/>
        <v>335.53933548446832</v>
      </c>
    </row>
    <row r="1370" spans="1:6" x14ac:dyDescent="0.25">
      <c r="A1370">
        <v>-299.85996784951499</v>
      </c>
      <c r="B1370">
        <v>-16.271851548011412</v>
      </c>
      <c r="C1370">
        <v>590.53884800000003</v>
      </c>
      <c r="E1370">
        <f t="shared" si="53"/>
        <v>274.11208659982111</v>
      </c>
      <c r="F1370">
        <f t="shared" si="54"/>
        <v>330.84646938177275</v>
      </c>
    </row>
    <row r="1371" spans="1:6" x14ac:dyDescent="0.25">
      <c r="A1371">
        <v>-295.24766575640115</v>
      </c>
      <c r="B1371">
        <v>-24.306788256416379</v>
      </c>
      <c r="C1371">
        <v>590.53884800000003</v>
      </c>
      <c r="E1371">
        <f t="shared" si="53"/>
        <v>266.92666785168058</v>
      </c>
      <c r="F1371">
        <f t="shared" si="54"/>
        <v>326.71105550163406</v>
      </c>
    </row>
    <row r="1372" spans="1:6" x14ac:dyDescent="0.25">
      <c r="A1372">
        <v>-289.68523133769008</v>
      </c>
      <c r="B1372">
        <v>-33.399538958800306</v>
      </c>
      <c r="C1372">
        <v>590.53884800000003</v>
      </c>
      <c r="E1372">
        <f t="shared" si="53"/>
        <v>258.47513752975766</v>
      </c>
      <c r="F1372">
        <f t="shared" si="54"/>
        <v>322.11810289923426</v>
      </c>
    </row>
    <row r="1373" spans="1:6" x14ac:dyDescent="0.25">
      <c r="A1373">
        <v>-282.68816501413136</v>
      </c>
      <c r="B1373">
        <v>-42.777523367862287</v>
      </c>
      <c r="C1373">
        <v>590.53884800000003</v>
      </c>
      <c r="E1373">
        <f t="shared" si="53"/>
        <v>248.58204432363718</v>
      </c>
      <c r="F1373">
        <f t="shared" si="54"/>
        <v>317.70039786562791</v>
      </c>
    </row>
    <row r="1374" spans="1:6" x14ac:dyDescent="0.25">
      <c r="A1374">
        <v>-274.52766174138026</v>
      </c>
      <c r="B1374">
        <v>-52.646534154043124</v>
      </c>
      <c r="C1374">
        <v>590.53884800000003</v>
      </c>
      <c r="E1374">
        <f t="shared" si="53"/>
        <v>237.42682103834633</v>
      </c>
      <c r="F1374">
        <f t="shared" si="54"/>
        <v>313.25336621419797</v>
      </c>
    </row>
    <row r="1375" spans="1:6" x14ac:dyDescent="0.25">
      <c r="A1375">
        <v>-265.09003071095322</v>
      </c>
      <c r="B1375">
        <v>-63.253277502197093</v>
      </c>
      <c r="C1375">
        <v>590.53884800000003</v>
      </c>
      <c r="E1375">
        <f t="shared" si="53"/>
        <v>224.81491657080588</v>
      </c>
      <c r="F1375">
        <f t="shared" si="54"/>
        <v>308.64295681688191</v>
      </c>
    </row>
    <row r="1376" spans="1:6" x14ac:dyDescent="0.25">
      <c r="A1376">
        <v>-253.80827722903558</v>
      </c>
      <c r="B1376">
        <v>-74.908745306096264</v>
      </c>
      <c r="C1376">
        <v>590.53884800000003</v>
      </c>
      <c r="E1376">
        <f t="shared" si="53"/>
        <v>210.10554624564628</v>
      </c>
      <c r="F1376">
        <f t="shared" si="54"/>
        <v>303.80755011259089</v>
      </c>
    </row>
    <row r="1377" spans="1:6" x14ac:dyDescent="0.25">
      <c r="A1377">
        <v>-239.81288825146723</v>
      </c>
      <c r="B1377">
        <v>-88.036899556622146</v>
      </c>
      <c r="C1377">
        <v>590.53884800000003</v>
      </c>
      <c r="E1377">
        <f t="shared" si="53"/>
        <v>192.33501531489841</v>
      </c>
      <c r="F1377">
        <f t="shared" si="54"/>
        <v>298.68760982493245</v>
      </c>
    </row>
    <row r="1378" spans="1:6" x14ac:dyDescent="0.25">
      <c r="A1378">
        <v>-222.46120629952887</v>
      </c>
      <c r="B1378">
        <v>-102.59078771596235</v>
      </c>
      <c r="C1378">
        <v>590.53884800000003</v>
      </c>
      <c r="E1378">
        <f t="shared" si="53"/>
        <v>170.92017762018963</v>
      </c>
      <c r="F1378">
        <f t="shared" si="54"/>
        <v>293.47698348901628</v>
      </c>
    </row>
    <row r="1379" spans="1:6" x14ac:dyDescent="0.25">
      <c r="A1379">
        <v>-200.65099304376594</v>
      </c>
      <c r="B1379">
        <v>-118.55190930182681</v>
      </c>
      <c r="C1379">
        <v>590.53884800000003</v>
      </c>
      <c r="E1379">
        <f t="shared" si="53"/>
        <v>144.83863501171007</v>
      </c>
      <c r="F1379">
        <f t="shared" si="54"/>
        <v>288.46719608321399</v>
      </c>
    </row>
    <row r="1380" spans="1:6" x14ac:dyDescent="0.25">
      <c r="A1380">
        <v>-174.32015756962204</v>
      </c>
      <c r="B1380">
        <v>-135.02905034584171</v>
      </c>
      <c r="C1380">
        <v>590.53884800000003</v>
      </c>
      <c r="E1380">
        <f t="shared" si="53"/>
        <v>114.35180314941883</v>
      </c>
      <c r="F1380">
        <f t="shared" si="54"/>
        <v>284.26230864410343</v>
      </c>
    </row>
    <row r="1381" spans="1:6" x14ac:dyDescent="0.25">
      <c r="A1381">
        <v>-144.51015295699364</v>
      </c>
      <c r="B1381">
        <v>-150.84185396329764</v>
      </c>
      <c r="C1381">
        <v>590.53884800000003</v>
      </c>
      <c r="E1381">
        <f t="shared" si="53"/>
        <v>80.854964320327454</v>
      </c>
      <c r="F1381">
        <f t="shared" si="54"/>
        <v>281.37761440493091</v>
      </c>
    </row>
    <row r="1382" spans="1:6" x14ac:dyDescent="0.25">
      <c r="A1382">
        <v>-116.97071899270063</v>
      </c>
      <c r="B1382">
        <v>-163.41508613714763</v>
      </c>
      <c r="C1382">
        <v>590.53884800000003</v>
      </c>
      <c r="E1382">
        <f t="shared" si="53"/>
        <v>50.638844381151635</v>
      </c>
      <c r="F1382">
        <f t="shared" si="54"/>
        <v>280.05612165191746</v>
      </c>
    </row>
    <row r="1383" spans="1:6" x14ac:dyDescent="0.25">
      <c r="A1383">
        <v>-88.523727370184503</v>
      </c>
      <c r="B1383">
        <v>-174.40066144824578</v>
      </c>
      <c r="C1383">
        <v>590.53884800000003</v>
      </c>
      <c r="E1383">
        <f t="shared" si="53"/>
        <v>20.144411710826994</v>
      </c>
      <c r="F1383">
        <f t="shared" si="54"/>
        <v>280.01268547834854</v>
      </c>
    </row>
    <row r="1384" spans="1:6" x14ac:dyDescent="0.25">
      <c r="A1384">
        <v>-59.813405536280271</v>
      </c>
      <c r="B1384">
        <v>-183.95206435756734</v>
      </c>
      <c r="C1384">
        <v>590.53884800000003</v>
      </c>
      <c r="E1384">
        <f t="shared" si="53"/>
        <v>-10.08189946763582</v>
      </c>
      <c r="F1384">
        <f t="shared" si="54"/>
        <v>280.98273441662127</v>
      </c>
    </row>
    <row r="1385" spans="1:6" x14ac:dyDescent="0.25">
      <c r="A1385">
        <v>-31.254079215873531</v>
      </c>
      <c r="B1385">
        <v>-192.39695773587493</v>
      </c>
      <c r="C1385">
        <v>590.53884800000003</v>
      </c>
      <c r="E1385">
        <f t="shared" si="53"/>
        <v>-39.770706638426688</v>
      </c>
      <c r="F1385">
        <f t="shared" si="54"/>
        <v>282.64497279032975</v>
      </c>
    </row>
    <row r="1386" spans="1:6" x14ac:dyDescent="0.25">
      <c r="A1386">
        <v>7.2576929367068587E-14</v>
      </c>
      <c r="B1386">
        <v>-199.18158348462137</v>
      </c>
      <c r="C1386">
        <v>590.53884800000003</v>
      </c>
      <c r="E1386">
        <f t="shared" si="53"/>
        <v>-71.3802956605698</v>
      </c>
      <c r="F1386">
        <f t="shared" si="54"/>
        <v>286.0860842411451</v>
      </c>
    </row>
    <row r="1387" spans="1:6" x14ac:dyDescent="0.25">
      <c r="A1387">
        <v>31.254079215873446</v>
      </c>
      <c r="B1387">
        <v>-192.39695773587493</v>
      </c>
      <c r="C1387">
        <v>590.53884800000003</v>
      </c>
      <c r="E1387">
        <f t="shared" si="53"/>
        <v>-98.127099846691678</v>
      </c>
      <c r="F1387">
        <f t="shared" si="54"/>
        <v>298.48481562810349</v>
      </c>
    </row>
    <row r="1388" spans="1:6" x14ac:dyDescent="0.25">
      <c r="A1388">
        <v>59.813405536280271</v>
      </c>
      <c r="B1388">
        <v>-183.95206435756731</v>
      </c>
      <c r="C1388">
        <v>590.53884800000003</v>
      </c>
      <c r="E1388">
        <f t="shared" si="53"/>
        <v>-121.76314876925706</v>
      </c>
      <c r="F1388">
        <f t="shared" si="54"/>
        <v>311.29669557166682</v>
      </c>
    </row>
    <row r="1389" spans="1:6" x14ac:dyDescent="0.25">
      <c r="A1389">
        <v>88.523727370184545</v>
      </c>
      <c r="B1389">
        <v>-174.40066144824587</v>
      </c>
      <c r="C1389">
        <v>590.53884800000003</v>
      </c>
      <c r="E1389">
        <f t="shared" si="53"/>
        <v>-145.14362659593078</v>
      </c>
      <c r="F1389">
        <f t="shared" si="54"/>
        <v>324.87729080786642</v>
      </c>
    </row>
    <row r="1390" spans="1:6" x14ac:dyDescent="0.25">
      <c r="A1390">
        <v>116.97071899270055</v>
      </c>
      <c r="B1390">
        <v>-163.41508613714751</v>
      </c>
      <c r="C1390">
        <v>590.53884800000003</v>
      </c>
      <c r="E1390">
        <f t="shared" si="53"/>
        <v>-167.76430306862781</v>
      </c>
      <c r="F1390">
        <f t="shared" si="54"/>
        <v>339.33791308363448</v>
      </c>
    </row>
    <row r="1391" spans="1:6" x14ac:dyDescent="0.25">
      <c r="A1391">
        <v>144.51015295699358</v>
      </c>
      <c r="B1391">
        <v>-150.84185396329755</v>
      </c>
      <c r="C1391">
        <v>590.53884800000003</v>
      </c>
      <c r="E1391">
        <f t="shared" si="53"/>
        <v>-188.9687361412044</v>
      </c>
      <c r="F1391">
        <f t="shared" si="54"/>
        <v>354.6166337179319</v>
      </c>
    </row>
    <row r="1392" spans="1:6" x14ac:dyDescent="0.25">
      <c r="A1392">
        <v>174.3201575696219</v>
      </c>
      <c r="B1392">
        <v>-135.02905034584177</v>
      </c>
      <c r="C1392">
        <v>590.53884800000003</v>
      </c>
      <c r="E1392">
        <f t="shared" si="53"/>
        <v>-211.13197095239536</v>
      </c>
      <c r="F1392">
        <f t="shared" si="54"/>
        <v>372.60930105706143</v>
      </c>
    </row>
    <row r="1393" spans="1:6" x14ac:dyDescent="0.25">
      <c r="A1393">
        <v>200.65099304376594</v>
      </c>
      <c r="B1393">
        <v>-118.55190930182691</v>
      </c>
      <c r="C1393">
        <v>590.53884800000003</v>
      </c>
      <c r="E1393">
        <f t="shared" si="53"/>
        <v>-229.80904431406211</v>
      </c>
      <c r="F1393">
        <f t="shared" si="54"/>
        <v>390.15888800937631</v>
      </c>
    </row>
    <row r="1394" spans="1:6" x14ac:dyDescent="0.25">
      <c r="A1394">
        <v>222.4612062995289</v>
      </c>
      <c r="B1394">
        <v>-102.59078771596224</v>
      </c>
      <c r="C1394">
        <v>590.53884800000003</v>
      </c>
      <c r="E1394">
        <f t="shared" si="53"/>
        <v>-244.45067809220265</v>
      </c>
      <c r="F1394">
        <f t="shared" si="54"/>
        <v>406.22228374078111</v>
      </c>
    </row>
    <row r="1395" spans="1:6" x14ac:dyDescent="0.25">
      <c r="A1395">
        <v>239.81288825146748</v>
      </c>
      <c r="B1395">
        <v>-88.036899556622146</v>
      </c>
      <c r="C1395">
        <v>590.53884800000003</v>
      </c>
      <c r="E1395">
        <f t="shared" si="53"/>
        <v>-255.43422167176294</v>
      </c>
      <c r="F1395">
        <f t="shared" si="54"/>
        <v>420.22689543749931</v>
      </c>
    </row>
    <row r="1396" spans="1:6" x14ac:dyDescent="0.25">
      <c r="A1396">
        <v>253.80827722903553</v>
      </c>
      <c r="B1396">
        <v>-74.90874530609635</v>
      </c>
      <c r="C1396">
        <v>590.53884800000003</v>
      </c>
      <c r="E1396">
        <f t="shared" si="53"/>
        <v>-263.79533316235984</v>
      </c>
      <c r="F1396">
        <f t="shared" si="54"/>
        <v>432.43982222228027</v>
      </c>
    </row>
    <row r="1397" spans="1:6" x14ac:dyDescent="0.25">
      <c r="A1397">
        <v>265.09003071095327</v>
      </c>
      <c r="B1397">
        <v>-63.253277502197093</v>
      </c>
      <c r="C1397">
        <v>590.53884800000003</v>
      </c>
      <c r="E1397">
        <f t="shared" si="53"/>
        <v>-270.15081129177025</v>
      </c>
      <c r="F1397">
        <f t="shared" si="54"/>
        <v>442.99292103497697</v>
      </c>
    </row>
    <row r="1398" spans="1:6" x14ac:dyDescent="0.25">
      <c r="A1398">
        <v>274.52766174138014</v>
      </c>
      <c r="B1398">
        <v>-52.646534154043088</v>
      </c>
      <c r="C1398">
        <v>590.53884800000003</v>
      </c>
      <c r="E1398">
        <f t="shared" si="53"/>
        <v>-275.16048202924821</v>
      </c>
      <c r="F1398">
        <f t="shared" si="54"/>
        <v>452.38640502714259</v>
      </c>
    </row>
    <row r="1399" spans="1:6" x14ac:dyDescent="0.25">
      <c r="A1399">
        <v>282.68816501413124</v>
      </c>
      <c r="B1399">
        <v>-42.777523367862258</v>
      </c>
      <c r="C1399">
        <v>590.53884800000003</v>
      </c>
      <c r="E1399">
        <f t="shared" si="53"/>
        <v>-279.24223099557094</v>
      </c>
      <c r="F1399">
        <f t="shared" si="54"/>
        <v>460.969251668504</v>
      </c>
    </row>
    <row r="1400" spans="1:6" x14ac:dyDescent="0.25">
      <c r="A1400">
        <v>289.68523133769003</v>
      </c>
      <c r="B1400">
        <v>-33.399538958800285</v>
      </c>
      <c r="C1400">
        <v>590.53884800000003</v>
      </c>
      <c r="E1400">
        <f t="shared" si="53"/>
        <v>-282.41378611460476</v>
      </c>
      <c r="F1400">
        <f t="shared" si="54"/>
        <v>468.93313159099841</v>
      </c>
    </row>
    <row r="1401" spans="1:6" x14ac:dyDescent="0.25">
      <c r="A1401">
        <v>295.24766575640115</v>
      </c>
      <c r="B1401">
        <v>-24.306788256416358</v>
      </c>
      <c r="C1401">
        <v>590.53884800000003</v>
      </c>
      <c r="E1401">
        <f t="shared" si="53"/>
        <v>-284.34821558664794</v>
      </c>
      <c r="F1401">
        <f t="shared" si="54"/>
        <v>476.3451749872508</v>
      </c>
    </row>
    <row r="1402" spans="1:6" x14ac:dyDescent="0.25">
      <c r="A1402">
        <v>299.85996784951493</v>
      </c>
      <c r="B1402">
        <v>-16.271851548011451</v>
      </c>
      <c r="C1402">
        <v>590.53884800000003</v>
      </c>
      <c r="E1402">
        <f t="shared" si="53"/>
        <v>-285.77470674895369</v>
      </c>
      <c r="F1402">
        <f t="shared" si="54"/>
        <v>482.81814422362436</v>
      </c>
    </row>
    <row r="1403" spans="1:6" x14ac:dyDescent="0.25">
      <c r="A1403">
        <v>302.3855102737931</v>
      </c>
      <c r="B1403">
        <v>-8.1935027150049464</v>
      </c>
      <c r="C1403">
        <v>590.53884800000003</v>
      </c>
      <c r="E1403">
        <f t="shared" si="53"/>
        <v>-285.23748241555182</v>
      </c>
      <c r="F1403">
        <f t="shared" si="54"/>
        <v>488.7909774885066</v>
      </c>
    </row>
    <row r="1404" spans="1:6" x14ac:dyDescent="0.25">
      <c r="A1404">
        <v>304.54570837968151</v>
      </c>
      <c r="B1404">
        <v>3.9090127283116149E-14</v>
      </c>
      <c r="C1404">
        <v>590.53884800000003</v>
      </c>
      <c r="E1404">
        <f t="shared" si="53"/>
        <v>-284.31791231699543</v>
      </c>
      <c r="F1404">
        <f t="shared" si="54"/>
        <v>494.74724869754834</v>
      </c>
    </row>
    <row r="1405" spans="1:6" x14ac:dyDescent="0.25">
      <c r="A1405">
        <v>302.38551027379322</v>
      </c>
      <c r="B1405">
        <v>8.193502715004966</v>
      </c>
      <c r="C1405">
        <v>590.53884800000003</v>
      </c>
      <c r="E1405">
        <f t="shared" si="53"/>
        <v>-279.36490488041159</v>
      </c>
      <c r="F1405">
        <f t="shared" si="54"/>
        <v>499.60871246531531</v>
      </c>
    </row>
    <row r="1406" spans="1:6" x14ac:dyDescent="0.25">
      <c r="A1406">
        <v>299.8599678495151</v>
      </c>
      <c r="B1406">
        <v>16.271851548011469</v>
      </c>
      <c r="C1406">
        <v>590.53884800000003</v>
      </c>
      <c r="E1406">
        <f t="shared" si="53"/>
        <v>-274.11208659982105</v>
      </c>
      <c r="F1406">
        <f t="shared" si="54"/>
        <v>504.301578568011</v>
      </c>
    </row>
    <row r="1407" spans="1:6" x14ac:dyDescent="0.25">
      <c r="A1407">
        <v>295.24766575640109</v>
      </c>
      <c r="B1407">
        <v>24.306788256416365</v>
      </c>
      <c r="C1407">
        <v>590.53884800000003</v>
      </c>
      <c r="E1407">
        <f t="shared" si="53"/>
        <v>-266.92666785168041</v>
      </c>
      <c r="F1407">
        <f t="shared" si="54"/>
        <v>508.43699244814957</v>
      </c>
    </row>
    <row r="1408" spans="1:6" x14ac:dyDescent="0.25">
      <c r="A1408">
        <v>289.68523133768997</v>
      </c>
      <c r="B1408">
        <v>33.399538958800285</v>
      </c>
      <c r="C1408">
        <v>590.53884800000003</v>
      </c>
      <c r="E1408">
        <f t="shared" si="53"/>
        <v>-258.47513752975749</v>
      </c>
      <c r="F1408">
        <f t="shared" si="54"/>
        <v>513.02994505054937</v>
      </c>
    </row>
    <row r="1409" spans="1:6" x14ac:dyDescent="0.25">
      <c r="A1409">
        <v>282.68816501413124</v>
      </c>
      <c r="B1409">
        <v>42.777523367862322</v>
      </c>
      <c r="C1409">
        <v>590.53884800000003</v>
      </c>
      <c r="E1409">
        <f t="shared" si="53"/>
        <v>-248.58204432363695</v>
      </c>
      <c r="F1409">
        <f t="shared" si="54"/>
        <v>517.44765008415573</v>
      </c>
    </row>
    <row r="1410" spans="1:6" x14ac:dyDescent="0.25">
      <c r="A1410">
        <v>274.52766174138014</v>
      </c>
      <c r="B1410">
        <v>52.64653415404311</v>
      </c>
      <c r="C1410">
        <v>590.53884800000003</v>
      </c>
      <c r="E1410">
        <f t="shared" si="53"/>
        <v>-237.42682103834611</v>
      </c>
      <c r="F1410">
        <f t="shared" si="54"/>
        <v>521.89468173558566</v>
      </c>
    </row>
    <row r="1411" spans="1:6" x14ac:dyDescent="0.25">
      <c r="A1411">
        <v>265.09003071095327</v>
      </c>
      <c r="B1411">
        <v>63.253277502197093</v>
      </c>
      <c r="C1411">
        <v>590.53884800000003</v>
      </c>
      <c r="E1411">
        <f t="shared" si="53"/>
        <v>-224.81491657080571</v>
      </c>
      <c r="F1411">
        <f t="shared" si="54"/>
        <v>526.50509113290173</v>
      </c>
    </row>
    <row r="1412" spans="1:6" x14ac:dyDescent="0.25">
      <c r="A1412">
        <v>253.80827722903558</v>
      </c>
      <c r="B1412">
        <v>74.908745306096364</v>
      </c>
      <c r="C1412">
        <v>590.53884800000003</v>
      </c>
      <c r="E1412">
        <f t="shared" si="53"/>
        <v>-210.10554624564608</v>
      </c>
      <c r="F1412">
        <f t="shared" si="54"/>
        <v>531.34049783719286</v>
      </c>
    </row>
    <row r="1413" spans="1:6" x14ac:dyDescent="0.25">
      <c r="A1413">
        <v>239.81288825146737</v>
      </c>
      <c r="B1413">
        <v>88.036899556622174</v>
      </c>
      <c r="C1413">
        <v>590.53884800000003</v>
      </c>
      <c r="E1413">
        <f t="shared" si="53"/>
        <v>-192.33501531489836</v>
      </c>
      <c r="F1413">
        <f t="shared" si="54"/>
        <v>536.46043812485118</v>
      </c>
    </row>
    <row r="1414" spans="1:6" x14ac:dyDescent="0.25">
      <c r="A1414">
        <v>222.46120629952887</v>
      </c>
      <c r="B1414">
        <v>102.59078771596225</v>
      </c>
      <c r="C1414">
        <v>590.53884800000003</v>
      </c>
      <c r="E1414">
        <f t="shared" si="53"/>
        <v>-170.92017762018949</v>
      </c>
      <c r="F1414">
        <f t="shared" si="54"/>
        <v>541.6710644607673</v>
      </c>
    </row>
    <row r="1415" spans="1:6" x14ac:dyDescent="0.25">
      <c r="A1415">
        <v>200.65099304376596</v>
      </c>
      <c r="B1415">
        <v>118.55190930182685</v>
      </c>
      <c r="C1415">
        <v>590.53884800000003</v>
      </c>
      <c r="E1415">
        <f t="shared" si="53"/>
        <v>-144.8386350117099</v>
      </c>
      <c r="F1415">
        <f t="shared" si="54"/>
        <v>546.6808518665697</v>
      </c>
    </row>
    <row r="1416" spans="1:6" x14ac:dyDescent="0.25">
      <c r="A1416">
        <v>174.32015756962215</v>
      </c>
      <c r="B1416">
        <v>135.02905034584168</v>
      </c>
      <c r="C1416">
        <v>590.53884800000003</v>
      </c>
      <c r="E1416">
        <f t="shared" si="53"/>
        <v>-114.35180314941879</v>
      </c>
      <c r="F1416">
        <f t="shared" si="54"/>
        <v>550.8857393056802</v>
      </c>
    </row>
    <row r="1417" spans="1:6" x14ac:dyDescent="0.25">
      <c r="A1417">
        <v>144.51015295699372</v>
      </c>
      <c r="B1417">
        <v>150.84185396329761</v>
      </c>
      <c r="C1417">
        <v>590.53884800000003</v>
      </c>
      <c r="E1417">
        <f t="shared" si="53"/>
        <v>-80.854964320327397</v>
      </c>
      <c r="F1417">
        <f t="shared" si="54"/>
        <v>553.77043354485272</v>
      </c>
    </row>
    <row r="1418" spans="1:6" x14ac:dyDescent="0.25">
      <c r="A1418">
        <v>116.97071899270077</v>
      </c>
      <c r="B1418">
        <v>163.4150861371476</v>
      </c>
      <c r="C1418">
        <v>590.53884800000003</v>
      </c>
      <c r="E1418">
        <f t="shared" si="53"/>
        <v>-50.63884438115165</v>
      </c>
      <c r="F1418">
        <f t="shared" si="54"/>
        <v>555.09192629786617</v>
      </c>
    </row>
    <row r="1419" spans="1:6" x14ac:dyDescent="0.25">
      <c r="A1419">
        <v>88.52372737018446</v>
      </c>
      <c r="B1419">
        <v>174.40066144824587</v>
      </c>
      <c r="C1419">
        <v>590.53884800000003</v>
      </c>
      <c r="E1419">
        <f t="shared" si="53"/>
        <v>-20.14441171082678</v>
      </c>
      <c r="F1419">
        <f t="shared" si="54"/>
        <v>555.13536247143509</v>
      </c>
    </row>
    <row r="1420" spans="1:6" x14ac:dyDescent="0.25">
      <c r="A1420">
        <v>59.813405536280207</v>
      </c>
      <c r="B1420">
        <v>183.95206435756742</v>
      </c>
      <c r="C1420">
        <v>590.53884800000003</v>
      </c>
      <c r="E1420">
        <f t="shared" si="53"/>
        <v>10.081899467636058</v>
      </c>
      <c r="F1420">
        <f t="shared" si="54"/>
        <v>554.16531353316236</v>
      </c>
    </row>
    <row r="1421" spans="1:6" x14ac:dyDescent="0.25">
      <c r="A1421">
        <v>31.254079215873471</v>
      </c>
      <c r="B1421">
        <v>192.39695773587505</v>
      </c>
      <c r="C1421">
        <v>590.53884800000003</v>
      </c>
      <c r="E1421">
        <f t="shared" si="53"/>
        <v>39.77070663842693</v>
      </c>
      <c r="F1421">
        <f t="shared" si="54"/>
        <v>552.50307515945394</v>
      </c>
    </row>
    <row r="1422" spans="1:6" x14ac:dyDescent="0.25">
      <c r="A1422">
        <v>6.16464136152924E-14</v>
      </c>
      <c r="B1422">
        <v>199.18158348462143</v>
      </c>
      <c r="C1422">
        <v>590.53884800000003</v>
      </c>
      <c r="E1422">
        <f t="shared" si="53"/>
        <v>71.380295660569843</v>
      </c>
      <c r="F1422">
        <f t="shared" si="54"/>
        <v>549.06196370863859</v>
      </c>
    </row>
    <row r="1423" spans="1:6" x14ac:dyDescent="0.25">
      <c r="A1423">
        <v>-31.254079215873489</v>
      </c>
      <c r="B1423">
        <v>192.39695773587502</v>
      </c>
      <c r="C1423">
        <v>590.53884800000003</v>
      </c>
      <c r="E1423">
        <f t="shared" si="53"/>
        <v>98.127099846691905</v>
      </c>
      <c r="F1423">
        <f t="shared" si="54"/>
        <v>536.6632323216802</v>
      </c>
    </row>
    <row r="1424" spans="1:6" x14ac:dyDescent="0.25">
      <c r="A1424">
        <v>-59.813405536280158</v>
      </c>
      <c r="B1424">
        <v>183.95206435756742</v>
      </c>
      <c r="C1424">
        <v>590.53884800000003</v>
      </c>
      <c r="E1424">
        <f t="shared" si="53"/>
        <v>121.76314876925714</v>
      </c>
      <c r="F1424">
        <f t="shared" si="54"/>
        <v>523.85135237811687</v>
      </c>
    </row>
    <row r="1425" spans="1:6" x14ac:dyDescent="0.25">
      <c r="A1425">
        <v>-88.523727370184488</v>
      </c>
      <c r="B1425">
        <v>174.40066144824587</v>
      </c>
      <c r="C1425">
        <v>590.53884800000003</v>
      </c>
      <c r="E1425">
        <f t="shared" si="53"/>
        <v>145.1436265959309</v>
      </c>
      <c r="F1425">
        <f t="shared" si="54"/>
        <v>510.27075714191722</v>
      </c>
    </row>
    <row r="1426" spans="1:6" x14ac:dyDescent="0.25">
      <c r="A1426">
        <v>-116.97071899270044</v>
      </c>
      <c r="B1426">
        <v>163.41508613714771</v>
      </c>
      <c r="C1426">
        <v>590.53884800000003</v>
      </c>
      <c r="E1426">
        <f t="shared" si="53"/>
        <v>167.76430306862795</v>
      </c>
      <c r="F1426">
        <f t="shared" si="54"/>
        <v>495.81013486614927</v>
      </c>
    </row>
    <row r="1427" spans="1:6" x14ac:dyDescent="0.25">
      <c r="A1427">
        <v>-144.51015295699349</v>
      </c>
      <c r="B1427">
        <v>150.84185396329769</v>
      </c>
      <c r="C1427">
        <v>590.53884800000003</v>
      </c>
      <c r="E1427">
        <f t="shared" si="53"/>
        <v>188.96873614120454</v>
      </c>
      <c r="F1427">
        <f t="shared" si="54"/>
        <v>480.53141423185184</v>
      </c>
    </row>
    <row r="1428" spans="1:6" x14ac:dyDescent="0.25">
      <c r="A1428">
        <v>-174.32015756962201</v>
      </c>
      <c r="B1428">
        <v>135.02905034584171</v>
      </c>
      <c r="C1428">
        <v>590.53884800000003</v>
      </c>
      <c r="E1428">
        <f t="shared" ref="E1428:E1491" si="55">($I$2*A1428)+($K$2*B1428)+($M$2*C1428)</f>
        <v>211.13197095239562</v>
      </c>
      <c r="F1428">
        <f t="shared" ref="F1428:F1491" si="56">($J$2*A1428)+($L$2*B1428)+($N$2*C1428)</f>
        <v>462.53874689272209</v>
      </c>
    </row>
    <row r="1429" spans="1:6" x14ac:dyDescent="0.25">
      <c r="A1429">
        <v>-200.65099304376588</v>
      </c>
      <c r="B1429">
        <v>118.55190930182685</v>
      </c>
      <c r="C1429">
        <v>590.53884800000003</v>
      </c>
      <c r="E1429">
        <f t="shared" si="55"/>
        <v>229.80904431406219</v>
      </c>
      <c r="F1429">
        <f t="shared" si="56"/>
        <v>444.98915994040726</v>
      </c>
    </row>
    <row r="1430" spans="1:6" x14ac:dyDescent="0.25">
      <c r="A1430">
        <v>-222.46120629952875</v>
      </c>
      <c r="B1430">
        <v>102.59078771596235</v>
      </c>
      <c r="C1430">
        <v>590.53884800000003</v>
      </c>
      <c r="E1430">
        <f t="shared" si="55"/>
        <v>244.45067809220274</v>
      </c>
      <c r="F1430">
        <f t="shared" si="56"/>
        <v>428.92576420900264</v>
      </c>
    </row>
    <row r="1431" spans="1:6" x14ac:dyDescent="0.25">
      <c r="A1431">
        <v>-239.81288825146737</v>
      </c>
      <c r="B1431">
        <v>88.036899556622231</v>
      </c>
      <c r="C1431">
        <v>590.53884800000003</v>
      </c>
      <c r="E1431">
        <f t="shared" si="55"/>
        <v>255.43422167176303</v>
      </c>
      <c r="F1431">
        <f t="shared" si="56"/>
        <v>414.92115251228444</v>
      </c>
    </row>
    <row r="1432" spans="1:6" x14ac:dyDescent="0.25">
      <c r="A1432">
        <v>-253.80827722903558</v>
      </c>
      <c r="B1432">
        <v>74.908745306096321</v>
      </c>
      <c r="C1432">
        <v>590.53884800000003</v>
      </c>
      <c r="E1432">
        <f t="shared" si="55"/>
        <v>263.79533316236001</v>
      </c>
      <c r="F1432">
        <f t="shared" si="56"/>
        <v>402.70822572750336</v>
      </c>
    </row>
    <row r="1433" spans="1:6" x14ac:dyDescent="0.25">
      <c r="A1433">
        <v>-265.09003071095322</v>
      </c>
      <c r="B1433">
        <v>63.253277502197157</v>
      </c>
      <c r="C1433">
        <v>590.53884800000003</v>
      </c>
      <c r="E1433">
        <f t="shared" si="55"/>
        <v>270.15081129177037</v>
      </c>
      <c r="F1433">
        <f t="shared" si="56"/>
        <v>392.15512691480671</v>
      </c>
    </row>
    <row r="1434" spans="1:6" x14ac:dyDescent="0.25">
      <c r="A1434">
        <v>-274.52766174138014</v>
      </c>
      <c r="B1434">
        <v>52.646534154043152</v>
      </c>
      <c r="C1434">
        <v>590.53884800000003</v>
      </c>
      <c r="E1434">
        <f t="shared" si="55"/>
        <v>275.16048202924833</v>
      </c>
      <c r="F1434">
        <f t="shared" si="56"/>
        <v>382.7616429226411</v>
      </c>
    </row>
    <row r="1435" spans="1:6" x14ac:dyDescent="0.25">
      <c r="A1435">
        <v>-282.68816501413124</v>
      </c>
      <c r="B1435">
        <v>42.777523367862344</v>
      </c>
      <c r="C1435">
        <v>590.53884800000003</v>
      </c>
      <c r="E1435">
        <f t="shared" si="55"/>
        <v>279.24223099557105</v>
      </c>
      <c r="F1435">
        <f t="shared" si="56"/>
        <v>374.17879628127969</v>
      </c>
    </row>
    <row r="1436" spans="1:6" x14ac:dyDescent="0.25">
      <c r="A1436">
        <v>-289.68523133769008</v>
      </c>
      <c r="B1436">
        <v>33.399538958800399</v>
      </c>
      <c r="C1436">
        <v>590.53884800000003</v>
      </c>
      <c r="E1436">
        <f t="shared" si="55"/>
        <v>282.41378611460499</v>
      </c>
      <c r="F1436">
        <f t="shared" si="56"/>
        <v>366.21491635878527</v>
      </c>
    </row>
    <row r="1437" spans="1:6" x14ac:dyDescent="0.25">
      <c r="A1437">
        <v>-295.24766575640115</v>
      </c>
      <c r="B1437">
        <v>24.30678825641635</v>
      </c>
      <c r="C1437">
        <v>590.53884800000003</v>
      </c>
      <c r="E1437">
        <f t="shared" si="55"/>
        <v>284.34821558664805</v>
      </c>
      <c r="F1437">
        <f t="shared" si="56"/>
        <v>358.80287296253283</v>
      </c>
    </row>
    <row r="1438" spans="1:6" x14ac:dyDescent="0.25">
      <c r="A1438">
        <v>-299.85996784951499</v>
      </c>
      <c r="B1438">
        <v>16.271851548011437</v>
      </c>
      <c r="C1438">
        <v>590.53884800000003</v>
      </c>
      <c r="E1438">
        <f t="shared" si="55"/>
        <v>285.77470674895386</v>
      </c>
      <c r="F1438">
        <f t="shared" si="56"/>
        <v>352.32990372615922</v>
      </c>
    </row>
    <row r="1439" spans="1:6" x14ac:dyDescent="0.25">
      <c r="A1439">
        <v>-288.9103997221024</v>
      </c>
      <c r="B1439">
        <v>1.4965371869327644E-14</v>
      </c>
      <c r="C1439">
        <v>644.01983999999993</v>
      </c>
      <c r="E1439">
        <f t="shared" si="55"/>
        <v>269.72109419203747</v>
      </c>
      <c r="F1439">
        <f t="shared" si="56"/>
        <v>382.1796274830856</v>
      </c>
    </row>
    <row r="1440" spans="1:6" x14ac:dyDescent="0.25">
      <c r="A1440">
        <v>-286.94294193866324</v>
      </c>
      <c r="B1440">
        <v>-7.3099060561264002</v>
      </c>
      <c r="C1440">
        <v>644.01983999999993</v>
      </c>
      <c r="E1440">
        <f t="shared" si="55"/>
        <v>265.26467807075625</v>
      </c>
      <c r="F1440">
        <f t="shared" si="56"/>
        <v>377.85262089463475</v>
      </c>
    </row>
    <row r="1441" spans="1:6" x14ac:dyDescent="0.25">
      <c r="A1441">
        <v>-284.71085900737057</v>
      </c>
      <c r="B1441">
        <v>-15.235949484660283</v>
      </c>
      <c r="C1441">
        <v>644.01983999999993</v>
      </c>
      <c r="E1441">
        <f t="shared" si="55"/>
        <v>260.34040920429226</v>
      </c>
      <c r="F1441">
        <f t="shared" si="56"/>
        <v>373.18593391274135</v>
      </c>
    </row>
    <row r="1442" spans="1:6" x14ac:dyDescent="0.25">
      <c r="A1442">
        <v>-281.25013804183976</v>
      </c>
      <c r="B1442">
        <v>-23.501238003518914</v>
      </c>
      <c r="C1442">
        <v>644.01983999999993</v>
      </c>
      <c r="E1442">
        <f t="shared" si="55"/>
        <v>254.14753335040055</v>
      </c>
      <c r="F1442">
        <f t="shared" si="56"/>
        <v>368.60663961342379</v>
      </c>
    </row>
    <row r="1443" spans="1:6" x14ac:dyDescent="0.25">
      <c r="A1443">
        <v>-275.9266969044719</v>
      </c>
      <c r="B1443">
        <v>-32.445393430885311</v>
      </c>
      <c r="C1443">
        <v>644.01983999999993</v>
      </c>
      <c r="E1443">
        <f t="shared" si="55"/>
        <v>245.97237426202412</v>
      </c>
      <c r="F1443">
        <f t="shared" si="56"/>
        <v>364.0512189011489</v>
      </c>
    </row>
    <row r="1444" spans="1:6" x14ac:dyDescent="0.25">
      <c r="A1444">
        <v>-269.91244403400947</v>
      </c>
      <c r="B1444">
        <v>-41.707469606321936</v>
      </c>
      <c r="C1444">
        <v>644.01983999999993</v>
      </c>
      <c r="E1444">
        <f t="shared" si="55"/>
        <v>237.03835425463222</v>
      </c>
      <c r="F1444">
        <f t="shared" si="56"/>
        <v>359.46098039008132</v>
      </c>
    </row>
    <row r="1445" spans="1:6" x14ac:dyDescent="0.25">
      <c r="A1445">
        <v>-261.91779831452868</v>
      </c>
      <c r="B1445">
        <v>-51.461541345975817</v>
      </c>
      <c r="C1445">
        <v>644.01983999999993</v>
      </c>
      <c r="E1445">
        <f t="shared" si="55"/>
        <v>226.07916280508778</v>
      </c>
      <c r="F1445">
        <f t="shared" si="56"/>
        <v>355.04779568657301</v>
      </c>
    </row>
    <row r="1446" spans="1:6" x14ac:dyDescent="0.25">
      <c r="A1446">
        <v>-252.62168150050411</v>
      </c>
      <c r="B1446">
        <v>-61.965238580271027</v>
      </c>
      <c r="C1446">
        <v>644.01983999999993</v>
      </c>
      <c r="E1446">
        <f t="shared" si="55"/>
        <v>213.63630166458393</v>
      </c>
      <c r="F1446">
        <f t="shared" si="56"/>
        <v>350.46955093296549</v>
      </c>
    </row>
    <row r="1447" spans="1:6" x14ac:dyDescent="0.25">
      <c r="A1447">
        <v>-241.45763487604586</v>
      </c>
      <c r="B1447">
        <v>-73.528640967125028</v>
      </c>
      <c r="C1447">
        <v>644.01983999999993</v>
      </c>
      <c r="E1447">
        <f t="shared" si="55"/>
        <v>199.06981345234342</v>
      </c>
      <c r="F1447">
        <f t="shared" si="56"/>
        <v>345.66509295333668</v>
      </c>
    </row>
    <row r="1448" spans="1:6" x14ac:dyDescent="0.25">
      <c r="A1448">
        <v>-227.55490689092497</v>
      </c>
      <c r="B1448">
        <v>-86.575596548074813</v>
      </c>
      <c r="C1448">
        <v>644.01983999999993</v>
      </c>
      <c r="E1448">
        <f t="shared" si="55"/>
        <v>181.41488801116608</v>
      </c>
      <c r="F1448">
        <f t="shared" si="56"/>
        <v>340.57527453683053</v>
      </c>
    </row>
    <row r="1449" spans="1:6" x14ac:dyDescent="0.25">
      <c r="A1449">
        <v>-210.86708681435326</v>
      </c>
      <c r="B1449">
        <v>-100.48417379232535</v>
      </c>
      <c r="C1449">
        <v>644.01983999999993</v>
      </c>
      <c r="E1449">
        <f t="shared" si="55"/>
        <v>160.85107751865723</v>
      </c>
      <c r="F1449">
        <f t="shared" si="56"/>
        <v>335.62241890116462</v>
      </c>
    </row>
    <row r="1450" spans="1:6" x14ac:dyDescent="0.25">
      <c r="A1450">
        <v>-191.92986570113572</v>
      </c>
      <c r="B1450">
        <v>-114.2547713148757</v>
      </c>
      <c r="C1450">
        <v>644.01983999999993</v>
      </c>
      <c r="E1450">
        <f t="shared" si="55"/>
        <v>138.23671775693785</v>
      </c>
      <c r="F1450">
        <f t="shared" si="56"/>
        <v>331.33065748034403</v>
      </c>
    </row>
    <row r="1451" spans="1:6" x14ac:dyDescent="0.25">
      <c r="A1451">
        <v>-169.22599741816529</v>
      </c>
      <c r="B1451">
        <v>-128.47863252966187</v>
      </c>
      <c r="C1451">
        <v>644.01983999999993</v>
      </c>
      <c r="E1451">
        <f t="shared" si="55"/>
        <v>111.94345474402616</v>
      </c>
      <c r="F1451">
        <f t="shared" si="56"/>
        <v>327.69416308313805</v>
      </c>
    </row>
    <row r="1452" spans="1:6" x14ac:dyDescent="0.25">
      <c r="A1452">
        <v>-141.83367847490089</v>
      </c>
      <c r="B1452">
        <v>-143.08174428094742</v>
      </c>
      <c r="C1452">
        <v>644.01983999999993</v>
      </c>
      <c r="E1452">
        <f t="shared" si="55"/>
        <v>81.137234726936939</v>
      </c>
      <c r="F1452">
        <f t="shared" si="56"/>
        <v>324.99538389906741</v>
      </c>
    </row>
    <row r="1453" spans="1:6" x14ac:dyDescent="0.25">
      <c r="A1453">
        <v>-113.09737786266112</v>
      </c>
      <c r="B1453">
        <v>-156.12131256186615</v>
      </c>
      <c r="C1453">
        <v>644.01983999999993</v>
      </c>
      <c r="E1453">
        <f t="shared" si="55"/>
        <v>49.636623597621522</v>
      </c>
      <c r="F1453">
        <f t="shared" si="56"/>
        <v>323.66933482203348</v>
      </c>
    </row>
    <row r="1454" spans="1:6" x14ac:dyDescent="0.25">
      <c r="A1454">
        <v>-86.277369768151715</v>
      </c>
      <c r="B1454">
        <v>-166.60777540927697</v>
      </c>
      <c r="C1454">
        <v>644.01983999999993</v>
      </c>
      <c r="E1454">
        <f t="shared" si="55"/>
        <v>20.839976813481442</v>
      </c>
      <c r="F1454">
        <f t="shared" si="56"/>
        <v>323.54309847791615</v>
      </c>
    </row>
    <row r="1455" spans="1:6" x14ac:dyDescent="0.25">
      <c r="A1455">
        <v>-59.162953753280227</v>
      </c>
      <c r="B1455">
        <v>-175.72048218421608</v>
      </c>
      <c r="C1455">
        <v>644.01983999999993</v>
      </c>
      <c r="E1455">
        <f t="shared" si="55"/>
        <v>-7.7392132956473239</v>
      </c>
      <c r="F1455">
        <f t="shared" si="56"/>
        <v>324.39833917497646</v>
      </c>
    </row>
    <row r="1456" spans="1:6" x14ac:dyDescent="0.25">
      <c r="A1456">
        <v>-29.820634671714426</v>
      </c>
      <c r="B1456">
        <v>-184.00357782392899</v>
      </c>
      <c r="C1456">
        <v>644.01983999999993</v>
      </c>
      <c r="E1456">
        <f t="shared" si="55"/>
        <v>-38.10102405852404</v>
      </c>
      <c r="F1456">
        <f t="shared" si="56"/>
        <v>326.36580069433523</v>
      </c>
    </row>
    <row r="1457" spans="1:6" x14ac:dyDescent="0.25">
      <c r="A1457">
        <v>6.7113197727183408E-14</v>
      </c>
      <c r="B1457">
        <v>-188.96285447448079</v>
      </c>
      <c r="C1457">
        <v>644.01983999999993</v>
      </c>
      <c r="E1457">
        <f t="shared" si="55"/>
        <v>-67.718230698246614</v>
      </c>
      <c r="F1457">
        <f t="shared" si="56"/>
        <v>330.64865885101875</v>
      </c>
    </row>
    <row r="1458" spans="1:6" x14ac:dyDescent="0.25">
      <c r="A1458">
        <v>29.820634671714334</v>
      </c>
      <c r="B1458">
        <v>-184.00357782392902</v>
      </c>
      <c r="C1458">
        <v>644.01983999999993</v>
      </c>
      <c r="E1458">
        <f t="shared" si="55"/>
        <v>-93.780945728996755</v>
      </c>
      <c r="F1458">
        <f t="shared" si="56"/>
        <v>341.47916120193645</v>
      </c>
    </row>
    <row r="1459" spans="1:6" x14ac:dyDescent="0.25">
      <c r="A1459">
        <v>59.162953753280256</v>
      </c>
      <c r="B1459">
        <v>-175.72048218421608</v>
      </c>
      <c r="C1459">
        <v>644.01983999999993</v>
      </c>
      <c r="E1459">
        <f t="shared" si="55"/>
        <v>-118.2059644912905</v>
      </c>
      <c r="F1459">
        <f t="shared" si="56"/>
        <v>354.38264563294689</v>
      </c>
    </row>
    <row r="1460" spans="1:6" x14ac:dyDescent="0.25">
      <c r="A1460">
        <v>86.277369768151729</v>
      </c>
      <c r="B1460">
        <v>-166.607775409277</v>
      </c>
      <c r="C1460">
        <v>644.01983999999993</v>
      </c>
      <c r="E1460">
        <f t="shared" si="55"/>
        <v>-140.25375051693428</v>
      </c>
      <c r="F1460">
        <f t="shared" si="56"/>
        <v>367.26922997405461</v>
      </c>
    </row>
    <row r="1461" spans="1:6" x14ac:dyDescent="0.25">
      <c r="A1461">
        <v>113.09737786266108</v>
      </c>
      <c r="B1461">
        <v>-156.12131256186609</v>
      </c>
      <c r="C1461">
        <v>644.01983999999993</v>
      </c>
      <c r="E1461">
        <f t="shared" si="55"/>
        <v>-161.5343729238551</v>
      </c>
      <c r="F1461">
        <f t="shared" si="56"/>
        <v>380.98808282722234</v>
      </c>
    </row>
    <row r="1462" spans="1:6" x14ac:dyDescent="0.25">
      <c r="A1462">
        <v>141.83367847490089</v>
      </c>
      <c r="B1462">
        <v>-143.08174428094733</v>
      </c>
      <c r="C1462">
        <v>644.01983999999993</v>
      </c>
      <c r="E1462">
        <f t="shared" si="55"/>
        <v>-183.68905735759299</v>
      </c>
      <c r="F1462">
        <f t="shared" si="56"/>
        <v>396.87794235258082</v>
      </c>
    </row>
    <row r="1463" spans="1:6" x14ac:dyDescent="0.25">
      <c r="A1463">
        <v>169.22599741816518</v>
      </c>
      <c r="B1463">
        <v>-128.47863252966198</v>
      </c>
      <c r="C1463">
        <v>644.01983999999993</v>
      </c>
      <c r="E1463">
        <f t="shared" si="55"/>
        <v>-204.02870294410403</v>
      </c>
      <c r="F1463">
        <f t="shared" si="56"/>
        <v>413.45939022852281</v>
      </c>
    </row>
    <row r="1464" spans="1:6" x14ac:dyDescent="0.25">
      <c r="A1464">
        <v>191.92986570113578</v>
      </c>
      <c r="B1464">
        <v>-114.25477131487575</v>
      </c>
      <c r="C1464">
        <v>644.01983999999993</v>
      </c>
      <c r="E1464">
        <f t="shared" si="55"/>
        <v>-220.12721400069611</v>
      </c>
      <c r="F1464">
        <f t="shared" si="56"/>
        <v>428.60240519630185</v>
      </c>
    </row>
    <row r="1465" spans="1:6" x14ac:dyDescent="0.25">
      <c r="A1465">
        <v>210.86708681435334</v>
      </c>
      <c r="B1465">
        <v>-100.48417379232525</v>
      </c>
      <c r="C1465">
        <v>644.01983999999993</v>
      </c>
      <c r="E1465">
        <f t="shared" si="55"/>
        <v>-232.87169216607558</v>
      </c>
      <c r="F1465">
        <f t="shared" si="56"/>
        <v>442.49171720070177</v>
      </c>
    </row>
    <row r="1466" spans="1:6" x14ac:dyDescent="0.25">
      <c r="A1466">
        <v>227.55490689092514</v>
      </c>
      <c r="B1466">
        <v>-86.57559654807477</v>
      </c>
      <c r="C1466">
        <v>644.01983999999993</v>
      </c>
      <c r="E1466">
        <f t="shared" si="55"/>
        <v>-243.46672604235556</v>
      </c>
      <c r="F1466">
        <f t="shared" si="56"/>
        <v>455.90210714707905</v>
      </c>
    </row>
    <row r="1467" spans="1:6" x14ac:dyDescent="0.25">
      <c r="A1467">
        <v>241.45763487604589</v>
      </c>
      <c r="B1467">
        <v>-73.528640967125099</v>
      </c>
      <c r="C1467">
        <v>644.01983999999993</v>
      </c>
      <c r="E1467">
        <f t="shared" si="55"/>
        <v>-251.77043004482564</v>
      </c>
      <c r="F1467">
        <f t="shared" si="56"/>
        <v>468.03795065296885</v>
      </c>
    </row>
    <row r="1468" spans="1:6" x14ac:dyDescent="0.25">
      <c r="A1468">
        <v>252.6216815005042</v>
      </c>
      <c r="B1468">
        <v>-61.965238580271027</v>
      </c>
      <c r="C1468">
        <v>644.01983999999993</v>
      </c>
      <c r="E1468">
        <f t="shared" si="55"/>
        <v>-258.04901265077797</v>
      </c>
      <c r="F1468">
        <f t="shared" si="56"/>
        <v>478.50044586810787</v>
      </c>
    </row>
    <row r="1469" spans="1:6" x14ac:dyDescent="0.25">
      <c r="A1469">
        <v>261.91779831452868</v>
      </c>
      <c r="B1469">
        <v>-51.461541345975782</v>
      </c>
      <c r="C1469">
        <v>644.01983999999993</v>
      </c>
      <c r="E1469">
        <f t="shared" si="55"/>
        <v>-262.96349691028371</v>
      </c>
      <c r="F1469">
        <f t="shared" si="56"/>
        <v>487.79004456430573</v>
      </c>
    </row>
    <row r="1470" spans="1:6" x14ac:dyDescent="0.25">
      <c r="A1470">
        <v>269.91244403400958</v>
      </c>
      <c r="B1470">
        <v>-41.707469606321943</v>
      </c>
      <c r="C1470">
        <v>644.01983999999993</v>
      </c>
      <c r="E1470">
        <f t="shared" si="55"/>
        <v>-266.93159498171326</v>
      </c>
      <c r="F1470">
        <f t="shared" si="56"/>
        <v>496.25498618778562</v>
      </c>
    </row>
    <row r="1471" spans="1:6" x14ac:dyDescent="0.25">
      <c r="A1471">
        <v>275.9266969044719</v>
      </c>
      <c r="B1471">
        <v>-32.445393430885296</v>
      </c>
      <c r="C1471">
        <v>644.01983999999993</v>
      </c>
      <c r="E1471">
        <f t="shared" si="55"/>
        <v>-269.2271524940578</v>
      </c>
      <c r="F1471">
        <f t="shared" si="56"/>
        <v>503.89330106663732</v>
      </c>
    </row>
    <row r="1472" spans="1:6" x14ac:dyDescent="0.25">
      <c r="A1472">
        <v>281.25013804183965</v>
      </c>
      <c r="B1472">
        <v>-23.501238003518857</v>
      </c>
      <c r="C1472">
        <v>644.01983999999993</v>
      </c>
      <c r="E1472">
        <f t="shared" si="55"/>
        <v>-270.99171430059459</v>
      </c>
      <c r="F1472">
        <f t="shared" si="56"/>
        <v>511.14668867115768</v>
      </c>
    </row>
    <row r="1473" spans="1:6" x14ac:dyDescent="0.25">
      <c r="A1473">
        <v>284.71085900737069</v>
      </c>
      <c r="B1473">
        <v>-15.235949484660356</v>
      </c>
      <c r="C1473">
        <v>644.01983999999993</v>
      </c>
      <c r="E1473">
        <f t="shared" si="55"/>
        <v>-271.26056115667922</v>
      </c>
      <c r="F1473">
        <f t="shared" si="56"/>
        <v>517.47990686056244</v>
      </c>
    </row>
    <row r="1474" spans="1:6" x14ac:dyDescent="0.25">
      <c r="A1474">
        <v>286.94294193866313</v>
      </c>
      <c r="B1474">
        <v>-7.3099060561263629</v>
      </c>
      <c r="C1474">
        <v>644.01983999999993</v>
      </c>
      <c r="E1474">
        <f t="shared" si="55"/>
        <v>-270.50395016016159</v>
      </c>
      <c r="F1474">
        <f t="shared" si="56"/>
        <v>523.27783314687906</v>
      </c>
    </row>
    <row r="1475" spans="1:6" x14ac:dyDescent="0.25">
      <c r="A1475">
        <v>288.91039972210251</v>
      </c>
      <c r="B1475">
        <v>4.150900660230627E-14</v>
      </c>
      <c r="C1475">
        <v>644.01983999999993</v>
      </c>
      <c r="E1475">
        <f t="shared" si="55"/>
        <v>-269.72109419203747</v>
      </c>
      <c r="F1475">
        <f t="shared" si="56"/>
        <v>528.60196468226491</v>
      </c>
    </row>
    <row r="1476" spans="1:6" x14ac:dyDescent="0.25">
      <c r="A1476">
        <v>286.94294193866313</v>
      </c>
      <c r="B1476">
        <v>7.3099060561263967</v>
      </c>
      <c r="C1476">
        <v>644.01983999999993</v>
      </c>
      <c r="E1476">
        <f t="shared" si="55"/>
        <v>-265.26467807075602</v>
      </c>
      <c r="F1476">
        <f t="shared" si="56"/>
        <v>532.92897127071569</v>
      </c>
    </row>
    <row r="1477" spans="1:6" x14ac:dyDescent="0.25">
      <c r="A1477">
        <v>284.71085900737069</v>
      </c>
      <c r="B1477">
        <v>15.235949484660356</v>
      </c>
      <c r="C1477">
        <v>644.01983999999993</v>
      </c>
      <c r="E1477">
        <f t="shared" si="55"/>
        <v>-260.34040920429226</v>
      </c>
      <c r="F1477">
        <f t="shared" si="56"/>
        <v>537.59565825260916</v>
      </c>
    </row>
    <row r="1478" spans="1:6" x14ac:dyDescent="0.25">
      <c r="A1478">
        <v>281.25013804183976</v>
      </c>
      <c r="B1478">
        <v>23.501238003518896</v>
      </c>
      <c r="C1478">
        <v>644.01983999999993</v>
      </c>
      <c r="E1478">
        <f t="shared" si="55"/>
        <v>-254.14753335040038</v>
      </c>
      <c r="F1478">
        <f t="shared" si="56"/>
        <v>542.17495255192671</v>
      </c>
    </row>
    <row r="1479" spans="1:6" x14ac:dyDescent="0.25">
      <c r="A1479">
        <v>275.9266969044719</v>
      </c>
      <c r="B1479">
        <v>32.445393430885311</v>
      </c>
      <c r="C1479">
        <v>644.01983999999993</v>
      </c>
      <c r="E1479">
        <f t="shared" si="55"/>
        <v>-245.97237426202395</v>
      </c>
      <c r="F1479">
        <f t="shared" si="56"/>
        <v>546.7303732642016</v>
      </c>
    </row>
    <row r="1480" spans="1:6" x14ac:dyDescent="0.25">
      <c r="A1480">
        <v>269.91244403400947</v>
      </c>
      <c r="B1480">
        <v>41.707469606322</v>
      </c>
      <c r="C1480">
        <v>644.01983999999993</v>
      </c>
      <c r="E1480">
        <f t="shared" si="55"/>
        <v>-237.03835425463203</v>
      </c>
      <c r="F1480">
        <f t="shared" si="56"/>
        <v>551.3206117752693</v>
      </c>
    </row>
    <row r="1481" spans="1:6" x14ac:dyDescent="0.25">
      <c r="A1481">
        <v>261.91779831452874</v>
      </c>
      <c r="B1481">
        <v>51.461541345975796</v>
      </c>
      <c r="C1481">
        <v>644.01983999999993</v>
      </c>
      <c r="E1481">
        <f t="shared" si="55"/>
        <v>-226.07916280508769</v>
      </c>
      <c r="F1481">
        <f t="shared" si="56"/>
        <v>555.73379647877755</v>
      </c>
    </row>
    <row r="1482" spans="1:6" x14ac:dyDescent="0.25">
      <c r="A1482">
        <v>252.62168150050411</v>
      </c>
      <c r="B1482">
        <v>61.965238580270977</v>
      </c>
      <c r="C1482">
        <v>644.01983999999993</v>
      </c>
      <c r="E1482">
        <f t="shared" si="55"/>
        <v>-213.63630166458375</v>
      </c>
      <c r="F1482">
        <f t="shared" si="56"/>
        <v>560.31204123238501</v>
      </c>
    </row>
    <row r="1483" spans="1:6" x14ac:dyDescent="0.25">
      <c r="A1483">
        <v>241.45763487604589</v>
      </c>
      <c r="B1483">
        <v>73.528640967125114</v>
      </c>
      <c r="C1483">
        <v>644.01983999999993</v>
      </c>
      <c r="E1483">
        <f t="shared" si="55"/>
        <v>-199.06981345234325</v>
      </c>
      <c r="F1483">
        <f t="shared" si="56"/>
        <v>565.11649921201388</v>
      </c>
    </row>
    <row r="1484" spans="1:6" x14ac:dyDescent="0.25">
      <c r="A1484">
        <v>227.55490689092505</v>
      </c>
      <c r="B1484">
        <v>86.575596548074813</v>
      </c>
      <c r="C1484">
        <v>644.01983999999993</v>
      </c>
      <c r="E1484">
        <f t="shared" si="55"/>
        <v>-181.414888011166</v>
      </c>
      <c r="F1484">
        <f t="shared" si="56"/>
        <v>570.20631762851997</v>
      </c>
    </row>
    <row r="1485" spans="1:6" x14ac:dyDescent="0.25">
      <c r="A1485">
        <v>210.86708681435331</v>
      </c>
      <c r="B1485">
        <v>100.48417379232528</v>
      </c>
      <c r="C1485">
        <v>644.01983999999993</v>
      </c>
      <c r="E1485">
        <f t="shared" si="55"/>
        <v>-160.85107751865712</v>
      </c>
      <c r="F1485">
        <f t="shared" si="56"/>
        <v>575.15917326418582</v>
      </c>
    </row>
    <row r="1486" spans="1:6" x14ac:dyDescent="0.25">
      <c r="A1486">
        <v>191.92986570113578</v>
      </c>
      <c r="B1486">
        <v>114.25477131487575</v>
      </c>
      <c r="C1486">
        <v>644.01983999999993</v>
      </c>
      <c r="E1486">
        <f t="shared" si="55"/>
        <v>-138.23671775693768</v>
      </c>
      <c r="F1486">
        <f t="shared" si="56"/>
        <v>579.45093468500659</v>
      </c>
    </row>
    <row r="1487" spans="1:6" x14ac:dyDescent="0.25">
      <c r="A1487">
        <v>169.22599741816538</v>
      </c>
      <c r="B1487">
        <v>128.47863252966189</v>
      </c>
      <c r="C1487">
        <v>644.01983999999993</v>
      </c>
      <c r="E1487">
        <f t="shared" si="55"/>
        <v>-111.94345474402606</v>
      </c>
      <c r="F1487">
        <f t="shared" si="56"/>
        <v>583.08742908221245</v>
      </c>
    </row>
    <row r="1488" spans="1:6" x14ac:dyDescent="0.25">
      <c r="A1488">
        <v>141.83367847490103</v>
      </c>
      <c r="B1488">
        <v>143.08174428094742</v>
      </c>
      <c r="C1488">
        <v>644.01983999999993</v>
      </c>
      <c r="E1488">
        <f t="shared" si="55"/>
        <v>-81.137234726936882</v>
      </c>
      <c r="F1488">
        <f t="shared" si="56"/>
        <v>585.7862082662831</v>
      </c>
    </row>
    <row r="1489" spans="1:6" x14ac:dyDescent="0.25">
      <c r="A1489">
        <v>113.09737786266128</v>
      </c>
      <c r="B1489">
        <v>156.12131256186603</v>
      </c>
      <c r="C1489">
        <v>644.01983999999993</v>
      </c>
      <c r="E1489">
        <f t="shared" si="55"/>
        <v>-49.636623597621551</v>
      </c>
      <c r="F1489">
        <f t="shared" si="56"/>
        <v>587.11225734331697</v>
      </c>
    </row>
    <row r="1490" spans="1:6" x14ac:dyDescent="0.25">
      <c r="A1490">
        <v>86.277369768151615</v>
      </c>
      <c r="B1490">
        <v>166.60777540927708</v>
      </c>
      <c r="C1490">
        <v>644.01983999999993</v>
      </c>
      <c r="E1490">
        <f t="shared" si="55"/>
        <v>-20.839976813481158</v>
      </c>
      <c r="F1490">
        <f t="shared" si="56"/>
        <v>587.23849368743447</v>
      </c>
    </row>
    <row r="1491" spans="1:6" x14ac:dyDescent="0.25">
      <c r="A1491">
        <v>59.162953753280156</v>
      </c>
      <c r="B1491">
        <v>175.72048218421622</v>
      </c>
      <c r="C1491">
        <v>644.01983999999993</v>
      </c>
      <c r="E1491">
        <f t="shared" si="55"/>
        <v>7.7392132956476027</v>
      </c>
      <c r="F1491">
        <f t="shared" si="56"/>
        <v>586.3832529903741</v>
      </c>
    </row>
    <row r="1492" spans="1:6" x14ac:dyDescent="0.25">
      <c r="A1492">
        <v>29.820634671714334</v>
      </c>
      <c r="B1492">
        <v>184.00357782392905</v>
      </c>
      <c r="C1492">
        <v>644.01983999999993</v>
      </c>
      <c r="E1492">
        <f t="shared" ref="E1492:E1555" si="57">($I$2*A1492)+($K$2*B1492)+($M$2*C1492)</f>
        <v>38.10102405852431</v>
      </c>
      <c r="F1492">
        <f t="shared" ref="F1492:F1555" si="58">($J$2*A1492)+($L$2*B1492)+($N$2*C1492)</f>
        <v>584.41579147101527</v>
      </c>
    </row>
    <row r="1493" spans="1:6" x14ac:dyDescent="0.25">
      <c r="A1493">
        <v>6.3880228279474964E-14</v>
      </c>
      <c r="B1493">
        <v>188.96285447448088</v>
      </c>
      <c r="C1493">
        <v>644.01983999999993</v>
      </c>
      <c r="E1493">
        <f t="shared" si="57"/>
        <v>67.718230698246714</v>
      </c>
      <c r="F1493">
        <f t="shared" si="58"/>
        <v>580.13293331433181</v>
      </c>
    </row>
    <row r="1494" spans="1:6" x14ac:dyDescent="0.25">
      <c r="A1494">
        <v>-29.820634671714366</v>
      </c>
      <c r="B1494">
        <v>184.00357782392911</v>
      </c>
      <c r="C1494">
        <v>644.01983999999993</v>
      </c>
      <c r="E1494">
        <f t="shared" si="57"/>
        <v>93.780945728996983</v>
      </c>
      <c r="F1494">
        <f t="shared" si="58"/>
        <v>569.30243096341417</v>
      </c>
    </row>
    <row r="1495" spans="1:6" x14ac:dyDescent="0.25">
      <c r="A1495">
        <v>-59.162953753280156</v>
      </c>
      <c r="B1495">
        <v>175.72048218421617</v>
      </c>
      <c r="C1495">
        <v>644.01983999999993</v>
      </c>
      <c r="E1495">
        <f t="shared" si="57"/>
        <v>118.20596449129062</v>
      </c>
      <c r="F1495">
        <f t="shared" si="58"/>
        <v>556.39894653240367</v>
      </c>
    </row>
    <row r="1496" spans="1:6" x14ac:dyDescent="0.25">
      <c r="A1496">
        <v>-86.277369768151644</v>
      </c>
      <c r="B1496">
        <v>166.60777540927714</v>
      </c>
      <c r="C1496">
        <v>644.01983999999993</v>
      </c>
      <c r="E1496">
        <f t="shared" si="57"/>
        <v>140.25375051693445</v>
      </c>
      <c r="F1496">
        <f t="shared" si="58"/>
        <v>543.51236219129601</v>
      </c>
    </row>
    <row r="1497" spans="1:6" x14ac:dyDescent="0.25">
      <c r="A1497">
        <v>-113.09737786266091</v>
      </c>
      <c r="B1497">
        <v>156.1213125618662</v>
      </c>
      <c r="C1497">
        <v>644.01983999999993</v>
      </c>
      <c r="E1497">
        <f t="shared" si="57"/>
        <v>161.53437292385516</v>
      </c>
      <c r="F1497">
        <f t="shared" si="58"/>
        <v>529.79350933812827</v>
      </c>
    </row>
    <row r="1498" spans="1:6" x14ac:dyDescent="0.25">
      <c r="A1498">
        <v>-141.83367847490072</v>
      </c>
      <c r="B1498">
        <v>143.0817442809475</v>
      </c>
      <c r="C1498">
        <v>644.01983999999993</v>
      </c>
      <c r="E1498">
        <f t="shared" si="57"/>
        <v>183.68905735759304</v>
      </c>
      <c r="F1498">
        <f t="shared" si="58"/>
        <v>513.90364981276991</v>
      </c>
    </row>
    <row r="1499" spans="1:6" x14ac:dyDescent="0.25">
      <c r="A1499">
        <v>-169.22599741816526</v>
      </c>
      <c r="B1499">
        <v>128.47863252966195</v>
      </c>
      <c r="C1499">
        <v>644.01983999999993</v>
      </c>
      <c r="E1499">
        <f t="shared" si="57"/>
        <v>204.02870294410423</v>
      </c>
      <c r="F1499">
        <f t="shared" si="58"/>
        <v>497.32220193682764</v>
      </c>
    </row>
    <row r="1500" spans="1:6" x14ac:dyDescent="0.25">
      <c r="A1500">
        <v>-191.92986570113575</v>
      </c>
      <c r="B1500">
        <v>114.2547713148757</v>
      </c>
      <c r="C1500">
        <v>644.01983999999993</v>
      </c>
      <c r="E1500">
        <f t="shared" si="57"/>
        <v>220.12721400069626</v>
      </c>
      <c r="F1500">
        <f t="shared" si="58"/>
        <v>482.1791869690486</v>
      </c>
    </row>
    <row r="1501" spans="1:6" x14ac:dyDescent="0.25">
      <c r="A1501">
        <v>-210.86708681435326</v>
      </c>
      <c r="B1501">
        <v>100.48417379232532</v>
      </c>
      <c r="C1501">
        <v>644.01983999999993</v>
      </c>
      <c r="E1501">
        <f t="shared" si="57"/>
        <v>232.87169216607569</v>
      </c>
      <c r="F1501">
        <f t="shared" si="58"/>
        <v>468.28987496464885</v>
      </c>
    </row>
    <row r="1502" spans="1:6" x14ac:dyDescent="0.25">
      <c r="A1502">
        <v>-227.55490689092505</v>
      </c>
      <c r="B1502">
        <v>86.575596548074856</v>
      </c>
      <c r="C1502">
        <v>644.01983999999993</v>
      </c>
      <c r="E1502">
        <f t="shared" si="57"/>
        <v>243.46672604235567</v>
      </c>
      <c r="F1502">
        <f t="shared" si="58"/>
        <v>454.87948501827157</v>
      </c>
    </row>
    <row r="1503" spans="1:6" x14ac:dyDescent="0.25">
      <c r="A1503">
        <v>-241.45763487604577</v>
      </c>
      <c r="B1503">
        <v>73.528640967125071</v>
      </c>
      <c r="C1503">
        <v>644.01983999999993</v>
      </c>
      <c r="E1503">
        <f t="shared" si="57"/>
        <v>251.77043004482567</v>
      </c>
      <c r="F1503">
        <f t="shared" si="58"/>
        <v>442.74364151238166</v>
      </c>
    </row>
    <row r="1504" spans="1:6" x14ac:dyDescent="0.25">
      <c r="A1504">
        <v>-252.62168150050408</v>
      </c>
      <c r="B1504">
        <v>61.965238580271091</v>
      </c>
      <c r="C1504">
        <v>644.01983999999993</v>
      </c>
      <c r="E1504">
        <f t="shared" si="57"/>
        <v>258.04901265077802</v>
      </c>
      <c r="F1504">
        <f t="shared" si="58"/>
        <v>432.28114629724269</v>
      </c>
    </row>
    <row r="1505" spans="1:6" x14ac:dyDescent="0.25">
      <c r="A1505">
        <v>-261.91779831452874</v>
      </c>
      <c r="B1505">
        <v>51.46154134597586</v>
      </c>
      <c r="C1505">
        <v>644.01983999999993</v>
      </c>
      <c r="E1505">
        <f t="shared" si="57"/>
        <v>262.96349691028394</v>
      </c>
      <c r="F1505">
        <f t="shared" si="58"/>
        <v>422.99154760104483</v>
      </c>
    </row>
    <row r="1506" spans="1:6" x14ac:dyDescent="0.25">
      <c r="A1506">
        <v>-269.91244403400958</v>
      </c>
      <c r="B1506">
        <v>41.707469606322071</v>
      </c>
      <c r="C1506">
        <v>644.01983999999993</v>
      </c>
      <c r="E1506">
        <f t="shared" si="57"/>
        <v>266.93159498171337</v>
      </c>
      <c r="F1506">
        <f t="shared" si="58"/>
        <v>414.52660597756494</v>
      </c>
    </row>
    <row r="1507" spans="1:6" x14ac:dyDescent="0.25">
      <c r="A1507">
        <v>-275.9266969044719</v>
      </c>
      <c r="B1507">
        <v>32.445393430885431</v>
      </c>
      <c r="C1507">
        <v>644.01983999999993</v>
      </c>
      <c r="E1507">
        <f t="shared" si="57"/>
        <v>269.22715249405798</v>
      </c>
      <c r="F1507">
        <f t="shared" si="58"/>
        <v>406.8882910987133</v>
      </c>
    </row>
    <row r="1508" spans="1:6" x14ac:dyDescent="0.25">
      <c r="A1508">
        <v>-281.25013804183982</v>
      </c>
      <c r="B1508">
        <v>23.5012380035189</v>
      </c>
      <c r="C1508">
        <v>644.01983999999993</v>
      </c>
      <c r="E1508">
        <f t="shared" si="57"/>
        <v>270.99171430059488</v>
      </c>
      <c r="F1508">
        <f t="shared" si="58"/>
        <v>399.63490349419283</v>
      </c>
    </row>
    <row r="1509" spans="1:6" x14ac:dyDescent="0.25">
      <c r="A1509">
        <v>-284.71085900737063</v>
      </c>
      <c r="B1509">
        <v>15.235949484660342</v>
      </c>
      <c r="C1509">
        <v>644.01983999999993</v>
      </c>
      <c r="E1509">
        <f t="shared" si="57"/>
        <v>271.26056115667927</v>
      </c>
      <c r="F1509">
        <f t="shared" si="58"/>
        <v>393.30168530478812</v>
      </c>
    </row>
    <row r="1510" spans="1:6" x14ac:dyDescent="0.25">
      <c r="A1510">
        <v>-270.29626389946372</v>
      </c>
      <c r="B1510">
        <v>1.8895004532243869E-14</v>
      </c>
      <c r="C1510">
        <v>697.50083199999995</v>
      </c>
      <c r="E1510">
        <f t="shared" si="57"/>
        <v>252.34330133186162</v>
      </c>
      <c r="F1510">
        <f t="shared" si="58"/>
        <v>424.71330364609759</v>
      </c>
    </row>
    <row r="1511" spans="1:6" x14ac:dyDescent="0.25">
      <c r="A1511">
        <v>-268.64296207033442</v>
      </c>
      <c r="B1511">
        <v>-7.859523229929593</v>
      </c>
      <c r="C1511">
        <v>697.50083199999995</v>
      </c>
      <c r="E1511">
        <f t="shared" si="57"/>
        <v>247.98320988078095</v>
      </c>
      <c r="F1511">
        <f t="shared" si="58"/>
        <v>419.94386369584038</v>
      </c>
    </row>
    <row r="1512" spans="1:6" x14ac:dyDescent="0.25">
      <c r="A1512">
        <v>-266.58854623750779</v>
      </c>
      <c r="B1512">
        <v>-15.645719366793935</v>
      </c>
      <c r="C1512">
        <v>697.50083199999995</v>
      </c>
      <c r="E1512">
        <f t="shared" si="57"/>
        <v>243.27492432704244</v>
      </c>
      <c r="F1512">
        <f t="shared" si="58"/>
        <v>415.32447402617908</v>
      </c>
    </row>
    <row r="1513" spans="1:6" x14ac:dyDescent="0.25">
      <c r="A1513">
        <v>-264.26087276942718</v>
      </c>
      <c r="B1513">
        <v>-22.798485810679136</v>
      </c>
      <c r="C1513">
        <v>697.50083199999995</v>
      </c>
      <c r="E1513">
        <f t="shared" si="57"/>
        <v>238.53853169389396</v>
      </c>
      <c r="F1513">
        <f t="shared" si="58"/>
        <v>411.19248198846691</v>
      </c>
    </row>
    <row r="1514" spans="1:6" x14ac:dyDescent="0.25">
      <c r="A1514">
        <v>-259.17780176756401</v>
      </c>
      <c r="B1514">
        <v>-31.563427555944294</v>
      </c>
      <c r="C1514">
        <v>697.50083199999995</v>
      </c>
      <c r="E1514">
        <f t="shared" si="57"/>
        <v>230.65200189892431</v>
      </c>
      <c r="F1514">
        <f t="shared" si="58"/>
        <v>406.69445673281695</v>
      </c>
    </row>
    <row r="1515" spans="1:6" x14ac:dyDescent="0.25">
      <c r="A1515">
        <v>-253.29355079706795</v>
      </c>
      <c r="B1515">
        <v>-40.701784515998547</v>
      </c>
      <c r="C1515">
        <v>697.50083199999995</v>
      </c>
      <c r="E1515">
        <f t="shared" si="57"/>
        <v>221.88368612228436</v>
      </c>
      <c r="F1515">
        <f t="shared" si="58"/>
        <v>402.15294730013477</v>
      </c>
    </row>
    <row r="1516" spans="1:6" x14ac:dyDescent="0.25">
      <c r="A1516">
        <v>-246.12539328549946</v>
      </c>
      <c r="B1516">
        <v>-50.360372013531304</v>
      </c>
      <c r="C1516">
        <v>697.50083199999995</v>
      </c>
      <c r="E1516">
        <f t="shared" si="57"/>
        <v>211.73030637844045</v>
      </c>
      <c r="F1516">
        <f t="shared" si="58"/>
        <v>397.59335991006026</v>
      </c>
    </row>
    <row r="1517" spans="1:6" x14ac:dyDescent="0.25">
      <c r="A1517">
        <v>-236.85768811191593</v>
      </c>
      <c r="B1517">
        <v>-60.766271577129892</v>
      </c>
      <c r="C1517">
        <v>697.50083199999995</v>
      </c>
      <c r="E1517">
        <f t="shared" si="57"/>
        <v>199.34901734005487</v>
      </c>
      <c r="F1517">
        <f t="shared" si="58"/>
        <v>393.07247577860323</v>
      </c>
    </row>
    <row r="1518" spans="1:6" x14ac:dyDescent="0.25">
      <c r="A1518">
        <v>-225.69433041337606</v>
      </c>
      <c r="B1518">
        <v>-72.241612073236197</v>
      </c>
      <c r="C1518">
        <v>697.50083199999995</v>
      </c>
      <c r="E1518">
        <f t="shared" si="57"/>
        <v>184.81473085478743</v>
      </c>
      <c r="F1518">
        <f t="shared" si="58"/>
        <v>388.32597649116519</v>
      </c>
    </row>
    <row r="1519" spans="1:6" x14ac:dyDescent="0.25">
      <c r="A1519">
        <v>-212.5770103399577</v>
      </c>
      <c r="B1519">
        <v>-84.354169443973802</v>
      </c>
      <c r="C1519">
        <v>697.50083199999995</v>
      </c>
      <c r="E1519">
        <f t="shared" si="57"/>
        <v>168.22790523744416</v>
      </c>
      <c r="F1519">
        <f t="shared" si="58"/>
        <v>383.65396686426163</v>
      </c>
    </row>
    <row r="1520" spans="1:6" x14ac:dyDescent="0.25">
      <c r="A1520">
        <v>-197.19008747885334</v>
      </c>
      <c r="B1520">
        <v>-96.981471805048372</v>
      </c>
      <c r="C1520">
        <v>697.50083199999995</v>
      </c>
      <c r="E1520">
        <f t="shared" si="57"/>
        <v>149.33775477486799</v>
      </c>
      <c r="F1520">
        <f t="shared" si="58"/>
        <v>379.21728028795224</v>
      </c>
    </row>
    <row r="1521" spans="1:6" x14ac:dyDescent="0.25">
      <c r="A1521">
        <v>-180.39027478733897</v>
      </c>
      <c r="B1521">
        <v>-109.05349236015779</v>
      </c>
      <c r="C1521">
        <v>697.50083199999995</v>
      </c>
      <c r="E1521">
        <f t="shared" si="57"/>
        <v>129.32755322404759</v>
      </c>
      <c r="F1521">
        <f t="shared" si="58"/>
        <v>375.50519053630978</v>
      </c>
    </row>
    <row r="1522" spans="1:6" x14ac:dyDescent="0.25">
      <c r="A1522">
        <v>-161.94185847333702</v>
      </c>
      <c r="B1522">
        <v>-120.63891540622279</v>
      </c>
      <c r="C1522">
        <v>697.50083199999995</v>
      </c>
      <c r="E1522">
        <f t="shared" si="57"/>
        <v>107.95262855179055</v>
      </c>
      <c r="F1522">
        <f t="shared" si="58"/>
        <v>372.53208719919178</v>
      </c>
    </row>
    <row r="1523" spans="1:6" x14ac:dyDescent="0.25">
      <c r="A1523">
        <v>-138.74107068725482</v>
      </c>
      <c r="B1523">
        <v>-133.18752375243901</v>
      </c>
      <c r="C1523">
        <v>697.50083199999995</v>
      </c>
      <c r="E1523">
        <f t="shared" si="57"/>
        <v>81.795808152708304</v>
      </c>
      <c r="F1523">
        <f t="shared" si="58"/>
        <v>370.12741758241452</v>
      </c>
    </row>
    <row r="1524" spans="1:6" x14ac:dyDescent="0.25">
      <c r="A1524">
        <v>-110.76917767870052</v>
      </c>
      <c r="B1524">
        <v>-146.04363596172121</v>
      </c>
      <c r="C1524">
        <v>697.50083199999995</v>
      </c>
      <c r="E1524">
        <f t="shared" si="57"/>
        <v>51.074577776283327</v>
      </c>
      <c r="F1524">
        <f t="shared" si="58"/>
        <v>368.72877113347062</v>
      </c>
    </row>
    <row r="1525" spans="1:6" x14ac:dyDescent="0.25">
      <c r="A1525">
        <v>-84.058545782846309</v>
      </c>
      <c r="B1525">
        <v>-156.63036092219585</v>
      </c>
      <c r="C1525">
        <v>697.50083199999995</v>
      </c>
      <c r="E1525">
        <f t="shared" si="57"/>
        <v>22.344111742456654</v>
      </c>
      <c r="F1525">
        <f t="shared" si="58"/>
        <v>368.50863124193296</v>
      </c>
    </row>
    <row r="1526" spans="1:6" x14ac:dyDescent="0.25">
      <c r="A1526">
        <v>-57.423014360463021</v>
      </c>
      <c r="B1526">
        <v>-165.68345054351354</v>
      </c>
      <c r="C1526">
        <v>697.50083199999995</v>
      </c>
      <c r="E1526">
        <f t="shared" si="57"/>
        <v>-5.7666362074730202</v>
      </c>
      <c r="F1526">
        <f t="shared" si="58"/>
        <v>369.28187620308773</v>
      </c>
    </row>
    <row r="1527" spans="1:6" x14ac:dyDescent="0.25">
      <c r="A1527">
        <v>-28.347812219736607</v>
      </c>
      <c r="B1527">
        <v>-173.37962417203241</v>
      </c>
      <c r="C1527">
        <v>697.50083199999995</v>
      </c>
      <c r="E1527">
        <f t="shared" si="57"/>
        <v>-35.668737785101655</v>
      </c>
      <c r="F1527">
        <f t="shared" si="58"/>
        <v>371.56910042532633</v>
      </c>
    </row>
    <row r="1528" spans="1:6" x14ac:dyDescent="0.25">
      <c r="A1528">
        <v>4.3067904847452386E-14</v>
      </c>
      <c r="B1528">
        <v>-176.99005052499899</v>
      </c>
      <c r="C1528">
        <v>697.50083199999995</v>
      </c>
      <c r="E1528">
        <f t="shared" si="57"/>
        <v>-63.427561496562944</v>
      </c>
      <c r="F1528">
        <f t="shared" si="58"/>
        <v>376.36917033375795</v>
      </c>
    </row>
    <row r="1529" spans="1:6" x14ac:dyDescent="0.25">
      <c r="A1529">
        <v>28.347812219736454</v>
      </c>
      <c r="B1529">
        <v>-173.37962417203244</v>
      </c>
      <c r="C1529">
        <v>697.50083199999995</v>
      </c>
      <c r="E1529">
        <f t="shared" si="57"/>
        <v>-88.598663029830107</v>
      </c>
      <c r="F1529">
        <f t="shared" si="58"/>
        <v>385.93602153197327</v>
      </c>
    </row>
    <row r="1530" spans="1:6" x14ac:dyDescent="0.25">
      <c r="A1530">
        <v>57.423014360463064</v>
      </c>
      <c r="B1530">
        <v>-165.68345054351354</v>
      </c>
      <c r="C1530">
        <v>697.50083199999995</v>
      </c>
      <c r="E1530">
        <f t="shared" si="57"/>
        <v>-112.98464068226508</v>
      </c>
      <c r="F1530">
        <f t="shared" si="58"/>
        <v>398.38436603996638</v>
      </c>
    </row>
    <row r="1531" spans="1:6" x14ac:dyDescent="0.25">
      <c r="A1531">
        <v>84.058545782846295</v>
      </c>
      <c r="B1531">
        <v>-156.63036092219591</v>
      </c>
      <c r="C1531">
        <v>697.50083199999995</v>
      </c>
      <c r="E1531">
        <f t="shared" si="57"/>
        <v>-134.6067143029118</v>
      </c>
      <c r="F1531">
        <f t="shared" si="58"/>
        <v>411.11024318434642</v>
      </c>
    </row>
    <row r="1532" spans="1:6" x14ac:dyDescent="0.25">
      <c r="A1532">
        <v>110.76917767870056</v>
      </c>
      <c r="B1532">
        <v>-146.04363596172112</v>
      </c>
      <c r="C1532">
        <v>697.50083199999995</v>
      </c>
      <c r="E1532">
        <f t="shared" si="57"/>
        <v>-155.74929450376777</v>
      </c>
      <c r="F1532">
        <f t="shared" si="58"/>
        <v>424.86756676335222</v>
      </c>
    </row>
    <row r="1533" spans="1:6" x14ac:dyDescent="0.25">
      <c r="A1533">
        <v>138.74107068725476</v>
      </c>
      <c r="B1533">
        <v>-133.18752375243901</v>
      </c>
      <c r="C1533">
        <v>697.50083199999995</v>
      </c>
      <c r="E1533">
        <f t="shared" si="57"/>
        <v>-177.25608773706318</v>
      </c>
      <c r="F1533">
        <f t="shared" si="58"/>
        <v>440.44261514915081</v>
      </c>
    </row>
    <row r="1534" spans="1:6" x14ac:dyDescent="0.25">
      <c r="A1534">
        <v>161.94185847333699</v>
      </c>
      <c r="B1534">
        <v>-120.63891540622292</v>
      </c>
      <c r="C1534">
        <v>697.50083199999995</v>
      </c>
      <c r="E1534">
        <f t="shared" si="57"/>
        <v>-194.41887005078439</v>
      </c>
      <c r="F1534">
        <f t="shared" si="58"/>
        <v>454.60564852080824</v>
      </c>
    </row>
    <row r="1535" spans="1:6" x14ac:dyDescent="0.25">
      <c r="A1535">
        <v>180.39027478733908</v>
      </c>
      <c r="B1535">
        <v>-109.05349236015789</v>
      </c>
      <c r="C1535">
        <v>697.50083199999995</v>
      </c>
      <c r="E1535">
        <f t="shared" si="57"/>
        <v>-207.49010611977519</v>
      </c>
      <c r="F1535">
        <f t="shared" si="58"/>
        <v>466.92857186066044</v>
      </c>
    </row>
    <row r="1536" spans="1:6" x14ac:dyDescent="0.25">
      <c r="A1536">
        <v>197.19008747885346</v>
      </c>
      <c r="B1536">
        <v>-96.981471805048287</v>
      </c>
      <c r="C1536">
        <v>697.50083199999995</v>
      </c>
      <c r="E1536">
        <f t="shared" si="57"/>
        <v>-218.84785716418895</v>
      </c>
      <c r="F1536">
        <f t="shared" si="58"/>
        <v>479.15495476743371</v>
      </c>
    </row>
    <row r="1537" spans="1:6" x14ac:dyDescent="0.25">
      <c r="A1537">
        <v>212.57701033995784</v>
      </c>
      <c r="B1537">
        <v>-84.354169443973802</v>
      </c>
      <c r="C1537">
        <v>697.50083199999995</v>
      </c>
      <c r="E1537">
        <f t="shared" si="57"/>
        <v>-228.68756671591152</v>
      </c>
      <c r="F1537">
        <f t="shared" si="58"/>
        <v>491.38986947881017</v>
      </c>
    </row>
    <row r="1538" spans="1:6" x14ac:dyDescent="0.25">
      <c r="A1538">
        <v>225.69433041337615</v>
      </c>
      <c r="B1538">
        <v>-72.241612073236226</v>
      </c>
      <c r="C1538">
        <v>697.50083199999995</v>
      </c>
      <c r="E1538">
        <f t="shared" si="57"/>
        <v>-236.59288763585269</v>
      </c>
      <c r="F1538">
        <f t="shared" si="58"/>
        <v>502.70985254241617</v>
      </c>
    </row>
    <row r="1539" spans="1:6" x14ac:dyDescent="0.25">
      <c r="A1539">
        <v>236.85768811191591</v>
      </c>
      <c r="B1539">
        <v>-60.766271577129828</v>
      </c>
      <c r="C1539">
        <v>697.50083199999995</v>
      </c>
      <c r="E1539">
        <f t="shared" si="57"/>
        <v>-242.90238563327244</v>
      </c>
      <c r="F1539">
        <f t="shared" si="58"/>
        <v>513.11403991163638</v>
      </c>
    </row>
    <row r="1540" spans="1:6" x14ac:dyDescent="0.25">
      <c r="A1540">
        <v>246.12539328549929</v>
      </c>
      <c r="B1540">
        <v>-50.360372013531233</v>
      </c>
      <c r="C1540">
        <v>697.50083199999995</v>
      </c>
      <c r="E1540">
        <f t="shared" si="57"/>
        <v>-247.82539289209555</v>
      </c>
      <c r="F1540">
        <f t="shared" si="58"/>
        <v>522.33187871587188</v>
      </c>
    </row>
    <row r="1541" spans="1:6" x14ac:dyDescent="0.25">
      <c r="A1541">
        <v>253.29355079706795</v>
      </c>
      <c r="B1541">
        <v>-40.701784515998497</v>
      </c>
      <c r="C1541">
        <v>697.50083199999995</v>
      </c>
      <c r="E1541">
        <f t="shared" si="57"/>
        <v>-251.05611624195026</v>
      </c>
      <c r="F1541">
        <f t="shared" si="58"/>
        <v>530.52435151701252</v>
      </c>
    </row>
    <row r="1542" spans="1:6" x14ac:dyDescent="0.25">
      <c r="A1542">
        <v>259.17780176756401</v>
      </c>
      <c r="B1542">
        <v>-31.563427555944266</v>
      </c>
      <c r="C1542">
        <v>697.50083199999995</v>
      </c>
      <c r="E1542">
        <f t="shared" si="57"/>
        <v>-253.27464352661491</v>
      </c>
      <c r="F1542">
        <f t="shared" si="58"/>
        <v>538.04805120866536</v>
      </c>
    </row>
    <row r="1543" spans="1:6" x14ac:dyDescent="0.25">
      <c r="A1543">
        <v>264.26087276942718</v>
      </c>
      <c r="B1543">
        <v>-22.79848581067905</v>
      </c>
      <c r="C1543">
        <v>697.50083199999995</v>
      </c>
      <c r="E1543">
        <f t="shared" si="57"/>
        <v>-254.87902491931519</v>
      </c>
      <c r="F1543">
        <f t="shared" si="58"/>
        <v>545.12222165312846</v>
      </c>
    </row>
    <row r="1544" spans="1:6" x14ac:dyDescent="0.25">
      <c r="A1544">
        <v>266.58854623750784</v>
      </c>
      <c r="B1544">
        <v>-15.645719366793916</v>
      </c>
      <c r="C1544">
        <v>697.50083199999995</v>
      </c>
      <c r="E1544">
        <f t="shared" si="57"/>
        <v>-254.48877306432061</v>
      </c>
      <c r="F1544">
        <f t="shared" si="58"/>
        <v>550.43389912189718</v>
      </c>
    </row>
    <row r="1545" spans="1:6" x14ac:dyDescent="0.25">
      <c r="A1545">
        <v>268.64296207033431</v>
      </c>
      <c r="B1545">
        <v>-7.8595232299295255</v>
      </c>
      <c r="C1545">
        <v>697.50083199999995</v>
      </c>
      <c r="E1545">
        <f t="shared" si="57"/>
        <v>-253.61641232940772</v>
      </c>
      <c r="F1545">
        <f t="shared" si="58"/>
        <v>556.09448484442066</v>
      </c>
    </row>
    <row r="1546" spans="1:6" x14ac:dyDescent="0.25">
      <c r="A1546">
        <v>270.29626389946378</v>
      </c>
      <c r="B1546">
        <v>4.5467395182186337E-14</v>
      </c>
      <c r="C1546">
        <v>697.50083199999995</v>
      </c>
      <c r="E1546">
        <f t="shared" si="57"/>
        <v>-252.34330133186148</v>
      </c>
      <c r="F1546">
        <f t="shared" si="58"/>
        <v>561.70183273481996</v>
      </c>
    </row>
    <row r="1547" spans="1:6" x14ac:dyDescent="0.25">
      <c r="A1547">
        <v>268.64296207033436</v>
      </c>
      <c r="B1547">
        <v>7.8595232299296214</v>
      </c>
      <c r="C1547">
        <v>697.50083199999995</v>
      </c>
      <c r="E1547">
        <f t="shared" si="57"/>
        <v>-247.98320988078072</v>
      </c>
      <c r="F1547">
        <f t="shared" si="58"/>
        <v>566.47127268507711</v>
      </c>
    </row>
    <row r="1548" spans="1:6" x14ac:dyDescent="0.25">
      <c r="A1548">
        <v>266.5885462375079</v>
      </c>
      <c r="B1548">
        <v>15.645719366793935</v>
      </c>
      <c r="C1548">
        <v>697.50083199999995</v>
      </c>
      <c r="E1548">
        <f t="shared" si="57"/>
        <v>-243.27492432704238</v>
      </c>
      <c r="F1548">
        <f t="shared" si="58"/>
        <v>571.09066235473847</v>
      </c>
    </row>
    <row r="1549" spans="1:6" x14ac:dyDescent="0.25">
      <c r="A1549">
        <v>264.26087276942707</v>
      </c>
      <c r="B1549">
        <v>22.798485810679114</v>
      </c>
      <c r="C1549">
        <v>697.50083199999995</v>
      </c>
      <c r="E1549">
        <f t="shared" si="57"/>
        <v>-238.53853169389373</v>
      </c>
      <c r="F1549">
        <f t="shared" si="58"/>
        <v>575.22265439245052</v>
      </c>
    </row>
    <row r="1550" spans="1:6" x14ac:dyDescent="0.25">
      <c r="A1550">
        <v>259.17780176756389</v>
      </c>
      <c r="B1550">
        <v>31.563427555944301</v>
      </c>
      <c r="C1550">
        <v>697.50083199999995</v>
      </c>
      <c r="E1550">
        <f t="shared" si="57"/>
        <v>-230.65200189892403</v>
      </c>
      <c r="F1550">
        <f t="shared" si="58"/>
        <v>579.72067964810049</v>
      </c>
    </row>
    <row r="1551" spans="1:6" x14ac:dyDescent="0.25">
      <c r="A1551">
        <v>253.29355079706789</v>
      </c>
      <c r="B1551">
        <v>40.701784515998547</v>
      </c>
      <c r="C1551">
        <v>697.50083199999995</v>
      </c>
      <c r="E1551">
        <f t="shared" si="57"/>
        <v>-221.88368612228413</v>
      </c>
      <c r="F1551">
        <f t="shared" si="58"/>
        <v>584.26218908078272</v>
      </c>
    </row>
    <row r="1552" spans="1:6" x14ac:dyDescent="0.25">
      <c r="A1552">
        <v>246.12539328549937</v>
      </c>
      <c r="B1552">
        <v>50.360372013531268</v>
      </c>
      <c r="C1552">
        <v>697.50083199999995</v>
      </c>
      <c r="E1552">
        <f t="shared" si="57"/>
        <v>-211.73030637844019</v>
      </c>
      <c r="F1552">
        <f t="shared" si="58"/>
        <v>588.82177647085712</v>
      </c>
    </row>
    <row r="1553" spans="1:6" x14ac:dyDescent="0.25">
      <c r="A1553">
        <v>236.85768811191585</v>
      </c>
      <c r="B1553">
        <v>60.766271577129793</v>
      </c>
      <c r="C1553">
        <v>697.50083199999995</v>
      </c>
      <c r="E1553">
        <f t="shared" si="57"/>
        <v>-199.34901734005464</v>
      </c>
      <c r="F1553">
        <f t="shared" si="58"/>
        <v>593.34266060231425</v>
      </c>
    </row>
    <row r="1554" spans="1:6" x14ac:dyDescent="0.25">
      <c r="A1554">
        <v>225.69433041337615</v>
      </c>
      <c r="B1554">
        <v>72.241612073236297</v>
      </c>
      <c r="C1554">
        <v>697.50083199999995</v>
      </c>
      <c r="E1554">
        <f t="shared" si="57"/>
        <v>-184.81473085478731</v>
      </c>
      <c r="F1554">
        <f t="shared" si="58"/>
        <v>598.08915988975241</v>
      </c>
    </row>
    <row r="1555" spans="1:6" x14ac:dyDescent="0.25">
      <c r="A1555">
        <v>212.57701033995792</v>
      </c>
      <c r="B1555">
        <v>84.354169443973845</v>
      </c>
      <c r="C1555">
        <v>697.50083199999995</v>
      </c>
      <c r="E1555">
        <f t="shared" si="57"/>
        <v>-168.22790523744416</v>
      </c>
      <c r="F1555">
        <f t="shared" si="58"/>
        <v>602.76116951665597</v>
      </c>
    </row>
    <row r="1556" spans="1:6" x14ac:dyDescent="0.25">
      <c r="A1556">
        <v>197.19008747885334</v>
      </c>
      <c r="B1556">
        <v>96.981471805048329</v>
      </c>
      <c r="C1556">
        <v>697.50083199999995</v>
      </c>
      <c r="E1556">
        <f t="shared" ref="E1556:E1619" si="59">($I$2*A1556)+($K$2*B1556)+($M$2*C1556)</f>
        <v>-149.33775477486782</v>
      </c>
      <c r="F1556">
        <f t="shared" ref="F1556:F1619" si="60">($J$2*A1556)+($L$2*B1556)+($N$2*C1556)</f>
        <v>607.19785609296525</v>
      </c>
    </row>
    <row r="1557" spans="1:6" x14ac:dyDescent="0.25">
      <c r="A1557">
        <v>180.39027478733908</v>
      </c>
      <c r="B1557">
        <v>109.05349236015789</v>
      </c>
      <c r="C1557">
        <v>697.50083199999995</v>
      </c>
      <c r="E1557">
        <f t="shared" si="59"/>
        <v>-129.32755322404751</v>
      </c>
      <c r="F1557">
        <f t="shared" si="60"/>
        <v>610.90994584460782</v>
      </c>
    </row>
    <row r="1558" spans="1:6" x14ac:dyDescent="0.25">
      <c r="A1558">
        <v>161.94185847333713</v>
      </c>
      <c r="B1558">
        <v>120.63891540622281</v>
      </c>
      <c r="C1558">
        <v>697.50083199999995</v>
      </c>
      <c r="E1558">
        <f t="shared" si="59"/>
        <v>-107.95262855179047</v>
      </c>
      <c r="F1558">
        <f t="shared" si="60"/>
        <v>613.88304918172571</v>
      </c>
    </row>
    <row r="1559" spans="1:6" x14ac:dyDescent="0.25">
      <c r="A1559">
        <v>138.74107068725496</v>
      </c>
      <c r="B1559">
        <v>133.18752375243903</v>
      </c>
      <c r="C1559">
        <v>697.50083199999995</v>
      </c>
      <c r="E1559">
        <f t="shared" si="59"/>
        <v>-81.795808152708261</v>
      </c>
      <c r="F1559">
        <f t="shared" si="60"/>
        <v>616.28771879850297</v>
      </c>
    </row>
    <row r="1560" spans="1:6" x14ac:dyDescent="0.25">
      <c r="A1560">
        <v>110.76917767870071</v>
      </c>
      <c r="B1560">
        <v>146.04363596172115</v>
      </c>
      <c r="C1560">
        <v>697.50083199999995</v>
      </c>
      <c r="E1560">
        <f t="shared" si="59"/>
        <v>-51.074577776283363</v>
      </c>
      <c r="F1560">
        <f t="shared" si="60"/>
        <v>617.68636524744693</v>
      </c>
    </row>
    <row r="1561" spans="1:6" x14ac:dyDescent="0.25">
      <c r="A1561">
        <v>84.05854578284621</v>
      </c>
      <c r="B1561">
        <v>156.63036092219585</v>
      </c>
      <c r="C1561">
        <v>697.50083199999995</v>
      </c>
      <c r="E1561">
        <f t="shared" si="59"/>
        <v>-22.344111742456384</v>
      </c>
      <c r="F1561">
        <f t="shared" si="60"/>
        <v>617.90650513898458</v>
      </c>
    </row>
    <row r="1562" spans="1:6" x14ac:dyDescent="0.25">
      <c r="A1562">
        <v>57.423014360463021</v>
      </c>
      <c r="B1562">
        <v>165.68345054351369</v>
      </c>
      <c r="C1562">
        <v>697.50083199999995</v>
      </c>
      <c r="E1562">
        <f t="shared" si="59"/>
        <v>5.7666362074732476</v>
      </c>
      <c r="F1562">
        <f t="shared" si="60"/>
        <v>617.13326017782981</v>
      </c>
    </row>
    <row r="1563" spans="1:6" x14ac:dyDescent="0.25">
      <c r="A1563">
        <v>28.347812219736472</v>
      </c>
      <c r="B1563">
        <v>173.37962417203249</v>
      </c>
      <c r="C1563">
        <v>697.50083199999995</v>
      </c>
      <c r="E1563">
        <f t="shared" si="59"/>
        <v>35.668737785101989</v>
      </c>
      <c r="F1563">
        <f t="shared" si="60"/>
        <v>614.84603595559122</v>
      </c>
    </row>
    <row r="1564" spans="1:6" x14ac:dyDescent="0.25">
      <c r="A1564">
        <v>4.5415656470193055E-14</v>
      </c>
      <c r="B1564">
        <v>176.99005052499911</v>
      </c>
      <c r="C1564">
        <v>697.50083199999995</v>
      </c>
      <c r="E1564">
        <f t="shared" si="59"/>
        <v>63.427561496563065</v>
      </c>
      <c r="F1564">
        <f t="shared" si="60"/>
        <v>610.04596604715971</v>
      </c>
    </row>
    <row r="1565" spans="1:6" x14ac:dyDescent="0.25">
      <c r="A1565">
        <v>-28.347812219736518</v>
      </c>
      <c r="B1565">
        <v>173.37962417203249</v>
      </c>
      <c r="C1565">
        <v>697.50083199999995</v>
      </c>
      <c r="E1565">
        <f t="shared" si="59"/>
        <v>88.598663029830362</v>
      </c>
      <c r="F1565">
        <f t="shared" si="60"/>
        <v>600.47911484894428</v>
      </c>
    </row>
    <row r="1566" spans="1:6" x14ac:dyDescent="0.25">
      <c r="A1566">
        <v>-57.423014360462972</v>
      </c>
      <c r="B1566">
        <v>165.68345054351363</v>
      </c>
      <c r="C1566">
        <v>697.50083199999995</v>
      </c>
      <c r="E1566">
        <f t="shared" si="59"/>
        <v>112.98464068226519</v>
      </c>
      <c r="F1566">
        <f t="shared" si="60"/>
        <v>588.03077034095122</v>
      </c>
    </row>
    <row r="1567" spans="1:6" x14ac:dyDescent="0.25">
      <c r="A1567">
        <v>-84.05854578284621</v>
      </c>
      <c r="B1567">
        <v>156.63036092219591</v>
      </c>
      <c r="C1567">
        <v>697.50083199999995</v>
      </c>
      <c r="E1567">
        <f t="shared" si="59"/>
        <v>134.60671430291188</v>
      </c>
      <c r="F1567">
        <f t="shared" si="60"/>
        <v>575.30489319657113</v>
      </c>
    </row>
    <row r="1568" spans="1:6" x14ac:dyDescent="0.25">
      <c r="A1568">
        <v>-110.7691776787004</v>
      </c>
      <c r="B1568">
        <v>146.04363596172129</v>
      </c>
      <c r="C1568">
        <v>697.50083199999995</v>
      </c>
      <c r="E1568">
        <f t="shared" si="59"/>
        <v>155.74929450376786</v>
      </c>
      <c r="F1568">
        <f t="shared" si="60"/>
        <v>561.54756961756539</v>
      </c>
    </row>
    <row r="1569" spans="1:6" x14ac:dyDescent="0.25">
      <c r="A1569">
        <v>-138.74107068725462</v>
      </c>
      <c r="B1569">
        <v>133.18752375243915</v>
      </c>
      <c r="C1569">
        <v>697.50083199999995</v>
      </c>
      <c r="E1569">
        <f t="shared" si="59"/>
        <v>177.25608773706327</v>
      </c>
      <c r="F1569">
        <f t="shared" si="60"/>
        <v>545.97252123176679</v>
      </c>
    </row>
    <row r="1570" spans="1:6" x14ac:dyDescent="0.25">
      <c r="A1570">
        <v>-161.94185847333699</v>
      </c>
      <c r="B1570">
        <v>120.63891540622285</v>
      </c>
      <c r="C1570">
        <v>697.50083199999995</v>
      </c>
      <c r="E1570">
        <f t="shared" si="59"/>
        <v>194.41887005078453</v>
      </c>
      <c r="F1570">
        <f t="shared" si="60"/>
        <v>531.80948786010913</v>
      </c>
    </row>
    <row r="1571" spans="1:6" x14ac:dyDescent="0.25">
      <c r="A1571">
        <v>-180.39027478733897</v>
      </c>
      <c r="B1571">
        <v>109.05349236015782</v>
      </c>
      <c r="C1571">
        <v>697.50083199999995</v>
      </c>
      <c r="E1571">
        <f t="shared" si="59"/>
        <v>207.49010611977522</v>
      </c>
      <c r="F1571">
        <f t="shared" si="60"/>
        <v>519.48656452025705</v>
      </c>
    </row>
    <row r="1572" spans="1:6" x14ac:dyDescent="0.25">
      <c r="A1572">
        <v>-197.19008747885331</v>
      </c>
      <c r="B1572">
        <v>96.981471805048386</v>
      </c>
      <c r="C1572">
        <v>697.50083199999995</v>
      </c>
      <c r="E1572">
        <f t="shared" si="59"/>
        <v>218.84785716418904</v>
      </c>
      <c r="F1572">
        <f t="shared" si="60"/>
        <v>507.26018161348389</v>
      </c>
    </row>
    <row r="1573" spans="1:6" x14ac:dyDescent="0.25">
      <c r="A1573">
        <v>-212.57701033995781</v>
      </c>
      <c r="B1573">
        <v>84.354169443973888</v>
      </c>
      <c r="C1573">
        <v>697.50083199999995</v>
      </c>
      <c r="E1573">
        <f t="shared" si="59"/>
        <v>228.68756671591169</v>
      </c>
      <c r="F1573">
        <f t="shared" si="60"/>
        <v>495.02526690210738</v>
      </c>
    </row>
    <row r="1574" spans="1:6" x14ac:dyDescent="0.25">
      <c r="A1574">
        <v>-225.69433041337601</v>
      </c>
      <c r="B1574">
        <v>72.241612073236212</v>
      </c>
      <c r="C1574">
        <v>697.50083199999995</v>
      </c>
      <c r="E1574">
        <f t="shared" si="59"/>
        <v>236.59288763585269</v>
      </c>
      <c r="F1574">
        <f t="shared" si="60"/>
        <v>483.70528383850132</v>
      </c>
    </row>
    <row r="1575" spans="1:6" x14ac:dyDescent="0.25">
      <c r="A1575">
        <v>-236.85768811191591</v>
      </c>
      <c r="B1575">
        <v>60.766271577129892</v>
      </c>
      <c r="C1575">
        <v>697.50083199999995</v>
      </c>
      <c r="E1575">
        <f t="shared" si="59"/>
        <v>242.90238563327264</v>
      </c>
      <c r="F1575">
        <f t="shared" si="60"/>
        <v>473.30109646928116</v>
      </c>
    </row>
    <row r="1576" spans="1:6" x14ac:dyDescent="0.25">
      <c r="A1576">
        <v>-246.12539328549929</v>
      </c>
      <c r="B1576">
        <v>50.360372013531347</v>
      </c>
      <c r="C1576">
        <v>697.50083199999995</v>
      </c>
      <c r="E1576">
        <f t="shared" si="59"/>
        <v>247.82539289209578</v>
      </c>
      <c r="F1576">
        <f t="shared" si="60"/>
        <v>464.08325766504566</v>
      </c>
    </row>
    <row r="1577" spans="1:6" x14ac:dyDescent="0.25">
      <c r="A1577">
        <v>-253.29355079706784</v>
      </c>
      <c r="B1577">
        <v>40.701784515998611</v>
      </c>
      <c r="C1577">
        <v>697.50083199999995</v>
      </c>
      <c r="E1577">
        <f t="shared" si="59"/>
        <v>251.05611624195038</v>
      </c>
      <c r="F1577">
        <f t="shared" si="60"/>
        <v>455.89078486390508</v>
      </c>
    </row>
    <row r="1578" spans="1:6" x14ac:dyDescent="0.25">
      <c r="A1578">
        <v>-259.17780176756401</v>
      </c>
      <c r="B1578">
        <v>31.563427555944433</v>
      </c>
      <c r="C1578">
        <v>697.50083199999995</v>
      </c>
      <c r="E1578">
        <f t="shared" si="59"/>
        <v>253.27464352661514</v>
      </c>
      <c r="F1578">
        <f t="shared" si="60"/>
        <v>448.36708517225225</v>
      </c>
    </row>
    <row r="1579" spans="1:6" x14ac:dyDescent="0.25">
      <c r="A1579">
        <v>-264.26087276942712</v>
      </c>
      <c r="B1579">
        <v>22.798485810679097</v>
      </c>
      <c r="C1579">
        <v>697.50083199999995</v>
      </c>
      <c r="E1579">
        <f t="shared" si="59"/>
        <v>254.8790249193153</v>
      </c>
      <c r="F1579">
        <f t="shared" si="60"/>
        <v>441.29291472778903</v>
      </c>
    </row>
    <row r="1580" spans="1:6" x14ac:dyDescent="0.25">
      <c r="A1580">
        <v>-266.58854623750784</v>
      </c>
      <c r="B1580">
        <v>15.645719366793923</v>
      </c>
      <c r="C1580">
        <v>697.50083199999995</v>
      </c>
      <c r="E1580">
        <f t="shared" si="59"/>
        <v>254.48877306432078</v>
      </c>
      <c r="F1580">
        <f t="shared" si="60"/>
        <v>435.9812372590203</v>
      </c>
    </row>
    <row r="1581" spans="1:6" x14ac:dyDescent="0.25">
      <c r="A1581">
        <v>-248.94031287077084</v>
      </c>
      <c r="B1581">
        <v>2.4218962877891419E-14</v>
      </c>
      <c r="C1581">
        <v>750.98182399999996</v>
      </c>
      <c r="E1581">
        <f t="shared" si="59"/>
        <v>232.40580346224115</v>
      </c>
      <c r="F1581">
        <f t="shared" si="60"/>
        <v>467.94176786628032</v>
      </c>
    </row>
    <row r="1582" spans="1:6" x14ac:dyDescent="0.25">
      <c r="A1582">
        <v>-247.37253156485863</v>
      </c>
      <c r="B1582">
        <v>-7.7179631474974437</v>
      </c>
      <c r="C1582">
        <v>750.98182399999996</v>
      </c>
      <c r="E1582">
        <f t="shared" si="59"/>
        <v>228.17628289417846</v>
      </c>
      <c r="F1582">
        <f t="shared" si="60"/>
        <v>463.24410626003242</v>
      </c>
    </row>
    <row r="1583" spans="1:6" x14ac:dyDescent="0.25">
      <c r="A1583">
        <v>-245.39259708264623</v>
      </c>
      <c r="B1583">
        <v>-15.379775294807496</v>
      </c>
      <c r="C1583">
        <v>750.98182399999996</v>
      </c>
      <c r="E1583">
        <f t="shared" si="59"/>
        <v>223.58210690680534</v>
      </c>
      <c r="F1583">
        <f t="shared" si="60"/>
        <v>458.68795366537728</v>
      </c>
    </row>
    <row r="1584" spans="1:6" x14ac:dyDescent="0.25">
      <c r="A1584">
        <v>-242.92843861696983</v>
      </c>
      <c r="B1584">
        <v>-23.118042125291542</v>
      </c>
      <c r="C1584">
        <v>750.98182399999996</v>
      </c>
      <c r="E1584">
        <f t="shared" si="59"/>
        <v>218.50846997838747</v>
      </c>
      <c r="F1584">
        <f t="shared" si="60"/>
        <v>454.20403468738891</v>
      </c>
    </row>
    <row r="1585" spans="1:6" x14ac:dyDescent="0.25">
      <c r="A1585">
        <v>-238.80809295926343</v>
      </c>
      <c r="B1585">
        <v>-31.43276954629183</v>
      </c>
      <c r="C1585">
        <v>750.98182399999996</v>
      </c>
      <c r="E1585">
        <f t="shared" si="59"/>
        <v>211.68206410505806</v>
      </c>
      <c r="F1585">
        <f t="shared" si="60"/>
        <v>449.75925554343314</v>
      </c>
    </row>
    <row r="1586" spans="1:6" x14ac:dyDescent="0.25">
      <c r="A1586">
        <v>-233.22021221256992</v>
      </c>
      <c r="B1586">
        <v>-39.77112991183057</v>
      </c>
      <c r="C1586">
        <v>750.98182399999996</v>
      </c>
      <c r="E1586">
        <f t="shared" si="59"/>
        <v>203.47712690757652</v>
      </c>
      <c r="F1586">
        <f t="shared" si="60"/>
        <v>445.67075518203904</v>
      </c>
    </row>
    <row r="1587" spans="1:6" x14ac:dyDescent="0.25">
      <c r="A1587">
        <v>-226.37931207947159</v>
      </c>
      <c r="B1587">
        <v>-49.330389900636632</v>
      </c>
      <c r="C1587">
        <v>750.98182399999996</v>
      </c>
      <c r="E1587">
        <f t="shared" si="59"/>
        <v>193.66486404233495</v>
      </c>
      <c r="F1587">
        <f t="shared" si="60"/>
        <v>441.09380949588467</v>
      </c>
    </row>
    <row r="1588" spans="1:6" x14ac:dyDescent="0.25">
      <c r="A1588">
        <v>-217.50165092280105</v>
      </c>
      <c r="B1588">
        <v>-59.650852228601401</v>
      </c>
      <c r="C1588">
        <v>750.98182399999996</v>
      </c>
      <c r="E1588">
        <f t="shared" si="59"/>
        <v>181.67833043056061</v>
      </c>
      <c r="F1588">
        <f t="shared" si="60"/>
        <v>436.5304871179784</v>
      </c>
    </row>
    <row r="1589" spans="1:6" x14ac:dyDescent="0.25">
      <c r="A1589">
        <v>-206.84058720609298</v>
      </c>
      <c r="B1589">
        <v>-70.280050016996</v>
      </c>
      <c r="C1589">
        <v>750.98182399999996</v>
      </c>
      <c r="E1589">
        <f t="shared" si="59"/>
        <v>167.91620620226402</v>
      </c>
      <c r="F1589">
        <f t="shared" si="60"/>
        <v>432.21527785761486</v>
      </c>
    </row>
    <row r="1590" spans="1:6" x14ac:dyDescent="0.25">
      <c r="A1590">
        <v>-194.45521188395853</v>
      </c>
      <c r="B1590">
        <v>-81.450188047233169</v>
      </c>
      <c r="C1590">
        <v>750.98182399999996</v>
      </c>
      <c r="E1590">
        <f t="shared" si="59"/>
        <v>152.35044276466374</v>
      </c>
      <c r="F1590">
        <f t="shared" si="60"/>
        <v>427.97991989816478</v>
      </c>
    </row>
    <row r="1591" spans="1:6" x14ac:dyDescent="0.25">
      <c r="A1591">
        <v>-181.48151482773204</v>
      </c>
      <c r="B1591">
        <v>-91.793960836912277</v>
      </c>
      <c r="C1591">
        <v>750.98182399999996</v>
      </c>
      <c r="E1591">
        <f t="shared" si="59"/>
        <v>136.53157648846656</v>
      </c>
      <c r="F1591">
        <f t="shared" si="60"/>
        <v>424.43916287691655</v>
      </c>
    </row>
    <row r="1592" spans="1:6" x14ac:dyDescent="0.25">
      <c r="A1592">
        <v>-167.40042646174282</v>
      </c>
      <c r="B1592">
        <v>-101.76676651855043</v>
      </c>
      <c r="C1592">
        <v>750.98182399999996</v>
      </c>
      <c r="E1592">
        <f t="shared" si="59"/>
        <v>119.81181408285919</v>
      </c>
      <c r="F1592">
        <f t="shared" si="60"/>
        <v>421.42391431050044</v>
      </c>
    </row>
    <row r="1593" spans="1:6" x14ac:dyDescent="0.25">
      <c r="A1593">
        <v>-151.46444653347169</v>
      </c>
      <c r="B1593">
        <v>-111.77504369162688</v>
      </c>
      <c r="C1593">
        <v>750.98182399999996</v>
      </c>
      <c r="E1593">
        <f t="shared" si="59"/>
        <v>101.34764937577651</v>
      </c>
      <c r="F1593">
        <f t="shared" si="60"/>
        <v>418.85528725338344</v>
      </c>
    </row>
    <row r="1594" spans="1:6" x14ac:dyDescent="0.25">
      <c r="A1594">
        <v>-132.45287848047968</v>
      </c>
      <c r="B1594">
        <v>-122.25048892502816</v>
      </c>
      <c r="C1594">
        <v>750.98182399999996</v>
      </c>
      <c r="E1594">
        <f t="shared" si="59"/>
        <v>79.844757735615559</v>
      </c>
      <c r="F1594">
        <f t="shared" si="60"/>
        <v>416.75763096802211</v>
      </c>
    </row>
    <row r="1595" spans="1:6" x14ac:dyDescent="0.25">
      <c r="A1595">
        <v>-109.82277212916982</v>
      </c>
      <c r="B1595">
        <v>-133.0321137255871</v>
      </c>
      <c r="C1595">
        <v>750.98182399999996</v>
      </c>
      <c r="E1595">
        <f t="shared" si="59"/>
        <v>54.853944623939611</v>
      </c>
      <c r="F1595">
        <f t="shared" si="60"/>
        <v>415.37480653431635</v>
      </c>
    </row>
    <row r="1596" spans="1:6" x14ac:dyDescent="0.25">
      <c r="A1596">
        <v>-82.128880179064438</v>
      </c>
      <c r="B1596">
        <v>-144.1449388518368</v>
      </c>
      <c r="C1596">
        <v>750.98182399999996</v>
      </c>
      <c r="E1596">
        <f t="shared" si="59"/>
        <v>25.016988811643209</v>
      </c>
      <c r="F1596">
        <f t="shared" si="60"/>
        <v>415.05652875800274</v>
      </c>
    </row>
    <row r="1597" spans="1:6" x14ac:dyDescent="0.25">
      <c r="A1597">
        <v>-54.303613291687043</v>
      </c>
      <c r="B1597">
        <v>-153.25663614268538</v>
      </c>
      <c r="C1597">
        <v>750.98182399999996</v>
      </c>
      <c r="E1597">
        <f t="shared" si="59"/>
        <v>-4.2254759914719244</v>
      </c>
      <c r="F1597">
        <f t="shared" si="60"/>
        <v>416.09256860096514</v>
      </c>
    </row>
    <row r="1598" spans="1:6" x14ac:dyDescent="0.25">
      <c r="A1598">
        <v>-27.041471352207079</v>
      </c>
      <c r="B1598">
        <v>-160.46317306984955</v>
      </c>
      <c r="C1598">
        <v>750.98182399999996</v>
      </c>
      <c r="E1598">
        <f t="shared" si="59"/>
        <v>-32.259469952469182</v>
      </c>
      <c r="F1598">
        <f t="shared" si="60"/>
        <v>418.24358466386445</v>
      </c>
    </row>
    <row r="1599" spans="1:6" x14ac:dyDescent="0.25">
      <c r="A1599">
        <v>5.5846045051936648E-14</v>
      </c>
      <c r="B1599">
        <v>-162.98011917806318</v>
      </c>
      <c r="C1599">
        <v>750.98182399999996</v>
      </c>
      <c r="E1599">
        <f t="shared" si="59"/>
        <v>-58.406851126491127</v>
      </c>
      <c r="F1599">
        <f t="shared" si="60"/>
        <v>423.43447323636792</v>
      </c>
    </row>
    <row r="1600" spans="1:6" x14ac:dyDescent="0.25">
      <c r="A1600">
        <v>27.041471352206997</v>
      </c>
      <c r="B1600">
        <v>-160.46317306984949</v>
      </c>
      <c r="C1600">
        <v>750.98182399999996</v>
      </c>
      <c r="E1600">
        <f t="shared" si="59"/>
        <v>-82.750246668679793</v>
      </c>
      <c r="F1600">
        <f t="shared" si="60"/>
        <v>431.94844070401871</v>
      </c>
    </row>
    <row r="1601" spans="1:6" x14ac:dyDescent="0.25">
      <c r="A1601">
        <v>54.303613291687114</v>
      </c>
      <c r="B1601">
        <v>-153.25663614268544</v>
      </c>
      <c r="C1601">
        <v>750.98182399999996</v>
      </c>
      <c r="E1601">
        <f t="shared" si="59"/>
        <v>-105.61905690585662</v>
      </c>
      <c r="F1601">
        <f t="shared" si="60"/>
        <v>443.61411848001899</v>
      </c>
    </row>
    <row r="1602" spans="1:6" x14ac:dyDescent="0.25">
      <c r="A1602">
        <v>82.12888017906451</v>
      </c>
      <c r="B1602">
        <v>-144.1449388518368</v>
      </c>
      <c r="C1602">
        <v>750.98182399999996</v>
      </c>
      <c r="E1602">
        <f t="shared" si="59"/>
        <v>-128.33084115897398</v>
      </c>
      <c r="F1602">
        <f t="shared" si="60"/>
        <v>456.6801691632532</v>
      </c>
    </row>
    <row r="1603" spans="1:6" x14ac:dyDescent="0.25">
      <c r="A1603">
        <v>109.82277212916976</v>
      </c>
      <c r="B1603">
        <v>-133.03211372558704</v>
      </c>
      <c r="C1603">
        <v>750.98182399999996</v>
      </c>
      <c r="E1603">
        <f t="shared" si="59"/>
        <v>-150.20283626297103</v>
      </c>
      <c r="F1603">
        <f t="shared" si="60"/>
        <v>471.0339554895408</v>
      </c>
    </row>
    <row r="1604" spans="1:6" x14ac:dyDescent="0.25">
      <c r="A1604">
        <v>132.45287848047954</v>
      </c>
      <c r="B1604">
        <v>-122.25048892502811</v>
      </c>
      <c r="C1604">
        <v>750.98182399999996</v>
      </c>
      <c r="E1604">
        <f t="shared" si="59"/>
        <v>-167.4660718295608</v>
      </c>
      <c r="F1604">
        <f t="shared" si="60"/>
        <v>483.88591729667456</v>
      </c>
    </row>
    <row r="1605" spans="1:6" x14ac:dyDescent="0.25">
      <c r="A1605">
        <v>151.46444653347169</v>
      </c>
      <c r="B1605">
        <v>-111.77504369162695</v>
      </c>
      <c r="C1605">
        <v>750.98182399999996</v>
      </c>
      <c r="E1605">
        <f t="shared" si="59"/>
        <v>-181.4608358119857</v>
      </c>
      <c r="F1605">
        <f t="shared" si="60"/>
        <v>495.61880385002877</v>
      </c>
    </row>
    <row r="1606" spans="1:6" x14ac:dyDescent="0.25">
      <c r="A1606">
        <v>167.40042646174277</v>
      </c>
      <c r="B1606">
        <v>-101.76676651855043</v>
      </c>
      <c r="C1606">
        <v>750.98182399999996</v>
      </c>
      <c r="E1606">
        <f t="shared" si="59"/>
        <v>-192.75170898107544</v>
      </c>
      <c r="F1606">
        <f t="shared" si="60"/>
        <v>506.26392600355319</v>
      </c>
    </row>
    <row r="1607" spans="1:6" x14ac:dyDescent="0.25">
      <c r="A1607">
        <v>181.48151482773216</v>
      </c>
      <c r="B1607">
        <v>-91.793960836912206</v>
      </c>
      <c r="C1607">
        <v>750.98182399999996</v>
      </c>
      <c r="E1607">
        <f t="shared" si="59"/>
        <v>-202.32360353999817</v>
      </c>
      <c r="F1607">
        <f t="shared" si="60"/>
        <v>516.41559427254674</v>
      </c>
    </row>
    <row r="1608" spans="1:6" x14ac:dyDescent="0.25">
      <c r="A1608">
        <v>194.45521188395875</v>
      </c>
      <c r="B1608">
        <v>-81.450188047233169</v>
      </c>
      <c r="C1608">
        <v>750.98182399999996</v>
      </c>
      <c r="E1608">
        <f t="shared" si="59"/>
        <v>-210.72871652579593</v>
      </c>
      <c r="F1608">
        <f t="shared" si="60"/>
        <v>526.53153531940995</v>
      </c>
    </row>
    <row r="1609" spans="1:6" x14ac:dyDescent="0.25">
      <c r="A1609">
        <v>206.84058720609303</v>
      </c>
      <c r="B1609">
        <v>-70.280050016996086</v>
      </c>
      <c r="C1609">
        <v>750.98182399999996</v>
      </c>
      <c r="E1609">
        <f t="shared" si="59"/>
        <v>-218.28844103932792</v>
      </c>
      <c r="F1609">
        <f t="shared" si="60"/>
        <v>537.04391066383573</v>
      </c>
    </row>
    <row r="1610" spans="1:6" x14ac:dyDescent="0.25">
      <c r="A1610">
        <v>217.50165092280102</v>
      </c>
      <c r="B1610">
        <v>-59.650852228601401</v>
      </c>
      <c r="C1610">
        <v>750.98182399999996</v>
      </c>
      <c r="E1610">
        <f t="shared" si="59"/>
        <v>-224.43223763414758</v>
      </c>
      <c r="F1610">
        <f t="shared" si="60"/>
        <v>546.76224098848525</v>
      </c>
    </row>
    <row r="1611" spans="1:6" x14ac:dyDescent="0.25">
      <c r="A1611">
        <v>226.37931207947156</v>
      </c>
      <c r="B1611">
        <v>-49.330389900636604</v>
      </c>
      <c r="C1611">
        <v>750.98182399999996</v>
      </c>
      <c r="E1611">
        <f t="shared" si="59"/>
        <v>-229.02172540025742</v>
      </c>
      <c r="F1611">
        <f t="shared" si="60"/>
        <v>555.82484029332954</v>
      </c>
    </row>
    <row r="1612" spans="1:6" x14ac:dyDescent="0.25">
      <c r="A1612">
        <v>233.22021221256998</v>
      </c>
      <c r="B1612">
        <v>-39.771129911830513</v>
      </c>
      <c r="C1612">
        <v>750.98182399999996</v>
      </c>
      <c r="E1612">
        <f t="shared" si="59"/>
        <v>-231.98252346278136</v>
      </c>
      <c r="F1612">
        <f t="shared" si="60"/>
        <v>563.86881446650932</v>
      </c>
    </row>
    <row r="1613" spans="1:6" x14ac:dyDescent="0.25">
      <c r="A1613">
        <v>238.80809295926332</v>
      </c>
      <c r="B1613">
        <v>-31.432769546291812</v>
      </c>
      <c r="C1613">
        <v>750.98182399999996</v>
      </c>
      <c r="E1613">
        <f t="shared" si="59"/>
        <v>-234.21105844672692</v>
      </c>
      <c r="F1613">
        <f t="shared" si="60"/>
        <v>570.78930204507583</v>
      </c>
    </row>
    <row r="1614" spans="1:6" x14ac:dyDescent="0.25">
      <c r="A1614">
        <v>242.92843861696988</v>
      </c>
      <c r="B1614">
        <v>-23.118042125291506</v>
      </c>
      <c r="C1614">
        <v>750.98182399999996</v>
      </c>
      <c r="E1614">
        <f t="shared" si="59"/>
        <v>-235.07800068627253</v>
      </c>
      <c r="F1614">
        <f t="shared" si="60"/>
        <v>577.32230868741919</v>
      </c>
    </row>
    <row r="1615" spans="1:6" x14ac:dyDescent="0.25">
      <c r="A1615">
        <v>245.39259708264629</v>
      </c>
      <c r="B1615">
        <v>-15.379775294807514</v>
      </c>
      <c r="C1615">
        <v>750.98182399999996</v>
      </c>
      <c r="E1615">
        <f t="shared" si="59"/>
        <v>-234.60534398054045</v>
      </c>
      <c r="F1615">
        <f t="shared" si="60"/>
        <v>583.05508489630176</v>
      </c>
    </row>
    <row r="1616" spans="1:6" x14ac:dyDescent="0.25">
      <c r="A1616">
        <v>247.37253156485849</v>
      </c>
      <c r="B1616">
        <v>-7.7179631474973851</v>
      </c>
      <c r="C1616">
        <v>750.98182399999996</v>
      </c>
      <c r="E1616">
        <f t="shared" si="59"/>
        <v>-233.70802414984783</v>
      </c>
      <c r="F1616">
        <f t="shared" si="60"/>
        <v>588.61468573880688</v>
      </c>
    </row>
    <row r="1617" spans="1:6" x14ac:dyDescent="0.25">
      <c r="A1617">
        <v>248.94031287077095</v>
      </c>
      <c r="B1617">
        <v>4.7886274500840614E-14</v>
      </c>
      <c r="C1617">
        <v>750.98182399999996</v>
      </c>
      <c r="E1617">
        <f t="shared" si="59"/>
        <v>-232.40580346224107</v>
      </c>
      <c r="F1617">
        <f t="shared" si="60"/>
        <v>594.10691273020427</v>
      </c>
    </row>
    <row r="1618" spans="1:6" x14ac:dyDescent="0.25">
      <c r="A1618">
        <v>247.3725315648586</v>
      </c>
      <c r="B1618">
        <v>7.7179631474974713</v>
      </c>
      <c r="C1618">
        <v>750.98182399999996</v>
      </c>
      <c r="E1618">
        <f t="shared" si="59"/>
        <v>-228.17628289417826</v>
      </c>
      <c r="F1618">
        <f t="shared" si="60"/>
        <v>598.80457433645211</v>
      </c>
    </row>
    <row r="1619" spans="1:6" x14ac:dyDescent="0.25">
      <c r="A1619">
        <v>245.3925970826464</v>
      </c>
      <c r="B1619">
        <v>15.379775294807525</v>
      </c>
      <c r="C1619">
        <v>750.98182399999996</v>
      </c>
      <c r="E1619">
        <f t="shared" si="59"/>
        <v>-223.58210690680528</v>
      </c>
      <c r="F1619">
        <f t="shared" si="60"/>
        <v>603.36072693110725</v>
      </c>
    </row>
    <row r="1620" spans="1:6" x14ac:dyDescent="0.25">
      <c r="A1620">
        <v>242.92843861696971</v>
      </c>
      <c r="B1620">
        <v>23.118042125291527</v>
      </c>
      <c r="C1620">
        <v>750.98182399999996</v>
      </c>
      <c r="E1620">
        <f t="shared" ref="E1620:E1683" si="61">($I$2*A1620)+($K$2*B1620)+($M$2*C1620)</f>
        <v>-218.50846997838721</v>
      </c>
      <c r="F1620">
        <f t="shared" ref="F1620:F1683" si="62">($J$2*A1620)+($L$2*B1620)+($N$2*C1620)</f>
        <v>607.84464590909556</v>
      </c>
    </row>
    <row r="1621" spans="1:6" x14ac:dyDescent="0.25">
      <c r="A1621">
        <v>238.80809295926321</v>
      </c>
      <c r="B1621">
        <v>31.43276954629183</v>
      </c>
      <c r="C1621">
        <v>750.98182399999996</v>
      </c>
      <c r="E1621">
        <f t="shared" si="61"/>
        <v>-211.68206410505769</v>
      </c>
      <c r="F1621">
        <f t="shared" si="62"/>
        <v>612.28942505305133</v>
      </c>
    </row>
    <row r="1622" spans="1:6" x14ac:dyDescent="0.25">
      <c r="A1622">
        <v>233.22021221256992</v>
      </c>
      <c r="B1622">
        <v>39.771129911830577</v>
      </c>
      <c r="C1622">
        <v>750.98182399999996</v>
      </c>
      <c r="E1622">
        <f t="shared" si="61"/>
        <v>-203.47712690757635</v>
      </c>
      <c r="F1622">
        <f t="shared" si="62"/>
        <v>616.37792541444549</v>
      </c>
    </row>
    <row r="1623" spans="1:6" x14ac:dyDescent="0.25">
      <c r="A1623">
        <v>226.37931207947173</v>
      </c>
      <c r="B1623">
        <v>49.330389900636604</v>
      </c>
      <c r="C1623">
        <v>750.98182399999996</v>
      </c>
      <c r="E1623">
        <f t="shared" si="61"/>
        <v>-193.66486404233495</v>
      </c>
      <c r="F1623">
        <f t="shared" si="62"/>
        <v>620.9548711005998</v>
      </c>
    </row>
    <row r="1624" spans="1:6" x14ac:dyDescent="0.25">
      <c r="A1624">
        <v>217.50165092280108</v>
      </c>
      <c r="B1624">
        <v>59.65085222860138</v>
      </c>
      <c r="C1624">
        <v>750.98182399999996</v>
      </c>
      <c r="E1624">
        <f t="shared" si="61"/>
        <v>-181.67833043056044</v>
      </c>
      <c r="F1624">
        <f t="shared" si="62"/>
        <v>625.51819347850608</v>
      </c>
    </row>
    <row r="1625" spans="1:6" x14ac:dyDescent="0.25">
      <c r="A1625">
        <v>206.84058720609309</v>
      </c>
      <c r="B1625">
        <v>70.280050016996114</v>
      </c>
      <c r="C1625">
        <v>750.98182399999996</v>
      </c>
      <c r="E1625">
        <f t="shared" si="61"/>
        <v>-167.91620620226391</v>
      </c>
      <c r="F1625">
        <f t="shared" si="62"/>
        <v>629.83340273886972</v>
      </c>
    </row>
    <row r="1626" spans="1:6" x14ac:dyDescent="0.25">
      <c r="A1626">
        <v>194.4552118839587</v>
      </c>
      <c r="B1626">
        <v>81.450188047233198</v>
      </c>
      <c r="C1626">
        <v>750.98182399999996</v>
      </c>
      <c r="E1626">
        <f t="shared" si="61"/>
        <v>-152.35044276466374</v>
      </c>
      <c r="F1626">
        <f t="shared" si="62"/>
        <v>634.06876069831969</v>
      </c>
    </row>
    <row r="1627" spans="1:6" x14ac:dyDescent="0.25">
      <c r="A1627">
        <v>181.48151482773207</v>
      </c>
      <c r="B1627">
        <v>91.793960836912248</v>
      </c>
      <c r="C1627">
        <v>750.98182399999996</v>
      </c>
      <c r="E1627">
        <f t="shared" si="61"/>
        <v>-136.53157648846641</v>
      </c>
      <c r="F1627">
        <f t="shared" si="62"/>
        <v>637.60951771956786</v>
      </c>
    </row>
    <row r="1628" spans="1:6" x14ac:dyDescent="0.25">
      <c r="A1628">
        <v>167.40042646174285</v>
      </c>
      <c r="B1628">
        <v>101.7667665185505</v>
      </c>
      <c r="C1628">
        <v>750.98182399999996</v>
      </c>
      <c r="E1628">
        <f t="shared" si="61"/>
        <v>-119.81181408285903</v>
      </c>
      <c r="F1628">
        <f t="shared" si="62"/>
        <v>640.62476628598415</v>
      </c>
    </row>
    <row r="1629" spans="1:6" x14ac:dyDescent="0.25">
      <c r="A1629">
        <v>151.46444653347169</v>
      </c>
      <c r="B1629">
        <v>111.77504369162681</v>
      </c>
      <c r="C1629">
        <v>750.98182399999996</v>
      </c>
      <c r="E1629">
        <f t="shared" si="61"/>
        <v>-101.34764937577637</v>
      </c>
      <c r="F1629">
        <f t="shared" si="62"/>
        <v>643.19339334310098</v>
      </c>
    </row>
    <row r="1630" spans="1:6" x14ac:dyDescent="0.25">
      <c r="A1630">
        <v>132.45287848047968</v>
      </c>
      <c r="B1630">
        <v>122.25048892502809</v>
      </c>
      <c r="C1630">
        <v>750.98182399999996</v>
      </c>
      <c r="E1630">
        <f t="shared" si="61"/>
        <v>-79.844757735615417</v>
      </c>
      <c r="F1630">
        <f t="shared" si="62"/>
        <v>645.29104962846236</v>
      </c>
    </row>
    <row r="1631" spans="1:6" x14ac:dyDescent="0.25">
      <c r="A1631">
        <v>109.82277212916993</v>
      </c>
      <c r="B1631">
        <v>133.03211372558695</v>
      </c>
      <c r="C1631">
        <v>750.98182399999996</v>
      </c>
      <c r="E1631">
        <f t="shared" si="61"/>
        <v>-54.853944623939583</v>
      </c>
      <c r="F1631">
        <f t="shared" si="62"/>
        <v>646.67387406216812</v>
      </c>
    </row>
    <row r="1632" spans="1:6" x14ac:dyDescent="0.25">
      <c r="A1632">
        <v>82.128880179064396</v>
      </c>
      <c r="B1632">
        <v>144.1449388518368</v>
      </c>
      <c r="C1632">
        <v>750.98182399999996</v>
      </c>
      <c r="E1632">
        <f t="shared" si="61"/>
        <v>-25.016988811642982</v>
      </c>
      <c r="F1632">
        <f t="shared" si="62"/>
        <v>646.99215183848173</v>
      </c>
    </row>
    <row r="1633" spans="1:6" x14ac:dyDescent="0.25">
      <c r="A1633">
        <v>54.303613291687043</v>
      </c>
      <c r="B1633">
        <v>153.25663614268549</v>
      </c>
      <c r="C1633">
        <v>750.98182399999996</v>
      </c>
      <c r="E1633">
        <f t="shared" si="61"/>
        <v>4.2254759914721518</v>
      </c>
      <c r="F1633">
        <f t="shared" si="62"/>
        <v>645.95611199551945</v>
      </c>
    </row>
    <row r="1634" spans="1:6" x14ac:dyDescent="0.25">
      <c r="A1634">
        <v>27.041471352206909</v>
      </c>
      <c r="B1634">
        <v>160.46317306984963</v>
      </c>
      <c r="C1634">
        <v>750.98182399999996</v>
      </c>
      <c r="E1634">
        <f t="shared" si="61"/>
        <v>32.259469952469559</v>
      </c>
      <c r="F1634">
        <f t="shared" si="62"/>
        <v>643.80509593262002</v>
      </c>
    </row>
    <row r="1635" spans="1:6" x14ac:dyDescent="0.25">
      <c r="A1635">
        <v>6.5506465663541656E-14</v>
      </c>
      <c r="B1635">
        <v>162.98011917806323</v>
      </c>
      <c r="C1635">
        <v>750.98182399999996</v>
      </c>
      <c r="E1635">
        <f t="shared" si="61"/>
        <v>58.406851126491219</v>
      </c>
      <c r="F1635">
        <f t="shared" si="62"/>
        <v>638.61420736011655</v>
      </c>
    </row>
    <row r="1636" spans="1:6" x14ac:dyDescent="0.25">
      <c r="A1636">
        <v>-27.04147135220698</v>
      </c>
      <c r="B1636">
        <v>160.46317306984963</v>
      </c>
      <c r="C1636">
        <v>750.98182399999996</v>
      </c>
      <c r="E1636">
        <f t="shared" si="61"/>
        <v>82.750246668679992</v>
      </c>
      <c r="F1636">
        <f t="shared" si="62"/>
        <v>630.10023989246588</v>
      </c>
    </row>
    <row r="1637" spans="1:6" x14ac:dyDescent="0.25">
      <c r="A1637">
        <v>-54.303613291686986</v>
      </c>
      <c r="B1637">
        <v>153.25663614268555</v>
      </c>
      <c r="C1637">
        <v>750.98182399999996</v>
      </c>
      <c r="E1637">
        <f t="shared" si="61"/>
        <v>105.61905690585671</v>
      </c>
      <c r="F1637">
        <f t="shared" si="62"/>
        <v>618.4345621164656</v>
      </c>
    </row>
    <row r="1638" spans="1:6" x14ac:dyDescent="0.25">
      <c r="A1638">
        <v>-82.128880179064367</v>
      </c>
      <c r="B1638">
        <v>144.14493885183686</v>
      </c>
      <c r="C1638">
        <v>750.98182399999996</v>
      </c>
      <c r="E1638">
        <f t="shared" si="61"/>
        <v>128.33084115897404</v>
      </c>
      <c r="F1638">
        <f t="shared" si="62"/>
        <v>605.36851143323133</v>
      </c>
    </row>
    <row r="1639" spans="1:6" x14ac:dyDescent="0.25">
      <c r="A1639">
        <v>-109.82277212916956</v>
      </c>
      <c r="B1639">
        <v>133.03211372558718</v>
      </c>
      <c r="C1639">
        <v>750.98182399999996</v>
      </c>
      <c r="E1639">
        <f t="shared" si="61"/>
        <v>150.20283626297109</v>
      </c>
      <c r="F1639">
        <f t="shared" si="62"/>
        <v>591.01472510694384</v>
      </c>
    </row>
    <row r="1640" spans="1:6" x14ac:dyDescent="0.25">
      <c r="A1640">
        <v>-132.45287848047946</v>
      </c>
      <c r="B1640">
        <v>122.25048892502824</v>
      </c>
      <c r="C1640">
        <v>750.98182399999996</v>
      </c>
      <c r="E1640">
        <f t="shared" si="61"/>
        <v>167.46607182956095</v>
      </c>
      <c r="F1640">
        <f t="shared" si="62"/>
        <v>578.16276329981008</v>
      </c>
    </row>
    <row r="1641" spans="1:6" x14ac:dyDescent="0.25">
      <c r="A1641">
        <v>-151.46444653347163</v>
      </c>
      <c r="B1641">
        <v>111.77504369162686</v>
      </c>
      <c r="C1641">
        <v>750.98182399999996</v>
      </c>
      <c r="E1641">
        <f t="shared" si="61"/>
        <v>181.46083581198582</v>
      </c>
      <c r="F1641">
        <f t="shared" si="62"/>
        <v>566.42987674645565</v>
      </c>
    </row>
    <row r="1642" spans="1:6" x14ac:dyDescent="0.25">
      <c r="A1642">
        <v>-167.40042646174277</v>
      </c>
      <c r="B1642">
        <v>101.76676651855043</v>
      </c>
      <c r="C1642">
        <v>750.98182399999996</v>
      </c>
      <c r="E1642">
        <f t="shared" si="61"/>
        <v>192.75170898107561</v>
      </c>
      <c r="F1642">
        <f t="shared" si="62"/>
        <v>555.78475459293122</v>
      </c>
    </row>
    <row r="1643" spans="1:6" x14ac:dyDescent="0.25">
      <c r="A1643">
        <v>-181.48151482773207</v>
      </c>
      <c r="B1643">
        <v>91.793960836912319</v>
      </c>
      <c r="C1643">
        <v>750.98182399999996</v>
      </c>
      <c r="E1643">
        <f t="shared" si="61"/>
        <v>202.32360353999829</v>
      </c>
      <c r="F1643">
        <f t="shared" si="62"/>
        <v>545.63308632393773</v>
      </c>
    </row>
    <row r="1644" spans="1:6" x14ac:dyDescent="0.25">
      <c r="A1644">
        <v>-194.45521188395853</v>
      </c>
      <c r="B1644">
        <v>81.450188047233198</v>
      </c>
      <c r="C1644">
        <v>750.98182399999996</v>
      </c>
      <c r="E1644">
        <f t="shared" si="61"/>
        <v>210.7287165257959</v>
      </c>
      <c r="F1644">
        <f t="shared" si="62"/>
        <v>535.51714527707463</v>
      </c>
    </row>
    <row r="1645" spans="1:6" x14ac:dyDescent="0.25">
      <c r="A1645">
        <v>-206.84058720609303</v>
      </c>
      <c r="B1645">
        <v>70.280050016996086</v>
      </c>
      <c r="C1645">
        <v>750.98182399999996</v>
      </c>
      <c r="E1645">
        <f t="shared" si="61"/>
        <v>218.28844103932809</v>
      </c>
      <c r="F1645">
        <f t="shared" si="62"/>
        <v>525.00476993264874</v>
      </c>
    </row>
    <row r="1646" spans="1:6" x14ac:dyDescent="0.25">
      <c r="A1646">
        <v>-217.50165092280102</v>
      </c>
      <c r="B1646">
        <v>59.650852228601472</v>
      </c>
      <c r="C1646">
        <v>750.98182399999996</v>
      </c>
      <c r="E1646">
        <f t="shared" si="61"/>
        <v>224.43223763414778</v>
      </c>
      <c r="F1646">
        <f t="shared" si="62"/>
        <v>515.28643960799923</v>
      </c>
    </row>
    <row r="1647" spans="1:6" x14ac:dyDescent="0.25">
      <c r="A1647">
        <v>-226.37931207947159</v>
      </c>
      <c r="B1647">
        <v>49.330389900636717</v>
      </c>
      <c r="C1647">
        <v>750.98182399999996</v>
      </c>
      <c r="E1647">
        <f t="shared" si="61"/>
        <v>229.02172540025768</v>
      </c>
      <c r="F1647">
        <f t="shared" si="62"/>
        <v>506.22384030315504</v>
      </c>
    </row>
    <row r="1648" spans="1:6" x14ac:dyDescent="0.25">
      <c r="A1648">
        <v>-233.22021221256992</v>
      </c>
      <c r="B1648">
        <v>39.771129911830627</v>
      </c>
      <c r="C1648">
        <v>750.98182399999996</v>
      </c>
      <c r="E1648">
        <f t="shared" si="61"/>
        <v>231.9825234627815</v>
      </c>
      <c r="F1648">
        <f t="shared" si="62"/>
        <v>498.17986612997515</v>
      </c>
    </row>
    <row r="1649" spans="1:6" x14ac:dyDescent="0.25">
      <c r="A1649">
        <v>-238.80809295926332</v>
      </c>
      <c r="B1649">
        <v>31.432769546291965</v>
      </c>
      <c r="C1649">
        <v>750.98182399999996</v>
      </c>
      <c r="E1649">
        <f t="shared" si="61"/>
        <v>234.21105844672715</v>
      </c>
      <c r="F1649">
        <f t="shared" si="62"/>
        <v>491.25937855140882</v>
      </c>
    </row>
    <row r="1650" spans="1:6" x14ac:dyDescent="0.25">
      <c r="A1650">
        <v>-242.92843861696977</v>
      </c>
      <c r="B1650">
        <v>23.118042125291534</v>
      </c>
      <c r="C1650">
        <v>750.98182399999996</v>
      </c>
      <c r="E1650">
        <f t="shared" si="61"/>
        <v>235.07800068627265</v>
      </c>
      <c r="F1650">
        <f t="shared" si="62"/>
        <v>484.72637190906528</v>
      </c>
    </row>
    <row r="1651" spans="1:6" x14ac:dyDescent="0.25">
      <c r="A1651">
        <v>-245.39259708264618</v>
      </c>
      <c r="B1651">
        <v>15.379775294807551</v>
      </c>
      <c r="C1651">
        <v>750.98182399999996</v>
      </c>
      <c r="E1651">
        <f t="shared" si="61"/>
        <v>234.60534398054054</v>
      </c>
      <c r="F1651">
        <f t="shared" si="62"/>
        <v>478.99359570018271</v>
      </c>
    </row>
    <row r="1652" spans="1:6" x14ac:dyDescent="0.25">
      <c r="A1652">
        <v>-224.2123405979855</v>
      </c>
      <c r="B1652">
        <v>2.8560863618125489E-14</v>
      </c>
      <c r="C1652">
        <v>804.46281599999998</v>
      </c>
      <c r="E1652">
        <f t="shared" si="61"/>
        <v>209.32025256140327</v>
      </c>
      <c r="F1652">
        <f t="shared" si="62"/>
        <v>512.02471713116938</v>
      </c>
    </row>
    <row r="1653" spans="1:6" x14ac:dyDescent="0.25">
      <c r="A1653">
        <v>-222.64363132030979</v>
      </c>
      <c r="B1653">
        <v>-7.5882899830435786</v>
      </c>
      <c r="C1653">
        <v>804.46281599999998</v>
      </c>
      <c r="E1653">
        <f t="shared" si="61"/>
        <v>205.13633636312218</v>
      </c>
      <c r="F1653">
        <f t="shared" si="62"/>
        <v>507.41289325604214</v>
      </c>
    </row>
    <row r="1654" spans="1:6" x14ac:dyDescent="0.25">
      <c r="A1654">
        <v>-220.65547594323093</v>
      </c>
      <c r="B1654">
        <v>-15.135761643351278</v>
      </c>
      <c r="C1654">
        <v>804.46281599999998</v>
      </c>
      <c r="E1654">
        <f t="shared" si="61"/>
        <v>200.57546147509044</v>
      </c>
      <c r="F1654">
        <f t="shared" si="62"/>
        <v>502.93430472156632</v>
      </c>
    </row>
    <row r="1655" spans="1:6" x14ac:dyDescent="0.25">
      <c r="A1655">
        <v>-218.17661669032628</v>
      </c>
      <c r="B1655">
        <v>-22.771680649339103</v>
      </c>
      <c r="C1655">
        <v>804.46281599999998</v>
      </c>
      <c r="E1655">
        <f t="shared" si="61"/>
        <v>195.52477835946735</v>
      </c>
      <c r="F1655">
        <f t="shared" si="62"/>
        <v>498.521674988217</v>
      </c>
    </row>
    <row r="1656" spans="1:6" x14ac:dyDescent="0.25">
      <c r="A1656">
        <v>-214.93793448930626</v>
      </c>
      <c r="B1656">
        <v>-30.683112766774553</v>
      </c>
      <c r="C1656">
        <v>804.46281599999998</v>
      </c>
      <c r="E1656">
        <f t="shared" si="61"/>
        <v>189.66600434305801</v>
      </c>
      <c r="F1656">
        <f t="shared" si="62"/>
        <v>494.11971022389645</v>
      </c>
    </row>
    <row r="1657" spans="1:6" x14ac:dyDescent="0.25">
      <c r="A1657">
        <v>-208.98966614945422</v>
      </c>
      <c r="B1657">
        <v>-39.592939381466891</v>
      </c>
      <c r="C1657">
        <v>804.46281599999998</v>
      </c>
      <c r="E1657">
        <f t="shared" si="61"/>
        <v>180.91982115470771</v>
      </c>
      <c r="F1657">
        <f t="shared" si="62"/>
        <v>489.74528533697787</v>
      </c>
    </row>
    <row r="1658" spans="1:6" x14ac:dyDescent="0.25">
      <c r="A1658">
        <v>-202.49272434682314</v>
      </c>
      <c r="B1658">
        <v>-48.310301311268262</v>
      </c>
      <c r="C1658">
        <v>804.46281599999998</v>
      </c>
      <c r="E1658">
        <f t="shared" si="61"/>
        <v>171.73038033545271</v>
      </c>
      <c r="F1658">
        <f t="shared" si="62"/>
        <v>485.63695056292801</v>
      </c>
    </row>
    <row r="1659" spans="1:6" x14ac:dyDescent="0.25">
      <c r="A1659">
        <v>-194.20213569124311</v>
      </c>
      <c r="B1659">
        <v>-58.532551792977408</v>
      </c>
      <c r="C1659">
        <v>804.46281599999998</v>
      </c>
      <c r="E1659">
        <f t="shared" si="61"/>
        <v>160.32712209759487</v>
      </c>
      <c r="F1659">
        <f t="shared" si="62"/>
        <v>480.98969509719541</v>
      </c>
    </row>
    <row r="1660" spans="1:6" x14ac:dyDescent="0.25">
      <c r="A1660">
        <v>-184.56221818942035</v>
      </c>
      <c r="B1660">
        <v>-67.694941095502884</v>
      </c>
      <c r="C1660">
        <v>804.46281599999998</v>
      </c>
      <c r="E1660">
        <f t="shared" si="61"/>
        <v>148.04397713756347</v>
      </c>
      <c r="F1660">
        <f t="shared" si="62"/>
        <v>477.38402338003664</v>
      </c>
    </row>
    <row r="1661" spans="1:6" x14ac:dyDescent="0.25">
      <c r="A1661">
        <v>-174.27379049786836</v>
      </c>
      <c r="B1661">
        <v>-76.507398053951775</v>
      </c>
      <c r="C1661">
        <v>804.46281599999998</v>
      </c>
      <c r="E1661">
        <f t="shared" si="61"/>
        <v>135.2808002946432</v>
      </c>
      <c r="F1661">
        <f t="shared" si="62"/>
        <v>474.17369170829681</v>
      </c>
    </row>
    <row r="1662" spans="1:6" x14ac:dyDescent="0.25">
      <c r="A1662">
        <v>-163.55403583796749</v>
      </c>
      <c r="B1662">
        <v>-84.755713814793154</v>
      </c>
      <c r="C1662">
        <v>804.46281599999998</v>
      </c>
      <c r="E1662">
        <f t="shared" si="61"/>
        <v>122.31711516089271</v>
      </c>
      <c r="F1662">
        <f t="shared" si="62"/>
        <v>471.44507295405623</v>
      </c>
    </row>
    <row r="1663" spans="1:6" x14ac:dyDescent="0.25">
      <c r="A1663">
        <v>-152.00127780358156</v>
      </c>
      <c r="B1663">
        <v>-92.792885913311622</v>
      </c>
      <c r="C1663">
        <v>804.46281599999998</v>
      </c>
      <c r="E1663">
        <f t="shared" si="61"/>
        <v>108.65142150284296</v>
      </c>
      <c r="F1663">
        <f t="shared" si="62"/>
        <v>469.06692552521474</v>
      </c>
    </row>
    <row r="1664" spans="1:6" x14ac:dyDescent="0.25">
      <c r="A1664">
        <v>-139.04482557334748</v>
      </c>
      <c r="B1664">
        <v>-100.94044975132526</v>
      </c>
      <c r="C1664">
        <v>804.46281599999998</v>
      </c>
      <c r="E1664">
        <f t="shared" si="61"/>
        <v>93.635705557432004</v>
      </c>
      <c r="F1664">
        <f t="shared" si="62"/>
        <v>466.9716062732179</v>
      </c>
    </row>
    <row r="1665" spans="1:6" x14ac:dyDescent="0.25">
      <c r="A1665">
        <v>-124.71617528429054</v>
      </c>
      <c r="B1665">
        <v>-109.10718242751443</v>
      </c>
      <c r="C1665">
        <v>804.46281599999998</v>
      </c>
      <c r="E1665">
        <f t="shared" si="61"/>
        <v>77.33206286579447</v>
      </c>
      <c r="F1665">
        <f t="shared" si="62"/>
        <v>465.2113539200252</v>
      </c>
    </row>
    <row r="1666" spans="1:6" x14ac:dyDescent="0.25">
      <c r="A1666">
        <v>-105.55814408734916</v>
      </c>
      <c r="B1666">
        <v>-118.56173821651559</v>
      </c>
      <c r="C1666">
        <v>804.46281599999998</v>
      </c>
      <c r="E1666">
        <f t="shared" si="61"/>
        <v>56.058290158141254</v>
      </c>
      <c r="F1666">
        <f t="shared" si="62"/>
        <v>463.82474307097209</v>
      </c>
    </row>
    <row r="1667" spans="1:6" x14ac:dyDescent="0.25">
      <c r="A1667">
        <v>-79.777048059734085</v>
      </c>
      <c r="B1667">
        <v>-129.07111167742369</v>
      </c>
      <c r="C1667">
        <v>804.46281599999998</v>
      </c>
      <c r="E1667">
        <f t="shared" si="61"/>
        <v>28.223340914923625</v>
      </c>
      <c r="F1667">
        <f t="shared" si="62"/>
        <v>463.42011759386537</v>
      </c>
    </row>
    <row r="1668" spans="1:6" x14ac:dyDescent="0.25">
      <c r="A1668">
        <v>-52.628930683203968</v>
      </c>
      <c r="B1668">
        <v>-137.89128182141337</v>
      </c>
      <c r="C1668">
        <v>804.46281599999998</v>
      </c>
      <c r="E1668">
        <f t="shared" si="61"/>
        <v>-0.28247637319572144</v>
      </c>
      <c r="F1668">
        <f t="shared" si="62"/>
        <v>464.47701380332495</v>
      </c>
    </row>
    <row r="1669" spans="1:6" x14ac:dyDescent="0.25">
      <c r="A1669">
        <v>-25.971518835488677</v>
      </c>
      <c r="B1669">
        <v>-144.74559207720375</v>
      </c>
      <c r="C1669">
        <v>804.46281599999998</v>
      </c>
      <c r="E1669">
        <f t="shared" si="61"/>
        <v>-27.625679407212242</v>
      </c>
      <c r="F1669">
        <f t="shared" si="62"/>
        <v>466.70730788055943</v>
      </c>
    </row>
    <row r="1670" spans="1:6" x14ac:dyDescent="0.25">
      <c r="A1670">
        <v>7.1562080006098038E-14</v>
      </c>
      <c r="B1670">
        <v>-146.66640543105908</v>
      </c>
      <c r="C1670">
        <v>804.46281599999998</v>
      </c>
      <c r="E1670">
        <f t="shared" si="61"/>
        <v>-52.560538981508294</v>
      </c>
      <c r="F1670">
        <f t="shared" si="62"/>
        <v>472.02059747235808</v>
      </c>
    </row>
    <row r="1671" spans="1:6" x14ac:dyDescent="0.25">
      <c r="A1671">
        <v>25.971518835488503</v>
      </c>
      <c r="B1671">
        <v>-144.74559207720375</v>
      </c>
      <c r="C1671">
        <v>804.46281599999998</v>
      </c>
      <c r="E1671">
        <f t="shared" si="61"/>
        <v>-76.118682669643334</v>
      </c>
      <c r="F1671">
        <f t="shared" si="62"/>
        <v>479.86990255407272</v>
      </c>
    </row>
    <row r="1672" spans="1:6" x14ac:dyDescent="0.25">
      <c r="A1672">
        <v>52.628930683204054</v>
      </c>
      <c r="B1672">
        <v>-137.89128182141332</v>
      </c>
      <c r="C1672">
        <v>804.46281599999998</v>
      </c>
      <c r="E1672">
        <f t="shared" si="61"/>
        <v>-98.549155479830233</v>
      </c>
      <c r="F1672">
        <f t="shared" si="62"/>
        <v>491.14981977479795</v>
      </c>
    </row>
    <row r="1673" spans="1:6" x14ac:dyDescent="0.25">
      <c r="A1673">
        <v>79.77704805973417</v>
      </c>
      <c r="B1673">
        <v>-129.07111167742374</v>
      </c>
      <c r="C1673">
        <v>804.46281599999998</v>
      </c>
      <c r="E1673">
        <f t="shared" si="61"/>
        <v>-120.7332401896651</v>
      </c>
      <c r="F1673">
        <f t="shared" si="62"/>
        <v>503.85182875065789</v>
      </c>
    </row>
    <row r="1674" spans="1:6" x14ac:dyDescent="0.25">
      <c r="A1674">
        <v>105.55814408734912</v>
      </c>
      <c r="B1674">
        <v>-118.56173821651549</v>
      </c>
      <c r="C1674">
        <v>804.46281599999998</v>
      </c>
      <c r="E1674">
        <f t="shared" si="61"/>
        <v>-141.03574419649971</v>
      </c>
      <c r="F1674">
        <f t="shared" si="62"/>
        <v>517.32254094375321</v>
      </c>
    </row>
    <row r="1675" spans="1:6" x14ac:dyDescent="0.25">
      <c r="A1675">
        <v>124.71617528429046</v>
      </c>
      <c r="B1675">
        <v>-109.10718242751436</v>
      </c>
      <c r="C1675">
        <v>804.46281599999998</v>
      </c>
      <c r="E1675">
        <f t="shared" si="61"/>
        <v>-155.53309736022092</v>
      </c>
      <c r="F1675">
        <f t="shared" si="62"/>
        <v>528.41861087316181</v>
      </c>
    </row>
    <row r="1676" spans="1:6" x14ac:dyDescent="0.25">
      <c r="A1676">
        <v>139.04482557334748</v>
      </c>
      <c r="B1676">
        <v>-100.9404497513253</v>
      </c>
      <c r="C1676">
        <v>804.46281599999998</v>
      </c>
      <c r="E1676">
        <f t="shared" si="61"/>
        <v>-165.98334956455753</v>
      </c>
      <c r="F1676">
        <f t="shared" si="62"/>
        <v>537.44074949369372</v>
      </c>
    </row>
    <row r="1677" spans="1:6" x14ac:dyDescent="0.25">
      <c r="A1677">
        <v>152.00127780358162</v>
      </c>
      <c r="B1677">
        <v>-92.79288591331165</v>
      </c>
      <c r="C1677">
        <v>804.46281599999998</v>
      </c>
      <c r="E1677">
        <f t="shared" si="61"/>
        <v>-175.15941401713175</v>
      </c>
      <c r="F1677">
        <f t="shared" si="62"/>
        <v>546.10251294148691</v>
      </c>
    </row>
    <row r="1678" spans="1:6" x14ac:dyDescent="0.25">
      <c r="A1678">
        <v>163.55403583796763</v>
      </c>
      <c r="B1678">
        <v>-84.755713814793111</v>
      </c>
      <c r="C1678">
        <v>804.46281599999998</v>
      </c>
      <c r="E1678">
        <f t="shared" si="61"/>
        <v>-183.06457790500403</v>
      </c>
      <c r="F1678">
        <f t="shared" si="62"/>
        <v>554.33569997471272</v>
      </c>
    </row>
    <row r="1679" spans="1:6" x14ac:dyDescent="0.25">
      <c r="A1679">
        <v>174.2737904978685</v>
      </c>
      <c r="B1679">
        <v>-76.507398053951746</v>
      </c>
      <c r="C1679">
        <v>804.46281599999998</v>
      </c>
      <c r="E1679">
        <f t="shared" si="61"/>
        <v>-190.11639902592475</v>
      </c>
      <c r="F1679">
        <f t="shared" si="62"/>
        <v>562.49718488058454</v>
      </c>
    </row>
    <row r="1680" spans="1:6" x14ac:dyDescent="0.25">
      <c r="A1680">
        <v>184.56221818942032</v>
      </c>
      <c r="B1680">
        <v>-67.694941095502926</v>
      </c>
      <c r="C1680">
        <v>804.46281599999998</v>
      </c>
      <c r="E1680">
        <f t="shared" si="61"/>
        <v>-196.56337160753381</v>
      </c>
      <c r="F1680">
        <f t="shared" si="62"/>
        <v>570.92178239443592</v>
      </c>
    </row>
    <row r="1681" spans="1:6" x14ac:dyDescent="0.25">
      <c r="A1681">
        <v>194.20213569124303</v>
      </c>
      <c r="B1681">
        <v>-58.532551792977394</v>
      </c>
      <c r="C1681">
        <v>804.46281599999998</v>
      </c>
      <c r="E1681">
        <f t="shared" si="61"/>
        <v>-202.27950323300141</v>
      </c>
      <c r="F1681">
        <f t="shared" si="62"/>
        <v>579.41304927321528</v>
      </c>
    </row>
    <row r="1682" spans="1:6" x14ac:dyDescent="0.25">
      <c r="A1682">
        <v>202.49272434682297</v>
      </c>
      <c r="B1682">
        <v>-48.310301311268212</v>
      </c>
      <c r="C1682">
        <v>804.46281599999998</v>
      </c>
      <c r="E1682">
        <f t="shared" si="61"/>
        <v>-206.35610758112202</v>
      </c>
      <c r="F1682">
        <f t="shared" si="62"/>
        <v>588.2620481475434</v>
      </c>
    </row>
    <row r="1683" spans="1:6" x14ac:dyDescent="0.25">
      <c r="A1683">
        <v>208.98966614945425</v>
      </c>
      <c r="B1683">
        <v>-39.592939381466849</v>
      </c>
      <c r="C1683">
        <v>804.46281599999998</v>
      </c>
      <c r="E1683">
        <f t="shared" si="61"/>
        <v>-209.29750215992286</v>
      </c>
      <c r="F1683">
        <f t="shared" si="62"/>
        <v>595.66309029489435</v>
      </c>
    </row>
    <row r="1684" spans="1:6" x14ac:dyDescent="0.25">
      <c r="A1684">
        <v>214.9379344893062</v>
      </c>
      <c r="B1684">
        <v>-30.683112766774546</v>
      </c>
      <c r="C1684">
        <v>804.46281599999998</v>
      </c>
      <c r="E1684">
        <f t="shared" ref="E1684:E1747" si="63">($I$2*A1684)+($K$2*B1684)+($M$2*C1684)</f>
        <v>-211.65769275885023</v>
      </c>
      <c r="F1684">
        <f t="shared" ref="F1684:F1747" si="64">($J$2*A1684)+($L$2*B1684)+($N$2*C1684)</f>
        <v>603.05215000785847</v>
      </c>
    </row>
    <row r="1685" spans="1:6" x14ac:dyDescent="0.25">
      <c r="A1685">
        <v>218.17661669032637</v>
      </c>
      <c r="B1685">
        <v>-22.771680649339118</v>
      </c>
      <c r="C1685">
        <v>804.46281599999998</v>
      </c>
      <c r="E1685">
        <f t="shared" si="63"/>
        <v>-211.84605936347535</v>
      </c>
      <c r="F1685">
        <f t="shared" si="64"/>
        <v>609.09550745923661</v>
      </c>
    </row>
    <row r="1686" spans="1:6" x14ac:dyDescent="0.25">
      <c r="A1686">
        <v>220.65547594323118</v>
      </c>
      <c r="B1686">
        <v>-15.135761643351307</v>
      </c>
      <c r="C1686">
        <v>804.46281599999998</v>
      </c>
      <c r="E1686">
        <f t="shared" si="63"/>
        <v>-211.42380520495894</v>
      </c>
      <c r="F1686">
        <f t="shared" si="64"/>
        <v>614.76444491202847</v>
      </c>
    </row>
    <row r="1687" spans="1:6" x14ac:dyDescent="0.25">
      <c r="A1687">
        <v>222.64363132030971</v>
      </c>
      <c r="B1687">
        <v>-7.5882899830435866</v>
      </c>
      <c r="C1687">
        <v>804.46281599999998</v>
      </c>
      <c r="E1687">
        <f t="shared" si="63"/>
        <v>-210.57513620667885</v>
      </c>
      <c r="F1687">
        <f t="shared" si="64"/>
        <v>620.25064811633615</v>
      </c>
    </row>
    <row r="1688" spans="1:6" x14ac:dyDescent="0.25">
      <c r="A1688">
        <v>224.2123405979857</v>
      </c>
      <c r="B1688">
        <v>4.8765644559168236E-14</v>
      </c>
      <c r="C1688">
        <v>804.46281599999998</v>
      </c>
      <c r="E1688">
        <f t="shared" si="63"/>
        <v>-209.32025256140324</v>
      </c>
      <c r="F1688">
        <f t="shared" si="64"/>
        <v>625.6575076808823</v>
      </c>
    </row>
    <row r="1689" spans="1:6" x14ac:dyDescent="0.25">
      <c r="A1689">
        <v>222.64363132030979</v>
      </c>
      <c r="B1689">
        <v>7.5882899830435955</v>
      </c>
      <c r="C1689">
        <v>804.46281599999998</v>
      </c>
      <c r="E1689">
        <f t="shared" si="63"/>
        <v>-205.13633636312201</v>
      </c>
      <c r="F1689">
        <f t="shared" si="64"/>
        <v>630.26933155600943</v>
      </c>
    </row>
    <row r="1690" spans="1:6" x14ac:dyDescent="0.25">
      <c r="A1690">
        <v>220.6554759432311</v>
      </c>
      <c r="B1690">
        <v>15.135761643351335</v>
      </c>
      <c r="C1690">
        <v>804.46281599999998</v>
      </c>
      <c r="E1690">
        <f t="shared" si="63"/>
        <v>-200.57546147509044</v>
      </c>
      <c r="F1690">
        <f t="shared" si="64"/>
        <v>634.74792009048531</v>
      </c>
    </row>
    <row r="1691" spans="1:6" x14ac:dyDescent="0.25">
      <c r="A1691">
        <v>218.17661669032617</v>
      </c>
      <c r="B1691">
        <v>22.7716806493391</v>
      </c>
      <c r="C1691">
        <v>804.46281599999998</v>
      </c>
      <c r="E1691">
        <f t="shared" si="63"/>
        <v>-195.52477835946709</v>
      </c>
      <c r="F1691">
        <f t="shared" si="64"/>
        <v>639.16054982383457</v>
      </c>
    </row>
    <row r="1692" spans="1:6" x14ac:dyDescent="0.25">
      <c r="A1692">
        <v>214.9379344893062</v>
      </c>
      <c r="B1692">
        <v>30.683112766774563</v>
      </c>
      <c r="C1692">
        <v>804.46281599999998</v>
      </c>
      <c r="E1692">
        <f t="shared" si="63"/>
        <v>-189.66600434305778</v>
      </c>
      <c r="F1692">
        <f t="shared" si="64"/>
        <v>643.56251458815518</v>
      </c>
    </row>
    <row r="1693" spans="1:6" x14ac:dyDescent="0.25">
      <c r="A1693">
        <v>208.98966614945411</v>
      </c>
      <c r="B1693">
        <v>39.592939381466877</v>
      </c>
      <c r="C1693">
        <v>804.46281599999998</v>
      </c>
      <c r="E1693">
        <f t="shared" si="63"/>
        <v>-180.91982115470742</v>
      </c>
      <c r="F1693">
        <f t="shared" si="64"/>
        <v>647.93693947507359</v>
      </c>
    </row>
    <row r="1694" spans="1:6" x14ac:dyDescent="0.25">
      <c r="A1694">
        <v>202.49272434682314</v>
      </c>
      <c r="B1694">
        <v>48.310301311268283</v>
      </c>
      <c r="C1694">
        <v>804.46281599999998</v>
      </c>
      <c r="E1694">
        <f t="shared" si="63"/>
        <v>-171.73038033545254</v>
      </c>
      <c r="F1694">
        <f t="shared" si="64"/>
        <v>652.04527424912362</v>
      </c>
    </row>
    <row r="1695" spans="1:6" x14ac:dyDescent="0.25">
      <c r="A1695">
        <v>194.202135691243</v>
      </c>
      <c r="B1695">
        <v>58.532551792977365</v>
      </c>
      <c r="C1695">
        <v>804.46281599999998</v>
      </c>
      <c r="E1695">
        <f t="shared" si="63"/>
        <v>-160.32712209759461</v>
      </c>
      <c r="F1695">
        <f t="shared" si="64"/>
        <v>656.69252971485616</v>
      </c>
    </row>
    <row r="1696" spans="1:6" x14ac:dyDescent="0.25">
      <c r="A1696">
        <v>184.56221818942035</v>
      </c>
      <c r="B1696">
        <v>67.694941095502926</v>
      </c>
      <c r="C1696">
        <v>804.46281599999998</v>
      </c>
      <c r="E1696">
        <f t="shared" si="63"/>
        <v>-148.0439771375633</v>
      </c>
      <c r="F1696">
        <f t="shared" si="64"/>
        <v>660.29820143201505</v>
      </c>
    </row>
    <row r="1697" spans="1:6" x14ac:dyDescent="0.25">
      <c r="A1697">
        <v>174.2737904978685</v>
      </c>
      <c r="B1697">
        <v>76.507398053951817</v>
      </c>
      <c r="C1697">
        <v>804.46281599999998</v>
      </c>
      <c r="E1697">
        <f t="shared" si="63"/>
        <v>-135.28080029464317</v>
      </c>
      <c r="F1697">
        <f t="shared" si="64"/>
        <v>663.50853310375487</v>
      </c>
    </row>
    <row r="1698" spans="1:6" x14ac:dyDescent="0.25">
      <c r="A1698">
        <v>163.55403583796758</v>
      </c>
      <c r="B1698">
        <v>84.755713814793154</v>
      </c>
      <c r="C1698">
        <v>804.46281599999998</v>
      </c>
      <c r="E1698">
        <f t="shared" si="63"/>
        <v>-122.3171151608926</v>
      </c>
      <c r="F1698">
        <f t="shared" si="64"/>
        <v>666.23715185799529</v>
      </c>
    </row>
    <row r="1699" spans="1:6" x14ac:dyDescent="0.25">
      <c r="A1699">
        <v>152.00127780358164</v>
      </c>
      <c r="B1699">
        <v>92.792885913311707</v>
      </c>
      <c r="C1699">
        <v>804.46281599999998</v>
      </c>
      <c r="E1699">
        <f t="shared" si="63"/>
        <v>-108.65142150284279</v>
      </c>
      <c r="F1699">
        <f t="shared" si="64"/>
        <v>668.61529928683694</v>
      </c>
    </row>
    <row r="1700" spans="1:6" x14ac:dyDescent="0.25">
      <c r="A1700">
        <v>139.04482557334757</v>
      </c>
      <c r="B1700">
        <v>100.94044975132526</v>
      </c>
      <c r="C1700">
        <v>804.46281599999998</v>
      </c>
      <c r="E1700">
        <f t="shared" si="63"/>
        <v>-93.635705557431891</v>
      </c>
      <c r="F1700">
        <f t="shared" si="64"/>
        <v>670.71061853883373</v>
      </c>
    </row>
    <row r="1701" spans="1:6" x14ac:dyDescent="0.25">
      <c r="A1701">
        <v>124.71617528429061</v>
      </c>
      <c r="B1701">
        <v>109.10718242751447</v>
      </c>
      <c r="C1701">
        <v>804.46281599999998</v>
      </c>
      <c r="E1701">
        <f t="shared" si="63"/>
        <v>-77.332062865794327</v>
      </c>
      <c r="F1701">
        <f t="shared" si="64"/>
        <v>672.47087089202648</v>
      </c>
    </row>
    <row r="1702" spans="1:6" x14ac:dyDescent="0.25">
      <c r="A1702">
        <v>105.55814408734928</v>
      </c>
      <c r="B1702">
        <v>118.56173821651549</v>
      </c>
      <c r="C1702">
        <v>804.46281599999998</v>
      </c>
      <c r="E1702">
        <f t="shared" si="63"/>
        <v>-56.05829015814119</v>
      </c>
      <c r="F1702">
        <f t="shared" si="64"/>
        <v>673.85748174107937</v>
      </c>
    </row>
    <row r="1703" spans="1:6" x14ac:dyDescent="0.25">
      <c r="A1703">
        <v>79.777048059734057</v>
      </c>
      <c r="B1703">
        <v>129.07111167742377</v>
      </c>
      <c r="C1703">
        <v>804.46281599999998</v>
      </c>
      <c r="E1703">
        <f t="shared" si="63"/>
        <v>-28.223340914923362</v>
      </c>
      <c r="F1703">
        <f t="shared" si="64"/>
        <v>674.2621072181862</v>
      </c>
    </row>
    <row r="1704" spans="1:6" x14ac:dyDescent="0.25">
      <c r="A1704">
        <v>52.628930683203947</v>
      </c>
      <c r="B1704">
        <v>137.89128182141343</v>
      </c>
      <c r="C1704">
        <v>804.46281599999998</v>
      </c>
      <c r="E1704">
        <f t="shared" si="63"/>
        <v>0.28247637319596114</v>
      </c>
      <c r="F1704">
        <f t="shared" si="64"/>
        <v>673.20521100872668</v>
      </c>
    </row>
    <row r="1705" spans="1:6" x14ac:dyDescent="0.25">
      <c r="A1705">
        <v>25.971518835488531</v>
      </c>
      <c r="B1705">
        <v>144.74559207720381</v>
      </c>
      <c r="C1705">
        <v>804.46281599999998</v>
      </c>
      <c r="E1705">
        <f t="shared" si="63"/>
        <v>27.625679407212598</v>
      </c>
      <c r="F1705">
        <f t="shared" si="64"/>
        <v>670.97491693149209</v>
      </c>
    </row>
    <row r="1706" spans="1:6" x14ac:dyDescent="0.25">
      <c r="A1706">
        <v>6.2940828145542158E-14</v>
      </c>
      <c r="B1706">
        <v>146.66640543105916</v>
      </c>
      <c r="C1706">
        <v>804.46281599999998</v>
      </c>
      <c r="E1706">
        <f t="shared" si="63"/>
        <v>52.560538981508408</v>
      </c>
      <c r="F1706">
        <f t="shared" si="64"/>
        <v>665.6616273396935</v>
      </c>
    </row>
    <row r="1707" spans="1:6" x14ac:dyDescent="0.25">
      <c r="A1707">
        <v>-25.971518835488602</v>
      </c>
      <c r="B1707">
        <v>144.74559207720384</v>
      </c>
      <c r="C1707">
        <v>804.46281599999998</v>
      </c>
      <c r="E1707">
        <f t="shared" si="63"/>
        <v>76.118682669643661</v>
      </c>
      <c r="F1707">
        <f t="shared" si="64"/>
        <v>657.81232225797885</v>
      </c>
    </row>
    <row r="1708" spans="1:6" x14ac:dyDescent="0.25">
      <c r="A1708">
        <v>-52.628930683203912</v>
      </c>
      <c r="B1708">
        <v>137.8912818214134</v>
      </c>
      <c r="C1708">
        <v>804.46281599999998</v>
      </c>
      <c r="E1708">
        <f t="shared" si="63"/>
        <v>98.549155479830333</v>
      </c>
      <c r="F1708">
        <f t="shared" si="64"/>
        <v>646.53240503725374</v>
      </c>
    </row>
    <row r="1709" spans="1:6" x14ac:dyDescent="0.25">
      <c r="A1709">
        <v>-79.777048059734128</v>
      </c>
      <c r="B1709">
        <v>129.07111167742374</v>
      </c>
      <c r="C1709">
        <v>804.46281599999998</v>
      </c>
      <c r="E1709">
        <f t="shared" si="63"/>
        <v>120.73324018966527</v>
      </c>
      <c r="F1709">
        <f t="shared" si="64"/>
        <v>633.83039606139369</v>
      </c>
    </row>
    <row r="1710" spans="1:6" x14ac:dyDescent="0.25">
      <c r="A1710">
        <v>-105.55814408734901</v>
      </c>
      <c r="B1710">
        <v>118.56173821651565</v>
      </c>
      <c r="C1710">
        <v>804.46281599999998</v>
      </c>
      <c r="E1710">
        <f t="shared" si="63"/>
        <v>141.03574419649982</v>
      </c>
      <c r="F1710">
        <f t="shared" si="64"/>
        <v>620.35968386829859</v>
      </c>
    </row>
    <row r="1711" spans="1:6" x14ac:dyDescent="0.25">
      <c r="A1711">
        <v>-124.7161752842904</v>
      </c>
      <c r="B1711">
        <v>109.10718242751454</v>
      </c>
      <c r="C1711">
        <v>804.46281599999998</v>
      </c>
      <c r="E1711">
        <f t="shared" si="63"/>
        <v>155.53309736022109</v>
      </c>
      <c r="F1711">
        <f t="shared" si="64"/>
        <v>609.26361393888988</v>
      </c>
    </row>
    <row r="1712" spans="1:6" x14ac:dyDescent="0.25">
      <c r="A1712">
        <v>-139.04482557334748</v>
      </c>
      <c r="B1712">
        <v>100.9404497513253</v>
      </c>
      <c r="C1712">
        <v>804.46281599999998</v>
      </c>
      <c r="E1712">
        <f t="shared" si="63"/>
        <v>165.9833495645577</v>
      </c>
      <c r="F1712">
        <f t="shared" si="64"/>
        <v>600.24147531835786</v>
      </c>
    </row>
    <row r="1713" spans="1:6" x14ac:dyDescent="0.25">
      <c r="A1713">
        <v>-152.00127780358162</v>
      </c>
      <c r="B1713">
        <v>92.79288591331165</v>
      </c>
      <c r="C1713">
        <v>804.46281599999998</v>
      </c>
      <c r="E1713">
        <f t="shared" si="63"/>
        <v>175.15941401713192</v>
      </c>
      <c r="F1713">
        <f t="shared" si="64"/>
        <v>591.57971187056467</v>
      </c>
    </row>
    <row r="1714" spans="1:6" x14ac:dyDescent="0.25">
      <c r="A1714">
        <v>-163.55403583796749</v>
      </c>
      <c r="B1714">
        <v>84.755713814793225</v>
      </c>
      <c r="C1714">
        <v>804.46281599999998</v>
      </c>
      <c r="E1714">
        <f t="shared" si="63"/>
        <v>183.06457790500411</v>
      </c>
      <c r="F1714">
        <f t="shared" si="64"/>
        <v>583.34652483733896</v>
      </c>
    </row>
    <row r="1715" spans="1:6" x14ac:dyDescent="0.25">
      <c r="A1715">
        <v>-174.27379049786839</v>
      </c>
      <c r="B1715">
        <v>76.507398053951817</v>
      </c>
      <c r="C1715">
        <v>804.46281599999998</v>
      </c>
      <c r="E1715">
        <f t="shared" si="63"/>
        <v>190.11639902592484</v>
      </c>
      <c r="F1715">
        <f t="shared" si="64"/>
        <v>575.18503993146714</v>
      </c>
    </row>
    <row r="1716" spans="1:6" x14ac:dyDescent="0.25">
      <c r="A1716">
        <v>-184.56221818942026</v>
      </c>
      <c r="B1716">
        <v>67.694941095502926</v>
      </c>
      <c r="C1716">
        <v>804.46281599999998</v>
      </c>
      <c r="E1716">
        <f t="shared" si="63"/>
        <v>196.56337160753392</v>
      </c>
      <c r="F1716">
        <f t="shared" si="64"/>
        <v>566.76044241761565</v>
      </c>
    </row>
    <row r="1717" spans="1:6" x14ac:dyDescent="0.25">
      <c r="A1717">
        <v>-194.202135691243</v>
      </c>
      <c r="B1717">
        <v>58.532551792977486</v>
      </c>
      <c r="C1717">
        <v>804.46281599999998</v>
      </c>
      <c r="E1717">
        <f t="shared" si="63"/>
        <v>202.27950323300161</v>
      </c>
      <c r="F1717">
        <f t="shared" si="64"/>
        <v>558.26917553883629</v>
      </c>
    </row>
    <row r="1718" spans="1:6" x14ac:dyDescent="0.25">
      <c r="A1718">
        <v>-202.49272434682314</v>
      </c>
      <c r="B1718">
        <v>48.310301311268354</v>
      </c>
      <c r="C1718">
        <v>804.46281599999998</v>
      </c>
      <c r="E1718">
        <f t="shared" si="63"/>
        <v>206.35610758112242</v>
      </c>
      <c r="F1718">
        <f t="shared" si="64"/>
        <v>549.42017666450829</v>
      </c>
    </row>
    <row r="1719" spans="1:6" x14ac:dyDescent="0.25">
      <c r="A1719">
        <v>-208.98966614945422</v>
      </c>
      <c r="B1719">
        <v>39.592939381466977</v>
      </c>
      <c r="C1719">
        <v>804.46281599999998</v>
      </c>
      <c r="E1719">
        <f t="shared" si="63"/>
        <v>209.29750215992306</v>
      </c>
      <c r="F1719">
        <f t="shared" si="64"/>
        <v>542.01913451715734</v>
      </c>
    </row>
    <row r="1720" spans="1:6" x14ac:dyDescent="0.25">
      <c r="A1720">
        <v>-214.93793448930626</v>
      </c>
      <c r="B1720">
        <v>30.683112766774688</v>
      </c>
      <c r="C1720">
        <v>804.46281599999998</v>
      </c>
      <c r="E1720">
        <f t="shared" si="63"/>
        <v>211.65769275885052</v>
      </c>
      <c r="F1720">
        <f t="shared" si="64"/>
        <v>534.63007480419321</v>
      </c>
    </row>
    <row r="1721" spans="1:6" x14ac:dyDescent="0.25">
      <c r="A1721">
        <v>-218.17661669032628</v>
      </c>
      <c r="B1721">
        <v>22.771680649339157</v>
      </c>
      <c r="C1721">
        <v>804.46281599999998</v>
      </c>
      <c r="E1721">
        <f t="shared" si="63"/>
        <v>211.84605936347546</v>
      </c>
      <c r="F1721">
        <f t="shared" si="64"/>
        <v>528.58671735281507</v>
      </c>
    </row>
    <row r="1722" spans="1:6" x14ac:dyDescent="0.25">
      <c r="A1722">
        <v>-220.65547594323095</v>
      </c>
      <c r="B1722">
        <v>15.135761643351325</v>
      </c>
      <c r="C1722">
        <v>804.46281599999998</v>
      </c>
      <c r="E1722">
        <f t="shared" si="63"/>
        <v>211.42380520495888</v>
      </c>
      <c r="F1722">
        <f t="shared" si="64"/>
        <v>522.91777990002322</v>
      </c>
    </row>
    <row r="1723" spans="1:6" x14ac:dyDescent="0.25">
      <c r="A1723">
        <v>-195.75194276593743</v>
      </c>
      <c r="B1723">
        <v>3.4129796529767424E-14</v>
      </c>
      <c r="C1723">
        <v>857.94380799999999</v>
      </c>
      <c r="E1723">
        <f t="shared" si="63"/>
        <v>182.7501822150798</v>
      </c>
      <c r="F1723">
        <f t="shared" si="64"/>
        <v>557.05347948263284</v>
      </c>
    </row>
    <row r="1724" spans="1:6" x14ac:dyDescent="0.25">
      <c r="A1724">
        <v>-194.10952309642315</v>
      </c>
      <c r="B1724">
        <v>-7.4695556891715738</v>
      </c>
      <c r="C1724">
        <v>857.94380799999999</v>
      </c>
      <c r="E1724">
        <f t="shared" si="63"/>
        <v>178.54000200318441</v>
      </c>
      <c r="F1724">
        <f t="shared" si="64"/>
        <v>552.53871552713042</v>
      </c>
    </row>
    <row r="1725" spans="1:6" x14ac:dyDescent="0.25">
      <c r="A1725">
        <v>-192.04356913528989</v>
      </c>
      <c r="B1725">
        <v>-14.911928030704649</v>
      </c>
      <c r="C1725">
        <v>857.94380799999999</v>
      </c>
      <c r="E1725">
        <f t="shared" si="63"/>
        <v>173.94416010723819</v>
      </c>
      <c r="F1725">
        <f t="shared" si="64"/>
        <v>548.14922187142224</v>
      </c>
    </row>
    <row r="1726" spans="1:6" x14ac:dyDescent="0.25">
      <c r="A1726">
        <v>-189.48235569057746</v>
      </c>
      <c r="B1726">
        <v>-22.45339466012301</v>
      </c>
      <c r="C1726">
        <v>857.94380799999999</v>
      </c>
      <c r="E1726">
        <f t="shared" si="63"/>
        <v>168.85044143462423</v>
      </c>
      <c r="F1726">
        <f t="shared" si="64"/>
        <v>543.81981294431284</v>
      </c>
    </row>
    <row r="1727" spans="1:6" x14ac:dyDescent="0.25">
      <c r="A1727">
        <v>-186.59992080559496</v>
      </c>
      <c r="B1727">
        <v>-29.504443430107145</v>
      </c>
      <c r="C1727">
        <v>857.94380799999999</v>
      </c>
      <c r="E1727">
        <f t="shared" si="63"/>
        <v>163.63258675550873</v>
      </c>
      <c r="F1727">
        <f t="shared" si="64"/>
        <v>539.89554790672355</v>
      </c>
    </row>
    <row r="1728" spans="1:6" x14ac:dyDescent="0.25">
      <c r="A1728">
        <v>-181.30956119960462</v>
      </c>
      <c r="B1728">
        <v>-38.065259962863578</v>
      </c>
      <c r="C1728">
        <v>857.94380799999999</v>
      </c>
      <c r="E1728">
        <f t="shared" si="63"/>
        <v>155.62568831094725</v>
      </c>
      <c r="F1728">
        <f t="shared" si="64"/>
        <v>535.5848019291293</v>
      </c>
    </row>
    <row r="1729" spans="1:6" x14ac:dyDescent="0.25">
      <c r="A1729">
        <v>-174.25079262194913</v>
      </c>
      <c r="B1729">
        <v>-47.355658232302716</v>
      </c>
      <c r="C1729">
        <v>857.94380799999999</v>
      </c>
      <c r="E1729">
        <f t="shared" si="63"/>
        <v>145.70637915339651</v>
      </c>
      <c r="F1729">
        <f t="shared" si="64"/>
        <v>531.24055172485794</v>
      </c>
    </row>
    <row r="1730" spans="1:6" x14ac:dyDescent="0.25">
      <c r="A1730">
        <v>-167.05184870868408</v>
      </c>
      <c r="B1730">
        <v>-55.754603941312006</v>
      </c>
      <c r="C1730">
        <v>857.94380799999999</v>
      </c>
      <c r="E1730">
        <f t="shared" si="63"/>
        <v>135.97567307244111</v>
      </c>
      <c r="F1730">
        <f t="shared" si="64"/>
        <v>527.52030699801003</v>
      </c>
    </row>
    <row r="1731" spans="1:6" x14ac:dyDescent="0.25">
      <c r="A1731">
        <v>-159.79989427591482</v>
      </c>
      <c r="B1731">
        <v>-63.110896323613645</v>
      </c>
      <c r="C1731">
        <v>857.94380799999999</v>
      </c>
      <c r="E1731">
        <f t="shared" si="63"/>
        <v>126.56913094285697</v>
      </c>
      <c r="F1731">
        <f t="shared" si="64"/>
        <v>524.50179363269012</v>
      </c>
    </row>
    <row r="1732" spans="1:6" x14ac:dyDescent="0.25">
      <c r="A1732">
        <v>-151.50642726277937</v>
      </c>
      <c r="B1732">
        <v>-69.749023703776245</v>
      </c>
      <c r="C1732">
        <v>857.94380799999999</v>
      </c>
      <c r="E1732">
        <f t="shared" si="63"/>
        <v>116.4476203735441</v>
      </c>
      <c r="F1732">
        <f t="shared" si="64"/>
        <v>522.22129434431952</v>
      </c>
    </row>
    <row r="1733" spans="1:6" x14ac:dyDescent="0.25">
      <c r="A1733">
        <v>-142.92107618765078</v>
      </c>
      <c r="B1733">
        <v>-76.055446575162989</v>
      </c>
      <c r="C1733">
        <v>857.94380799999999</v>
      </c>
      <c r="E1733">
        <f t="shared" si="63"/>
        <v>106.17248482181289</v>
      </c>
      <c r="F1733">
        <f t="shared" si="64"/>
        <v>520.23373152650584</v>
      </c>
    </row>
    <row r="1734" spans="1:6" x14ac:dyDescent="0.25">
      <c r="A1734">
        <v>-134.61049269675345</v>
      </c>
      <c r="B1734">
        <v>-81.579364460741445</v>
      </c>
      <c r="C1734">
        <v>857.94380799999999</v>
      </c>
      <c r="E1734">
        <f t="shared" si="63"/>
        <v>96.434291615828997</v>
      </c>
      <c r="F1734">
        <f t="shared" si="64"/>
        <v>518.69310505511214</v>
      </c>
    </row>
    <row r="1735" spans="1:6" x14ac:dyDescent="0.25">
      <c r="A1735">
        <v>-124.44346444379413</v>
      </c>
      <c r="B1735">
        <v>-87.981800611293551</v>
      </c>
      <c r="C1735">
        <v>857.94380799999999</v>
      </c>
      <c r="E1735">
        <f t="shared" si="63"/>
        <v>84.648125127854058</v>
      </c>
      <c r="F1735">
        <f t="shared" si="64"/>
        <v>517.04296389810372</v>
      </c>
    </row>
    <row r="1736" spans="1:6" x14ac:dyDescent="0.25">
      <c r="A1736">
        <v>-112.62941498220488</v>
      </c>
      <c r="B1736">
        <v>-94.823704590920329</v>
      </c>
      <c r="C1736">
        <v>857.94380799999999</v>
      </c>
      <c r="E1736">
        <f t="shared" si="63"/>
        <v>71.166840692679855</v>
      </c>
      <c r="F1736">
        <f t="shared" si="64"/>
        <v>515.52007441996693</v>
      </c>
    </row>
    <row r="1737" spans="1:6" x14ac:dyDescent="0.25">
      <c r="A1737">
        <v>-97.952633352995107</v>
      </c>
      <c r="B1737">
        <v>-102.41979149241239</v>
      </c>
      <c r="C1737">
        <v>857.94380799999999</v>
      </c>
      <c r="E1737">
        <f t="shared" si="63"/>
        <v>54.742690552220282</v>
      </c>
      <c r="F1737">
        <f t="shared" si="64"/>
        <v>514.22474678377398</v>
      </c>
    </row>
    <row r="1738" spans="1:6" x14ac:dyDescent="0.25">
      <c r="A1738">
        <v>-77.624408471592545</v>
      </c>
      <c r="B1738">
        <v>-110.75075378327631</v>
      </c>
      <c r="C1738">
        <v>857.94380799999999</v>
      </c>
      <c r="E1738">
        <f t="shared" si="63"/>
        <v>32.779107823593328</v>
      </c>
      <c r="F1738">
        <f t="shared" si="64"/>
        <v>513.87639836377559</v>
      </c>
    </row>
    <row r="1739" spans="1:6" x14ac:dyDescent="0.25">
      <c r="A1739">
        <v>-50.604709431313161</v>
      </c>
      <c r="B1739">
        <v>-119.89789463574263</v>
      </c>
      <c r="C1739">
        <v>857.94380799999999</v>
      </c>
      <c r="E1739">
        <f t="shared" si="63"/>
        <v>4.2760035582428682</v>
      </c>
      <c r="F1739">
        <f t="shared" si="64"/>
        <v>514.68490601392284</v>
      </c>
    </row>
    <row r="1740" spans="1:6" x14ac:dyDescent="0.25">
      <c r="A1740">
        <v>-23.459134774420743</v>
      </c>
      <c r="B1740">
        <v>-126.25425877115423</v>
      </c>
      <c r="C1740">
        <v>857.94380799999999</v>
      </c>
      <c r="E1740">
        <f t="shared" si="63"/>
        <v>-23.344490789221123</v>
      </c>
      <c r="F1740">
        <f t="shared" si="64"/>
        <v>517.36761737340373</v>
      </c>
    </row>
    <row r="1741" spans="1:6" x14ac:dyDescent="0.25">
      <c r="A1741">
        <v>6.5568757056383128E-14</v>
      </c>
      <c r="B1741">
        <v>-127.80233505501022</v>
      </c>
      <c r="C1741">
        <v>857.94380799999999</v>
      </c>
      <c r="E1741">
        <f t="shared" si="63"/>
        <v>-45.800260760765418</v>
      </c>
      <c r="F1741">
        <f t="shared" si="64"/>
        <v>522.29031681223637</v>
      </c>
    </row>
    <row r="1742" spans="1:6" x14ac:dyDescent="0.25">
      <c r="A1742">
        <v>23.459134774420647</v>
      </c>
      <c r="B1742">
        <v>-126.25425877115423</v>
      </c>
      <c r="C1742">
        <v>857.94380799999999</v>
      </c>
      <c r="E1742">
        <f t="shared" si="63"/>
        <v>-67.146468885139157</v>
      </c>
      <c r="F1742">
        <f t="shared" si="64"/>
        <v>529.25691365919079</v>
      </c>
    </row>
    <row r="1743" spans="1:6" x14ac:dyDescent="0.25">
      <c r="A1743">
        <v>50.604709431313218</v>
      </c>
      <c r="B1743">
        <v>-119.89789463574269</v>
      </c>
      <c r="C1743">
        <v>857.94380799999999</v>
      </c>
      <c r="E1743">
        <f t="shared" si="63"/>
        <v>-90.211128869061824</v>
      </c>
      <c r="F1743">
        <f t="shared" si="64"/>
        <v>540.33181881230405</v>
      </c>
    </row>
    <row r="1744" spans="1:6" x14ac:dyDescent="0.25">
      <c r="A1744">
        <v>77.624408471592602</v>
      </c>
      <c r="B1744">
        <v>-110.75075378327635</v>
      </c>
      <c r="C1744">
        <v>857.94380799999999</v>
      </c>
      <c r="E1744">
        <f t="shared" si="63"/>
        <v>-112.15814891141147</v>
      </c>
      <c r="F1744">
        <f t="shared" si="64"/>
        <v>553.21713280271251</v>
      </c>
    </row>
    <row r="1745" spans="1:6" x14ac:dyDescent="0.25">
      <c r="A1745">
        <v>97.952633352995022</v>
      </c>
      <c r="B1745">
        <v>-102.4197914924122</v>
      </c>
      <c r="C1745">
        <v>857.94380799999999</v>
      </c>
      <c r="E1745">
        <f t="shared" si="63"/>
        <v>-128.15063189220595</v>
      </c>
      <c r="F1745">
        <f t="shared" si="64"/>
        <v>563.86800477710199</v>
      </c>
    </row>
    <row r="1746" spans="1:6" x14ac:dyDescent="0.25">
      <c r="A1746">
        <v>112.62941498220476</v>
      </c>
      <c r="B1746">
        <v>-94.823704590920286</v>
      </c>
      <c r="C1746">
        <v>857.94380799999999</v>
      </c>
      <c r="E1746">
        <f t="shared" si="63"/>
        <v>-139.13039385775431</v>
      </c>
      <c r="F1746">
        <f t="shared" si="64"/>
        <v>572.60165471245045</v>
      </c>
    </row>
    <row r="1747" spans="1:6" x14ac:dyDescent="0.25">
      <c r="A1747">
        <v>124.44346444379413</v>
      </c>
      <c r="B1747">
        <v>-87.981800611293636</v>
      </c>
      <c r="C1747">
        <v>857.94380799999999</v>
      </c>
      <c r="E1747">
        <f t="shared" si="63"/>
        <v>-147.70784009259933</v>
      </c>
      <c r="F1747">
        <f t="shared" si="64"/>
        <v>580.11200859344876</v>
      </c>
    </row>
    <row r="1748" spans="1:6" x14ac:dyDescent="0.25">
      <c r="A1748">
        <v>134.61049269675354</v>
      </c>
      <c r="B1748">
        <v>-81.579364460741516</v>
      </c>
      <c r="C1748">
        <v>857.94380799999999</v>
      </c>
      <c r="E1748">
        <f t="shared" ref="E1748:E1811" si="65">($I$2*A1748)+($K$2*B1748)+($M$2*C1748)</f>
        <v>-154.90515074983819</v>
      </c>
      <c r="F1748">
        <f t="shared" ref="F1748:F1811" si="66">($J$2*A1748)+($L$2*B1748)+($N$2*C1748)</f>
        <v>586.91488928700676</v>
      </c>
    </row>
    <row r="1749" spans="1:6" x14ac:dyDescent="0.25">
      <c r="A1749">
        <v>142.92107618765095</v>
      </c>
      <c r="B1749">
        <v>-76.055446575162904</v>
      </c>
      <c r="C1749">
        <v>857.94380799999999</v>
      </c>
      <c r="E1749">
        <f t="shared" si="65"/>
        <v>-160.68415370359941</v>
      </c>
      <c r="F1749">
        <f t="shared" si="66"/>
        <v>592.66739272578059</v>
      </c>
    </row>
    <row r="1750" spans="1:6" x14ac:dyDescent="0.25">
      <c r="A1750">
        <v>151.50642726277943</v>
      </c>
      <c r="B1750">
        <v>-69.749023703776217</v>
      </c>
      <c r="C1750">
        <v>857.94380799999999</v>
      </c>
      <c r="E1750">
        <f t="shared" si="65"/>
        <v>-166.43924958856161</v>
      </c>
      <c r="F1750">
        <f t="shared" si="66"/>
        <v>599.00608714461998</v>
      </c>
    </row>
    <row r="1751" spans="1:6" x14ac:dyDescent="0.25">
      <c r="A1751">
        <v>159.79989427591485</v>
      </c>
      <c r="B1751">
        <v>-63.110896323613694</v>
      </c>
      <c r="C1751">
        <v>857.94380799999999</v>
      </c>
      <c r="E1751">
        <f t="shared" si="65"/>
        <v>-171.8029759617757</v>
      </c>
      <c r="F1751">
        <f t="shared" si="66"/>
        <v>605.48978861856665</v>
      </c>
    </row>
    <row r="1752" spans="1:6" x14ac:dyDescent="0.25">
      <c r="A1752">
        <v>167.05184870868408</v>
      </c>
      <c r="B1752">
        <v>-55.754603941311977</v>
      </c>
      <c r="C1752">
        <v>857.94380799999999</v>
      </c>
      <c r="E1752">
        <f t="shared" si="65"/>
        <v>-175.93699925675747</v>
      </c>
      <c r="F1752">
        <f t="shared" si="66"/>
        <v>612.18365641325079</v>
      </c>
    </row>
    <row r="1753" spans="1:6" x14ac:dyDescent="0.25">
      <c r="A1753">
        <v>174.25079262194913</v>
      </c>
      <c r="B1753">
        <v>-47.355658232302709</v>
      </c>
      <c r="C1753">
        <v>857.94380799999999</v>
      </c>
      <c r="E1753">
        <f t="shared" si="65"/>
        <v>-179.64787943355296</v>
      </c>
      <c r="F1753">
        <f t="shared" si="66"/>
        <v>619.55238937091349</v>
      </c>
    </row>
    <row r="1754" spans="1:6" x14ac:dyDescent="0.25">
      <c r="A1754">
        <v>181.30956119960473</v>
      </c>
      <c r="B1754">
        <v>-38.065259962863571</v>
      </c>
      <c r="C1754">
        <v>857.94380799999999</v>
      </c>
      <c r="E1754">
        <f t="shared" si="65"/>
        <v>-182.90842663454762</v>
      </c>
      <c r="F1754">
        <f t="shared" si="66"/>
        <v>627.47408571032781</v>
      </c>
    </row>
    <row r="1755" spans="1:6" x14ac:dyDescent="0.25">
      <c r="A1755">
        <v>186.59992080559488</v>
      </c>
      <c r="B1755">
        <v>-29.504443430107152</v>
      </c>
      <c r="C1755">
        <v>857.94380799999999</v>
      </c>
      <c r="E1755">
        <f t="shared" si="65"/>
        <v>-184.77948054455405</v>
      </c>
      <c r="F1755">
        <f t="shared" si="66"/>
        <v>634.46603256846606</v>
      </c>
    </row>
    <row r="1756" spans="1:6" x14ac:dyDescent="0.25">
      <c r="A1756">
        <v>189.48235569057758</v>
      </c>
      <c r="B1756">
        <v>-22.453394660123021</v>
      </c>
      <c r="C1756">
        <v>857.94380799999999</v>
      </c>
      <c r="E1756">
        <f t="shared" si="65"/>
        <v>-184.94359544398347</v>
      </c>
      <c r="F1756">
        <f t="shared" si="66"/>
        <v>639.85114101317936</v>
      </c>
    </row>
    <row r="1757" spans="1:6" x14ac:dyDescent="0.25">
      <c r="A1757">
        <v>192.04356913528994</v>
      </c>
      <c r="B1757">
        <v>-14.911928030704743</v>
      </c>
      <c r="C1757">
        <v>857.94380799999999</v>
      </c>
      <c r="E1757">
        <f t="shared" si="65"/>
        <v>-184.63207425149946</v>
      </c>
      <c r="F1757">
        <f t="shared" si="66"/>
        <v>645.47859549005602</v>
      </c>
    </row>
    <row r="1758" spans="1:6" x14ac:dyDescent="0.25">
      <c r="A1758">
        <v>194.10952309642303</v>
      </c>
      <c r="B1758">
        <v>-7.4695556891715151</v>
      </c>
      <c r="C1758">
        <v>857.94380799999999</v>
      </c>
      <c r="E1758">
        <f t="shared" si="65"/>
        <v>-183.89370071586978</v>
      </c>
      <c r="F1758">
        <f t="shared" si="66"/>
        <v>650.9151328237557</v>
      </c>
    </row>
    <row r="1759" spans="1:6" x14ac:dyDescent="0.25">
      <c r="A1759">
        <v>195.7519427659376</v>
      </c>
      <c r="B1759">
        <v>5.2724033139424868E-14</v>
      </c>
      <c r="C1759">
        <v>857.94380799999999</v>
      </c>
      <c r="E1759">
        <f t="shared" si="65"/>
        <v>-182.75018221507972</v>
      </c>
      <c r="F1759">
        <f t="shared" si="66"/>
        <v>656.26228954498595</v>
      </c>
    </row>
    <row r="1760" spans="1:6" x14ac:dyDescent="0.25">
      <c r="A1760">
        <v>194.10952309642303</v>
      </c>
      <c r="B1760">
        <v>7.4695556891715968</v>
      </c>
      <c r="C1760">
        <v>857.94380799999999</v>
      </c>
      <c r="E1760">
        <f t="shared" si="65"/>
        <v>-178.54000200318407</v>
      </c>
      <c r="F1760">
        <f t="shared" si="66"/>
        <v>660.77705350048825</v>
      </c>
    </row>
    <row r="1761" spans="1:6" x14ac:dyDescent="0.25">
      <c r="A1761">
        <v>192.04356913529006</v>
      </c>
      <c r="B1761">
        <v>14.911928030704765</v>
      </c>
      <c r="C1761">
        <v>857.94380799999999</v>
      </c>
      <c r="E1761">
        <f t="shared" si="65"/>
        <v>-173.94416010723808</v>
      </c>
      <c r="F1761">
        <f t="shared" si="66"/>
        <v>665.16654715619643</v>
      </c>
    </row>
    <row r="1762" spans="1:6" x14ac:dyDescent="0.25">
      <c r="A1762">
        <v>189.48235569057755</v>
      </c>
      <c r="B1762">
        <v>22.453394660123021</v>
      </c>
      <c r="C1762">
        <v>857.94380799999999</v>
      </c>
      <c r="E1762">
        <f t="shared" si="65"/>
        <v>-168.85044143462409</v>
      </c>
      <c r="F1762">
        <f t="shared" si="66"/>
        <v>669.49595608330583</v>
      </c>
    </row>
    <row r="1763" spans="1:6" x14ac:dyDescent="0.25">
      <c r="A1763">
        <v>186.59992080559488</v>
      </c>
      <c r="B1763">
        <v>29.504443430107202</v>
      </c>
      <c r="C1763">
        <v>857.94380799999999</v>
      </c>
      <c r="E1763">
        <f t="shared" si="65"/>
        <v>-163.63258675550841</v>
      </c>
      <c r="F1763">
        <f t="shared" si="66"/>
        <v>673.42022112089512</v>
      </c>
    </row>
    <row r="1764" spans="1:6" x14ac:dyDescent="0.25">
      <c r="A1764">
        <v>181.30956119960459</v>
      </c>
      <c r="B1764">
        <v>38.065259962863649</v>
      </c>
      <c r="C1764">
        <v>857.94380799999999</v>
      </c>
      <c r="E1764">
        <f t="shared" si="65"/>
        <v>-155.62568831094697</v>
      </c>
      <c r="F1764">
        <f t="shared" si="66"/>
        <v>677.73096709848937</v>
      </c>
    </row>
    <row r="1765" spans="1:6" x14ac:dyDescent="0.25">
      <c r="A1765">
        <v>174.25079262194916</v>
      </c>
      <c r="B1765">
        <v>47.35565823230278</v>
      </c>
      <c r="C1765">
        <v>857.94380799999999</v>
      </c>
      <c r="E1765">
        <f t="shared" si="65"/>
        <v>-145.70637915339628</v>
      </c>
      <c r="F1765">
        <f t="shared" si="66"/>
        <v>682.07521730276073</v>
      </c>
    </row>
    <row r="1766" spans="1:6" x14ac:dyDescent="0.25">
      <c r="A1766">
        <v>167.0518487086841</v>
      </c>
      <c r="B1766">
        <v>55.754603941311977</v>
      </c>
      <c r="C1766">
        <v>857.94380799999999</v>
      </c>
      <c r="E1766">
        <f t="shared" si="65"/>
        <v>-135.97567307244091</v>
      </c>
      <c r="F1766">
        <f t="shared" si="66"/>
        <v>685.79546202960864</v>
      </c>
    </row>
    <row r="1767" spans="1:6" x14ac:dyDescent="0.25">
      <c r="A1767">
        <v>159.79989427591485</v>
      </c>
      <c r="B1767">
        <v>63.11089632361368</v>
      </c>
      <c r="C1767">
        <v>857.94380799999999</v>
      </c>
      <c r="E1767">
        <f t="shared" si="65"/>
        <v>-126.56913094285677</v>
      </c>
      <c r="F1767">
        <f t="shared" si="66"/>
        <v>688.81397539492855</v>
      </c>
    </row>
    <row r="1768" spans="1:6" x14ac:dyDescent="0.25">
      <c r="A1768">
        <v>151.50642726277951</v>
      </c>
      <c r="B1768">
        <v>69.749023703776302</v>
      </c>
      <c r="C1768">
        <v>857.94380799999999</v>
      </c>
      <c r="E1768">
        <f t="shared" si="65"/>
        <v>-116.44762037354401</v>
      </c>
      <c r="F1768">
        <f t="shared" si="66"/>
        <v>691.09447468329927</v>
      </c>
    </row>
    <row r="1769" spans="1:6" x14ac:dyDescent="0.25">
      <c r="A1769">
        <v>142.9210761876509</v>
      </c>
      <c r="B1769">
        <v>76.055446575162975</v>
      </c>
      <c r="C1769">
        <v>857.94380799999999</v>
      </c>
      <c r="E1769">
        <f t="shared" si="65"/>
        <v>-106.17248482181282</v>
      </c>
      <c r="F1769">
        <f t="shared" si="66"/>
        <v>693.08203750111284</v>
      </c>
    </row>
    <row r="1770" spans="1:6" x14ac:dyDescent="0.25">
      <c r="A1770">
        <v>134.61049269675345</v>
      </c>
      <c r="B1770">
        <v>81.579364460741445</v>
      </c>
      <c r="C1770">
        <v>857.94380799999999</v>
      </c>
      <c r="E1770">
        <f t="shared" si="65"/>
        <v>-96.434291615828798</v>
      </c>
      <c r="F1770">
        <f t="shared" si="66"/>
        <v>694.62266397250653</v>
      </c>
    </row>
    <row r="1771" spans="1:6" x14ac:dyDescent="0.25">
      <c r="A1771">
        <v>124.4434644437942</v>
      </c>
      <c r="B1771">
        <v>87.981800611293565</v>
      </c>
      <c r="C1771">
        <v>857.94380799999999</v>
      </c>
      <c r="E1771">
        <f t="shared" si="65"/>
        <v>-84.64812512785393</v>
      </c>
      <c r="F1771">
        <f t="shared" si="66"/>
        <v>696.27280512951506</v>
      </c>
    </row>
    <row r="1772" spans="1:6" x14ac:dyDescent="0.25">
      <c r="A1772">
        <v>112.62941498220491</v>
      </c>
      <c r="B1772">
        <v>94.823704590920372</v>
      </c>
      <c r="C1772">
        <v>857.94380799999999</v>
      </c>
      <c r="E1772">
        <f t="shared" si="65"/>
        <v>-71.166840692679671</v>
      </c>
      <c r="F1772">
        <f t="shared" si="66"/>
        <v>697.79569460765185</v>
      </c>
    </row>
    <row r="1773" spans="1:6" x14ac:dyDescent="0.25">
      <c r="A1773">
        <v>97.952633352995122</v>
      </c>
      <c r="B1773">
        <v>102.41979149241233</v>
      </c>
      <c r="C1773">
        <v>857.94380799999999</v>
      </c>
      <c r="E1773">
        <f t="shared" si="65"/>
        <v>-54.742690552220104</v>
      </c>
      <c r="F1773">
        <f t="shared" si="66"/>
        <v>699.09102224384469</v>
      </c>
    </row>
    <row r="1774" spans="1:6" x14ac:dyDescent="0.25">
      <c r="A1774">
        <v>77.624408471592517</v>
      </c>
      <c r="B1774">
        <v>110.75075378327631</v>
      </c>
      <c r="C1774">
        <v>857.94380799999999</v>
      </c>
      <c r="E1774">
        <f t="shared" si="65"/>
        <v>-32.779107823593101</v>
      </c>
      <c r="F1774">
        <f t="shared" si="66"/>
        <v>699.43937066384296</v>
      </c>
    </row>
    <row r="1775" spans="1:6" x14ac:dyDescent="0.25">
      <c r="A1775">
        <v>50.604709431313161</v>
      </c>
      <c r="B1775">
        <v>119.89789463574273</v>
      </c>
      <c r="C1775">
        <v>857.94380799999999</v>
      </c>
      <c r="E1775">
        <f t="shared" si="65"/>
        <v>-4.276003558242623</v>
      </c>
      <c r="F1775">
        <f t="shared" si="66"/>
        <v>698.63086301369594</v>
      </c>
    </row>
    <row r="1776" spans="1:6" x14ac:dyDescent="0.25">
      <c r="A1776">
        <v>23.459134774420658</v>
      </c>
      <c r="B1776">
        <v>126.2542587711543</v>
      </c>
      <c r="C1776">
        <v>857.94380799999999</v>
      </c>
      <c r="E1776">
        <f t="shared" si="65"/>
        <v>23.344490789221439</v>
      </c>
      <c r="F1776">
        <f t="shared" si="66"/>
        <v>695.94815165421494</v>
      </c>
    </row>
    <row r="1777" spans="1:6" x14ac:dyDescent="0.25">
      <c r="A1777">
        <v>8.157965336884403E-14</v>
      </c>
      <c r="B1777">
        <v>127.80233505501025</v>
      </c>
      <c r="C1777">
        <v>857.94380799999999</v>
      </c>
      <c r="E1777">
        <f t="shared" si="65"/>
        <v>45.800260760765504</v>
      </c>
      <c r="F1777">
        <f t="shared" si="66"/>
        <v>691.0254522153823</v>
      </c>
    </row>
    <row r="1778" spans="1:6" x14ac:dyDescent="0.25">
      <c r="A1778">
        <v>-23.459134774420672</v>
      </c>
      <c r="B1778">
        <v>126.25425877115424</v>
      </c>
      <c r="C1778">
        <v>857.94380799999999</v>
      </c>
      <c r="E1778">
        <f t="shared" si="65"/>
        <v>67.14646888513937</v>
      </c>
      <c r="F1778">
        <f t="shared" si="66"/>
        <v>684.05885536842788</v>
      </c>
    </row>
    <row r="1779" spans="1:6" x14ac:dyDescent="0.25">
      <c r="A1779">
        <v>-50.604709431313097</v>
      </c>
      <c r="B1779">
        <v>119.89789463574279</v>
      </c>
      <c r="C1779">
        <v>857.94380799999999</v>
      </c>
      <c r="E1779">
        <f t="shared" si="65"/>
        <v>90.211128869061952</v>
      </c>
      <c r="F1779">
        <f t="shared" si="66"/>
        <v>672.98395021531474</v>
      </c>
    </row>
    <row r="1780" spans="1:6" x14ac:dyDescent="0.25">
      <c r="A1780">
        <v>-77.624408471592545</v>
      </c>
      <c r="B1780">
        <v>110.75075378327632</v>
      </c>
      <c r="C1780">
        <v>857.94380799999999</v>
      </c>
      <c r="E1780">
        <f t="shared" si="65"/>
        <v>112.1581489114116</v>
      </c>
      <c r="F1780">
        <f t="shared" si="66"/>
        <v>660.09863622490616</v>
      </c>
    </row>
    <row r="1781" spans="1:6" x14ac:dyDescent="0.25">
      <c r="A1781">
        <v>-97.952633352994951</v>
      </c>
      <c r="B1781">
        <v>102.41979149241239</v>
      </c>
      <c r="C1781">
        <v>857.94380799999999</v>
      </c>
      <c r="E1781">
        <f t="shared" si="65"/>
        <v>128.15063189220618</v>
      </c>
      <c r="F1781">
        <f t="shared" si="66"/>
        <v>649.4477642505168</v>
      </c>
    </row>
    <row r="1782" spans="1:6" x14ac:dyDescent="0.25">
      <c r="A1782">
        <v>-112.62941498220466</v>
      </c>
      <c r="B1782">
        <v>94.823704590920414</v>
      </c>
      <c r="C1782">
        <v>857.94380799999999</v>
      </c>
      <c r="E1782">
        <f t="shared" si="65"/>
        <v>139.13039385775448</v>
      </c>
      <c r="F1782">
        <f t="shared" si="66"/>
        <v>640.71411431516833</v>
      </c>
    </row>
    <row r="1783" spans="1:6" x14ac:dyDescent="0.25">
      <c r="A1783">
        <v>-124.4434644437941</v>
      </c>
      <c r="B1783">
        <v>87.981800611293622</v>
      </c>
      <c r="C1783">
        <v>857.94380799999999</v>
      </c>
      <c r="E1783">
        <f t="shared" si="65"/>
        <v>147.7078400925995</v>
      </c>
      <c r="F1783">
        <f t="shared" si="66"/>
        <v>633.20376043416991</v>
      </c>
    </row>
    <row r="1784" spans="1:6" x14ac:dyDescent="0.25">
      <c r="A1784">
        <v>-134.6104926967534</v>
      </c>
      <c r="B1784">
        <v>81.579364460741388</v>
      </c>
      <c r="C1784">
        <v>857.94380799999999</v>
      </c>
      <c r="E1784">
        <f t="shared" si="65"/>
        <v>154.90515074983824</v>
      </c>
      <c r="F1784">
        <f t="shared" si="66"/>
        <v>626.40087974061191</v>
      </c>
    </row>
    <row r="1785" spans="1:6" x14ac:dyDescent="0.25">
      <c r="A1785">
        <v>-142.92107618765067</v>
      </c>
      <c r="B1785">
        <v>76.055446575162975</v>
      </c>
      <c r="C1785">
        <v>857.94380799999999</v>
      </c>
      <c r="E1785">
        <f t="shared" si="65"/>
        <v>160.68415370359938</v>
      </c>
      <c r="F1785">
        <f t="shared" si="66"/>
        <v>620.6483763018382</v>
      </c>
    </row>
    <row r="1786" spans="1:6" x14ac:dyDescent="0.25">
      <c r="A1786">
        <v>-151.50642726277943</v>
      </c>
      <c r="B1786">
        <v>69.749023703776288</v>
      </c>
      <c r="C1786">
        <v>857.94380799999999</v>
      </c>
      <c r="E1786">
        <f t="shared" si="65"/>
        <v>166.43924958856186</v>
      </c>
      <c r="F1786">
        <f t="shared" si="66"/>
        <v>614.3096818829988</v>
      </c>
    </row>
    <row r="1787" spans="1:6" x14ac:dyDescent="0.25">
      <c r="A1787">
        <v>-159.79989427591488</v>
      </c>
      <c r="B1787">
        <v>63.11089632361368</v>
      </c>
      <c r="C1787">
        <v>857.94380799999999</v>
      </c>
      <c r="E1787">
        <f t="shared" si="65"/>
        <v>171.80297596177596</v>
      </c>
      <c r="F1787">
        <f t="shared" si="66"/>
        <v>607.82598040905202</v>
      </c>
    </row>
    <row r="1788" spans="1:6" x14ac:dyDescent="0.25">
      <c r="A1788">
        <v>-167.0518487086841</v>
      </c>
      <c r="B1788">
        <v>55.754603941312048</v>
      </c>
      <c r="C1788">
        <v>857.94380799999999</v>
      </c>
      <c r="E1788">
        <f t="shared" si="65"/>
        <v>175.93699925675776</v>
      </c>
      <c r="F1788">
        <f t="shared" si="66"/>
        <v>601.13211261436788</v>
      </c>
    </row>
    <row r="1789" spans="1:6" x14ac:dyDescent="0.25">
      <c r="A1789">
        <v>-174.2507926219491</v>
      </c>
      <c r="B1789">
        <v>47.355658232302837</v>
      </c>
      <c r="C1789">
        <v>857.94380799999999</v>
      </c>
      <c r="E1789">
        <f t="shared" si="65"/>
        <v>179.64787943355321</v>
      </c>
      <c r="F1789">
        <f t="shared" si="66"/>
        <v>593.7633796567053</v>
      </c>
    </row>
    <row r="1790" spans="1:6" x14ac:dyDescent="0.25">
      <c r="A1790">
        <v>-181.30956119960459</v>
      </c>
      <c r="B1790">
        <v>38.065259962863678</v>
      </c>
      <c r="C1790">
        <v>857.94380799999999</v>
      </c>
      <c r="E1790">
        <f t="shared" si="65"/>
        <v>182.90842663454774</v>
      </c>
      <c r="F1790">
        <f t="shared" si="66"/>
        <v>585.84168331729097</v>
      </c>
    </row>
    <row r="1791" spans="1:6" x14ac:dyDescent="0.25">
      <c r="A1791">
        <v>-186.59992080559505</v>
      </c>
      <c r="B1791">
        <v>29.504443430107308</v>
      </c>
      <c r="C1791">
        <v>857.94380799999999</v>
      </c>
      <c r="E1791">
        <f t="shared" si="65"/>
        <v>184.77948054455447</v>
      </c>
      <c r="F1791">
        <f t="shared" si="66"/>
        <v>578.84973645915272</v>
      </c>
    </row>
    <row r="1792" spans="1:6" x14ac:dyDescent="0.25">
      <c r="A1792">
        <v>-189.48235569057746</v>
      </c>
      <c r="B1792">
        <v>22.453394660123042</v>
      </c>
      <c r="C1792">
        <v>857.94380799999999</v>
      </c>
      <c r="E1792">
        <f t="shared" si="65"/>
        <v>184.94359544398358</v>
      </c>
      <c r="F1792">
        <f t="shared" si="66"/>
        <v>573.46462801443943</v>
      </c>
    </row>
    <row r="1793" spans="1:6" x14ac:dyDescent="0.25">
      <c r="A1793">
        <v>-192.04356913529</v>
      </c>
      <c r="B1793">
        <v>14.911928030704743</v>
      </c>
      <c r="C1793">
        <v>857.94380799999999</v>
      </c>
      <c r="E1793">
        <f t="shared" si="65"/>
        <v>184.63207425149974</v>
      </c>
      <c r="F1793">
        <f t="shared" si="66"/>
        <v>567.83717353756265</v>
      </c>
    </row>
    <row r="1794" spans="1:6" x14ac:dyDescent="0.25">
      <c r="A1794">
        <v>-163.22765272706184</v>
      </c>
      <c r="B1794">
        <v>4.130313889577354E-14</v>
      </c>
      <c r="C1794">
        <v>911.4248</v>
      </c>
      <c r="E1794">
        <f t="shared" si="65"/>
        <v>152.38614164906767</v>
      </c>
      <c r="F1794">
        <f t="shared" si="66"/>
        <v>603.11205003003101</v>
      </c>
    </row>
    <row r="1795" spans="1:6" x14ac:dyDescent="0.25">
      <c r="A1795">
        <v>-161.60406819868348</v>
      </c>
      <c r="B1795">
        <v>-6.6481683954033617</v>
      </c>
      <c r="C1795">
        <v>911.4248</v>
      </c>
      <c r="E1795">
        <f t="shared" si="65"/>
        <v>148.48790443651734</v>
      </c>
      <c r="F1795">
        <f t="shared" si="66"/>
        <v>599.1347446376127</v>
      </c>
    </row>
    <row r="1796" spans="1:6" x14ac:dyDescent="0.25">
      <c r="A1796">
        <v>-159.39796965034216</v>
      </c>
      <c r="B1796">
        <v>-13.990886712176799</v>
      </c>
      <c r="C1796">
        <v>911.4248</v>
      </c>
      <c r="E1796">
        <f t="shared" si="65"/>
        <v>143.79693910559121</v>
      </c>
      <c r="F1796">
        <f t="shared" si="66"/>
        <v>594.84654995053734</v>
      </c>
    </row>
    <row r="1797" spans="1:6" x14ac:dyDescent="0.25">
      <c r="A1797">
        <v>-156.69349072879871</v>
      </c>
      <c r="B1797">
        <v>-21.442412842241747</v>
      </c>
      <c r="C1797">
        <v>911.4248</v>
      </c>
      <c r="E1797">
        <f t="shared" si="65"/>
        <v>138.60170238034937</v>
      </c>
      <c r="F1797">
        <f t="shared" si="66"/>
        <v>590.61281854238143</v>
      </c>
    </row>
    <row r="1798" spans="1:6" x14ac:dyDescent="0.25">
      <c r="A1798">
        <v>-153.3820502785006</v>
      </c>
      <c r="B1798">
        <v>-29.133112201946535</v>
      </c>
      <c r="C1798">
        <v>911.4248</v>
      </c>
      <c r="E1798">
        <f t="shared" si="65"/>
        <v>132.75410623233319</v>
      </c>
      <c r="F1798">
        <f t="shared" si="66"/>
        <v>586.3750057936312</v>
      </c>
    </row>
    <row r="1799" spans="1:6" x14ac:dyDescent="0.25">
      <c r="A1799">
        <v>-149.05910595951642</v>
      </c>
      <c r="B1799">
        <v>-36.995070627422741</v>
      </c>
      <c r="C1799">
        <v>911.4248</v>
      </c>
      <c r="E1799">
        <f t="shared" si="65"/>
        <v>125.90081611094396</v>
      </c>
      <c r="F1799">
        <f t="shared" si="66"/>
        <v>582.28045744362828</v>
      </c>
    </row>
    <row r="1800" spans="1:6" x14ac:dyDescent="0.25">
      <c r="A1800">
        <v>-143.50410381608083</v>
      </c>
      <c r="B1800">
        <v>-43.722910299738921</v>
      </c>
      <c r="C1800">
        <v>911.4248</v>
      </c>
      <c r="E1800">
        <f t="shared" si="65"/>
        <v>118.30373273244504</v>
      </c>
      <c r="F1800">
        <f t="shared" si="66"/>
        <v>579.24679632131244</v>
      </c>
    </row>
    <row r="1801" spans="1:6" x14ac:dyDescent="0.25">
      <c r="A1801">
        <v>-138.03097525610906</v>
      </c>
      <c r="B1801">
        <v>-49.515834738391213</v>
      </c>
      <c r="C1801">
        <v>911.4248</v>
      </c>
      <c r="E1801">
        <f t="shared" si="65"/>
        <v>111.1181285842019</v>
      </c>
      <c r="F1801">
        <f t="shared" si="66"/>
        <v>576.80956399645459</v>
      </c>
    </row>
    <row r="1802" spans="1:6" x14ac:dyDescent="0.25">
      <c r="A1802">
        <v>-132.65781749754035</v>
      </c>
      <c r="B1802">
        <v>-54.733492136831245</v>
      </c>
      <c r="C1802">
        <v>911.4248</v>
      </c>
      <c r="E1802">
        <f t="shared" si="65"/>
        <v>104.23201248901175</v>
      </c>
      <c r="F1802">
        <f t="shared" si="66"/>
        <v>574.72675601808419</v>
      </c>
    </row>
    <row r="1803" spans="1:6" x14ac:dyDescent="0.25">
      <c r="A1803">
        <v>-126.98395443703849</v>
      </c>
      <c r="B1803">
        <v>-59.614738572742773</v>
      </c>
      <c r="C1803">
        <v>911.4248</v>
      </c>
      <c r="E1803">
        <f t="shared" si="65"/>
        <v>97.185722716638793</v>
      </c>
      <c r="F1803">
        <f t="shared" si="66"/>
        <v>572.94222677467314</v>
      </c>
    </row>
    <row r="1804" spans="1:6" x14ac:dyDescent="0.25">
      <c r="A1804">
        <v>-120.30466144628151</v>
      </c>
      <c r="B1804">
        <v>-64.237192844572363</v>
      </c>
      <c r="C1804">
        <v>911.4248</v>
      </c>
      <c r="E1804">
        <f t="shared" si="65"/>
        <v>89.293526058365643</v>
      </c>
      <c r="F1804">
        <f t="shared" si="66"/>
        <v>571.5833172378251</v>
      </c>
    </row>
    <row r="1805" spans="1:6" x14ac:dyDescent="0.25">
      <c r="A1805">
        <v>-113.2440180619641</v>
      </c>
      <c r="B1805">
        <v>-68.894324046863687</v>
      </c>
      <c r="C1805">
        <v>911.4248</v>
      </c>
      <c r="E1805">
        <f t="shared" si="65"/>
        <v>81.032881036561349</v>
      </c>
      <c r="F1805">
        <f t="shared" si="66"/>
        <v>570.29815190612635</v>
      </c>
    </row>
    <row r="1806" spans="1:6" x14ac:dyDescent="0.25">
      <c r="A1806">
        <v>-105.52948380453191</v>
      </c>
      <c r="B1806">
        <v>-73.759129239197264</v>
      </c>
      <c r="C1806">
        <v>911.4248</v>
      </c>
      <c r="E1806">
        <f t="shared" si="65"/>
        <v>72.087352592566617</v>
      </c>
      <c r="F1806">
        <f t="shared" si="66"/>
        <v>569.04159127763842</v>
      </c>
    </row>
    <row r="1807" spans="1:6" x14ac:dyDescent="0.25">
      <c r="A1807">
        <v>-96.62690725096077</v>
      </c>
      <c r="B1807">
        <v>-78.891711456318532</v>
      </c>
      <c r="C1807">
        <v>911.4248</v>
      </c>
      <c r="E1807">
        <f t="shared" si="65"/>
        <v>61.936728411737278</v>
      </c>
      <c r="F1807">
        <f t="shared" si="66"/>
        <v>567.90931519662581</v>
      </c>
    </row>
    <row r="1808" spans="1:6" x14ac:dyDescent="0.25">
      <c r="A1808">
        <v>-85.693057521216858</v>
      </c>
      <c r="B1808">
        <v>-84.360206693795163</v>
      </c>
      <c r="C1808">
        <v>911.4248</v>
      </c>
      <c r="E1808">
        <f t="shared" si="65"/>
        <v>49.769366892433908</v>
      </c>
      <c r="F1808">
        <f t="shared" si="66"/>
        <v>567.07002271676527</v>
      </c>
    </row>
    <row r="1809" spans="1:6" x14ac:dyDescent="0.25">
      <c r="A1809">
        <v>-71.387808200570532</v>
      </c>
      <c r="B1809">
        <v>-90.778828207723919</v>
      </c>
      <c r="C1809">
        <v>911.4248</v>
      </c>
      <c r="E1809">
        <f t="shared" si="65"/>
        <v>34.114037899662108</v>
      </c>
      <c r="F1809">
        <f t="shared" si="66"/>
        <v>566.45784039384182</v>
      </c>
    </row>
    <row r="1810" spans="1:6" x14ac:dyDescent="0.25">
      <c r="A1810">
        <v>-49.586498869809304</v>
      </c>
      <c r="B1810">
        <v>-98.756483169207812</v>
      </c>
      <c r="C1810">
        <v>911.4248</v>
      </c>
      <c r="E1810">
        <f t="shared" si="65"/>
        <v>10.901826385725739</v>
      </c>
      <c r="F1810">
        <f t="shared" si="66"/>
        <v>566.71601073712816</v>
      </c>
    </row>
    <row r="1811" spans="1:6" x14ac:dyDescent="0.25">
      <c r="A1811">
        <v>-24.79775889813444</v>
      </c>
      <c r="B1811">
        <v>-104.13282689303696</v>
      </c>
      <c r="C1811">
        <v>911.4248</v>
      </c>
      <c r="E1811">
        <f t="shared" si="65"/>
        <v>-14.167165325718114</v>
      </c>
      <c r="F1811">
        <f t="shared" si="66"/>
        <v>569.44844150401218</v>
      </c>
    </row>
    <row r="1812" spans="1:6" x14ac:dyDescent="0.25">
      <c r="A1812">
        <v>4.3997849764350301E-14</v>
      </c>
      <c r="B1812">
        <v>-105.95916955455674</v>
      </c>
      <c r="C1812">
        <v>911.4248</v>
      </c>
      <c r="E1812">
        <f t="shared" ref="E1812:E1866" si="67">($I$2*A1812)+($K$2*B1812)+($M$2*C1812)</f>
        <v>-37.972370328789232</v>
      </c>
      <c r="F1812">
        <f t="shared" ref="F1812:F1866" si="68">($J$2*A1812)+($L$2*B1812)+($N$2*C1812)</f>
        <v>574.52665913665908</v>
      </c>
    </row>
    <row r="1813" spans="1:6" x14ac:dyDescent="0.25">
      <c r="A1813">
        <v>24.797758898134326</v>
      </c>
      <c r="B1813">
        <v>-104.13282689303696</v>
      </c>
      <c r="C1813">
        <v>911.4248</v>
      </c>
      <c r="E1813">
        <f t="shared" si="67"/>
        <v>-60.468569982308267</v>
      </c>
      <c r="F1813">
        <f t="shared" si="68"/>
        <v>582.01616429508897</v>
      </c>
    </row>
    <row r="1814" spans="1:6" x14ac:dyDescent="0.25">
      <c r="A1814">
        <v>49.586498869809311</v>
      </c>
      <c r="B1814">
        <v>-98.756483169207797</v>
      </c>
      <c r="C1814">
        <v>911.4248</v>
      </c>
      <c r="E1814">
        <f t="shared" si="67"/>
        <v>-81.684143141033417</v>
      </c>
      <c r="F1814">
        <f t="shared" si="68"/>
        <v>591.84688544785422</v>
      </c>
    </row>
    <row r="1815" spans="1:6" x14ac:dyDescent="0.25">
      <c r="A1815">
        <v>71.387808200570589</v>
      </c>
      <c r="B1815">
        <v>-90.778828207724047</v>
      </c>
      <c r="C1815">
        <v>911.4248</v>
      </c>
      <c r="E1815">
        <f t="shared" si="67"/>
        <v>-99.178482953516138</v>
      </c>
      <c r="F1815">
        <f t="shared" si="68"/>
        <v>602.63781084249501</v>
      </c>
    </row>
    <row r="1816" spans="1:6" x14ac:dyDescent="0.25">
      <c r="A1816">
        <v>85.693057521216787</v>
      </c>
      <c r="B1816">
        <v>-84.360206693795092</v>
      </c>
      <c r="C1816">
        <v>911.4248</v>
      </c>
      <c r="E1816">
        <f t="shared" si="67"/>
        <v>-110.23335548457976</v>
      </c>
      <c r="F1816">
        <f t="shared" si="68"/>
        <v>610.50001961569785</v>
      </c>
    </row>
    <row r="1817" spans="1:6" x14ac:dyDescent="0.25">
      <c r="A1817">
        <v>96.626907250960571</v>
      </c>
      <c r="B1817">
        <v>-78.891711456318461</v>
      </c>
      <c r="C1817">
        <v>911.4248</v>
      </c>
      <c r="E1817">
        <f t="shared" si="67"/>
        <v>-118.48125015317753</v>
      </c>
      <c r="F1817">
        <f t="shared" si="68"/>
        <v>616.88068351574145</v>
      </c>
    </row>
    <row r="1818" spans="1:6" x14ac:dyDescent="0.25">
      <c r="A1818">
        <v>105.52948380453181</v>
      </c>
      <c r="B1818">
        <v>-73.759129239197264</v>
      </c>
      <c r="C1818">
        <v>911.4248</v>
      </c>
      <c r="E1818">
        <f t="shared" si="67"/>
        <v>-124.95316840396217</v>
      </c>
      <c r="F1818">
        <f t="shared" si="68"/>
        <v>622.52486386645967</v>
      </c>
    </row>
    <row r="1819" spans="1:6" x14ac:dyDescent="0.25">
      <c r="A1819">
        <v>113.2440180619641</v>
      </c>
      <c r="B1819">
        <v>-68.894324046863645</v>
      </c>
      <c r="C1819">
        <v>911.4248</v>
      </c>
      <c r="E1819">
        <f t="shared" si="67"/>
        <v>-130.41191632452913</v>
      </c>
      <c r="F1819">
        <f t="shared" si="68"/>
        <v>627.69121845689176</v>
      </c>
    </row>
    <row r="1820" spans="1:6" x14ac:dyDescent="0.25">
      <c r="A1820">
        <v>120.30466144628159</v>
      </c>
      <c r="B1820">
        <v>-64.237192844572263</v>
      </c>
      <c r="C1820">
        <v>911.4248</v>
      </c>
      <c r="E1820">
        <f t="shared" si="67"/>
        <v>-135.3346282268763</v>
      </c>
      <c r="F1820">
        <f t="shared" si="68"/>
        <v>632.55478009227545</v>
      </c>
    </row>
    <row r="1821" spans="1:6" x14ac:dyDescent="0.25">
      <c r="A1821">
        <v>126.98395443703863</v>
      </c>
      <c r="B1821">
        <v>-59.614738572742773</v>
      </c>
      <c r="C1821">
        <v>911.4248</v>
      </c>
      <c r="E1821">
        <f t="shared" si="67"/>
        <v>-139.91374596662459</v>
      </c>
      <c r="F1821">
        <f t="shared" si="68"/>
        <v>637.29881419191327</v>
      </c>
    </row>
    <row r="1822" spans="1:6" x14ac:dyDescent="0.25">
      <c r="A1822">
        <v>132.65781749754035</v>
      </c>
      <c r="B1822">
        <v>-54.733492136831309</v>
      </c>
      <c r="C1822">
        <v>911.4248</v>
      </c>
      <c r="E1822">
        <f t="shared" si="67"/>
        <v>-143.46147118607161</v>
      </c>
      <c r="F1822">
        <f t="shared" si="68"/>
        <v>641.95890724703168</v>
      </c>
    </row>
    <row r="1823" spans="1:6" x14ac:dyDescent="0.25">
      <c r="A1823">
        <v>138.030975256109</v>
      </c>
      <c r="B1823">
        <v>-49.515834738391199</v>
      </c>
      <c r="C1823">
        <v>911.4248</v>
      </c>
      <c r="E1823">
        <f t="shared" si="67"/>
        <v>-146.60790491464402</v>
      </c>
      <c r="F1823">
        <f t="shared" si="68"/>
        <v>646.76487893950264</v>
      </c>
    </row>
    <row r="1824" spans="1:6" x14ac:dyDescent="0.25">
      <c r="A1824">
        <v>143.50410381608162</v>
      </c>
      <c r="B1824">
        <v>-43.722910299739041</v>
      </c>
      <c r="C1824">
        <v>911.4248</v>
      </c>
      <c r="E1824">
        <f t="shared" si="67"/>
        <v>-149.64151215698666</v>
      </c>
      <c r="F1824">
        <f t="shared" si="68"/>
        <v>651.97594106181168</v>
      </c>
    </row>
    <row r="1825" spans="1:6" x14ac:dyDescent="0.25">
      <c r="A1825">
        <v>149.05910595951642</v>
      </c>
      <c r="B1825">
        <v>-36.995070627422727</v>
      </c>
      <c r="C1825">
        <v>911.4248</v>
      </c>
      <c r="E1825">
        <f t="shared" si="67"/>
        <v>-152.41651131900986</v>
      </c>
      <c r="F1825">
        <f t="shared" si="68"/>
        <v>657.82492623535791</v>
      </c>
    </row>
    <row r="1826" spans="1:6" x14ac:dyDescent="0.25">
      <c r="A1826">
        <v>153.38205027850054</v>
      </c>
      <c r="B1826">
        <v>-29.133112201946524</v>
      </c>
      <c r="C1826">
        <v>911.4248</v>
      </c>
      <c r="E1826">
        <f t="shared" si="67"/>
        <v>-153.63485359970241</v>
      </c>
      <c r="F1826">
        <f t="shared" si="68"/>
        <v>664.11038087110353</v>
      </c>
    </row>
    <row r="1827" spans="1:6" x14ac:dyDescent="0.25">
      <c r="A1827">
        <v>156.69349072879871</v>
      </c>
      <c r="B1827">
        <v>-21.442412842241751</v>
      </c>
      <c r="C1827">
        <v>911.4248</v>
      </c>
      <c r="E1827">
        <f t="shared" si="67"/>
        <v>-153.97024942750511</v>
      </c>
      <c r="F1827">
        <f t="shared" si="68"/>
        <v>670.02646082897797</v>
      </c>
    </row>
    <row r="1828" spans="1:6" x14ac:dyDescent="0.25">
      <c r="A1828">
        <v>159.3979696503423</v>
      </c>
      <c r="B1828">
        <v>-13.99088671217681</v>
      </c>
      <c r="C1828">
        <v>911.4248</v>
      </c>
      <c r="E1828">
        <f t="shared" si="67"/>
        <v>-153.82470987231787</v>
      </c>
      <c r="F1828">
        <f t="shared" si="68"/>
        <v>675.6308459933822</v>
      </c>
    </row>
    <row r="1829" spans="1:6" x14ac:dyDescent="0.25">
      <c r="A1829">
        <v>161.60406819868317</v>
      </c>
      <c r="B1829">
        <v>-6.6481683954033706</v>
      </c>
      <c r="C1829">
        <v>911.4248</v>
      </c>
      <c r="E1829">
        <f t="shared" si="67"/>
        <v>-153.25288538870197</v>
      </c>
      <c r="F1829">
        <f t="shared" si="68"/>
        <v>681.0371108705599</v>
      </c>
    </row>
    <row r="1830" spans="1:6" x14ac:dyDescent="0.25">
      <c r="A1830">
        <v>163.22765272706192</v>
      </c>
      <c r="B1830">
        <v>5.6682421767024936E-14</v>
      </c>
      <c r="C1830">
        <v>911.4248</v>
      </c>
      <c r="E1830">
        <f t="shared" si="67"/>
        <v>-152.38614164906747</v>
      </c>
      <c r="F1830">
        <f t="shared" si="68"/>
        <v>685.83726321315464</v>
      </c>
    </row>
    <row r="1831" spans="1:6" x14ac:dyDescent="0.25">
      <c r="A1831">
        <v>161.60406819868328</v>
      </c>
      <c r="B1831">
        <v>6.6481683954033652</v>
      </c>
      <c r="C1831">
        <v>911.4248</v>
      </c>
      <c r="E1831">
        <f t="shared" si="67"/>
        <v>-148.48790443651691</v>
      </c>
      <c r="F1831">
        <f t="shared" si="68"/>
        <v>689.81456860557273</v>
      </c>
    </row>
    <row r="1832" spans="1:6" x14ac:dyDescent="0.25">
      <c r="A1832">
        <v>159.39796965034233</v>
      </c>
      <c r="B1832">
        <v>13.990886712176847</v>
      </c>
      <c r="C1832">
        <v>911.4248</v>
      </c>
      <c r="E1832">
        <f t="shared" si="67"/>
        <v>-143.79693910559109</v>
      </c>
      <c r="F1832">
        <f t="shared" si="68"/>
        <v>694.10276329264821</v>
      </c>
    </row>
    <row r="1833" spans="1:6" x14ac:dyDescent="0.25">
      <c r="A1833">
        <v>156.69349072879862</v>
      </c>
      <c r="B1833">
        <v>21.442412842241801</v>
      </c>
      <c r="C1833">
        <v>911.4248</v>
      </c>
      <c r="E1833">
        <f t="shared" si="67"/>
        <v>-138.60170238034902</v>
      </c>
      <c r="F1833">
        <f t="shared" si="68"/>
        <v>698.33649470080411</v>
      </c>
    </row>
    <row r="1834" spans="1:6" x14ac:dyDescent="0.25">
      <c r="A1834">
        <v>153.38205027850049</v>
      </c>
      <c r="B1834">
        <v>29.133112201946535</v>
      </c>
      <c r="C1834">
        <v>911.4248</v>
      </c>
      <c r="E1834">
        <f t="shared" si="67"/>
        <v>-132.75410623233284</v>
      </c>
      <c r="F1834">
        <f t="shared" si="68"/>
        <v>702.57430744955434</v>
      </c>
    </row>
    <row r="1835" spans="1:6" x14ac:dyDescent="0.25">
      <c r="A1835">
        <v>149.05910595951642</v>
      </c>
      <c r="B1835">
        <v>36.995070627422791</v>
      </c>
      <c r="C1835">
        <v>911.4248</v>
      </c>
      <c r="E1835">
        <f t="shared" si="67"/>
        <v>-125.90081611094372</v>
      </c>
      <c r="F1835">
        <f t="shared" si="68"/>
        <v>706.66885579955726</v>
      </c>
    </row>
    <row r="1836" spans="1:6" x14ac:dyDescent="0.25">
      <c r="A1836">
        <v>143.50410381608182</v>
      </c>
      <c r="B1836">
        <v>43.722910299739134</v>
      </c>
      <c r="C1836">
        <v>911.4248</v>
      </c>
      <c r="E1836">
        <f t="shared" si="67"/>
        <v>-118.30373273244568</v>
      </c>
      <c r="F1836">
        <f t="shared" si="68"/>
        <v>709.70251692187344</v>
      </c>
    </row>
    <row r="1837" spans="1:6" x14ac:dyDescent="0.25">
      <c r="A1837">
        <v>138.03097525610917</v>
      </c>
      <c r="B1837">
        <v>49.515834738391227</v>
      </c>
      <c r="C1837">
        <v>911.4248</v>
      </c>
      <c r="E1837">
        <f t="shared" si="67"/>
        <v>-111.11812858420178</v>
      </c>
      <c r="F1837">
        <f t="shared" si="68"/>
        <v>712.13974924673096</v>
      </c>
    </row>
    <row r="1838" spans="1:6" x14ac:dyDescent="0.25">
      <c r="A1838">
        <v>132.65781749754049</v>
      </c>
      <c r="B1838">
        <v>54.733492136831337</v>
      </c>
      <c r="C1838">
        <v>911.4248</v>
      </c>
      <c r="E1838">
        <f t="shared" si="67"/>
        <v>-104.23201248901162</v>
      </c>
      <c r="F1838">
        <f t="shared" si="68"/>
        <v>714.22255722510135</v>
      </c>
    </row>
    <row r="1839" spans="1:6" x14ac:dyDescent="0.25">
      <c r="A1839">
        <v>126.98395443703859</v>
      </c>
      <c r="B1839">
        <v>59.614738572742823</v>
      </c>
      <c r="C1839">
        <v>911.4248</v>
      </c>
      <c r="E1839">
        <f t="shared" si="67"/>
        <v>-97.185722716638637</v>
      </c>
      <c r="F1839">
        <f t="shared" si="68"/>
        <v>716.0070864685124</v>
      </c>
    </row>
    <row r="1840" spans="1:6" x14ac:dyDescent="0.25">
      <c r="A1840">
        <v>120.30466144628143</v>
      </c>
      <c r="B1840">
        <v>64.237192844572235</v>
      </c>
      <c r="C1840">
        <v>911.4248</v>
      </c>
      <c r="E1840">
        <f t="shared" si="67"/>
        <v>-89.293526058365373</v>
      </c>
      <c r="F1840">
        <f t="shared" si="68"/>
        <v>717.36599600536033</v>
      </c>
    </row>
    <row r="1841" spans="1:6" x14ac:dyDescent="0.25">
      <c r="A1841">
        <v>113.24401806196403</v>
      </c>
      <c r="B1841">
        <v>68.894324046863645</v>
      </c>
      <c r="C1841">
        <v>911.4248</v>
      </c>
      <c r="E1841">
        <f t="shared" si="67"/>
        <v>-81.032881036561093</v>
      </c>
      <c r="F1841">
        <f t="shared" si="68"/>
        <v>718.65116133705919</v>
      </c>
    </row>
    <row r="1842" spans="1:6" x14ac:dyDescent="0.25">
      <c r="A1842">
        <v>105.52948380453194</v>
      </c>
      <c r="B1842">
        <v>73.759129239197222</v>
      </c>
      <c r="C1842">
        <v>911.4248</v>
      </c>
      <c r="E1842">
        <f t="shared" si="67"/>
        <v>-72.087352592566432</v>
      </c>
      <c r="F1842">
        <f t="shared" si="68"/>
        <v>719.90772196554713</v>
      </c>
    </row>
    <row r="1843" spans="1:6" x14ac:dyDescent="0.25">
      <c r="A1843">
        <v>96.626907250960727</v>
      </c>
      <c r="B1843">
        <v>78.891711456318575</v>
      </c>
      <c r="C1843">
        <v>911.4248</v>
      </c>
      <c r="E1843">
        <f t="shared" si="67"/>
        <v>-61.936728411736993</v>
      </c>
      <c r="F1843">
        <f t="shared" si="68"/>
        <v>721.03999804655973</v>
      </c>
    </row>
    <row r="1844" spans="1:6" x14ac:dyDescent="0.25">
      <c r="A1844">
        <v>85.6930575212169</v>
      </c>
      <c r="B1844">
        <v>84.360206693795121</v>
      </c>
      <c r="C1844">
        <v>911.4248</v>
      </c>
      <c r="E1844">
        <f t="shared" si="67"/>
        <v>-49.769366892433737</v>
      </c>
      <c r="F1844">
        <f t="shared" si="68"/>
        <v>721.87929052642028</v>
      </c>
    </row>
    <row r="1845" spans="1:6" x14ac:dyDescent="0.25">
      <c r="A1845">
        <v>71.38780820057049</v>
      </c>
      <c r="B1845">
        <v>90.778828207724104</v>
      </c>
      <c r="C1845">
        <v>911.4248</v>
      </c>
      <c r="E1845">
        <f t="shared" si="67"/>
        <v>-34.114037899661774</v>
      </c>
      <c r="F1845">
        <f t="shared" si="68"/>
        <v>722.49147284934384</v>
      </c>
    </row>
    <row r="1846" spans="1:6" x14ac:dyDescent="0.25">
      <c r="A1846">
        <v>49.58649886980934</v>
      </c>
      <c r="B1846">
        <v>98.756483169207868</v>
      </c>
      <c r="C1846">
        <v>911.4248</v>
      </c>
      <c r="E1846">
        <f t="shared" si="67"/>
        <v>-10.901826385725522</v>
      </c>
      <c r="F1846">
        <f t="shared" si="68"/>
        <v>722.23330250605738</v>
      </c>
    </row>
    <row r="1847" spans="1:6" x14ac:dyDescent="0.25">
      <c r="A1847">
        <v>24.797758898134308</v>
      </c>
      <c r="B1847">
        <v>104.13282689303701</v>
      </c>
      <c r="C1847">
        <v>911.4248</v>
      </c>
      <c r="E1847">
        <f t="shared" si="67"/>
        <v>14.167165325718473</v>
      </c>
      <c r="F1847">
        <f t="shared" si="68"/>
        <v>719.50087173917336</v>
      </c>
    </row>
    <row r="1848" spans="1:6" x14ac:dyDescent="0.25">
      <c r="A1848">
        <v>4.1534634947048626E-14</v>
      </c>
      <c r="B1848">
        <v>105.95916955455682</v>
      </c>
      <c r="C1848">
        <v>911.4248</v>
      </c>
      <c r="E1848">
        <f t="shared" si="67"/>
        <v>37.972370328789417</v>
      </c>
      <c r="F1848">
        <f t="shared" si="68"/>
        <v>714.42265410652658</v>
      </c>
    </row>
    <row r="1849" spans="1:6" x14ac:dyDescent="0.25">
      <c r="A1849">
        <v>-24.797758898134401</v>
      </c>
      <c r="B1849">
        <v>104.13282689303701</v>
      </c>
      <c r="C1849">
        <v>911.4248</v>
      </c>
      <c r="E1849">
        <f t="shared" si="67"/>
        <v>60.46856998230858</v>
      </c>
      <c r="F1849">
        <f t="shared" si="68"/>
        <v>706.93314894809657</v>
      </c>
    </row>
    <row r="1850" spans="1:6" x14ac:dyDescent="0.25">
      <c r="A1850">
        <v>-49.58649886980924</v>
      </c>
      <c r="B1850">
        <v>98.756483169207911</v>
      </c>
      <c r="C1850">
        <v>911.4248</v>
      </c>
      <c r="E1850">
        <f t="shared" si="67"/>
        <v>81.68414314103363</v>
      </c>
      <c r="F1850">
        <f t="shared" si="68"/>
        <v>697.10242779533132</v>
      </c>
    </row>
    <row r="1851" spans="1:6" x14ac:dyDescent="0.25">
      <c r="A1851">
        <v>-71.387808200570561</v>
      </c>
      <c r="B1851">
        <v>90.778828207724061</v>
      </c>
      <c r="C1851">
        <v>911.4248</v>
      </c>
      <c r="E1851">
        <f t="shared" si="67"/>
        <v>99.178482953516351</v>
      </c>
      <c r="F1851">
        <f t="shared" si="68"/>
        <v>686.31150240069053</v>
      </c>
    </row>
    <row r="1852" spans="1:6" x14ac:dyDescent="0.25">
      <c r="A1852">
        <v>-85.693057521216744</v>
      </c>
      <c r="B1852">
        <v>84.36020669379522</v>
      </c>
      <c r="C1852">
        <v>911.4248</v>
      </c>
      <c r="E1852">
        <f t="shared" si="67"/>
        <v>110.23335548457999</v>
      </c>
      <c r="F1852">
        <f t="shared" si="68"/>
        <v>678.4492936274878</v>
      </c>
    </row>
    <row r="1853" spans="1:6" x14ac:dyDescent="0.25">
      <c r="A1853">
        <v>-96.626907250960585</v>
      </c>
      <c r="B1853">
        <v>78.891711456318617</v>
      </c>
      <c r="C1853">
        <v>911.4248</v>
      </c>
      <c r="E1853">
        <f t="shared" si="67"/>
        <v>118.48125015317783</v>
      </c>
      <c r="F1853">
        <f t="shared" si="68"/>
        <v>672.06862972744409</v>
      </c>
    </row>
    <row r="1854" spans="1:6" x14ac:dyDescent="0.25">
      <c r="A1854">
        <v>-105.52948380453185</v>
      </c>
      <c r="B1854">
        <v>73.759129239197293</v>
      </c>
      <c r="C1854">
        <v>911.4248</v>
      </c>
      <c r="E1854">
        <f t="shared" si="67"/>
        <v>124.95316840396245</v>
      </c>
      <c r="F1854">
        <f t="shared" si="68"/>
        <v>666.42444937672587</v>
      </c>
    </row>
    <row r="1855" spans="1:6" x14ac:dyDescent="0.25">
      <c r="A1855">
        <v>-113.24401806196404</v>
      </c>
      <c r="B1855">
        <v>68.894324046863616</v>
      </c>
      <c r="C1855">
        <v>911.4248</v>
      </c>
      <c r="E1855">
        <f t="shared" si="67"/>
        <v>130.4119163245293</v>
      </c>
      <c r="F1855">
        <f t="shared" si="68"/>
        <v>661.25809478629378</v>
      </c>
    </row>
    <row r="1856" spans="1:6" x14ac:dyDescent="0.25">
      <c r="A1856">
        <v>-120.30466144628143</v>
      </c>
      <c r="B1856">
        <v>64.237192844572377</v>
      </c>
      <c r="C1856">
        <v>911.4248</v>
      </c>
      <c r="E1856">
        <f t="shared" si="67"/>
        <v>135.33462822687642</v>
      </c>
      <c r="F1856">
        <f t="shared" si="68"/>
        <v>656.39453315091021</v>
      </c>
    </row>
    <row r="1857" spans="1:6" x14ac:dyDescent="0.25">
      <c r="A1857">
        <v>-126.98395443703853</v>
      </c>
      <c r="B1857">
        <v>59.614738572742844</v>
      </c>
      <c r="C1857">
        <v>911.4248</v>
      </c>
      <c r="E1857">
        <f t="shared" si="67"/>
        <v>139.91374596662476</v>
      </c>
      <c r="F1857">
        <f t="shared" si="68"/>
        <v>651.65049905127228</v>
      </c>
    </row>
    <row r="1858" spans="1:6" x14ac:dyDescent="0.25">
      <c r="A1858">
        <v>-132.65781749754032</v>
      </c>
      <c r="B1858">
        <v>54.733492136831245</v>
      </c>
      <c r="C1858">
        <v>911.4248</v>
      </c>
      <c r="E1858">
        <f t="shared" si="67"/>
        <v>143.46147118607178</v>
      </c>
      <c r="F1858">
        <f t="shared" si="68"/>
        <v>646.99040599615387</v>
      </c>
    </row>
    <row r="1859" spans="1:6" x14ac:dyDescent="0.25">
      <c r="A1859">
        <v>-138.03097525610914</v>
      </c>
      <c r="B1859">
        <v>49.515834738391327</v>
      </c>
      <c r="C1859">
        <v>911.4248</v>
      </c>
      <c r="E1859">
        <f t="shared" si="67"/>
        <v>146.60790491464445</v>
      </c>
      <c r="F1859">
        <f t="shared" si="68"/>
        <v>642.18443430368302</v>
      </c>
    </row>
    <row r="1860" spans="1:6" x14ac:dyDescent="0.25">
      <c r="A1860">
        <v>-143.50410381608177</v>
      </c>
      <c r="B1860">
        <v>43.722910299739148</v>
      </c>
      <c r="C1860">
        <v>911.4248</v>
      </c>
      <c r="E1860">
        <f t="shared" si="67"/>
        <v>149.64151215698706</v>
      </c>
      <c r="F1860">
        <f t="shared" si="68"/>
        <v>636.97337218137397</v>
      </c>
    </row>
    <row r="1861" spans="1:6" x14ac:dyDescent="0.25">
      <c r="A1861">
        <v>-149.05910595951636</v>
      </c>
      <c r="B1861">
        <v>36.995070627422827</v>
      </c>
      <c r="C1861">
        <v>911.4248</v>
      </c>
      <c r="E1861">
        <f t="shared" si="67"/>
        <v>152.41651131901008</v>
      </c>
      <c r="F1861">
        <f t="shared" si="68"/>
        <v>631.12438700782764</v>
      </c>
    </row>
    <row r="1862" spans="1:6" x14ac:dyDescent="0.25">
      <c r="A1862">
        <v>-153.38205027850071</v>
      </c>
      <c r="B1862">
        <v>29.13311220194668</v>
      </c>
      <c r="C1862">
        <v>911.4248</v>
      </c>
      <c r="E1862">
        <f t="shared" si="67"/>
        <v>153.63485359970286</v>
      </c>
      <c r="F1862">
        <f t="shared" si="68"/>
        <v>624.83893237208213</v>
      </c>
    </row>
    <row r="1863" spans="1:6" x14ac:dyDescent="0.25">
      <c r="A1863">
        <v>-156.69349072879876</v>
      </c>
      <c r="B1863">
        <v>21.442412842241747</v>
      </c>
      <c r="C1863">
        <v>911.4248</v>
      </c>
      <c r="E1863">
        <f t="shared" si="67"/>
        <v>153.97024942750537</v>
      </c>
      <c r="F1863">
        <f t="shared" si="68"/>
        <v>618.92285241420757</v>
      </c>
    </row>
    <row r="1864" spans="1:6" x14ac:dyDescent="0.25">
      <c r="A1864">
        <v>-159.3979696503423</v>
      </c>
      <c r="B1864">
        <v>13.990886712176833</v>
      </c>
      <c r="C1864">
        <v>911.4248</v>
      </c>
      <c r="E1864">
        <f t="shared" si="67"/>
        <v>153.8247098723181</v>
      </c>
      <c r="F1864">
        <f t="shared" si="68"/>
        <v>613.31846724980335</v>
      </c>
    </row>
    <row r="1865" spans="1:6" x14ac:dyDescent="0.25">
      <c r="A1865">
        <v>-161.60406819868325</v>
      </c>
      <c r="B1865">
        <v>6.6481683954034354</v>
      </c>
      <c r="C1865">
        <v>911.4248</v>
      </c>
      <c r="E1865">
        <f t="shared" si="67"/>
        <v>153.25288538870228</v>
      </c>
      <c r="F1865">
        <f t="shared" si="68"/>
        <v>607.91220237262564</v>
      </c>
    </row>
    <row r="1866" spans="1:6" x14ac:dyDescent="0.25">
      <c r="A1866">
        <v>-163.22765272706184</v>
      </c>
      <c r="B1866">
        <v>6.8597808801445846E-14</v>
      </c>
      <c r="C1866">
        <v>911.4248</v>
      </c>
      <c r="E1866">
        <f t="shared" si="67"/>
        <v>152.38614164906767</v>
      </c>
      <c r="F1866">
        <f t="shared" si="68"/>
        <v>603.11205003003101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Scroll Bar 4">
              <controlPr defaultSize="0" autoPict="0">
                <anchor moveWithCells="1">
                  <from>
                    <xdr:col>21</xdr:col>
                    <xdr:colOff>600075</xdr:colOff>
                    <xdr:row>1</xdr:row>
                    <xdr:rowOff>9525</xdr:rowOff>
                  </from>
                  <to>
                    <xdr:col>25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4" name="Scroll Bar 6">
              <controlPr defaultSize="0" autoPict="0">
                <anchor mov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25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Scroll Bar 7">
              <controlPr defaultSize="0" autoPict="0">
                <anchor moveWithCells="1">
                  <from>
                    <xdr:col>21</xdr:col>
                    <xdr:colOff>600075</xdr:colOff>
                    <xdr:row>5</xdr:row>
                    <xdr:rowOff>0</xdr:rowOff>
                  </from>
                  <to>
                    <xdr:col>25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239C7-1FB1-47D1-ABA5-3A9CFB83700E}">
  <sheetPr codeName="Sheet2"/>
  <dimension ref="A1:U12"/>
  <sheetViews>
    <sheetView workbookViewId="0">
      <selection activeCell="P6" sqref="P6"/>
    </sheetView>
  </sheetViews>
  <sheetFormatPr defaultColWidth="8.85546875" defaultRowHeight="15" x14ac:dyDescent="0.25"/>
  <sheetData>
    <row r="1" spans="1:21" x14ac:dyDescent="0.25">
      <c r="A1">
        <v>0</v>
      </c>
      <c r="B1">
        <v>0</v>
      </c>
      <c r="C1">
        <v>0</v>
      </c>
    </row>
    <row r="2" spans="1:21" x14ac:dyDescent="0.25">
      <c r="A2">
        <v>3</v>
      </c>
      <c r="B2">
        <v>0.375</v>
      </c>
      <c r="C2">
        <v>0.11</v>
      </c>
      <c r="I2">
        <f ca="1">'Cross Section Analysis'!J116-'Cross Section Analysis'!B118</f>
        <v>255.71358789794147</v>
      </c>
      <c r="K2">
        <v>493.95161180143532</v>
      </c>
      <c r="L2">
        <v>0.5953156470817067</v>
      </c>
      <c r="N2">
        <f t="array" ref="N2:O3">MINVERSE(K2:L3)</f>
        <v>-1.4264894556055576E-3</v>
      </c>
      <c r="O2">
        <v>2.2756663405015292E-2</v>
      </c>
      <c r="Q2">
        <f t="array" aca="1" ref="Q2:Q3" ca="1">MMULT(N2:O3,I2:I3)</f>
        <v>-0.36477273072766947</v>
      </c>
      <c r="S2">
        <f ca="1">'Cross Section Analysis'!B53+Reference!Q2</f>
        <v>0.76486723723126449</v>
      </c>
      <c r="U2">
        <v>1.1715235041500063</v>
      </c>
    </row>
    <row r="3" spans="1:21" x14ac:dyDescent="0.25">
      <c r="A3">
        <v>4</v>
      </c>
      <c r="B3">
        <v>0.5</v>
      </c>
      <c r="C3">
        <v>0.2</v>
      </c>
      <c r="I3">
        <f ca="1">'Cross Section Analysis'!N115-'Cross Section Analysis'!B121</f>
        <v>2.6646300654853405E-7</v>
      </c>
      <c r="K3">
        <v>74.906269670378833</v>
      </c>
      <c r="L3">
        <v>3.7317047679841231E-2</v>
      </c>
      <c r="N3">
        <v>2.8633831046946421</v>
      </c>
      <c r="O3">
        <v>-18.881900086505311</v>
      </c>
      <c r="Q3">
        <f ca="1"/>
        <v>732.20596219648598</v>
      </c>
      <c r="S3">
        <f ca="1">Q3+'Cross Section Analysis'!B78</f>
        <v>745.12168039453252</v>
      </c>
      <c r="U3">
        <v>6.3730114079794804</v>
      </c>
    </row>
    <row r="4" spans="1:21" x14ac:dyDescent="0.25">
      <c r="A4">
        <v>5</v>
      </c>
      <c r="B4">
        <v>0.625</v>
      </c>
      <c r="C4">
        <v>0.31</v>
      </c>
    </row>
    <row r="5" spans="1:21" x14ac:dyDescent="0.25">
      <c r="A5">
        <v>6</v>
      </c>
      <c r="B5">
        <v>0.75</v>
      </c>
      <c r="C5">
        <v>0.44</v>
      </c>
    </row>
    <row r="6" spans="1:21" x14ac:dyDescent="0.25">
      <c r="A6">
        <v>7</v>
      </c>
      <c r="B6">
        <v>0.875</v>
      </c>
      <c r="C6">
        <v>0.6</v>
      </c>
    </row>
    <row r="7" spans="1:21" x14ac:dyDescent="0.25">
      <c r="A7">
        <v>8</v>
      </c>
      <c r="B7">
        <v>1</v>
      </c>
      <c r="C7">
        <v>0.79</v>
      </c>
    </row>
    <row r="8" spans="1:21" x14ac:dyDescent="0.25">
      <c r="A8">
        <v>9</v>
      </c>
      <c r="B8">
        <v>1.1279999999999999</v>
      </c>
      <c r="C8">
        <v>1</v>
      </c>
    </row>
    <row r="9" spans="1:21" x14ac:dyDescent="0.25">
      <c r="A9">
        <v>10</v>
      </c>
      <c r="B9">
        <v>1.27</v>
      </c>
      <c r="C9">
        <v>1.27</v>
      </c>
    </row>
    <row r="10" spans="1:21" x14ac:dyDescent="0.25">
      <c r="A10">
        <v>11</v>
      </c>
      <c r="B10">
        <v>1.41</v>
      </c>
      <c r="C10">
        <v>1.56</v>
      </c>
    </row>
    <row r="11" spans="1:21" x14ac:dyDescent="0.25">
      <c r="A11">
        <v>14</v>
      </c>
      <c r="B11">
        <v>1.6930000000000001</v>
      </c>
      <c r="C11">
        <v>2.25</v>
      </c>
    </row>
    <row r="12" spans="1:21" x14ac:dyDescent="0.25">
      <c r="A12">
        <v>18</v>
      </c>
      <c r="B12">
        <v>2.2570000000000001</v>
      </c>
      <c r="C12">
        <v>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2293755B0C1C458CEABDE3487C809F" ma:contentTypeVersion="11" ma:contentTypeDescription="Create a new document." ma:contentTypeScope="" ma:versionID="17b1a2cd11f8f5d6d4f3bb7988a2da44">
  <xsd:schema xmlns:xsd="http://www.w3.org/2001/XMLSchema" xmlns:xs="http://www.w3.org/2001/XMLSchema" xmlns:p="http://schemas.microsoft.com/office/2006/metadata/properties" xmlns:ns2="e084eb51-e41f-419d-868e-d827d41fdf42" xmlns:ns3="a54a5347-8adb-4f47-b158-08c1baf179b6" targetNamespace="http://schemas.microsoft.com/office/2006/metadata/properties" ma:root="true" ma:fieldsID="747251f9c5377854abca8fc51c5615ab" ns2:_="" ns3:_="">
    <xsd:import namespace="e084eb51-e41f-419d-868e-d827d41fdf42"/>
    <xsd:import namespace="a54a5347-8adb-4f47-b158-08c1baf179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84eb51-e41f-419d-868e-d827d41fdf4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4a5347-8adb-4f47-b158-08c1baf179b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A6B3A5-42BC-4C96-82C2-CE544D769DC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4D90F7A-FC30-45D5-8F55-850AABE4945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13D28E3-3597-4BD9-87AD-5985392E30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084eb51-e41f-419d-868e-d827d41fdf42"/>
    <ds:schemaRef ds:uri="a54a5347-8adb-4f47-b158-08c1baf17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Cross Section Analysis</vt:lpstr>
      <vt:lpstr>failure_surface</vt:lpstr>
      <vt:lpstr>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 Bockoven</dc:creator>
  <cp:lastModifiedBy>Donald Bockoven III</cp:lastModifiedBy>
  <dcterms:created xsi:type="dcterms:W3CDTF">2020-01-14T22:46:38Z</dcterms:created>
  <dcterms:modified xsi:type="dcterms:W3CDTF">2020-10-12T15:03:47Z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0x010100D02293755B0C1C458CEABDE3487C809F</vt:lpwstr>
  </property>
</Properties>
</file>