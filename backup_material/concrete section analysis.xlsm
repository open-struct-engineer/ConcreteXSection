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onaldbockoven/Downloads/"/>
    </mc:Choice>
  </mc:AlternateContent>
  <xr:revisionPtr revIDLastSave="0" documentId="13_ncr:1_{8CA5A5CC-DF90-C646-A0A2-F62071951178}" xr6:coauthVersionLast="45" xr6:coauthVersionMax="45" xr10:uidLastSave="{00000000-0000-0000-0000-000000000000}"/>
  <bookViews>
    <workbookView xWindow="0" yWindow="440" windowWidth="25600" windowHeight="14520" xr2:uid="{A97B9A5E-BB54-4E55-BD22-158AAF84A460}"/>
  </bookViews>
  <sheets>
    <sheet name="Sheet1" sheetId="1" r:id="rId1"/>
    <sheet name="Reference" sheetId="2" r:id="rId2"/>
  </sheets>
  <definedNames>
    <definedName name="solver_adj" localSheetId="0" hidden="1">Sheet1!$B$53,Sheet1!$B$78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Sheet1!$D$121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90" i="1" l="1"/>
  <c r="B490" i="1"/>
  <c r="B121" i="1" l="1"/>
  <c r="C35" i="1" l="1"/>
  <c r="C36" i="1"/>
  <c r="C37" i="1"/>
  <c r="C38" i="1"/>
  <c r="C39" i="1"/>
  <c r="C40" i="1"/>
  <c r="C41" i="1"/>
  <c r="C42" i="1"/>
  <c r="C43" i="1"/>
  <c r="C44" i="1"/>
  <c r="C45" i="1"/>
  <c r="C34" i="1"/>
  <c r="C14" i="1"/>
  <c r="C15" i="1"/>
  <c r="C16" i="1"/>
  <c r="C17" i="1"/>
  <c r="C18" i="1"/>
  <c r="C19" i="1"/>
  <c r="C20" i="1"/>
  <c r="C21" i="1"/>
  <c r="C22" i="1"/>
  <c r="C23" i="1"/>
  <c r="C24" i="1"/>
  <c r="C13" i="1"/>
  <c r="G115" i="1"/>
  <c r="G114" i="1"/>
  <c r="D97" i="1"/>
  <c r="C97" i="1"/>
  <c r="A109" i="1"/>
  <c r="A99" i="1"/>
  <c r="A100" i="1"/>
  <c r="A101" i="1"/>
  <c r="A102" i="1"/>
  <c r="A103" i="1"/>
  <c r="A104" i="1"/>
  <c r="A105" i="1"/>
  <c r="A106" i="1"/>
  <c r="A107" i="1"/>
  <c r="A108" i="1"/>
  <c r="A98" i="1"/>
  <c r="B85" i="1"/>
  <c r="B3" i="1"/>
  <c r="J118" i="1" l="1"/>
  <c r="B98" i="1"/>
  <c r="J117" i="1"/>
  <c r="B4" i="1"/>
  <c r="B81" i="1" s="1"/>
  <c r="A75" i="1"/>
  <c r="B75" i="1"/>
  <c r="A65" i="1"/>
  <c r="B65" i="1"/>
  <c r="A66" i="1"/>
  <c r="B66" i="1"/>
  <c r="A67" i="1"/>
  <c r="B67" i="1"/>
  <c r="A68" i="1"/>
  <c r="B68" i="1"/>
  <c r="A69" i="1"/>
  <c r="B69" i="1"/>
  <c r="A70" i="1"/>
  <c r="B70" i="1"/>
  <c r="A71" i="1"/>
  <c r="B71" i="1"/>
  <c r="A72" i="1"/>
  <c r="B72" i="1"/>
  <c r="A73" i="1"/>
  <c r="B73" i="1"/>
  <c r="A74" i="1"/>
  <c r="B74" i="1"/>
  <c r="B64" i="1"/>
  <c r="A64" i="1"/>
  <c r="H7" i="1"/>
  <c r="G7" i="1"/>
  <c r="A35" i="1"/>
  <c r="A36" i="1"/>
  <c r="A37" i="1"/>
  <c r="A38" i="1"/>
  <c r="A39" i="1"/>
  <c r="A40" i="1"/>
  <c r="A41" i="1"/>
  <c r="A42" i="1"/>
  <c r="A43" i="1"/>
  <c r="A44" i="1"/>
  <c r="A45" i="1"/>
  <c r="A34" i="1"/>
  <c r="B28" i="1"/>
  <c r="B29" i="1" s="1"/>
  <c r="B30" i="1" s="1"/>
  <c r="B103" i="1"/>
  <c r="B104" i="1"/>
  <c r="B105" i="1"/>
  <c r="C72" i="1"/>
  <c r="B107" i="1"/>
  <c r="C74" i="1"/>
  <c r="C75" i="1"/>
  <c r="B34" i="1"/>
  <c r="B43" i="1" l="1"/>
  <c r="C70" i="1"/>
  <c r="B38" i="1"/>
  <c r="D38" i="1" s="1"/>
  <c r="E38" i="1" s="1"/>
  <c r="B102" i="1"/>
  <c r="C69" i="1"/>
  <c r="B37" i="1"/>
  <c r="D37" i="1" s="1"/>
  <c r="E37" i="1" s="1"/>
  <c r="B101" i="1"/>
  <c r="B44" i="1"/>
  <c r="D44" i="1" s="1"/>
  <c r="B108" i="1"/>
  <c r="B35" i="1"/>
  <c r="D35" i="1" s="1"/>
  <c r="F35" i="1" s="1"/>
  <c r="B99" i="1"/>
  <c r="B40" i="1"/>
  <c r="D40" i="1" s="1"/>
  <c r="E40" i="1" s="1"/>
  <c r="B45" i="1"/>
  <c r="D45" i="1" s="1"/>
  <c r="E45" i="1" s="1"/>
  <c r="B109" i="1"/>
  <c r="B36" i="1"/>
  <c r="D36" i="1" s="1"/>
  <c r="B100" i="1"/>
  <c r="B41" i="1"/>
  <c r="D41" i="1" s="1"/>
  <c r="F41" i="1" s="1"/>
  <c r="C71" i="1"/>
  <c r="B42" i="1"/>
  <c r="D42" i="1" s="1"/>
  <c r="E42" i="1" s="1"/>
  <c r="B106" i="1"/>
  <c r="B39" i="1"/>
  <c r="D39" i="1" s="1"/>
  <c r="E39" i="1" s="1"/>
  <c r="C73" i="1"/>
  <c r="C68" i="1"/>
  <c r="C67" i="1"/>
  <c r="C66" i="1"/>
  <c r="C65" i="1"/>
  <c r="C64" i="1"/>
  <c r="D34" i="1"/>
  <c r="F34" i="1" s="1"/>
  <c r="B31" i="1"/>
  <c r="E6" i="1"/>
  <c r="E5" i="1"/>
  <c r="D5" i="1"/>
  <c r="D4" i="1"/>
  <c r="D43" i="1" l="1"/>
  <c r="E43" i="1" s="1"/>
  <c r="F39" i="1"/>
  <c r="E34" i="1"/>
  <c r="E44" i="1"/>
  <c r="F44" i="1"/>
  <c r="F36" i="1"/>
  <c r="E36" i="1"/>
  <c r="E41" i="1"/>
  <c r="F42" i="1"/>
  <c r="F45" i="1"/>
  <c r="F37" i="1"/>
  <c r="F38" i="1"/>
  <c r="F40" i="1"/>
  <c r="E35" i="1"/>
  <c r="G3" i="1"/>
  <c r="H3" i="1" s="1"/>
  <c r="D46" i="1" l="1"/>
  <c r="B48" i="1" s="1"/>
  <c r="F43" i="1"/>
  <c r="F46" i="1" s="1"/>
  <c r="B50" i="1" s="1"/>
  <c r="E46" i="1"/>
  <c r="B49" i="1" s="1"/>
  <c r="D49" i="1" l="1"/>
  <c r="A60" i="1" s="1"/>
  <c r="E49" i="1"/>
  <c r="B60" i="1" s="1"/>
  <c r="B57" i="1" l="1"/>
  <c r="B58" i="1"/>
  <c r="B61" i="1"/>
  <c r="E67" i="1"/>
  <c r="A59" i="1"/>
  <c r="E74" i="1"/>
  <c r="D65" i="1"/>
  <c r="E75" i="1"/>
  <c r="D73" i="1"/>
  <c r="B59" i="1"/>
  <c r="E69" i="1"/>
  <c r="E68" i="1"/>
  <c r="E65" i="1"/>
  <c r="E72" i="1"/>
  <c r="A61" i="1"/>
  <c r="D72" i="1"/>
  <c r="D70" i="1"/>
  <c r="D71" i="1"/>
  <c r="D69" i="1"/>
  <c r="D66" i="1"/>
  <c r="A57" i="1"/>
  <c r="A58" i="1"/>
  <c r="D64" i="1"/>
  <c r="D68" i="1"/>
  <c r="D67" i="1"/>
  <c r="D74" i="1"/>
  <c r="D75" i="1"/>
  <c r="C60" i="1"/>
  <c r="B91" i="1" s="1"/>
  <c r="E64" i="1"/>
  <c r="D60" i="1"/>
  <c r="C91" i="1" s="1"/>
  <c r="E73" i="1"/>
  <c r="E70" i="1"/>
  <c r="E66" i="1"/>
  <c r="E71" i="1"/>
  <c r="F69" i="1" l="1"/>
  <c r="C103" i="1" s="1"/>
  <c r="F72" i="1"/>
  <c r="C106" i="1" s="1"/>
  <c r="G71" i="1"/>
  <c r="D105" i="1" s="1"/>
  <c r="G70" i="1"/>
  <c r="D104" i="1" s="1"/>
  <c r="G68" i="1"/>
  <c r="D102" i="1" s="1"/>
  <c r="F67" i="1"/>
  <c r="C101" i="1" s="1"/>
  <c r="C61" i="1"/>
  <c r="D91" i="1" s="1"/>
  <c r="D57" i="1"/>
  <c r="C88" i="1" s="1"/>
  <c r="F74" i="1"/>
  <c r="C108" i="1" s="1"/>
  <c r="G65" i="1"/>
  <c r="D99" i="1" s="1"/>
  <c r="D61" i="1"/>
  <c r="E91" i="1" s="1"/>
  <c r="C59" i="1"/>
  <c r="D89" i="1" s="1"/>
  <c r="F70" i="1"/>
  <c r="C104" i="1" s="1"/>
  <c r="G64" i="1"/>
  <c r="D98" i="1" s="1"/>
  <c r="F65" i="1"/>
  <c r="C99" i="1" s="1"/>
  <c r="D58" i="1"/>
  <c r="D59" i="1"/>
  <c r="F75" i="1"/>
  <c r="C109" i="1" s="1"/>
  <c r="G72" i="1"/>
  <c r="D106" i="1" s="1"/>
  <c r="F73" i="1"/>
  <c r="C107" i="1" s="1"/>
  <c r="C58" i="1"/>
  <c r="C57" i="1"/>
  <c r="F68" i="1"/>
  <c r="C102" i="1" s="1"/>
  <c r="G73" i="1"/>
  <c r="D107" i="1" s="1"/>
  <c r="G69" i="1"/>
  <c r="D103" i="1" s="1"/>
  <c r="G66" i="1"/>
  <c r="D100" i="1" s="1"/>
  <c r="D90" i="1"/>
  <c r="F64" i="1"/>
  <c r="C98" i="1" s="1"/>
  <c r="F66" i="1"/>
  <c r="C100" i="1" s="1"/>
  <c r="G67" i="1"/>
  <c r="D101" i="1" s="1"/>
  <c r="G75" i="1"/>
  <c r="D109" i="1" s="1"/>
  <c r="G74" i="1"/>
  <c r="D108" i="1" s="1"/>
  <c r="E90" i="1"/>
  <c r="F71" i="1"/>
  <c r="C105" i="1" s="1"/>
  <c r="T59" i="1" l="1"/>
  <c r="D83" i="1"/>
  <c r="B90" i="1"/>
  <c r="B88" i="1"/>
  <c r="G91" i="1"/>
  <c r="G58" i="1"/>
  <c r="E103" i="1" s="1"/>
  <c r="E88" i="1"/>
  <c r="E82" i="1"/>
  <c r="F91" i="1" s="1"/>
  <c r="C89" i="1"/>
  <c r="D79" i="1"/>
  <c r="G57" i="1"/>
  <c r="E78" i="1"/>
  <c r="E79" i="1" s="1"/>
  <c r="E89" i="1"/>
  <c r="C90" i="1"/>
  <c r="D88" i="1"/>
  <c r="B89" i="1"/>
  <c r="D78" i="1"/>
  <c r="D82" i="1"/>
  <c r="U59" i="1" l="1"/>
  <c r="U60" i="1" s="1"/>
  <c r="T60" i="1"/>
  <c r="F90" i="1"/>
  <c r="F89" i="1"/>
  <c r="F88" i="1"/>
  <c r="I88" i="1" s="1"/>
  <c r="H91" i="1"/>
  <c r="G88" i="1"/>
  <c r="G90" i="1"/>
  <c r="E108" i="1"/>
  <c r="E98" i="1"/>
  <c r="F98" i="1" s="1"/>
  <c r="G98" i="1" s="1"/>
  <c r="H98" i="1" s="1"/>
  <c r="J98" i="1" s="1"/>
  <c r="E106" i="1"/>
  <c r="E100" i="1"/>
  <c r="F100" i="1" s="1"/>
  <c r="G100" i="1" s="1"/>
  <c r="H100" i="1" s="1"/>
  <c r="I100" i="1" s="1"/>
  <c r="E105" i="1"/>
  <c r="E102" i="1"/>
  <c r="F102" i="1" s="1"/>
  <c r="G102" i="1" s="1"/>
  <c r="H102" i="1" s="1"/>
  <c r="J102" i="1" s="1"/>
  <c r="E104" i="1"/>
  <c r="E107" i="1"/>
  <c r="E109" i="1"/>
  <c r="E99" i="1"/>
  <c r="F99" i="1" s="1"/>
  <c r="G99" i="1" s="1"/>
  <c r="H99" i="1" s="1"/>
  <c r="I99" i="1" s="1"/>
  <c r="E101" i="1"/>
  <c r="F101" i="1" s="1"/>
  <c r="G101" i="1" s="1"/>
  <c r="H101" i="1" s="1"/>
  <c r="I101" i="1" s="1"/>
  <c r="I91" i="1"/>
  <c r="E83" i="1"/>
  <c r="G89" i="1"/>
  <c r="F103" i="1"/>
  <c r="G103" i="1" s="1"/>
  <c r="H103" i="1" s="1"/>
  <c r="F105" i="1"/>
  <c r="F104" i="1"/>
  <c r="F107" i="1"/>
  <c r="F108" i="1"/>
  <c r="F106" i="1"/>
  <c r="F109" i="1"/>
  <c r="H90" i="1" l="1"/>
  <c r="L91" i="1"/>
  <c r="H89" i="1"/>
  <c r="G106" i="1"/>
  <c r="H106" i="1" s="1"/>
  <c r="J106" i="1" s="1"/>
  <c r="G108" i="1"/>
  <c r="H108" i="1" s="1"/>
  <c r="I108" i="1" s="1"/>
  <c r="J91" i="1"/>
  <c r="K91" i="1"/>
  <c r="J99" i="1"/>
  <c r="J101" i="1"/>
  <c r="G109" i="1"/>
  <c r="H109" i="1" s="1"/>
  <c r="J109" i="1" s="1"/>
  <c r="H88" i="1"/>
  <c r="K88" i="1" s="1"/>
  <c r="I102" i="1"/>
  <c r="G105" i="1"/>
  <c r="H105" i="1" s="1"/>
  <c r="J105" i="1" s="1"/>
  <c r="I89" i="1"/>
  <c r="G107" i="1"/>
  <c r="H107" i="1" s="1"/>
  <c r="J107" i="1" s="1"/>
  <c r="G104" i="1"/>
  <c r="H104" i="1" s="1"/>
  <c r="I104" i="1" s="1"/>
  <c r="J100" i="1"/>
  <c r="I90" i="1"/>
  <c r="I98" i="1"/>
  <c r="F110" i="1"/>
  <c r="J113" i="1" s="1"/>
  <c r="J103" i="1"/>
  <c r="I103" i="1"/>
  <c r="J90" i="1" l="1"/>
  <c r="K90" i="1"/>
  <c r="L90" i="1"/>
  <c r="J89" i="1"/>
  <c r="L89" i="1"/>
  <c r="K89" i="1"/>
  <c r="I106" i="1"/>
  <c r="J108" i="1"/>
  <c r="L88" i="1"/>
  <c r="J88" i="1"/>
  <c r="I105" i="1"/>
  <c r="I109" i="1"/>
  <c r="J104" i="1"/>
  <c r="H110" i="1"/>
  <c r="I107" i="1"/>
  <c r="K92" i="1" l="1"/>
  <c r="J92" i="1"/>
  <c r="B113" i="1" s="1"/>
  <c r="J116" i="1" s="1"/>
  <c r="L92" i="1"/>
  <c r="J110" i="1"/>
  <c r="I110" i="1"/>
  <c r="B114" i="1" l="1"/>
  <c r="D115" i="1"/>
  <c r="B115" i="1"/>
  <c r="D114" i="1"/>
  <c r="F114" i="1" l="1"/>
  <c r="H114" i="1" s="1"/>
  <c r="J114" i="1" s="1"/>
  <c r="F115" i="1"/>
  <c r="H115" i="1" s="1"/>
  <c r="J115" i="1" s="1"/>
  <c r="N115" i="1" l="1"/>
</calcChain>
</file>

<file path=xl/sharedStrings.xml><?xml version="1.0" encoding="utf-8"?>
<sst xmlns="http://schemas.openxmlformats.org/spreadsheetml/2006/main" count="129" uniqueCount="86">
  <si>
    <t>x</t>
  </si>
  <si>
    <t>y</t>
  </si>
  <si>
    <t xml:space="preserve">B = </t>
  </si>
  <si>
    <t xml:space="preserve">H = </t>
  </si>
  <si>
    <t xml:space="preserve">F'c = </t>
  </si>
  <si>
    <t>ksi</t>
  </si>
  <si>
    <t>in</t>
  </si>
  <si>
    <t>Section Coordinates</t>
  </si>
  <si>
    <t>Reinf Steel:</t>
  </si>
  <si>
    <t xml:space="preserve">Fy = </t>
  </si>
  <si>
    <t>Bar #</t>
  </si>
  <si>
    <t>As (in^2)</t>
  </si>
  <si>
    <t xml:space="preserve">Es = </t>
  </si>
  <si>
    <t xml:space="preserve">Ec = </t>
  </si>
  <si>
    <t>plot_scale</t>
  </si>
  <si>
    <t>Plastic Center</t>
  </si>
  <si>
    <t>Concrete:</t>
  </si>
  <si>
    <t xml:space="preserve">Area = </t>
  </si>
  <si>
    <t>in^2</t>
  </si>
  <si>
    <t xml:space="preserve">CC = </t>
  </si>
  <si>
    <t>kips</t>
  </si>
  <si>
    <t xml:space="preserve">CC_Mx = </t>
  </si>
  <si>
    <t xml:space="preserve">CC_My = </t>
  </si>
  <si>
    <t>in-kips</t>
  </si>
  <si>
    <t>Steel:</t>
  </si>
  <si>
    <t>CS (kips)</t>
  </si>
  <si>
    <t>CS_Mx</t>
  </si>
  <si>
    <t>CS_My</t>
  </si>
  <si>
    <t>C =</t>
  </si>
  <si>
    <t>Mx =</t>
  </si>
  <si>
    <t xml:space="preserve">My = </t>
  </si>
  <si>
    <t>Xp:</t>
  </si>
  <si>
    <t>Yp:</t>
  </si>
  <si>
    <t>Geometric Center</t>
  </si>
  <si>
    <t>Coordinate Transformation to make plastic center = 0,0</t>
  </si>
  <si>
    <t xml:space="preserve">Beta1 = </t>
  </si>
  <si>
    <t>NA Angle:</t>
  </si>
  <si>
    <t>x'</t>
  </si>
  <si>
    <t>y'</t>
  </si>
  <si>
    <t>degrees</t>
  </si>
  <si>
    <t>Transformed H:</t>
  </si>
  <si>
    <t>NA Depth:</t>
  </si>
  <si>
    <t>Beta1*NA=</t>
  </si>
  <si>
    <t>X1</t>
  </si>
  <si>
    <t>Y1</t>
  </si>
  <si>
    <t>X2</t>
  </si>
  <si>
    <t>Y2</t>
  </si>
  <si>
    <t>Forces From Compression Block</t>
  </si>
  <si>
    <t>Edge Segment</t>
  </si>
  <si>
    <t>M</t>
  </si>
  <si>
    <t>Xna</t>
  </si>
  <si>
    <t>Yna</t>
  </si>
  <si>
    <t>Cc</t>
  </si>
  <si>
    <t>Cc_Mx</t>
  </si>
  <si>
    <t>Cc_My</t>
  </si>
  <si>
    <t xml:space="preserve">0.85*F'c = </t>
  </si>
  <si>
    <t>Forces from Steel</t>
  </si>
  <si>
    <t>Bar</t>
  </si>
  <si>
    <t xml:space="preserve">eu = </t>
  </si>
  <si>
    <t>Strain</t>
  </si>
  <si>
    <t>As</t>
  </si>
  <si>
    <t>depth:</t>
  </si>
  <si>
    <t>peak:</t>
  </si>
  <si>
    <t>Stress</t>
  </si>
  <si>
    <t>Ps</t>
  </si>
  <si>
    <t>Ps_Mx</t>
  </si>
  <si>
    <t>Ps_My</t>
  </si>
  <si>
    <t xml:space="preserve">Pn = </t>
  </si>
  <si>
    <t>Pn * ecc. From PC to GC</t>
  </si>
  <si>
    <t xml:space="preserve">Mnx,pc = </t>
  </si>
  <si>
    <t xml:space="preserve">Mny,pc = </t>
  </si>
  <si>
    <t xml:space="preserve">Fy -F'c </t>
  </si>
  <si>
    <t>ft-kips</t>
  </si>
  <si>
    <t xml:space="preserve">phi = </t>
  </si>
  <si>
    <t>Goal:</t>
  </si>
  <si>
    <t>P</t>
  </si>
  <si>
    <t>Mx</t>
  </si>
  <si>
    <t>My</t>
  </si>
  <si>
    <t xml:space="preserve">Theta = </t>
  </si>
  <si>
    <t xml:space="preserve">theta = </t>
  </si>
  <si>
    <t>Iterations to try:</t>
  </si>
  <si>
    <t>Iterations Used:</t>
  </si>
  <si>
    <t>scale</t>
  </si>
  <si>
    <t>max phiPn</t>
  </si>
  <si>
    <t>min phiPn</t>
  </si>
  <si>
    <t>Alpha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</si>
</sst>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"/>
    <numFmt numFmtId="167" formatCode="0.0000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name val="Calibri"/>
    </font>
    <font>
      <sz val="12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Alignment="1">
      <alignment horizontal="center"/>
    </xf>
    <xf numFmtId="2" fontId="0" fillId="0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6" fontId="0" fillId="0" borderId="0" xfId="0" applyNumberFormat="1" applyAlignment="1">
      <alignment horizontal="left"/>
    </xf>
    <xf numFmtId="167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center"/>
    </xf>
    <xf numFmtId="166" fontId="3" fillId="0" borderId="0" xfId="0" applyNumberFormat="1" applyFont="1" applyFill="1" applyAlignment="1">
      <alignment horizontal="center"/>
    </xf>
    <xf numFmtId="164" fontId="3" fillId="0" borderId="0" xfId="0" applyNumberFormat="1" applyFont="1" applyFill="1"/>
    <xf numFmtId="164" fontId="3" fillId="0" borderId="0" xfId="0" applyNumberFormat="1" applyFont="1" applyFill="1" applyAlignment="1">
      <alignment horizontal="center"/>
    </xf>
    <xf numFmtId="166" fontId="3" fillId="0" borderId="0" xfId="0" applyNumberFormat="1" applyFont="1" applyFill="1"/>
    <xf numFmtId="2" fontId="3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2" fontId="0" fillId="3" borderId="2" xfId="0" applyNumberForma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2" xfId="0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Sheet1!$D$3:$D$7</c:f>
              <c:numCache>
                <c:formatCode>0.00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Sheet1!$E$3:$E$7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30</c:v>
                </c:pt>
                <c:pt idx="3">
                  <c:v>30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42-49CA-9FFE-7F61A1310FE6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Sheet1!$D$13:$D$24</c:f>
              <c:numCache>
                <c:formatCode>0.00</c:formatCode>
                <c:ptCount val="12"/>
                <c:pt idx="0">
                  <c:v>4</c:v>
                </c:pt>
                <c:pt idx="1">
                  <c:v>16</c:v>
                </c:pt>
                <c:pt idx="2">
                  <c:v>16</c:v>
                </c:pt>
                <c:pt idx="3">
                  <c:v>10</c:v>
                </c:pt>
                <c:pt idx="4">
                  <c:v>4</c:v>
                </c:pt>
              </c:numCache>
            </c:numRef>
          </c:xVal>
          <c:yVal>
            <c:numRef>
              <c:f>Sheet1!$E$13:$E$24</c:f>
              <c:numCache>
                <c:formatCode>0.00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42-49CA-9FFE-7F61A1310FE6}"/>
            </c:ext>
          </c:extLst>
        </c:ser>
        <c:ser>
          <c:idx val="2"/>
          <c:order val="2"/>
          <c:tx>
            <c:v>_scale_point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Sheet1!$G$3:$G$4</c:f>
              <c:numCache>
                <c:formatCode>General</c:formatCode>
                <c:ptCount val="2"/>
                <c:pt idx="0" formatCode="0.00">
                  <c:v>30</c:v>
                </c:pt>
                <c:pt idx="1">
                  <c:v>-1</c:v>
                </c:pt>
              </c:numCache>
            </c:numRef>
          </c:xVal>
          <c:yVal>
            <c:numRef>
              <c:f>Sheet1!$H$3:$H$4</c:f>
              <c:numCache>
                <c:formatCode>General</c:formatCode>
                <c:ptCount val="2"/>
                <c:pt idx="0" formatCode="0.00">
                  <c:v>30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42-49CA-9FFE-7F61A1310FE6}"/>
            </c:ext>
          </c:extLst>
        </c:ser>
        <c:ser>
          <c:idx val="3"/>
          <c:order val="3"/>
          <c:tx>
            <c:v>PLASTIC 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Sheet1!$D$49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Sheet1!$E$49</c:f>
              <c:numCache>
                <c:formatCode>0.000</c:formatCode>
                <c:ptCount val="1"/>
                <c:pt idx="0">
                  <c:v>15.229409569306561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42-49CA-9FFE-7F61A1310FE6}"/>
            </c:ext>
          </c:extLst>
        </c:ser>
        <c:ser>
          <c:idx val="4"/>
          <c:order val="4"/>
          <c:tx>
            <c:v>GEOMETRIC CENTER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Sheet1!$G$7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Sheet1!$H$7</c:f>
              <c:numCache>
                <c:formatCode>General</c:formatCode>
                <c:ptCount val="1"/>
                <c:pt idx="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42-49CA-9FFE-7F61A1310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TRANSFORMED X 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Sheet1!$C$57:$C$61</c:f>
              <c:numCache>
                <c:formatCode>0.000</c:formatCode>
                <c:ptCount val="5"/>
                <c:pt idx="0">
                  <c:v>-10.000000000000004</c:v>
                </c:pt>
                <c:pt idx="1">
                  <c:v>9.9999999999999964</c:v>
                </c:pt>
                <c:pt idx="2">
                  <c:v>10.000000000000004</c:v>
                </c:pt>
                <c:pt idx="3">
                  <c:v>-9.9999999999999964</c:v>
                </c:pt>
                <c:pt idx="4">
                  <c:v>-10.000000000000004</c:v>
                </c:pt>
              </c:numCache>
            </c:numRef>
          </c:xVal>
          <c:yVal>
            <c:numRef>
              <c:f>Sheet1!$D$57:$D$61</c:f>
              <c:numCache>
                <c:formatCode>0.000</c:formatCode>
                <c:ptCount val="5"/>
                <c:pt idx="0">
                  <c:v>-15.22940956930656</c:v>
                </c:pt>
                <c:pt idx="1">
                  <c:v>-15.229409569306563</c:v>
                </c:pt>
                <c:pt idx="2">
                  <c:v>14.770590430693437</c:v>
                </c:pt>
                <c:pt idx="3">
                  <c:v>14.77059043069344</c:v>
                </c:pt>
                <c:pt idx="4">
                  <c:v>-15.22940956930656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1-4499-A626-F3141CCA3A28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Sheet1!$F$64:$F$75</c:f>
              <c:numCache>
                <c:formatCode>0.000</c:formatCode>
                <c:ptCount val="12"/>
                <c:pt idx="0">
                  <c:v>-6.0000000000000027</c:v>
                </c:pt>
                <c:pt idx="1">
                  <c:v>5.9999999999999973</c:v>
                </c:pt>
                <c:pt idx="2">
                  <c:v>6.0000000000000027</c:v>
                </c:pt>
                <c:pt idx="3">
                  <c:v>2.639114444923527E-15</c:v>
                </c:pt>
                <c:pt idx="4">
                  <c:v>-5.9999999999999973</c:v>
                </c:pt>
                <c:pt idx="5">
                  <c:v>-10.000000000000004</c:v>
                </c:pt>
                <c:pt idx="6">
                  <c:v>-10.000000000000004</c:v>
                </c:pt>
                <c:pt idx="7">
                  <c:v>-10.000000000000004</c:v>
                </c:pt>
                <c:pt idx="8">
                  <c:v>-10.000000000000004</c:v>
                </c:pt>
                <c:pt idx="9">
                  <c:v>-10.000000000000004</c:v>
                </c:pt>
                <c:pt idx="10">
                  <c:v>-10.000000000000004</c:v>
                </c:pt>
                <c:pt idx="11">
                  <c:v>-10.000000000000004</c:v>
                </c:pt>
              </c:numCache>
            </c:numRef>
          </c:xVal>
          <c:yVal>
            <c:numRef>
              <c:f>Sheet1!$G$64:$G$75</c:f>
              <c:numCache>
                <c:formatCode>0.000</c:formatCode>
                <c:ptCount val="12"/>
                <c:pt idx="0">
                  <c:v>-11.22940956930656</c:v>
                </c:pt>
                <c:pt idx="1">
                  <c:v>-11.229409569306563</c:v>
                </c:pt>
                <c:pt idx="2">
                  <c:v>10.770590430693437</c:v>
                </c:pt>
                <c:pt idx="3">
                  <c:v>10.770590430693439</c:v>
                </c:pt>
                <c:pt idx="4">
                  <c:v>10.77059043069344</c:v>
                </c:pt>
                <c:pt idx="5">
                  <c:v>-15.22940956930656</c:v>
                </c:pt>
                <c:pt idx="6">
                  <c:v>-15.22940956930656</c:v>
                </c:pt>
                <c:pt idx="7">
                  <c:v>-15.22940956930656</c:v>
                </c:pt>
                <c:pt idx="8">
                  <c:v>-15.22940956930656</c:v>
                </c:pt>
                <c:pt idx="9">
                  <c:v>-15.22940956930656</c:v>
                </c:pt>
                <c:pt idx="10">
                  <c:v>-15.22940956930656</c:v>
                </c:pt>
                <c:pt idx="11">
                  <c:v>-15.22940956930656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1-4499-A626-F3141CCA3A28}"/>
            </c:ext>
          </c:extLst>
        </c:ser>
        <c:ser>
          <c:idx val="2"/>
          <c:order val="2"/>
          <c:tx>
            <c:v>NA</c:v>
          </c:tx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Sheet1!$D$78:$D$79</c:f>
              <c:numCache>
                <c:formatCode>0.000</c:formatCode>
                <c:ptCount val="2"/>
                <c:pt idx="0">
                  <c:v>-10.000000000000004</c:v>
                </c:pt>
                <c:pt idx="1">
                  <c:v>10.000000000000004</c:v>
                </c:pt>
              </c:numCache>
            </c:numRef>
          </c:xVal>
          <c:yVal>
            <c:numRef>
              <c:f>Sheet1!$E$78:$E$79</c:f>
              <c:numCache>
                <c:formatCode>0.000</c:formatCode>
                <c:ptCount val="2"/>
                <c:pt idx="0">
                  <c:v>6.6073622424078753</c:v>
                </c:pt>
                <c:pt idx="1">
                  <c:v>6.6073622424078753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1-4499-A626-F3141CCA3A28}"/>
            </c:ext>
          </c:extLst>
        </c:ser>
        <c:ser>
          <c:idx val="3"/>
          <c:order val="3"/>
          <c:tx>
            <c:v>Compression Block Base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Sheet1!$D$82:$D$83</c:f>
              <c:numCache>
                <c:formatCode>0.000</c:formatCode>
                <c:ptCount val="2"/>
                <c:pt idx="0">
                  <c:v>-10.000000000000004</c:v>
                </c:pt>
                <c:pt idx="1">
                  <c:v>10.000000000000004</c:v>
                </c:pt>
              </c:numCache>
            </c:numRef>
          </c:xVal>
          <c:yVal>
            <c:numRef>
              <c:f>Sheet1!$E$82:$E$83</c:f>
              <c:numCache>
                <c:formatCode>0.000</c:formatCode>
                <c:ptCount val="2"/>
                <c:pt idx="0">
                  <c:v>8.2400078800649901</c:v>
                </c:pt>
                <c:pt idx="1">
                  <c:v>8.2400078800649901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1-4499-A626-F3141CCA3A28}"/>
            </c:ext>
          </c:extLst>
        </c:ser>
        <c:ser>
          <c:idx val="4"/>
          <c:order val="4"/>
          <c:tx>
            <c:v>cbloc_points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Sheet1!$H$88:$H$91</c:f>
              <c:numCache>
                <c:formatCode>0.000</c:formatCode>
                <c:ptCount val="4"/>
                <c:pt idx="0">
                  <c:v>#N/A</c:v>
                </c:pt>
                <c:pt idx="1">
                  <c:v>9.9999999999999964</c:v>
                </c:pt>
                <c:pt idx="2">
                  <c:v>#N/A</c:v>
                </c:pt>
                <c:pt idx="3">
                  <c:v>-9.9999999999999964</c:v>
                </c:pt>
              </c:numCache>
            </c:numRef>
          </c:xVal>
          <c:yVal>
            <c:numRef>
              <c:f>Sheet1!$I$88:$I$91</c:f>
              <c:numCache>
                <c:formatCode>0.000</c:formatCode>
                <c:ptCount val="4"/>
                <c:pt idx="0">
                  <c:v>#N/A</c:v>
                </c:pt>
                <c:pt idx="1">
                  <c:v>8.2400078800649901</c:v>
                </c:pt>
                <c:pt idx="2">
                  <c:v>#N/A</c:v>
                </c:pt>
                <c:pt idx="3">
                  <c:v>8.2400078800649901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5-4190-9AC0-CF117630758C}"/>
            </c:ext>
          </c:extLst>
        </c:ser>
        <c:ser>
          <c:idx val="5"/>
          <c:order val="5"/>
          <c:tx>
            <c:v>_scale</c:v>
          </c:tx>
          <c:spPr>
            <a:ln w="1905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chemeClr val="accent6"/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Sheet1!$T$59:$T$60</c:f>
              <c:numCache>
                <c:formatCode>General</c:formatCode>
                <c:ptCount val="2"/>
                <c:pt idx="0">
                  <c:v>14.77059043069344</c:v>
                </c:pt>
                <c:pt idx="1">
                  <c:v>-14.77059043069344</c:v>
                </c:pt>
              </c:numCache>
            </c:numRef>
          </c:xVal>
          <c:yVal>
            <c:numRef>
              <c:f>Sheet1!$U$59:$U$60</c:f>
              <c:numCache>
                <c:formatCode>General</c:formatCode>
                <c:ptCount val="2"/>
                <c:pt idx="0">
                  <c:v>14.77059043069344</c:v>
                </c:pt>
                <c:pt idx="1">
                  <c:v>-14.77059043069344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7-4C63-A03A-DC06FDF14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Mx</a:t>
            </a:r>
            <a:r>
              <a:rPr lang="en-US" baseline="0"/>
              <a:t> vs My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Sheet1!$B$129:$B$490</c:f>
              <c:numCache>
                <c:formatCode>General</c:formatCode>
                <c:ptCount val="362"/>
                <c:pt idx="0">
                  <c:v>740.38113412517203</c:v>
                </c:pt>
                <c:pt idx="1">
                  <c:v>739.95257896967405</c:v>
                </c:pt>
                <c:pt idx="2">
                  <c:v>739.47350334150701</c:v>
                </c:pt>
                <c:pt idx="3">
                  <c:v>738.94227482990232</c:v>
                </c:pt>
                <c:pt idx="4">
                  <c:v>738.35756451467853</c:v>
                </c:pt>
                <c:pt idx="5">
                  <c:v>737.71796664410851</c:v>
                </c:pt>
                <c:pt idx="6">
                  <c:v>737.02198555154587</c:v>
                </c:pt>
                <c:pt idx="7">
                  <c:v>736.2680231893612</c:v>
                </c:pt>
                <c:pt idx="8">
                  <c:v>735.45436696497734</c:v>
                </c:pt>
                <c:pt idx="9">
                  <c:v>734.57917763471926</c:v>
                </c:pt>
                <c:pt idx="10">
                  <c:v>733.64047704028258</c:v>
                </c:pt>
                <c:pt idx="11">
                  <c:v>732.63613549279444</c:v>
                </c:pt>
                <c:pt idx="12">
                  <c:v>727.55864899145649</c:v>
                </c:pt>
                <c:pt idx="13">
                  <c:v>720.73912597584592</c:v>
                </c:pt>
                <c:pt idx="14">
                  <c:v>714.22618835330366</c:v>
                </c:pt>
                <c:pt idx="15">
                  <c:v>707.98072145770448</c:v>
                </c:pt>
                <c:pt idx="16">
                  <c:v>701.96840556046698</c:v>
                </c:pt>
                <c:pt idx="17">
                  <c:v>696.158914808605</c:v>
                </c:pt>
                <c:pt idx="18">
                  <c:v>690.52507586848355</c:v>
                </c:pt>
                <c:pt idx="19">
                  <c:v>685.04308663545396</c:v>
                </c:pt>
                <c:pt idx="20">
                  <c:v>679.69085482390074</c:v>
                </c:pt>
                <c:pt idx="21">
                  <c:v>674.44846409717695</c:v>
                </c:pt>
                <c:pt idx="22">
                  <c:v>669.29762607832959</c:v>
                </c:pt>
                <c:pt idx="23">
                  <c:v>664.22140407562256</c:v>
                </c:pt>
                <c:pt idx="24">
                  <c:v>659.20397506125335</c:v>
                </c:pt>
                <c:pt idx="25">
                  <c:v>654.23042237825052</c:v>
                </c:pt>
                <c:pt idx="26">
                  <c:v>649.28655309130477</c:v>
                </c:pt>
                <c:pt idx="27">
                  <c:v>644.35873495350813</c:v>
                </c:pt>
                <c:pt idx="28">
                  <c:v>638.1855007458895</c:v>
                </c:pt>
                <c:pt idx="29">
                  <c:v>630.77601057328047</c:v>
                </c:pt>
                <c:pt idx="30">
                  <c:v>623.3901539610107</c:v>
                </c:pt>
                <c:pt idx="31">
                  <c:v>616.01339363685679</c:v>
                </c:pt>
                <c:pt idx="32">
                  <c:v>608.63106908825603</c:v>
                </c:pt>
                <c:pt idx="33">
                  <c:v>601.22829348403172</c:v>
                </c:pt>
                <c:pt idx="34">
                  <c:v>593.78984895875794</c:v>
                </c:pt>
                <c:pt idx="35">
                  <c:v>586.2999650517412</c:v>
                </c:pt>
                <c:pt idx="36">
                  <c:v>581.5825105742482</c:v>
                </c:pt>
                <c:pt idx="37">
                  <c:v>573.87550754845665</c:v>
                </c:pt>
                <c:pt idx="38">
                  <c:v>566.0681677514566</c:v>
                </c:pt>
                <c:pt idx="39">
                  <c:v>558.14167348454316</c:v>
                </c:pt>
                <c:pt idx="40">
                  <c:v>550.08982043480069</c:v>
                </c:pt>
                <c:pt idx="41">
                  <c:v>542.08716471923469</c:v>
                </c:pt>
                <c:pt idx="42">
                  <c:v>534.17887953253398</c:v>
                </c:pt>
                <c:pt idx="43">
                  <c:v>526.34796877752638</c:v>
                </c:pt>
                <c:pt idx="44">
                  <c:v>518.57803933530693</c:v>
                </c:pt>
                <c:pt idx="45">
                  <c:v>510.85314879960623</c:v>
                </c:pt>
                <c:pt idx="46">
                  <c:v>503.15766060024799</c:v>
                </c:pt>
                <c:pt idx="47">
                  <c:v>495.47622882519948</c:v>
                </c:pt>
                <c:pt idx="48">
                  <c:v>487.79315218307835</c:v>
                </c:pt>
                <c:pt idx="49">
                  <c:v>480.09289332324488</c:v>
                </c:pt>
                <c:pt idx="50">
                  <c:v>472.35986922402543</c:v>
                </c:pt>
                <c:pt idx="51">
                  <c:v>464.57774121626102</c:v>
                </c:pt>
                <c:pt idx="52">
                  <c:v>456.72972184033677</c:v>
                </c:pt>
                <c:pt idx="53">
                  <c:v>448.79828184157248</c:v>
                </c:pt>
                <c:pt idx="54">
                  <c:v>440.76495750422043</c:v>
                </c:pt>
                <c:pt idx="55">
                  <c:v>432.61013471517867</c:v>
                </c:pt>
                <c:pt idx="56">
                  <c:v>424.31280366502295</c:v>
                </c:pt>
                <c:pt idx="57">
                  <c:v>415.85027676147189</c:v>
                </c:pt>
                <c:pt idx="58">
                  <c:v>407.19786058756506</c:v>
                </c:pt>
                <c:pt idx="59">
                  <c:v>398.32847045334989</c:v>
                </c:pt>
                <c:pt idx="60">
                  <c:v>389.2121730850775</c:v>
                </c:pt>
                <c:pt idx="61">
                  <c:v>379.81566657628417</c:v>
                </c:pt>
                <c:pt idx="62">
                  <c:v>370.1014659249455</c:v>
                </c:pt>
                <c:pt idx="63">
                  <c:v>360.02744723485</c:v>
                </c:pt>
                <c:pt idx="64">
                  <c:v>349.54542981848323</c:v>
                </c:pt>
                <c:pt idx="65">
                  <c:v>338.60023306193426</c:v>
                </c:pt>
                <c:pt idx="66">
                  <c:v>327.12803097878998</c:v>
                </c:pt>
                <c:pt idx="67">
                  <c:v>315.05441502570227</c:v>
                </c:pt>
                <c:pt idx="68">
                  <c:v>302.29189763752322</c:v>
                </c:pt>
                <c:pt idx="69">
                  <c:v>288.79964066219668</c:v>
                </c:pt>
                <c:pt idx="70">
                  <c:v>278.80389995961644</c:v>
                </c:pt>
                <c:pt idx="71">
                  <c:v>264.98788307091968</c:v>
                </c:pt>
                <c:pt idx="72">
                  <c:v>251.06441061738579</c:v>
                </c:pt>
                <c:pt idx="73">
                  <c:v>237.01004143060172</c:v>
                </c:pt>
                <c:pt idx="74">
                  <c:v>222.80009043162249</c:v>
                </c:pt>
                <c:pt idx="75">
                  <c:v>208.40850770250529</c:v>
                </c:pt>
                <c:pt idx="76">
                  <c:v>193.80768756813291</c:v>
                </c:pt>
                <c:pt idx="77">
                  <c:v>178.96826189050941</c:v>
                </c:pt>
                <c:pt idx="78">
                  <c:v>163.85887621501328</c:v>
                </c:pt>
                <c:pt idx="79">
                  <c:v>148.44594747124791</c:v>
                </c:pt>
                <c:pt idx="80">
                  <c:v>136.55215524077292</c:v>
                </c:pt>
                <c:pt idx="81">
                  <c:v>120.54007270473471</c:v>
                </c:pt>
                <c:pt idx="82">
                  <c:v>104.11713350894398</c:v>
                </c:pt>
                <c:pt idx="83">
                  <c:v>87.238912194618024</c:v>
                </c:pt>
                <c:pt idx="84">
                  <c:v>71.665810214849799</c:v>
                </c:pt>
                <c:pt idx="85">
                  <c:v>57.016345527540423</c:v>
                </c:pt>
                <c:pt idx="86">
                  <c:v>41.696215676759692</c:v>
                </c:pt>
                <c:pt idx="87">
                  <c:v>25.576721820733781</c:v>
                </c:pt>
                <c:pt idx="88">
                  <c:v>8.4992607692080693</c:v>
                </c:pt>
                <c:pt idx="89">
                  <c:v>-9.7337362371688467</c:v>
                </c:pt>
                <c:pt idx="90">
                  <c:v>-29.371053996776233</c:v>
                </c:pt>
                <c:pt idx="91">
                  <c:v>-41.5696667814968</c:v>
                </c:pt>
                <c:pt idx="92">
                  <c:v>-53.276996719728672</c:v>
                </c:pt>
                <c:pt idx="93">
                  <c:v>-64.596122667436006</c:v>
                </c:pt>
                <c:pt idx="94">
                  <c:v>-75.604736543348196</c:v>
                </c:pt>
                <c:pt idx="95">
                  <c:v>-86.363039732864095</c:v>
                </c:pt>
                <c:pt idx="96">
                  <c:v>-98.911011335092496</c:v>
                </c:pt>
                <c:pt idx="97">
                  <c:v>-113.9750423965567</c:v>
                </c:pt>
                <c:pt idx="98">
                  <c:v>-128.5752855414834</c:v>
                </c:pt>
                <c:pt idx="99">
                  <c:v>-142.77148173743498</c:v>
                </c:pt>
                <c:pt idx="100">
                  <c:v>-156.61606048250493</c:v>
                </c:pt>
                <c:pt idx="101">
                  <c:v>-170.15534935966019</c:v>
                </c:pt>
                <c:pt idx="102">
                  <c:v>-180.6825489929227</c:v>
                </c:pt>
                <c:pt idx="103">
                  <c:v>-193.78457361467878</c:v>
                </c:pt>
                <c:pt idx="104">
                  <c:v>-206.68794469764649</c:v>
                </c:pt>
                <c:pt idx="105">
                  <c:v>-219.4233878109068</c:v>
                </c:pt>
                <c:pt idx="106">
                  <c:v>-232.01897668321112</c:v>
                </c:pt>
                <c:pt idx="107">
                  <c:v>-244.50054718977708</c:v>
                </c:pt>
                <c:pt idx="108">
                  <c:v>-256.89205019964868</c:v>
                </c:pt>
                <c:pt idx="109">
                  <c:v>-269.21585456560297</c:v>
                </c:pt>
                <c:pt idx="110">
                  <c:v>-281.49300925659588</c:v>
                </c:pt>
                <c:pt idx="111">
                  <c:v>-293.7437134092678</c:v>
                </c:pt>
                <c:pt idx="112">
                  <c:v>-305.98651506451188</c:v>
                </c:pt>
                <c:pt idx="113">
                  <c:v>-318.23990565883076</c:v>
                </c:pt>
                <c:pt idx="114">
                  <c:v>-330.23990255060102</c:v>
                </c:pt>
                <c:pt idx="115">
                  <c:v>-341.46721892380555</c:v>
                </c:pt>
                <c:pt idx="116">
                  <c:v>-352.2739620514995</c:v>
                </c:pt>
                <c:pt idx="117">
                  <c:v>-362.73835183530764</c:v>
                </c:pt>
                <c:pt idx="118">
                  <c:v>-372.90811932178872</c:v>
                </c:pt>
                <c:pt idx="119">
                  <c:v>-382.82544482315598</c:v>
                </c:pt>
                <c:pt idx="120">
                  <c:v>-392.52754144494224</c:v>
                </c:pt>
                <c:pt idx="121">
                  <c:v>-402.04745272350226</c:v>
                </c:pt>
                <c:pt idx="122">
                  <c:v>-411.41526586646228</c:v>
                </c:pt>
                <c:pt idx="123">
                  <c:v>-420.6577306772474</c:v>
                </c:pt>
                <c:pt idx="124">
                  <c:v>-429.79973248491348</c:v>
                </c:pt>
                <c:pt idx="125">
                  <c:v>-438.86421134741818</c:v>
                </c:pt>
                <c:pt idx="126">
                  <c:v>-447.87260567041949</c:v>
                </c:pt>
                <c:pt idx="127">
                  <c:v>-456.84514882624546</c:v>
                </c:pt>
                <c:pt idx="128">
                  <c:v>-465.80113054852245</c:v>
                </c:pt>
                <c:pt idx="129">
                  <c:v>-474.75911286704093</c:v>
                </c:pt>
                <c:pt idx="130">
                  <c:v>-483.73715300296982</c:v>
                </c:pt>
                <c:pt idx="131">
                  <c:v>-492.75292985654528</c:v>
                </c:pt>
                <c:pt idx="132">
                  <c:v>-501.65616078683109</c:v>
                </c:pt>
                <c:pt idx="133">
                  <c:v>-510.45155275032317</c:v>
                </c:pt>
                <c:pt idx="134">
                  <c:v>-519.29890083889097</c:v>
                </c:pt>
                <c:pt idx="135">
                  <c:v>-528.21522314846561</c:v>
                </c:pt>
                <c:pt idx="136">
                  <c:v>-537.21780728605108</c:v>
                </c:pt>
                <c:pt idx="137">
                  <c:v>-542.91120493925939</c:v>
                </c:pt>
                <c:pt idx="138">
                  <c:v>-551.50424154645646</c:v>
                </c:pt>
                <c:pt idx="139">
                  <c:v>-559.84793912428472</c:v>
                </c:pt>
                <c:pt idx="140">
                  <c:v>-567.96515460423109</c:v>
                </c:pt>
                <c:pt idx="141">
                  <c:v>-575.87680725561768</c:v>
                </c:pt>
                <c:pt idx="142">
                  <c:v>-583.60210955784135</c:v>
                </c:pt>
                <c:pt idx="143">
                  <c:v>-591.15876736855216</c:v>
                </c:pt>
                <c:pt idx="144">
                  <c:v>-598.56315545110454</c:v>
                </c:pt>
                <c:pt idx="145">
                  <c:v>-605.83047195272889</c:v>
                </c:pt>
                <c:pt idx="146">
                  <c:v>-612.97487486106525</c:v>
                </c:pt>
                <c:pt idx="147">
                  <c:v>-620.00960300113888</c:v>
                </c:pt>
                <c:pt idx="148">
                  <c:v>-626.94708374911909</c:v>
                </c:pt>
                <c:pt idx="149">
                  <c:v>-633.7990293187504</c:v>
                </c:pt>
                <c:pt idx="150">
                  <c:v>-640.57652320928776</c:v>
                </c:pt>
                <c:pt idx="151">
                  <c:v>-647.29009818078032</c:v>
                </c:pt>
                <c:pt idx="152">
                  <c:v>-653.94980693590901</c:v>
                </c:pt>
                <c:pt idx="153">
                  <c:v>-660.56528653113855</c:v>
                </c:pt>
                <c:pt idx="154">
                  <c:v>-667.03135289672753</c:v>
                </c:pt>
                <c:pt idx="155">
                  <c:v>-672.83138454569882</c:v>
                </c:pt>
                <c:pt idx="156">
                  <c:v>-678.63638128488219</c:v>
                </c:pt>
                <c:pt idx="157">
                  <c:v>-684.45632840389567</c:v>
                </c:pt>
                <c:pt idx="158">
                  <c:v>-690.30133130123625</c:v>
                </c:pt>
                <c:pt idx="159">
                  <c:v>-696.18158276122494</c:v>
                </c:pt>
                <c:pt idx="160">
                  <c:v>-702.10742477101257</c:v>
                </c:pt>
                <c:pt idx="161">
                  <c:v>-708.08950036827969</c:v>
                </c:pt>
                <c:pt idx="162">
                  <c:v>-713.34900406614543</c:v>
                </c:pt>
                <c:pt idx="163">
                  <c:v>-718.02044509992095</c:v>
                </c:pt>
                <c:pt idx="164">
                  <c:v>-722.79410711112905</c:v>
                </c:pt>
                <c:pt idx="165">
                  <c:v>-727.68733850986132</c:v>
                </c:pt>
                <c:pt idx="166">
                  <c:v>-732.71928498279749</c:v>
                </c:pt>
                <c:pt idx="167">
                  <c:v>-737.91122414201277</c:v>
                </c:pt>
                <c:pt idx="168">
                  <c:v>-743.28699420015573</c:v>
                </c:pt>
                <c:pt idx="169">
                  <c:v>-748.87351783873464</c:v>
                </c:pt>
                <c:pt idx="170">
                  <c:v>-754.70144858881429</c:v>
                </c:pt>
                <c:pt idx="171">
                  <c:v>-760.80597625463918</c:v>
                </c:pt>
                <c:pt idx="172">
                  <c:v>-767.2278407937066</c:v>
                </c:pt>
                <c:pt idx="173">
                  <c:v>-774.01462231579637</c:v>
                </c:pt>
                <c:pt idx="174">
                  <c:v>-781.22278741693162</c:v>
                </c:pt>
                <c:pt idx="175">
                  <c:v>-788.91845622974211</c:v>
                </c:pt>
                <c:pt idx="176">
                  <c:v>-797.18218478997517</c:v>
                </c:pt>
                <c:pt idx="177">
                  <c:v>-806.1115918952238</c:v>
                </c:pt>
                <c:pt idx="178">
                  <c:v>-815.82682878384139</c:v>
                </c:pt>
                <c:pt idx="179">
                  <c:v>-826.47774770789204</c:v>
                </c:pt>
                <c:pt idx="180">
                  <c:v>-838.25397985108054</c:v>
                </c:pt>
                <c:pt idx="181">
                  <c:v>-826.47811550552797</c:v>
                </c:pt>
                <c:pt idx="182">
                  <c:v>-815.82683025686617</c:v>
                </c:pt>
                <c:pt idx="183">
                  <c:v>-806.11159273469946</c:v>
                </c:pt>
                <c:pt idx="184">
                  <c:v>-797.18218527936313</c:v>
                </c:pt>
                <c:pt idx="185">
                  <c:v>-788.91845652012955</c:v>
                </c:pt>
                <c:pt idx="186">
                  <c:v>-781.22278759161725</c:v>
                </c:pt>
                <c:pt idx="187">
                  <c:v>-774.01490154752275</c:v>
                </c:pt>
                <c:pt idx="188">
                  <c:v>-767.22830846664556</c:v>
                </c:pt>
                <c:pt idx="189">
                  <c:v>-760.80631494306488</c:v>
                </c:pt>
                <c:pt idx="190">
                  <c:v>-754.70169340782013</c:v>
                </c:pt>
                <c:pt idx="191">
                  <c:v>-748.87369413602414</c:v>
                </c:pt>
                <c:pt idx="192">
                  <c:v>-743.28712037647688</c:v>
                </c:pt>
                <c:pt idx="193">
                  <c:v>-737.91131365879517</c:v>
                </c:pt>
                <c:pt idx="194">
                  <c:v>-732.71934774767749</c:v>
                </c:pt>
                <c:pt idx="195">
                  <c:v>-727.68738184641279</c:v>
                </c:pt>
                <c:pt idx="196">
                  <c:v>-722.79413644634042</c:v>
                </c:pt>
                <c:pt idx="197">
                  <c:v>-718.02046445607937</c:v>
                </c:pt>
                <c:pt idx="198">
                  <c:v>-713.34899692254112</c:v>
                </c:pt>
                <c:pt idx="199">
                  <c:v>-708.08929068928603</c:v>
                </c:pt>
                <c:pt idx="200">
                  <c:v>-702.10764194939588</c:v>
                </c:pt>
                <c:pt idx="201">
                  <c:v>-696.18158340430261</c:v>
                </c:pt>
                <c:pt idx="202">
                  <c:v>-690.30133287367164</c:v>
                </c:pt>
                <c:pt idx="203">
                  <c:v>-684.45633113023121</c:v>
                </c:pt>
                <c:pt idx="204">
                  <c:v>-678.63638521364169</c:v>
                </c:pt>
                <c:pt idx="205">
                  <c:v>-672.83138959435666</c:v>
                </c:pt>
                <c:pt idx="206">
                  <c:v>-667.03126247396983</c:v>
                </c:pt>
                <c:pt idx="207">
                  <c:v>-660.56532087468725</c:v>
                </c:pt>
                <c:pt idx="208">
                  <c:v>-653.94984278661502</c:v>
                </c:pt>
                <c:pt idx="209">
                  <c:v>-647.29013375271836</c:v>
                </c:pt>
                <c:pt idx="210">
                  <c:v>-640.57655786650946</c:v>
                </c:pt>
                <c:pt idx="211">
                  <c:v>-633.79906246808457</c:v>
                </c:pt>
                <c:pt idx="212">
                  <c:v>-626.94711485249002</c:v>
                </c:pt>
                <c:pt idx="213">
                  <c:v>-620.0096315866183</c:v>
                </c:pt>
                <c:pt idx="214">
                  <c:v>-612.97490053297656</c:v>
                </c:pt>
                <c:pt idx="215">
                  <c:v>-605.83049440106834</c:v>
                </c:pt>
                <c:pt idx="216">
                  <c:v>-598.56317446053038</c:v>
                </c:pt>
                <c:pt idx="217">
                  <c:v>-591.15878282715198</c:v>
                </c:pt>
                <c:pt idx="218">
                  <c:v>-583.60212146590322</c:v>
                </c:pt>
                <c:pt idx="219">
                  <c:v>-575.87681573460168</c:v>
                </c:pt>
                <c:pt idx="220">
                  <c:v>-567.9651599061466</c:v>
                </c:pt>
                <c:pt idx="221">
                  <c:v>-559.84794164167897</c:v>
                </c:pt>
                <c:pt idx="222">
                  <c:v>-551.50424182321501</c:v>
                </c:pt>
                <c:pt idx="223">
                  <c:v>-542.91120546918887</c:v>
                </c:pt>
                <c:pt idx="224">
                  <c:v>-537.21778184812786</c:v>
                </c:pt>
                <c:pt idx="225">
                  <c:v>-528.21522239878163</c:v>
                </c:pt>
                <c:pt idx="226">
                  <c:v>-519.29891400850977</c:v>
                </c:pt>
                <c:pt idx="227">
                  <c:v>-510.45155278959083</c:v>
                </c:pt>
                <c:pt idx="228">
                  <c:v>-501.65616076660234</c:v>
                </c:pt>
                <c:pt idx="229">
                  <c:v>-492.75297463415427</c:v>
                </c:pt>
                <c:pt idx="230">
                  <c:v>-483.73714969074803</c:v>
                </c:pt>
                <c:pt idx="231">
                  <c:v>-474.75921305246339</c:v>
                </c:pt>
                <c:pt idx="232">
                  <c:v>-465.80112373008143</c:v>
                </c:pt>
                <c:pt idx="233">
                  <c:v>-456.8451926544235</c:v>
                </c:pt>
                <c:pt idx="234">
                  <c:v>-447.87271303377167</c:v>
                </c:pt>
                <c:pt idx="235">
                  <c:v>-438.86433691540094</c:v>
                </c:pt>
                <c:pt idx="236">
                  <c:v>-429.79984567397565</c:v>
                </c:pt>
                <c:pt idx="237">
                  <c:v>-420.65781414871191</c:v>
                </c:pt>
                <c:pt idx="238">
                  <c:v>-411.41531424489244</c:v>
                </c:pt>
                <c:pt idx="239">
                  <c:v>-402.0475687494116</c:v>
                </c:pt>
                <c:pt idx="240">
                  <c:v>-392.52754208999647</c:v>
                </c:pt>
                <c:pt idx="241">
                  <c:v>-382.82545091918934</c:v>
                </c:pt>
                <c:pt idx="242">
                  <c:v>-372.90817222555808</c:v>
                </c:pt>
                <c:pt idx="243">
                  <c:v>-362.73851954331326</c:v>
                </c:pt>
                <c:pt idx="244">
                  <c:v>-352.27434778588218</c:v>
                </c:pt>
                <c:pt idx="245">
                  <c:v>-341.46743262267438</c:v>
                </c:pt>
                <c:pt idx="246">
                  <c:v>-330.23988860079828</c:v>
                </c:pt>
                <c:pt idx="247">
                  <c:v>-318.23988197021532</c:v>
                </c:pt>
                <c:pt idx="248">
                  <c:v>-305.98631000639352</c:v>
                </c:pt>
                <c:pt idx="249">
                  <c:v>-293.74347190868014</c:v>
                </c:pt>
                <c:pt idx="250">
                  <c:v>-281.49277759057225</c:v>
                </c:pt>
                <c:pt idx="251">
                  <c:v>-269.21585448264506</c:v>
                </c:pt>
                <c:pt idx="252">
                  <c:v>-256.89205009055053</c:v>
                </c:pt>
                <c:pt idx="253">
                  <c:v>-244.50054704733864</c:v>
                </c:pt>
                <c:pt idx="254">
                  <c:v>-232.01897649854754</c:v>
                </c:pt>
                <c:pt idx="255">
                  <c:v>-219.42338757314238</c:v>
                </c:pt>
                <c:pt idx="256">
                  <c:v>-206.68794439364686</c:v>
                </c:pt>
                <c:pt idx="257">
                  <c:v>-193.78457343343644</c:v>
                </c:pt>
                <c:pt idx="258">
                  <c:v>-183.43055832150839</c:v>
                </c:pt>
                <c:pt idx="259">
                  <c:v>-170.15534918930624</c:v>
                </c:pt>
                <c:pt idx="260">
                  <c:v>-156.61605976520352</c:v>
                </c:pt>
                <c:pt idx="261">
                  <c:v>-142.77148086657485</c:v>
                </c:pt>
                <c:pt idx="262">
                  <c:v>-128.57528450707792</c:v>
                </c:pt>
                <c:pt idx="263">
                  <c:v>-113.9750412073568</c:v>
                </c:pt>
                <c:pt idx="264">
                  <c:v>-98.911026135176186</c:v>
                </c:pt>
                <c:pt idx="265">
                  <c:v>-86.363083652895654</c:v>
                </c:pt>
                <c:pt idx="266">
                  <c:v>-75.60472177542897</c:v>
                </c:pt>
                <c:pt idx="267">
                  <c:v>-64.596099080164819</c:v>
                </c:pt>
                <c:pt idx="268">
                  <c:v>-53.276957790073176</c:v>
                </c:pt>
                <c:pt idx="269">
                  <c:v>-41.569600028211589</c:v>
                </c:pt>
                <c:pt idx="270">
                  <c:v>-29.371025872909243</c:v>
                </c:pt>
                <c:pt idx="271">
                  <c:v>-9.7337574329863763</c:v>
                </c:pt>
                <c:pt idx="272">
                  <c:v>8.4992502879733021</c:v>
                </c:pt>
                <c:pt idx="273">
                  <c:v>25.576716719154923</c:v>
                </c:pt>
                <c:pt idx="274">
                  <c:v>41.696213297984379</c:v>
                </c:pt>
                <c:pt idx="275">
                  <c:v>57.016344525221221</c:v>
                </c:pt>
                <c:pt idx="276">
                  <c:v>71.665813787956196</c:v>
                </c:pt>
                <c:pt idx="277">
                  <c:v>87.238947343328036</c:v>
                </c:pt>
                <c:pt idx="278">
                  <c:v>104.11713276221238</c:v>
                </c:pt>
                <c:pt idx="279">
                  <c:v>120.54007224376052</c:v>
                </c:pt>
                <c:pt idx="280">
                  <c:v>136.55214958332164</c:v>
                </c:pt>
                <c:pt idx="281">
                  <c:v>148.44594748556267</c:v>
                </c:pt>
                <c:pt idx="282">
                  <c:v>163.85887612695561</c:v>
                </c:pt>
                <c:pt idx="283">
                  <c:v>178.96826185481737</c:v>
                </c:pt>
                <c:pt idx="284">
                  <c:v>193.80768756361684</c:v>
                </c:pt>
                <c:pt idx="285">
                  <c:v>208.40850771539294</c:v>
                </c:pt>
                <c:pt idx="286">
                  <c:v>222.80009045313705</c:v>
                </c:pt>
                <c:pt idx="287">
                  <c:v>237.01004145530229</c:v>
                </c:pt>
                <c:pt idx="288">
                  <c:v>251.06441064203983</c:v>
                </c:pt>
                <c:pt idx="289">
                  <c:v>264.98788309373674</c:v>
                </c:pt>
                <c:pt idx="290">
                  <c:v>278.80395563113041</c:v>
                </c:pt>
                <c:pt idx="291">
                  <c:v>288.79971082938243</c:v>
                </c:pt>
                <c:pt idx="292">
                  <c:v>302.2919085477875</c:v>
                </c:pt>
                <c:pt idx="293">
                  <c:v>315.05442030742154</c:v>
                </c:pt>
                <c:pt idx="294">
                  <c:v>327.12803325238576</c:v>
                </c:pt>
                <c:pt idx="295">
                  <c:v>338.60023387351885</c:v>
                </c:pt>
                <c:pt idx="296">
                  <c:v>349.54543001223379</c:v>
                </c:pt>
                <c:pt idx="297">
                  <c:v>360.02744723370608</c:v>
                </c:pt>
                <c:pt idx="298">
                  <c:v>370.10148093646069</c:v>
                </c:pt>
                <c:pt idx="299">
                  <c:v>379.81563901078715</c:v>
                </c:pt>
                <c:pt idx="300">
                  <c:v>389.21220512535876</c:v>
                </c:pt>
                <c:pt idx="301">
                  <c:v>398.32847031755551</c:v>
                </c:pt>
                <c:pt idx="302">
                  <c:v>407.19786026902437</c:v>
                </c:pt>
                <c:pt idx="303">
                  <c:v>415.85027618715606</c:v>
                </c:pt>
                <c:pt idx="304">
                  <c:v>424.31280278112951</c:v>
                </c:pt>
                <c:pt idx="305">
                  <c:v>432.61013349433148</c:v>
                </c:pt>
                <c:pt idx="306">
                  <c:v>440.7649559510225</c:v>
                </c:pt>
                <c:pt idx="307">
                  <c:v>448.7982799975016</c:v>
                </c:pt>
                <c:pt idx="308">
                  <c:v>456.72971978871232</c:v>
                </c:pt>
                <c:pt idx="309">
                  <c:v>464.57773908780445</c:v>
                </c:pt>
                <c:pt idx="310">
                  <c:v>472.35986720344499</c:v>
                </c:pt>
                <c:pt idx="311">
                  <c:v>480.09289165676819</c:v>
                </c:pt>
                <c:pt idx="312">
                  <c:v>487.79303265168392</c:v>
                </c:pt>
                <c:pt idx="313">
                  <c:v>495.47622428155188</c:v>
                </c:pt>
                <c:pt idx="314">
                  <c:v>503.15779937242246</c:v>
                </c:pt>
                <c:pt idx="315">
                  <c:v>510.85315098535648</c:v>
                </c:pt>
                <c:pt idx="316">
                  <c:v>518.57804236198922</c:v>
                </c:pt>
                <c:pt idx="317">
                  <c:v>526.34797244355377</c:v>
                </c:pt>
                <c:pt idx="318">
                  <c:v>534.17888362698613</c:v>
                </c:pt>
                <c:pt idx="319">
                  <c:v>542.08716902581295</c:v>
                </c:pt>
                <c:pt idx="320">
                  <c:v>550.08982475983589</c:v>
                </c:pt>
                <c:pt idx="321">
                  <c:v>558.14170868401243</c:v>
                </c:pt>
                <c:pt idx="322">
                  <c:v>566.06819851399814</c:v>
                </c:pt>
                <c:pt idx="323">
                  <c:v>573.87553387817525</c:v>
                </c:pt>
                <c:pt idx="324">
                  <c:v>581.58253566169583</c:v>
                </c:pt>
                <c:pt idx="325">
                  <c:v>586.3001761766875</c:v>
                </c:pt>
                <c:pt idx="326">
                  <c:v>593.78986310169967</c:v>
                </c:pt>
                <c:pt idx="327">
                  <c:v>601.22830416413058</c:v>
                </c:pt>
                <c:pt idx="328">
                  <c:v>608.63107673813613</c:v>
                </c:pt>
                <c:pt idx="329">
                  <c:v>616.01339874884695</c:v>
                </c:pt>
                <c:pt idx="330">
                  <c:v>623.3901570642721</c:v>
                </c:pt>
                <c:pt idx="331">
                  <c:v>630.77601220767031</c:v>
                </c:pt>
                <c:pt idx="332">
                  <c:v>638.18549859328164</c:v>
                </c:pt>
                <c:pt idx="333">
                  <c:v>644.35874557928616</c:v>
                </c:pt>
                <c:pt idx="334">
                  <c:v>649.28658582466926</c:v>
                </c:pt>
                <c:pt idx="335">
                  <c:v>654.23047034402759</c:v>
                </c:pt>
                <c:pt idx="336">
                  <c:v>659.20404246588589</c:v>
                </c:pt>
                <c:pt idx="337">
                  <c:v>664.22149584666158</c:v>
                </c:pt>
                <c:pt idx="338">
                  <c:v>669.29774798038454</c:v>
                </c:pt>
                <c:pt idx="339">
                  <c:v>674.44862286634248</c:v>
                </c:pt>
                <c:pt idx="340">
                  <c:v>679.69105832089633</c:v>
                </c:pt>
                <c:pt idx="341">
                  <c:v>685.04334401666972</c:v>
                </c:pt>
                <c:pt idx="342">
                  <c:v>690.52539768247334</c:v>
                </c:pt>
                <c:pt idx="343">
                  <c:v>696.15908862482183</c:v>
                </c:pt>
                <c:pt idx="344">
                  <c:v>701.96840565633283</c:v>
                </c:pt>
                <c:pt idx="345">
                  <c:v>707.98072159654942</c:v>
                </c:pt>
                <c:pt idx="346">
                  <c:v>714.22618855315022</c:v>
                </c:pt>
                <c:pt idx="347">
                  <c:v>720.7391262618753</c:v>
                </c:pt>
                <c:pt idx="348">
                  <c:v>727.55864923182321</c:v>
                </c:pt>
                <c:pt idx="349">
                  <c:v>732.63684171439832</c:v>
                </c:pt>
                <c:pt idx="350">
                  <c:v>733.64053212516308</c:v>
                </c:pt>
                <c:pt idx="351">
                  <c:v>734.57929686448256</c:v>
                </c:pt>
                <c:pt idx="352">
                  <c:v>735.4545117795883</c:v>
                </c:pt>
                <c:pt idx="353">
                  <c:v>736.2681985518775</c:v>
                </c:pt>
                <c:pt idx="354">
                  <c:v>737.02219741417446</c:v>
                </c:pt>
                <c:pt idx="355">
                  <c:v>737.71822217150464</c:v>
                </c:pt>
                <c:pt idx="356">
                  <c:v>738.35787236784449</c:v>
                </c:pt>
                <c:pt idx="357">
                  <c:v>738.94264552841946</c:v>
                </c:pt>
                <c:pt idx="358">
                  <c:v>739.47394972951713</c:v>
                </c:pt>
                <c:pt idx="359">
                  <c:v>739.95311679025315</c:v>
                </c:pt>
                <c:pt idx="360">
                  <c:v>740.38141644037069</c:v>
                </c:pt>
                <c:pt idx="361">
                  <c:v>740.38113412517203</c:v>
                </c:pt>
              </c:numCache>
            </c:numRef>
          </c:xVal>
          <c:yVal>
            <c:numRef>
              <c:f>Sheet1!$C$129:$C$490</c:f>
              <c:numCache>
                <c:formatCode>General</c:formatCode>
                <c:ptCount val="362"/>
                <c:pt idx="0">
                  <c:v>0</c:v>
                </c:pt>
                <c:pt idx="1">
                  <c:v>4.9472632387742257</c:v>
                </c:pt>
                <c:pt idx="2">
                  <c:v>9.8267491923769104</c:v>
                </c:pt>
                <c:pt idx="3">
                  <c:v>14.647659353301973</c:v>
                </c:pt>
                <c:pt idx="4">
                  <c:v>19.418303534372214</c:v>
                </c:pt>
                <c:pt idx="5" formatCode="0.00000">
                  <c:v>24.14625202866883</c:v>
                </c:pt>
                <c:pt idx="6" formatCode="0.00000">
                  <c:v>28.8384597199009</c:v>
                </c:pt>
                <c:pt idx="7">
                  <c:v>33.501368362969046</c:v>
                </c:pt>
                <c:pt idx="8">
                  <c:v>38.140991732173397</c:v>
                </c:pt>
                <c:pt idx="9">
                  <c:v>42.762987224433438</c:v>
                </c:pt>
                <c:pt idx="10">
                  <c:v>47.372716686594558</c:v>
                </c:pt>
                <c:pt idx="11">
                  <c:v>51.975298626340269</c:v>
                </c:pt>
                <c:pt idx="12">
                  <c:v>55.8853476722471</c:v>
                </c:pt>
                <c:pt idx="13">
                  <c:v>59.388480822885278</c:v>
                </c:pt>
                <c:pt idx="14">
                  <c:v>62.832237819987597</c:v>
                </c:pt>
                <c:pt idx="15">
                  <c:v>66.227962344826381</c:v>
                </c:pt>
                <c:pt idx="16">
                  <c:v>69.58555014347921</c:v>
                </c:pt>
                <c:pt idx="17">
                  <c:v>72.913736381774868</c:v>
                </c:pt>
                <c:pt idx="18">
                  <c:v>76.220433206565559</c:v>
                </c:pt>
                <c:pt idx="19">
                  <c:v>79.512448592781595</c:v>
                </c:pt>
                <c:pt idx="20">
                  <c:v>82.796367828187471</c:v>
                </c:pt>
                <c:pt idx="21">
                  <c:v>86.078154346653179</c:v>
                </c:pt>
                <c:pt idx="22">
                  <c:v>89.36338759221286</c:v>
                </c:pt>
                <c:pt idx="23">
                  <c:v>92.657346113502911</c:v>
                </c:pt>
                <c:pt idx="24">
                  <c:v>95.965077904809206</c:v>
                </c:pt>
                <c:pt idx="25">
                  <c:v>99.291460833460363</c:v>
                </c:pt>
                <c:pt idx="26">
                  <c:v>102.64125534935994</c:v>
                </c:pt>
                <c:pt idx="27">
                  <c:v>106.01915122719191</c:v>
                </c:pt>
                <c:pt idx="28">
                  <c:v>110.10259523726332</c:v>
                </c:pt>
                <c:pt idx="29">
                  <c:v>114.87601313701421</c:v>
                </c:pt>
                <c:pt idx="30">
                  <c:v>119.65613596673882</c:v>
                </c:pt>
                <c:pt idx="31">
                  <c:v>124.4495365854124</c:v>
                </c:pt>
                <c:pt idx="32">
                  <c:v>129.26281905702402</c:v>
                </c:pt>
                <c:pt idx="33">
                  <c:v>134.10265622729509</c:v>
                </c:pt>
                <c:pt idx="34">
                  <c:v>138.97582679725389</c:v>
                </c:pt>
                <c:pt idx="35">
                  <c:v>143.88929545671479</c:v>
                </c:pt>
                <c:pt idx="36">
                  <c:v>147.17355777042641</c:v>
                </c:pt>
                <c:pt idx="37">
                  <c:v>152.21378545988759</c:v>
                </c:pt>
                <c:pt idx="38">
                  <c:v>157.31545819955068</c:v>
                </c:pt>
                <c:pt idx="39">
                  <c:v>162.486538871661</c:v>
                </c:pt>
                <c:pt idx="40">
                  <c:v>167.72523572152105</c:v>
                </c:pt>
                <c:pt idx="41">
                  <c:v>172.89830114284939</c:v>
                </c:pt>
                <c:pt idx="42">
                  <c:v>177.97202588493809</c:v>
                </c:pt>
                <c:pt idx="43">
                  <c:v>182.95868755192569</c:v>
                </c:pt>
                <c:pt idx="44">
                  <c:v>187.86979373986352</c:v>
                </c:pt>
                <c:pt idx="45">
                  <c:v>192.71620800979119</c:v>
                </c:pt>
                <c:pt idx="46">
                  <c:v>197.5082633556521</c:v>
                </c:pt>
                <c:pt idx="47">
                  <c:v>202.25585531112711</c:v>
                </c:pt>
                <c:pt idx="48">
                  <c:v>206.96858577161908</c:v>
                </c:pt>
                <c:pt idx="49">
                  <c:v>211.65577120785534</c:v>
                </c:pt>
                <c:pt idx="50">
                  <c:v>216.3265891363958</c:v>
                </c:pt>
                <c:pt idx="51">
                  <c:v>220.99015565428249</c:v>
                </c:pt>
                <c:pt idx="52">
                  <c:v>225.65559822140455</c:v>
                </c:pt>
                <c:pt idx="53">
                  <c:v>230.33214661712967</c:v>
                </c:pt>
                <c:pt idx="54">
                  <c:v>235.029222968526</c:v>
                </c:pt>
                <c:pt idx="55">
                  <c:v>239.75653740606697</c:v>
                </c:pt>
                <c:pt idx="56">
                  <c:v>244.52419166642068</c:v>
                </c:pt>
                <c:pt idx="57">
                  <c:v>249.34279332433488</c:v>
                </c:pt>
                <c:pt idx="58">
                  <c:v>254.22358382671109</c:v>
                </c:pt>
                <c:pt idx="59">
                  <c:v>259.17858415661703</c:v>
                </c:pt>
                <c:pt idx="60">
                  <c:v>264.22076282162658</c:v>
                </c:pt>
                <c:pt idx="61">
                  <c:v>269.3643223196861</c:v>
                </c:pt>
                <c:pt idx="62">
                  <c:v>274.62437618170492</c:v>
                </c:pt>
                <c:pt idx="63">
                  <c:v>280.01864401708991</c:v>
                </c:pt>
                <c:pt idx="64">
                  <c:v>285.56585127996141</c:v>
                </c:pt>
                <c:pt idx="65">
                  <c:v>291.28761782049185</c:v>
                </c:pt>
                <c:pt idx="66">
                  <c:v>297.20835204461758</c:v>
                </c:pt>
                <c:pt idx="67">
                  <c:v>303.35597492168432</c:v>
                </c:pt>
                <c:pt idx="68">
                  <c:v>309.76269938055941</c:v>
                </c:pt>
                <c:pt idx="69">
                  <c:v>316.42940405214682</c:v>
                </c:pt>
                <c:pt idx="70">
                  <c:v>322.50434239637525</c:v>
                </c:pt>
                <c:pt idx="71">
                  <c:v>329.02360967940371</c:v>
                </c:pt>
                <c:pt idx="72">
                  <c:v>335.43011208687113</c:v>
                </c:pt>
                <c:pt idx="73">
                  <c:v>341.74026105778023</c:v>
                </c:pt>
                <c:pt idx="74">
                  <c:v>347.97042546221377</c:v>
                </c:pt>
                <c:pt idx="75">
                  <c:v>354.13694265526908</c:v>
                </c:pt>
                <c:pt idx="76">
                  <c:v>360.25621923126721</c:v>
                </c:pt>
                <c:pt idx="77">
                  <c:v>366.34483068629692</c:v>
                </c:pt>
                <c:pt idx="78">
                  <c:v>372.41962012481758</c:v>
                </c:pt>
                <c:pt idx="79">
                  <c:v>378.49779585409522</c:v>
                </c:pt>
                <c:pt idx="80">
                  <c:v>382.63589673316869</c:v>
                </c:pt>
                <c:pt idx="81">
                  <c:v>388.68815767340647</c:v>
                </c:pt>
                <c:pt idx="82">
                  <c:v>394.79342731816854</c:v>
                </c:pt>
                <c:pt idx="83">
                  <c:v>400.97090111633344</c:v>
                </c:pt>
                <c:pt idx="84">
                  <c:v>406.21744661686557</c:v>
                </c:pt>
                <c:pt idx="85">
                  <c:v>410.75847067307672</c:v>
                </c:pt>
                <c:pt idx="86">
                  <c:v>415.4887127008044</c:v>
                </c:pt>
                <c:pt idx="87">
                  <c:v>420.46415288387738</c:v>
                </c:pt>
                <c:pt idx="88">
                  <c:v>425.75218694918681</c:v>
                </c:pt>
                <c:pt idx="89">
                  <c:v>431.43477981092798</c:v>
                </c:pt>
                <c:pt idx="90">
                  <c:v>437.61256543112466</c:v>
                </c:pt>
                <c:pt idx="91">
                  <c:v>431.00141155653034</c:v>
                </c:pt>
                <c:pt idx="92">
                  <c:v>425.13303793892544</c:v>
                </c:pt>
                <c:pt idx="93">
                  <c:v>419.82957126726984</c:v>
                </c:pt>
                <c:pt idx="94">
                  <c:v>414.9567533504889</c:v>
                </c:pt>
                <c:pt idx="95">
                  <c:v>410.41134417281421</c:v>
                </c:pt>
                <c:pt idx="96">
                  <c:v>405.32458788379034</c:v>
                </c:pt>
                <c:pt idx="97">
                  <c:v>399.28561498860279</c:v>
                </c:pt>
                <c:pt idx="98">
                  <c:v>393.42094004292699</c:v>
                </c:pt>
                <c:pt idx="99">
                  <c:v>387.69381170835027</c:v>
                </c:pt>
                <c:pt idx="100">
                  <c:v>382.0714041827984</c:v>
                </c:pt>
                <c:pt idx="101">
                  <c:v>376.5241632718197</c:v>
                </c:pt>
                <c:pt idx="102">
                  <c:v>372.86878798604084</c:v>
                </c:pt>
                <c:pt idx="103">
                  <c:v>367.33191592624013</c:v>
                </c:pt>
                <c:pt idx="104">
                  <c:v>361.79969444364707</c:v>
                </c:pt>
                <c:pt idx="105">
                  <c:v>356.25042840462805</c:v>
                </c:pt>
                <c:pt idx="106">
                  <c:v>350.66363599498533</c:v>
                </c:pt>
                <c:pt idx="107">
                  <c:v>345.01977893019864</c:v>
                </c:pt>
                <c:pt idx="108">
                  <c:v>339.30002369630415</c:v>
                </c:pt>
                <c:pt idx="109">
                  <c:v>333.48602751556797</c:v>
                </c:pt>
                <c:pt idx="110">
                  <c:v>327.55974374383231</c:v>
                </c:pt>
                <c:pt idx="111">
                  <c:v>321.50313391280935</c:v>
                </c:pt>
                <c:pt idx="112">
                  <c:v>315.29844275490797</c:v>
                </c:pt>
                <c:pt idx="113">
                  <c:v>308.92743078242734</c:v>
                </c:pt>
                <c:pt idx="114">
                  <c:v>302.57562011657285</c:v>
                </c:pt>
                <c:pt idx="115">
                  <c:v>296.19450647662103</c:v>
                </c:pt>
                <c:pt idx="116">
                  <c:v>290.02534618890087</c:v>
                </c:pt>
                <c:pt idx="117">
                  <c:v>284.05795234669813</c:v>
                </c:pt>
                <c:pt idx="118">
                  <c:v>278.26582676411692</c:v>
                </c:pt>
                <c:pt idx="119">
                  <c:v>272.62535600819024</c:v>
                </c:pt>
                <c:pt idx="120">
                  <c:v>267.1153808627916</c:v>
                </c:pt>
                <c:pt idx="121">
                  <c:v>261.71677323453264</c:v>
                </c:pt>
                <c:pt idx="122">
                  <c:v>256.41208564792868</c:v>
                </c:pt>
                <c:pt idx="123">
                  <c:v>251.18525514802542</c:v>
                </c:pt>
                <c:pt idx="124">
                  <c:v>246.02135541970603</c:v>
                </c:pt>
                <c:pt idx="125">
                  <c:v>240.90638214759855</c:v>
                </c:pt>
                <c:pt idx="126">
                  <c:v>235.82706660100982</c:v>
                </c:pt>
                <c:pt idx="127">
                  <c:v>230.77071047345441</c:v>
                </c:pt>
                <c:pt idx="128">
                  <c:v>225.72503872768337</c:v>
                </c:pt>
                <c:pt idx="129">
                  <c:v>220.67805859354138</c:v>
                </c:pt>
                <c:pt idx="130">
                  <c:v>215.61794006877261</c:v>
                </c:pt>
                <c:pt idx="131">
                  <c:v>210.53285254049584</c:v>
                </c:pt>
                <c:pt idx="132">
                  <c:v>205.32758575291686</c:v>
                </c:pt>
                <c:pt idx="133">
                  <c:v>199.99158828071475</c:v>
                </c:pt>
                <c:pt idx="134">
                  <c:v>194.5867684904261</c:v>
                </c:pt>
                <c:pt idx="135">
                  <c:v>189.1012232722093</c:v>
                </c:pt>
                <c:pt idx="136">
                  <c:v>183.52268480200797</c:v>
                </c:pt>
                <c:pt idx="137">
                  <c:v>179.43660938707757</c:v>
                </c:pt>
                <c:pt idx="138">
                  <c:v>174.00699566125698</c:v>
                </c:pt>
                <c:pt idx="139">
                  <c:v>168.69861231593958</c:v>
                </c:pt>
                <c:pt idx="140">
                  <c:v>163.50241172819486</c:v>
                </c:pt>
                <c:pt idx="141">
                  <c:v>158.40997170556287</c:v>
                </c:pt>
                <c:pt idx="142">
                  <c:v>153.41342040049616</c:v>
                </c:pt>
                <c:pt idx="143">
                  <c:v>148.50537990099485</c:v>
                </c:pt>
                <c:pt idx="144">
                  <c:v>143.678915753382</c:v>
                </c:pt>
                <c:pt idx="145">
                  <c:v>138.92749163781937</c:v>
                </c:pt>
                <c:pt idx="146">
                  <c:v>134.24492852664488</c:v>
                </c:pt>
                <c:pt idx="147">
                  <c:v>129.62536774717702</c:v>
                </c:pt>
                <c:pt idx="148">
                  <c:v>125.06323744777148</c:v>
                </c:pt>
                <c:pt idx="149">
                  <c:v>120.55322203100316</c:v>
                </c:pt>
                <c:pt idx="150">
                  <c:v>116.09023417290959</c:v>
                </c:pt>
                <c:pt idx="151">
                  <c:v>111.66938909384261</c:v>
                </c:pt>
                <c:pt idx="152">
                  <c:v>107.28598078597436</c:v>
                </c:pt>
                <c:pt idx="153">
                  <c:v>102.935459935997</c:v>
                </c:pt>
                <c:pt idx="154">
                  <c:v>98.617309971349741</c:v>
                </c:pt>
                <c:pt idx="155">
                  <c:v>94.339619734318291</c:v>
                </c:pt>
                <c:pt idx="156">
                  <c:v>90.071351430266262</c:v>
                </c:pt>
                <c:pt idx="157">
                  <c:v>85.807519734429036</c:v>
                </c:pt>
                <c:pt idx="158">
                  <c:v>81.543138048811031</c:v>
                </c:pt>
                <c:pt idx="159">
                  <c:v>77.273176128306261</c:v>
                </c:pt>
                <c:pt idx="160">
                  <c:v>72.992534429619937</c:v>
                </c:pt>
                <c:pt idx="161">
                  <c:v>68.696012449264998</c:v>
                </c:pt>
                <c:pt idx="162">
                  <c:v>64.974595891581799</c:v>
                </c:pt>
                <c:pt idx="163">
                  <c:v>61.755559796128388</c:v>
                </c:pt>
                <c:pt idx="164">
                  <c:v>58.53197426460958</c:v>
                </c:pt>
                <c:pt idx="165">
                  <c:v>55.298888336755418</c:v>
                </c:pt>
                <c:pt idx="166">
                  <c:v>52.051031641482908</c:v>
                </c:pt>
                <c:pt idx="167">
                  <c:v>48.782717464693945</c:v>
                </c:pt>
                <c:pt idx="168">
                  <c:v>45.487746373383636</c:v>
                </c:pt>
                <c:pt idx="169">
                  <c:v>42.159288201481885</c:v>
                </c:pt>
                <c:pt idx="170">
                  <c:v>38.789735810620094</c:v>
                </c:pt>
                <c:pt idx="171">
                  <c:v>35.370521695629058</c:v>
                </c:pt>
                <c:pt idx="172">
                  <c:v>31.891885167354332</c:v>
                </c:pt>
                <c:pt idx="173">
                  <c:v>28.34257302709949</c:v>
                </c:pt>
                <c:pt idx="174">
                  <c:v>24.709513970530431</c:v>
                </c:pt>
                <c:pt idx="175">
                  <c:v>20.977053771602456</c:v>
                </c:pt>
                <c:pt idx="176">
                  <c:v>17.126624531325756</c:v>
                </c:pt>
                <c:pt idx="177">
                  <c:v>13.135569489054831</c:v>
                </c:pt>
                <c:pt idx="178">
                  <c:v>8.9758896233977463</c:v>
                </c:pt>
                <c:pt idx="179">
                  <c:v>4.6123901390965241</c:v>
                </c:pt>
                <c:pt idx="180">
                  <c:v>6.5634988997728066E-14</c:v>
                </c:pt>
                <c:pt idx="181">
                  <c:v>-4.6123991850757324</c:v>
                </c:pt>
                <c:pt idx="182">
                  <c:v>-8.9758896973086326</c:v>
                </c:pt>
                <c:pt idx="183">
                  <c:v>-13.135569553652385</c:v>
                </c:pt>
                <c:pt idx="184">
                  <c:v>-17.126624582774934</c:v>
                </c:pt>
                <c:pt idx="185">
                  <c:v>-20.977053810789261</c:v>
                </c:pt>
                <c:pt idx="186">
                  <c:v>-24.709513999642745</c:v>
                </c:pt>
                <c:pt idx="187">
                  <c:v>-28.342629025582582</c:v>
                </c:pt>
                <c:pt idx="188">
                  <c:v>-31.891995982632992</c:v>
                </c:pt>
                <c:pt idx="189">
                  <c:v>-35.370615261421619</c:v>
                </c:pt>
                <c:pt idx="190">
                  <c:v>-38.789813891981247</c:v>
                </c:pt>
                <c:pt idx="191">
                  <c:v>-42.159352644055645</c:v>
                </c:pt>
                <c:pt idx="192">
                  <c:v>-45.487798954875707</c:v>
                </c:pt>
                <c:pt idx="193">
                  <c:v>-48.78275983808264</c:v>
                </c:pt>
                <c:pt idx="194">
                  <c:v>-52.051065311771666</c:v>
                </c:pt>
                <c:pt idx="195">
                  <c:v>-55.298914656157272</c:v>
                </c:pt>
                <c:pt idx="196">
                  <c:v>-58.531994437506448</c:v>
                </c:pt>
                <c:pt idx="197">
                  <c:v>-61.755574887867851</c:v>
                </c:pt>
                <c:pt idx="198">
                  <c:v>-64.974589560001874</c:v>
                </c:pt>
                <c:pt idx="199">
                  <c:v>-68.696024519856579</c:v>
                </c:pt>
                <c:pt idx="200">
                  <c:v>-72.992526805490755</c:v>
                </c:pt>
                <c:pt idx="201">
                  <c:v>-77.273176121906346</c:v>
                </c:pt>
                <c:pt idx="202">
                  <c:v>-81.543138077855843</c:v>
                </c:pt>
                <c:pt idx="203">
                  <c:v>-85.807519873262322</c:v>
                </c:pt>
                <c:pt idx="204">
                  <c:v>-90.07135177762774</c:v>
                </c:pt>
                <c:pt idx="205">
                  <c:v>-94.339620402399063</c:v>
                </c:pt>
                <c:pt idx="206">
                  <c:v>-98.617293279320194</c:v>
                </c:pt>
                <c:pt idx="207">
                  <c:v>-102.93546369811867</c:v>
                </c:pt>
                <c:pt idx="208">
                  <c:v>-107.28598569112387</c:v>
                </c:pt>
                <c:pt idx="209">
                  <c:v>-111.66939506932586</c:v>
                </c:pt>
                <c:pt idx="210">
                  <c:v>-116.09024124247482</c:v>
                </c:pt>
                <c:pt idx="211">
                  <c:v>-120.5532301899959</c:v>
                </c:pt>
                <c:pt idx="212">
                  <c:v>-125.06324666134675</c:v>
                </c:pt>
                <c:pt idx="213">
                  <c:v>-129.62537794867609</c:v>
                </c:pt>
                <c:pt idx="214">
                  <c:v>-134.24493961608277</c:v>
                </c:pt>
                <c:pt idx="215">
                  <c:v>-138.9275034804283</c:v>
                </c:pt>
                <c:pt idx="216">
                  <c:v>-143.67892817815957</c:v>
                </c:pt>
                <c:pt idx="217">
                  <c:v>-148.50539269921637</c:v>
                </c:pt>
                <c:pt idx="218">
                  <c:v>-153.41343332414459</c:v>
                </c:pt>
                <c:pt idx="219">
                  <c:v>-158.40998446564129</c:v>
                </c:pt>
                <c:pt idx="220">
                  <c:v>-163.50242399287754</c:v>
                </c:pt>
                <c:pt idx="221">
                  <c:v>-168.69862370852624</c:v>
                </c:pt>
                <c:pt idx="222">
                  <c:v>-174.00700575741214</c:v>
                </c:pt>
                <c:pt idx="223">
                  <c:v>-179.4366058758105</c:v>
                </c:pt>
                <c:pt idx="224">
                  <c:v>-183.52276127482526</c:v>
                </c:pt>
                <c:pt idx="225">
                  <c:v>-189.10122591941368</c:v>
                </c:pt>
                <c:pt idx="226">
                  <c:v>-194.58670655719737</c:v>
                </c:pt>
                <c:pt idx="227">
                  <c:v>-199.99158792274866</c:v>
                </c:pt>
                <c:pt idx="228">
                  <c:v>-205.32758531797126</c:v>
                </c:pt>
                <c:pt idx="229">
                  <c:v>-210.53288810240593</c:v>
                </c:pt>
                <c:pt idx="230">
                  <c:v>-215.61793787492775</c:v>
                </c:pt>
                <c:pt idx="231">
                  <c:v>-220.67811335227171</c:v>
                </c:pt>
                <c:pt idx="232">
                  <c:v>-225.72503569515115</c:v>
                </c:pt>
                <c:pt idx="233">
                  <c:v>-230.77072603678184</c:v>
                </c:pt>
                <c:pt idx="234">
                  <c:v>-235.82709624298647</c:v>
                </c:pt>
                <c:pt idx="235">
                  <c:v>-240.90640806934138</c:v>
                </c:pt>
                <c:pt idx="236">
                  <c:v>-246.0213718353111</c:v>
                </c:pt>
                <c:pt idx="237">
                  <c:v>-251.18526273692194</c:v>
                </c:pt>
                <c:pt idx="238">
                  <c:v>-256.41208774175186</c:v>
                </c:pt>
                <c:pt idx="239">
                  <c:v>-261.71677339839522</c:v>
                </c:pt>
                <c:pt idx="240">
                  <c:v>-267.11538084001961</c:v>
                </c:pt>
                <c:pt idx="241">
                  <c:v>-272.62535559734602</c:v>
                </c:pt>
                <c:pt idx="242">
                  <c:v>-278.26582172064377</c:v>
                </c:pt>
                <c:pt idx="243">
                  <c:v>-284.05793230219365</c:v>
                </c:pt>
                <c:pt idx="244">
                  <c:v>-290.0252920657997</c:v>
                </c:pt>
                <c:pt idx="245">
                  <c:v>-296.19447270823849</c:v>
                </c:pt>
                <c:pt idx="246">
                  <c:v>-302.57562726309237</c:v>
                </c:pt>
                <c:pt idx="247">
                  <c:v>-308.92744275816284</c:v>
                </c:pt>
                <c:pt idx="248">
                  <c:v>-315.29854074164871</c:v>
                </c:pt>
                <c:pt idx="249">
                  <c:v>-321.50324223632839</c:v>
                </c:pt>
                <c:pt idx="250">
                  <c:v>-327.55984042162436</c:v>
                </c:pt>
                <c:pt idx="251">
                  <c:v>-333.4860275474058</c:v>
                </c:pt>
                <c:pt idx="252">
                  <c:v>-339.30002373421001</c:v>
                </c:pt>
                <c:pt idx="253">
                  <c:v>-345.01977897402469</c:v>
                </c:pt>
                <c:pt idx="254">
                  <c:v>-350.66363604367695</c:v>
                </c:pt>
                <c:pt idx="255">
                  <c:v>-356.25042845558966</c:v>
                </c:pt>
                <c:pt idx="256">
                  <c:v>-361.79969449173734</c:v>
                </c:pt>
                <c:pt idx="257">
                  <c:v>-367.33191594312808</c:v>
                </c:pt>
                <c:pt idx="258">
                  <c:v>-371.02524078907726</c:v>
                </c:pt>
                <c:pt idx="259">
                  <c:v>-376.52416325779825</c:v>
                </c:pt>
                <c:pt idx="260">
                  <c:v>-382.07140404212066</c:v>
                </c:pt>
                <c:pt idx="261">
                  <c:v>-387.69381140948695</c:v>
                </c:pt>
                <c:pt idx="262">
                  <c:v>-393.42093948144964</c:v>
                </c:pt>
                <c:pt idx="263">
                  <c:v>-399.28561399821399</c:v>
                </c:pt>
                <c:pt idx="264">
                  <c:v>-405.32460710668738</c:v>
                </c:pt>
                <c:pt idx="265">
                  <c:v>-410.41134849295759</c:v>
                </c:pt>
                <c:pt idx="266">
                  <c:v>-414.9567511551403</c:v>
                </c:pt>
                <c:pt idx="267">
                  <c:v>-419.82956640323675</c:v>
                </c:pt>
                <c:pt idx="268">
                  <c:v>-425.13302730832987</c:v>
                </c:pt>
                <c:pt idx="269">
                  <c:v>-431.00138805407107</c:v>
                </c:pt>
                <c:pt idx="270">
                  <c:v>-437.61255284964295</c:v>
                </c:pt>
                <c:pt idx="271">
                  <c:v>-431.43478917903951</c:v>
                </c:pt>
                <c:pt idx="272">
                  <c:v>-425.75219143566227</c:v>
                </c:pt>
                <c:pt idx="273">
                  <c:v>-420.46415492155603</c:v>
                </c:pt>
                <c:pt idx="274">
                  <c:v>-415.48871351328</c:v>
                </c:pt>
                <c:pt idx="275">
                  <c:v>-410.75847088351145</c:v>
                </c:pt>
                <c:pt idx="276">
                  <c:v>-406.21744743033548</c:v>
                </c:pt>
                <c:pt idx="277">
                  <c:v>-400.97088577620781</c:v>
                </c:pt>
                <c:pt idx="278">
                  <c:v>-394.79342759718719</c:v>
                </c:pt>
                <c:pt idx="279">
                  <c:v>-388.68815780295529</c:v>
                </c:pt>
                <c:pt idx="280">
                  <c:v>-382.63589750361029</c:v>
                </c:pt>
                <c:pt idx="281">
                  <c:v>-378.49779585581723</c:v>
                </c:pt>
                <c:pt idx="282">
                  <c:v>-372.41962007294092</c:v>
                </c:pt>
                <c:pt idx="283">
                  <c:v>-366.34483062007308</c:v>
                </c:pt>
                <c:pt idx="284">
                  <c:v>-360.25621916110015</c:v>
                </c:pt>
                <c:pt idx="285">
                  <c:v>-354.13694258732863</c:v>
                </c:pt>
                <c:pt idx="286">
                  <c:v>-347.97042539989178</c:v>
                </c:pt>
                <c:pt idx="287">
                  <c:v>-341.74026100268151</c:v>
                </c:pt>
                <c:pt idx="288">
                  <c:v>-335.4301120394797</c:v>
                </c:pt>
                <c:pt idx="289">
                  <c:v>-329.02360963952424</c:v>
                </c:pt>
                <c:pt idx="290">
                  <c:v>-322.50425121103598</c:v>
                </c:pt>
                <c:pt idx="291">
                  <c:v>-316.4292944993623</c:v>
                </c:pt>
                <c:pt idx="292">
                  <c:v>-309.76268076155691</c:v>
                </c:pt>
                <c:pt idx="293">
                  <c:v>-303.35596389560959</c:v>
                </c:pt>
                <c:pt idx="294">
                  <c:v>-297.20834587353573</c:v>
                </c:pt>
                <c:pt idx="295">
                  <c:v>-291.28761460829537</c:v>
                </c:pt>
                <c:pt idx="296">
                  <c:v>-285.5658497884977</c:v>
                </c:pt>
                <c:pt idx="297">
                  <c:v>-280.01864344923979</c:v>
                </c:pt>
                <c:pt idx="298">
                  <c:v>-274.62447910347936</c:v>
                </c:pt>
                <c:pt idx="299">
                  <c:v>-269.36423198190909</c:v>
                </c:pt>
                <c:pt idx="300">
                  <c:v>-264.22082893746534</c:v>
                </c:pt>
                <c:pt idx="301">
                  <c:v>-259.17858396002345</c:v>
                </c:pt>
                <c:pt idx="302">
                  <c:v>-254.22358348519677</c:v>
                </c:pt>
                <c:pt idx="303">
                  <c:v>-249.3427928552006</c:v>
                </c:pt>
                <c:pt idx="304">
                  <c:v>-244.52419110919027</c:v>
                </c:pt>
                <c:pt idx="305">
                  <c:v>-239.7565368114972</c:v>
                </c:pt>
                <c:pt idx="306">
                  <c:v>-235.02922239034882</c:v>
                </c:pt>
                <c:pt idx="307">
                  <c:v>-230.33214610541143</c:v>
                </c:pt>
                <c:pt idx="308">
                  <c:v>-225.65559781675137</c:v>
                </c:pt>
                <c:pt idx="309">
                  <c:v>-220.99015538228892</c:v>
                </c:pt>
                <c:pt idx="310">
                  <c:v>-216.32658900183824</c:v>
                </c:pt>
                <c:pt idx="311">
                  <c:v>-211.65577118817416</c:v>
                </c:pt>
                <c:pt idx="312">
                  <c:v>-206.96859030428271</c:v>
                </c:pt>
                <c:pt idx="313">
                  <c:v>-202.25585569108256</c:v>
                </c:pt>
                <c:pt idx="314">
                  <c:v>-197.50824585764582</c:v>
                </c:pt>
                <c:pt idx="315">
                  <c:v>-192.71620764705494</c:v>
                </c:pt>
                <c:pt idx="316">
                  <c:v>-187.86979312326369</c:v>
                </c:pt>
                <c:pt idx="317">
                  <c:v>-182.9586866727972</c:v>
                </c:pt>
                <c:pt idx="318">
                  <c:v>-177.97202476080494</c:v>
                </c:pt>
                <c:pt idx="319">
                  <c:v>-172.89829981532029</c:v>
                </c:pt>
                <c:pt idx="320">
                  <c:v>-167.72523424591051</c:v>
                </c:pt>
                <c:pt idx="321">
                  <c:v>-162.48652644377754</c:v>
                </c:pt>
                <c:pt idx="322">
                  <c:v>-157.31544726680738</c:v>
                </c:pt>
                <c:pt idx="323">
                  <c:v>-152.21377603907786</c:v>
                </c:pt>
                <c:pt idx="324">
                  <c:v>-147.1735487306465</c:v>
                </c:pt>
                <c:pt idx="325">
                  <c:v>-143.88921570497396</c:v>
                </c:pt>
                <c:pt idx="326">
                  <c:v>-138.97582139340446</c:v>
                </c:pt>
                <c:pt idx="327">
                  <c:v>-134.10265209348103</c:v>
                </c:pt>
                <c:pt idx="328">
                  <c:v>-129.26281605131095</c:v>
                </c:pt>
                <c:pt idx="329">
                  <c:v>-124.44953454035993</c:v>
                </c:pt>
                <c:pt idx="330">
                  <c:v>-119.65613469698013</c:v>
                </c:pt>
                <c:pt idx="331">
                  <c:v>-114.87601244804078</c:v>
                </c:pt>
                <c:pt idx="332">
                  <c:v>-110.10259618411138</c:v>
                </c:pt>
                <c:pt idx="333">
                  <c:v>-106.01914564897227</c:v>
                </c:pt>
                <c:pt idx="334">
                  <c:v>-102.64123795934563</c:v>
                </c:pt>
                <c:pt idx="335">
                  <c:v>-99.291435029168042</c:v>
                </c:pt>
                <c:pt idx="336">
                  <c:v>-95.965041158367498</c:v>
                </c:pt>
                <c:pt idx="337">
                  <c:v>-92.657295373199389</c:v>
                </c:pt>
                <c:pt idx="338">
                  <c:v>-89.363319171582688</c:v>
                </c:pt>
                <c:pt idx="339">
                  <c:v>-86.078063786663336</c:v>
                </c:pt>
                <c:pt idx="340">
                  <c:v>-82.796249726090451</c:v>
                </c:pt>
                <c:pt idx="341">
                  <c:v>-79.512296389275932</c:v>
                </c:pt>
                <c:pt idx="342">
                  <c:v>-76.220238974471371</c:v>
                </c:pt>
                <c:pt idx="343">
                  <c:v>-72.913629101149311</c:v>
                </c:pt>
                <c:pt idx="344">
                  <c:v>-69.585550082832867</c:v>
                </c:pt>
                <c:pt idx="345">
                  <c:v>-66.227962254549254</c:v>
                </c:pt>
                <c:pt idx="346">
                  <c:v>-62.832237685989782</c:v>
                </c:pt>
                <c:pt idx="347">
                  <c:v>-59.388480624300705</c:v>
                </c:pt>
                <c:pt idx="348">
                  <c:v>-55.885347498558239</c:v>
                </c:pt>
                <c:pt idx="349">
                  <c:v>-51.975286208030504</c:v>
                </c:pt>
                <c:pt idx="350">
                  <c:v>-47.372715771487499</c:v>
                </c:pt>
                <c:pt idx="351">
                  <c:v>-42.76298536993388</c:v>
                </c:pt>
                <c:pt idx="352">
                  <c:v>-38.14098964699896</c:v>
                </c:pt>
                <c:pt idx="353">
                  <c:v>-33.501366059249158</c:v>
                </c:pt>
                <c:pt idx="354">
                  <c:v>-28.838457229284963</c:v>
                </c:pt>
                <c:pt idx="355">
                  <c:v>-24.146249411647144</c:v>
                </c:pt>
                <c:pt idx="356">
                  <c:v>-19.418300893545325</c:v>
                </c:pt>
                <c:pt idx="357">
                  <c:v>-14.647656852363644</c:v>
                </c:pt>
                <c:pt idx="358">
                  <c:v>-9.826747083397958</c:v>
                </c:pt>
                <c:pt idx="359">
                  <c:v>-4.9472619017378197</c:v>
                </c:pt>
                <c:pt idx="360">
                  <c:v>-1.4070394700428103E-13</c:v>
                </c:pt>
                <c:pt idx="36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5-104B-91C4-30CCC9729C73}"/>
            </c:ext>
          </c:extLst>
        </c:ser>
        <c:ser>
          <c:idx val="1"/>
          <c:order val="1"/>
          <c:tx>
            <c:v>goal</c:v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7"/>
            <c:spPr>
              <a:noFill/>
              <a:ln w="15875">
                <a:solidFill>
                  <a:srgbClr val="FF0000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Sheet1!$B$119</c:f>
              <c:numCache>
                <c:formatCode>General</c:formatCode>
                <c:ptCount val="1"/>
                <c:pt idx="0">
                  <c:v>200</c:v>
                </c:pt>
              </c:numCache>
            </c:numRef>
          </c:xVal>
          <c:yVal>
            <c:numRef>
              <c:f>Sheet1!$B$120</c:f>
              <c:numCache>
                <c:formatCode>General</c:formatCode>
                <c:ptCount val="1"/>
                <c:pt idx="0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35-104B-91C4-30CCC9729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504826</xdr:colOff>
      <xdr:row>0</xdr:row>
      <xdr:rowOff>123825</xdr:rowOff>
    </xdr:from>
    <xdr:to>
      <xdr:col>18</xdr:col>
      <xdr:colOff>133351</xdr:colOff>
      <xdr:row>33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838201</xdr:colOff>
      <xdr:row>44</xdr:row>
      <xdr:rowOff>150187</xdr:rowOff>
    </xdr:from>
    <xdr:to>
      <xdr:col>18</xdr:col>
      <xdr:colOff>209550</xdr:colOff>
      <xdr:row>78</xdr:row>
      <xdr:rowOff>152401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116</xdr:row>
          <xdr:rowOff>152400</xdr:rowOff>
        </xdr:from>
        <xdr:to>
          <xdr:col>5</xdr:col>
          <xdr:colOff>698500</xdr:colOff>
          <xdr:row>120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774700</xdr:colOff>
          <xdr:row>121</xdr:row>
          <xdr:rowOff>63500</xdr:rowOff>
        </xdr:from>
        <xdr:to>
          <xdr:col>2</xdr:col>
          <xdr:colOff>889000</xdr:colOff>
          <xdr:row>126</xdr:row>
          <xdr:rowOff>50800</xdr:rowOff>
        </xdr:to>
        <xdr:sp macro="" textlink="">
          <xdr:nvSpPr>
            <xdr:cNvPr id="1027" name="Button 3" descr="Attempt to Find&#10;Interaction point for Goal&#10;(Form Button)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3E8E979A-485B-534E-B4D2-685677782C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Attemp to find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Interaction point for Goal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(Form Button)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234950</xdr:colOff>
      <xdr:row>127</xdr:row>
      <xdr:rowOff>69850</xdr:rowOff>
    </xdr:from>
    <xdr:to>
      <xdr:col>14</xdr:col>
      <xdr:colOff>660400</xdr:colOff>
      <xdr:row>170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E37A91B-2880-2F43-9D28-71C13036EA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121</xdr:row>
          <xdr:rowOff>50800</xdr:rowOff>
        </xdr:from>
        <xdr:to>
          <xdr:col>5</xdr:col>
          <xdr:colOff>1155700</xdr:colOff>
          <xdr:row>126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15574DE5-E207-BC4C-B952-FDFB392761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try to build mx vs my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3883-D7DC-4528-8AF2-C728ADB69584}">
  <sheetPr codeName="Sheet1"/>
  <dimension ref="A1:U490"/>
  <sheetViews>
    <sheetView tabSelected="1" topLeftCell="B119" workbookViewId="0">
      <selection activeCell="B121" sqref="B121"/>
    </sheetView>
  </sheetViews>
  <sheetFormatPr baseColWidth="10" defaultColWidth="8.83203125" defaultRowHeight="15"/>
  <cols>
    <col min="1" max="1" width="16.5" customWidth="1"/>
    <col min="2" max="2" width="18.5" bestFit="1" customWidth="1"/>
    <col min="3" max="3" width="13.83203125" customWidth="1"/>
    <col min="4" max="4" width="10.6640625" customWidth="1"/>
    <col min="5" max="5" width="10.5" customWidth="1"/>
    <col min="6" max="6" width="19.83203125" customWidth="1"/>
    <col min="7" max="7" width="12.5" bestFit="1" customWidth="1"/>
    <col min="8" max="8" width="14.5" bestFit="1" customWidth="1"/>
    <col min="9" max="9" width="13.5" bestFit="1" customWidth="1"/>
    <col min="11" max="11" width="11.6640625" customWidth="1"/>
    <col min="14" max="14" width="12.5" customWidth="1"/>
  </cols>
  <sheetData>
    <row r="1" spans="1:8">
      <c r="D1" t="s">
        <v>7</v>
      </c>
      <c r="G1" t="s">
        <v>14</v>
      </c>
    </row>
    <row r="2" spans="1:8">
      <c r="A2" s="2" t="s">
        <v>4</v>
      </c>
      <c r="B2" s="6">
        <v>5</v>
      </c>
      <c r="C2" t="s">
        <v>5</v>
      </c>
      <c r="D2" s="1" t="s">
        <v>0</v>
      </c>
      <c r="E2" s="1" t="s">
        <v>1</v>
      </c>
      <c r="G2" t="s">
        <v>0</v>
      </c>
      <c r="H2" t="s">
        <v>1</v>
      </c>
    </row>
    <row r="3" spans="1:8">
      <c r="A3" s="2" t="s">
        <v>13</v>
      </c>
      <c r="B3" s="5">
        <f>(POWER(145,1.5)*33*SQRT(1000*B2))/1000</f>
        <v>4074.2806880478911</v>
      </c>
      <c r="C3" t="s">
        <v>5</v>
      </c>
      <c r="D3" s="8">
        <v>0</v>
      </c>
      <c r="E3" s="8">
        <v>0</v>
      </c>
      <c r="G3" s="9">
        <f>MAX(MAX(D3:D7),MAX(E3:E7))</f>
        <v>30</v>
      </c>
      <c r="H3" s="9">
        <f>G3</f>
        <v>30</v>
      </c>
    </row>
    <row r="4" spans="1:8">
      <c r="A4" s="2" t="s">
        <v>35</v>
      </c>
      <c r="B4" s="1">
        <f>IF(B2&lt;=4,0.85,IF(B2&lt;=8,0.85 - ((0.05*(B2-4))/1),0.65))</f>
        <v>0.79999999999999993</v>
      </c>
      <c r="D4" s="8">
        <f>B5</f>
        <v>20</v>
      </c>
      <c r="E4" s="8">
        <v>0</v>
      </c>
      <c r="G4">
        <v>-1</v>
      </c>
      <c r="H4">
        <v>-1</v>
      </c>
    </row>
    <row r="5" spans="1:8">
      <c r="A5" s="2" t="s">
        <v>2</v>
      </c>
      <c r="B5" s="6">
        <v>20</v>
      </c>
      <c r="C5" t="s">
        <v>6</v>
      </c>
      <c r="D5" s="8">
        <f>B5</f>
        <v>20</v>
      </c>
      <c r="E5" s="8">
        <f>B6</f>
        <v>30</v>
      </c>
      <c r="G5" t="s">
        <v>33</v>
      </c>
    </row>
    <row r="6" spans="1:8">
      <c r="A6" s="2" t="s">
        <v>3</v>
      </c>
      <c r="B6" s="6">
        <v>30</v>
      </c>
      <c r="C6" t="s">
        <v>6</v>
      </c>
      <c r="D6" s="8">
        <v>0</v>
      </c>
      <c r="E6" s="8">
        <f>B6</f>
        <v>30</v>
      </c>
      <c r="G6" t="s">
        <v>0</v>
      </c>
      <c r="H6" t="s">
        <v>1</v>
      </c>
    </row>
    <row r="7" spans="1:8">
      <c r="D7" s="8">
        <v>0</v>
      </c>
      <c r="E7" s="8">
        <v>0</v>
      </c>
      <c r="G7">
        <f>B5/2</f>
        <v>10</v>
      </c>
      <c r="H7">
        <f>B6/2</f>
        <v>15</v>
      </c>
    </row>
    <row r="9" spans="1:8">
      <c r="A9" t="s">
        <v>8</v>
      </c>
    </row>
    <row r="10" spans="1:8">
      <c r="A10" t="s">
        <v>9</v>
      </c>
      <c r="B10" s="6">
        <v>60</v>
      </c>
      <c r="C10" t="s">
        <v>5</v>
      </c>
    </row>
    <row r="11" spans="1:8">
      <c r="A11" t="s">
        <v>12</v>
      </c>
      <c r="B11" s="5">
        <v>29000</v>
      </c>
      <c r="C11" t="s">
        <v>5</v>
      </c>
    </row>
    <row r="12" spans="1:8">
      <c r="B12" s="1" t="s">
        <v>10</v>
      </c>
      <c r="C12" t="s">
        <v>11</v>
      </c>
      <c r="D12" s="1" t="s">
        <v>0</v>
      </c>
      <c r="E12" s="1" t="s">
        <v>1</v>
      </c>
    </row>
    <row r="13" spans="1:8">
      <c r="A13">
        <v>1</v>
      </c>
      <c r="B13" s="3">
        <v>10</v>
      </c>
      <c r="C13" s="7">
        <f ca="1">OFFSET(Reference!A$1,MATCH(Sheet1!B13,Reference!A$1:A$12,0)-1,2)</f>
        <v>1.27</v>
      </c>
      <c r="D13" s="6">
        <v>4</v>
      </c>
      <c r="E13" s="6">
        <v>4</v>
      </c>
    </row>
    <row r="14" spans="1:8">
      <c r="A14">
        <v>2</v>
      </c>
      <c r="B14" s="3">
        <v>10</v>
      </c>
      <c r="C14" s="7">
        <f ca="1">OFFSET(Reference!A$1,MATCH(Sheet1!B14,Reference!A$1:A$12,0)-1,2)</f>
        <v>1.27</v>
      </c>
      <c r="D14" s="6">
        <v>16</v>
      </c>
      <c r="E14" s="6">
        <v>4</v>
      </c>
    </row>
    <row r="15" spans="1:8">
      <c r="A15">
        <v>3</v>
      </c>
      <c r="B15" s="3">
        <v>10</v>
      </c>
      <c r="C15" s="7">
        <f ca="1">OFFSET(Reference!A$1,MATCH(Sheet1!B15,Reference!A$1:A$12,0)-1,2)</f>
        <v>1.27</v>
      </c>
      <c r="D15" s="6">
        <v>16</v>
      </c>
      <c r="E15" s="6">
        <v>26</v>
      </c>
    </row>
    <row r="16" spans="1:8">
      <c r="A16">
        <v>4</v>
      </c>
      <c r="B16" s="3">
        <v>10</v>
      </c>
      <c r="C16" s="7">
        <f ca="1">OFFSET(Reference!A$1,MATCH(Sheet1!B16,Reference!A$1:A$12,0)-1,2)</f>
        <v>1.27</v>
      </c>
      <c r="D16" s="6">
        <v>10</v>
      </c>
      <c r="E16" s="6">
        <v>26</v>
      </c>
    </row>
    <row r="17" spans="1:5">
      <c r="A17">
        <v>5</v>
      </c>
      <c r="B17" s="3">
        <v>10</v>
      </c>
      <c r="C17" s="7">
        <f ca="1">OFFSET(Reference!A$1,MATCH(Sheet1!B17,Reference!A$1:A$12,0)-1,2)</f>
        <v>1.27</v>
      </c>
      <c r="D17" s="6">
        <v>4</v>
      </c>
      <c r="E17" s="6">
        <v>26</v>
      </c>
    </row>
    <row r="18" spans="1:5">
      <c r="A18">
        <v>6</v>
      </c>
      <c r="B18" s="3">
        <v>0</v>
      </c>
      <c r="C18" s="7">
        <f ca="1">OFFSET(Reference!A$1,MATCH(Sheet1!B18,Reference!A$1:A$12,0)-1,2)</f>
        <v>0</v>
      </c>
      <c r="D18" s="4"/>
      <c r="E18" s="4"/>
    </row>
    <row r="19" spans="1:5">
      <c r="A19">
        <v>7</v>
      </c>
      <c r="B19" s="3">
        <v>0</v>
      </c>
      <c r="C19" s="7">
        <f ca="1">OFFSET(Reference!A$1,MATCH(Sheet1!B19,Reference!A$1:A$12,0)-1,2)</f>
        <v>0</v>
      </c>
      <c r="D19" s="4"/>
      <c r="E19" s="4"/>
    </row>
    <row r="20" spans="1:5">
      <c r="A20">
        <v>8</v>
      </c>
      <c r="B20" s="3">
        <v>0</v>
      </c>
      <c r="C20" s="7">
        <f ca="1">OFFSET(Reference!A$1,MATCH(Sheet1!B20,Reference!A$1:A$12,0)-1,2)</f>
        <v>0</v>
      </c>
      <c r="D20" s="4"/>
      <c r="E20" s="4"/>
    </row>
    <row r="21" spans="1:5">
      <c r="A21">
        <v>9</v>
      </c>
      <c r="B21" s="3">
        <v>0</v>
      </c>
      <c r="C21" s="7">
        <f ca="1">OFFSET(Reference!A$1,MATCH(Sheet1!B21,Reference!A$1:A$12,0)-1,2)</f>
        <v>0</v>
      </c>
      <c r="D21" s="4"/>
      <c r="E21" s="4"/>
    </row>
    <row r="22" spans="1:5">
      <c r="A22">
        <v>10</v>
      </c>
      <c r="B22" s="3">
        <v>0</v>
      </c>
      <c r="C22" s="7">
        <f ca="1">OFFSET(Reference!A$1,MATCH(Sheet1!B22,Reference!A$1:A$12,0)-1,2)</f>
        <v>0</v>
      </c>
      <c r="D22" s="4"/>
      <c r="E22" s="4"/>
    </row>
    <row r="23" spans="1:5">
      <c r="A23">
        <v>11</v>
      </c>
      <c r="B23" s="3">
        <v>0</v>
      </c>
      <c r="C23" s="7">
        <f ca="1">OFFSET(Reference!A$1,MATCH(Sheet1!B23,Reference!A$1:A$12,0)-1,2)</f>
        <v>0</v>
      </c>
      <c r="D23" s="4"/>
      <c r="E23" s="4"/>
    </row>
    <row r="24" spans="1:5">
      <c r="A24">
        <v>12</v>
      </c>
      <c r="B24" s="3">
        <v>0</v>
      </c>
      <c r="C24" s="7">
        <f ca="1">OFFSET(Reference!A$1,MATCH(Sheet1!B24,Reference!A$1:A$12,0)-1,2)</f>
        <v>0</v>
      </c>
      <c r="D24" s="4"/>
      <c r="E24" s="4"/>
    </row>
    <row r="26" spans="1:5">
      <c r="A26" s="31" t="s">
        <v>15</v>
      </c>
    </row>
    <row r="27" spans="1:5">
      <c r="A27" s="2" t="s">
        <v>16</v>
      </c>
    </row>
    <row r="28" spans="1:5">
      <c r="A28" s="2" t="s">
        <v>17</v>
      </c>
      <c r="B28">
        <f>B5*B6</f>
        <v>600</v>
      </c>
      <c r="C28" t="s">
        <v>18</v>
      </c>
    </row>
    <row r="29" spans="1:5">
      <c r="A29" s="2" t="s">
        <v>19</v>
      </c>
      <c r="B29">
        <f>B28*B2</f>
        <v>3000</v>
      </c>
      <c r="C29" t="s">
        <v>20</v>
      </c>
    </row>
    <row r="30" spans="1:5">
      <c r="A30" s="2" t="s">
        <v>21</v>
      </c>
      <c r="B30">
        <f>B29*(B6/2)</f>
        <v>45000</v>
      </c>
      <c r="C30" t="s">
        <v>23</v>
      </c>
    </row>
    <row r="31" spans="1:5">
      <c r="A31" s="2" t="s">
        <v>22</v>
      </c>
      <c r="B31">
        <f>B29*(B5/2)</f>
        <v>30000</v>
      </c>
      <c r="C31" t="s">
        <v>23</v>
      </c>
    </row>
    <row r="33" spans="1:6">
      <c r="A33" s="2" t="s">
        <v>24</v>
      </c>
      <c r="C33" s="1" t="s">
        <v>71</v>
      </c>
      <c r="D33" s="1" t="s">
        <v>25</v>
      </c>
      <c r="E33" s="1" t="s">
        <v>26</v>
      </c>
      <c r="F33" s="1" t="s">
        <v>27</v>
      </c>
    </row>
    <row r="34" spans="1:6">
      <c r="A34">
        <f>A13</f>
        <v>1</v>
      </c>
      <c r="B34" s="10">
        <f ca="1">C13</f>
        <v>1.27</v>
      </c>
      <c r="C34" s="9">
        <f>($B$10-($B$2))</f>
        <v>55</v>
      </c>
      <c r="D34" s="9">
        <f ca="1">B34*C34</f>
        <v>69.849999999999994</v>
      </c>
      <c r="E34" s="9">
        <f ca="1">D34*E13</f>
        <v>279.39999999999998</v>
      </c>
      <c r="F34" s="9">
        <f ca="1">D34*D13</f>
        <v>279.39999999999998</v>
      </c>
    </row>
    <row r="35" spans="1:6">
      <c r="A35">
        <f t="shared" ref="A35:A45" si="0">A14</f>
        <v>2</v>
      </c>
      <c r="B35" s="10">
        <f t="shared" ref="B35:B45" ca="1" si="1">C14</f>
        <v>1.27</v>
      </c>
      <c r="C35" s="9">
        <f t="shared" ref="C35:C45" si="2">($B$10-($B$2))</f>
        <v>55</v>
      </c>
      <c r="D35" s="9">
        <f t="shared" ref="D35:D45" ca="1" si="3">B35*C35</f>
        <v>69.849999999999994</v>
      </c>
      <c r="E35" s="9">
        <f t="shared" ref="E35:E45" ca="1" si="4">D35*E14</f>
        <v>279.39999999999998</v>
      </c>
      <c r="F35" s="9">
        <f t="shared" ref="F35:F45" ca="1" si="5">D35*D14</f>
        <v>1117.5999999999999</v>
      </c>
    </row>
    <row r="36" spans="1:6">
      <c r="A36">
        <f t="shared" si="0"/>
        <v>3</v>
      </c>
      <c r="B36" s="10">
        <f t="shared" ca="1" si="1"/>
        <v>1.27</v>
      </c>
      <c r="C36" s="9">
        <f t="shared" si="2"/>
        <v>55</v>
      </c>
      <c r="D36" s="9">
        <f t="shared" ca="1" si="3"/>
        <v>69.849999999999994</v>
      </c>
      <c r="E36" s="9">
        <f t="shared" ca="1" si="4"/>
        <v>1816.1</v>
      </c>
      <c r="F36" s="9">
        <f t="shared" ca="1" si="5"/>
        <v>1117.5999999999999</v>
      </c>
    </row>
    <row r="37" spans="1:6">
      <c r="A37">
        <f t="shared" si="0"/>
        <v>4</v>
      </c>
      <c r="B37" s="10">
        <f t="shared" ca="1" si="1"/>
        <v>1.27</v>
      </c>
      <c r="C37" s="9">
        <f t="shared" si="2"/>
        <v>55</v>
      </c>
      <c r="D37" s="9">
        <f t="shared" ca="1" si="3"/>
        <v>69.849999999999994</v>
      </c>
      <c r="E37" s="9">
        <f t="shared" ca="1" si="4"/>
        <v>1816.1</v>
      </c>
      <c r="F37" s="9">
        <f t="shared" ca="1" si="5"/>
        <v>698.5</v>
      </c>
    </row>
    <row r="38" spans="1:6">
      <c r="A38">
        <f t="shared" si="0"/>
        <v>5</v>
      </c>
      <c r="B38" s="10">
        <f t="shared" ca="1" si="1"/>
        <v>1.27</v>
      </c>
      <c r="C38" s="9">
        <f t="shared" si="2"/>
        <v>55</v>
      </c>
      <c r="D38" s="9">
        <f t="shared" ca="1" si="3"/>
        <v>69.849999999999994</v>
      </c>
      <c r="E38" s="9">
        <f t="shared" ca="1" si="4"/>
        <v>1816.1</v>
      </c>
      <c r="F38" s="9">
        <f t="shared" ca="1" si="5"/>
        <v>279.39999999999998</v>
      </c>
    </row>
    <row r="39" spans="1:6">
      <c r="A39">
        <f t="shared" si="0"/>
        <v>6</v>
      </c>
      <c r="B39" s="10">
        <f t="shared" ca="1" si="1"/>
        <v>0</v>
      </c>
      <c r="C39" s="9">
        <f t="shared" si="2"/>
        <v>55</v>
      </c>
      <c r="D39" s="9">
        <f t="shared" ca="1" si="3"/>
        <v>0</v>
      </c>
      <c r="E39" s="9">
        <f t="shared" ca="1" si="4"/>
        <v>0</v>
      </c>
      <c r="F39" s="9">
        <f t="shared" ca="1" si="5"/>
        <v>0</v>
      </c>
    </row>
    <row r="40" spans="1:6">
      <c r="A40">
        <f t="shared" si="0"/>
        <v>7</v>
      </c>
      <c r="B40" s="10">
        <f t="shared" ca="1" si="1"/>
        <v>0</v>
      </c>
      <c r="C40" s="9">
        <f t="shared" si="2"/>
        <v>55</v>
      </c>
      <c r="D40" s="9">
        <f t="shared" ca="1" si="3"/>
        <v>0</v>
      </c>
      <c r="E40" s="9">
        <f t="shared" ca="1" si="4"/>
        <v>0</v>
      </c>
      <c r="F40" s="9">
        <f t="shared" ca="1" si="5"/>
        <v>0</v>
      </c>
    </row>
    <row r="41" spans="1:6">
      <c r="A41">
        <f t="shared" si="0"/>
        <v>8</v>
      </c>
      <c r="B41" s="10">
        <f t="shared" ca="1" si="1"/>
        <v>0</v>
      </c>
      <c r="C41" s="9">
        <f t="shared" si="2"/>
        <v>55</v>
      </c>
      <c r="D41" s="9">
        <f t="shared" ca="1" si="3"/>
        <v>0</v>
      </c>
      <c r="E41" s="9">
        <f t="shared" ca="1" si="4"/>
        <v>0</v>
      </c>
      <c r="F41" s="9">
        <f t="shared" ca="1" si="5"/>
        <v>0</v>
      </c>
    </row>
    <row r="42" spans="1:6">
      <c r="A42">
        <f t="shared" si="0"/>
        <v>9</v>
      </c>
      <c r="B42" s="10">
        <f t="shared" ca="1" si="1"/>
        <v>0</v>
      </c>
      <c r="C42" s="9">
        <f t="shared" si="2"/>
        <v>55</v>
      </c>
      <c r="D42" s="9">
        <f t="shared" ca="1" si="3"/>
        <v>0</v>
      </c>
      <c r="E42" s="9">
        <f t="shared" ca="1" si="4"/>
        <v>0</v>
      </c>
      <c r="F42" s="9">
        <f t="shared" ca="1" si="5"/>
        <v>0</v>
      </c>
    </row>
    <row r="43" spans="1:6">
      <c r="A43">
        <f t="shared" si="0"/>
        <v>10</v>
      </c>
      <c r="B43" s="10">
        <f t="shared" ca="1" si="1"/>
        <v>0</v>
      </c>
      <c r="C43" s="9">
        <f t="shared" si="2"/>
        <v>55</v>
      </c>
      <c r="D43" s="9">
        <f t="shared" ca="1" si="3"/>
        <v>0</v>
      </c>
      <c r="E43" s="9">
        <f t="shared" ca="1" si="4"/>
        <v>0</v>
      </c>
      <c r="F43" s="9">
        <f t="shared" ca="1" si="5"/>
        <v>0</v>
      </c>
    </row>
    <row r="44" spans="1:6">
      <c r="A44">
        <f t="shared" si="0"/>
        <v>11</v>
      </c>
      <c r="B44" s="10">
        <f t="shared" ca="1" si="1"/>
        <v>0</v>
      </c>
      <c r="C44" s="9">
        <f t="shared" si="2"/>
        <v>55</v>
      </c>
      <c r="D44" s="9">
        <f t="shared" ca="1" si="3"/>
        <v>0</v>
      </c>
      <c r="E44" s="9">
        <f t="shared" ca="1" si="4"/>
        <v>0</v>
      </c>
      <c r="F44" s="9">
        <f t="shared" ca="1" si="5"/>
        <v>0</v>
      </c>
    </row>
    <row r="45" spans="1:6" ht="16" thickBot="1">
      <c r="A45">
        <f t="shared" si="0"/>
        <v>12</v>
      </c>
      <c r="B45" s="10">
        <f t="shared" ca="1" si="1"/>
        <v>0</v>
      </c>
      <c r="C45" s="9">
        <f t="shared" si="2"/>
        <v>55</v>
      </c>
      <c r="D45" s="30">
        <f t="shared" ca="1" si="3"/>
        <v>0</v>
      </c>
      <c r="E45" s="30">
        <f t="shared" ca="1" si="4"/>
        <v>0</v>
      </c>
      <c r="F45" s="30">
        <f t="shared" ca="1" si="5"/>
        <v>0</v>
      </c>
    </row>
    <row r="46" spans="1:6" ht="16" thickTop="1">
      <c r="C46" s="9"/>
      <c r="D46" s="9">
        <f ca="1">SUM(D34:D45)</f>
        <v>349.25</v>
      </c>
      <c r="E46" s="9">
        <f t="shared" ref="E46:F46" ca="1" si="6">SUM(E34:E45)</f>
        <v>6007.1</v>
      </c>
      <c r="F46" s="9">
        <f t="shared" ca="1" si="6"/>
        <v>3492.5</v>
      </c>
    </row>
    <row r="48" spans="1:6">
      <c r="A48" s="2" t="s">
        <v>28</v>
      </c>
      <c r="B48" s="9">
        <f ca="1">B29+D46</f>
        <v>3349.25</v>
      </c>
      <c r="D48" t="s">
        <v>31</v>
      </c>
      <c r="E48" t="s">
        <v>32</v>
      </c>
    </row>
    <row r="49" spans="1:21">
      <c r="A49" s="2" t="s">
        <v>29</v>
      </c>
      <c r="B49" s="9">
        <f ca="1">E46+B30</f>
        <v>51007.1</v>
      </c>
      <c r="D49" s="1">
        <f ca="1">B50/B48</f>
        <v>10</v>
      </c>
      <c r="E49" s="7">
        <f ca="1">B49/B48</f>
        <v>15.229409569306561</v>
      </c>
    </row>
    <row r="50" spans="1:21">
      <c r="A50" s="2" t="s">
        <v>30</v>
      </c>
      <c r="B50" s="9">
        <f ca="1">F46+B31</f>
        <v>33492.5</v>
      </c>
    </row>
    <row r="52" spans="1:21">
      <c r="A52" s="32" t="s">
        <v>34</v>
      </c>
    </row>
    <row r="53" spans="1:21">
      <c r="A53" s="2" t="s">
        <v>36</v>
      </c>
      <c r="B53" s="4">
        <v>-360</v>
      </c>
      <c r="C53" t="s">
        <v>39</v>
      </c>
    </row>
    <row r="55" spans="1:21">
      <c r="A55" s="2" t="s">
        <v>16</v>
      </c>
    </row>
    <row r="56" spans="1:21">
      <c r="A56" s="1" t="s">
        <v>0</v>
      </c>
      <c r="B56" s="1" t="s">
        <v>1</v>
      </c>
      <c r="C56" s="1" t="s">
        <v>37</v>
      </c>
      <c r="D56" s="1" t="s">
        <v>38</v>
      </c>
    </row>
    <row r="57" spans="1:21">
      <c r="A57" s="9">
        <f ca="1">D3-$D$49</f>
        <v>-10</v>
      </c>
      <c r="B57" s="10">
        <f ca="1">E3-$E$49</f>
        <v>-15.229409569306561</v>
      </c>
      <c r="C57" s="7">
        <f ca="1">A57*COS(RADIANS($B$53))+B57*SIN(RADIANS($B$53))</f>
        <v>-10.000000000000004</v>
      </c>
      <c r="D57" s="7">
        <f ca="1">-1*A57*SIN(RADIANS($B$53))+B57*COS(RADIANS($B$53))</f>
        <v>-15.22940956930656</v>
      </c>
      <c r="F57" t="s">
        <v>40</v>
      </c>
      <c r="G57">
        <f ca="1">MAX(D57:D61)-MIN(D57:D61)</f>
        <v>30.000000000000004</v>
      </c>
      <c r="H57" t="s">
        <v>6</v>
      </c>
      <c r="T57" t="s">
        <v>82</v>
      </c>
    </row>
    <row r="58" spans="1:21">
      <c r="A58" s="9">
        <f ca="1">D4-$D$49</f>
        <v>10</v>
      </c>
      <c r="B58" s="10">
        <f t="shared" ref="B58:B61" ca="1" si="7">E4-$E$49</f>
        <v>-15.229409569306561</v>
      </c>
      <c r="C58" s="7">
        <f t="shared" ref="C58:C61" ca="1" si="8">A58*COS(RADIANS($B$53))+B58*SIN(RADIANS($B$53))</f>
        <v>9.9999999999999964</v>
      </c>
      <c r="D58" s="7">
        <f t="shared" ref="D58:D61" ca="1" si="9">-1*A58*SIN(RADIANS($B$53))+B58*COS(RADIANS($B$53))</f>
        <v>-15.229409569306563</v>
      </c>
      <c r="F58" t="s">
        <v>62</v>
      </c>
      <c r="G58" s="10">
        <f ca="1">MAX(D57:D61)</f>
        <v>14.77059043069344</v>
      </c>
      <c r="T58" t="s">
        <v>0</v>
      </c>
      <c r="U58" t="s">
        <v>1</v>
      </c>
    </row>
    <row r="59" spans="1:21">
      <c r="A59" s="9">
        <f ca="1">D5-$D$49</f>
        <v>10</v>
      </c>
      <c r="B59" s="10">
        <f t="shared" ca="1" si="7"/>
        <v>14.770590430693439</v>
      </c>
      <c r="C59" s="7">
        <f t="shared" ca="1" si="8"/>
        <v>10.000000000000004</v>
      </c>
      <c r="D59" s="7">
        <f t="shared" ca="1" si="9"/>
        <v>14.770590430693437</v>
      </c>
      <c r="T59">
        <f ca="1">MAX(MAX(C57:C61),MAX(D57:D61))</f>
        <v>14.77059043069344</v>
      </c>
      <c r="U59">
        <f ca="1">T59</f>
        <v>14.77059043069344</v>
      </c>
    </row>
    <row r="60" spans="1:21">
      <c r="A60" s="9">
        <f ca="1">D6-$D$49</f>
        <v>-10</v>
      </c>
      <c r="B60" s="10">
        <f t="shared" ca="1" si="7"/>
        <v>14.770590430693439</v>
      </c>
      <c r="C60" s="7">
        <f t="shared" ca="1" si="8"/>
        <v>-9.9999999999999964</v>
      </c>
      <c r="D60" s="7">
        <f t="shared" ca="1" si="9"/>
        <v>14.77059043069344</v>
      </c>
      <c r="T60">
        <f ca="1">-1*T59</f>
        <v>-14.77059043069344</v>
      </c>
      <c r="U60">
        <f ca="1">-1*U59</f>
        <v>-14.77059043069344</v>
      </c>
    </row>
    <row r="61" spans="1:21">
      <c r="A61" s="9">
        <f ca="1">D7-$D$49</f>
        <v>-10</v>
      </c>
      <c r="B61" s="10">
        <f t="shared" ca="1" si="7"/>
        <v>-15.229409569306561</v>
      </c>
      <c r="C61" s="7">
        <f t="shared" ca="1" si="8"/>
        <v>-10.000000000000004</v>
      </c>
      <c r="D61" s="7">
        <f t="shared" ca="1" si="9"/>
        <v>-15.22940956930656</v>
      </c>
    </row>
    <row r="62" spans="1:21">
      <c r="A62" s="9"/>
    </row>
    <row r="63" spans="1:21">
      <c r="A63" s="33" t="s">
        <v>24</v>
      </c>
      <c r="F63" s="1" t="s">
        <v>37</v>
      </c>
      <c r="G63" s="1" t="s">
        <v>38</v>
      </c>
    </row>
    <row r="64" spans="1:21">
      <c r="A64" s="11">
        <f t="shared" ref="A64:C75" si="10">A13</f>
        <v>1</v>
      </c>
      <c r="B64" s="9">
        <f t="shared" si="10"/>
        <v>10</v>
      </c>
      <c r="C64" s="9">
        <f t="shared" ca="1" si="10"/>
        <v>1.27</v>
      </c>
      <c r="D64" s="9">
        <f ca="1">D13-$D$49</f>
        <v>-6</v>
      </c>
      <c r="E64" s="9">
        <f ca="1">E13-$E$49</f>
        <v>-11.229409569306561</v>
      </c>
      <c r="F64" s="7">
        <f ca="1">D64*COS(RADIANS($B$53))+E64*SIN(RADIANS($B$53))</f>
        <v>-6.0000000000000027</v>
      </c>
      <c r="G64" s="7">
        <f ca="1">-1*D64*SIN(RADIANS($B$53))+E64*COS(RADIANS($B$53))</f>
        <v>-11.22940956930656</v>
      </c>
    </row>
    <row r="65" spans="1:7">
      <c r="A65" s="11">
        <f t="shared" si="10"/>
        <v>2</v>
      </c>
      <c r="B65" s="9">
        <f t="shared" si="10"/>
        <v>10</v>
      </c>
      <c r="C65" s="9">
        <f t="shared" ca="1" si="10"/>
        <v>1.27</v>
      </c>
      <c r="D65" s="9">
        <f t="shared" ref="D65:D75" ca="1" si="11">D14-$D$49</f>
        <v>6</v>
      </c>
      <c r="E65" s="9">
        <f t="shared" ref="E65:E75" ca="1" si="12">E14-$E$49</f>
        <v>-11.229409569306561</v>
      </c>
      <c r="F65" s="7">
        <f t="shared" ref="F65:F75" ca="1" si="13">D65*COS(RADIANS($B$53))+E65*SIN(RADIANS($B$53))</f>
        <v>5.9999999999999973</v>
      </c>
      <c r="G65" s="7">
        <f t="shared" ref="G65:G75" ca="1" si="14">-1*D65*SIN(RADIANS($B$53))+E65*COS(RADIANS($B$53))</f>
        <v>-11.229409569306563</v>
      </c>
    </row>
    <row r="66" spans="1:7">
      <c r="A66" s="11">
        <f t="shared" si="10"/>
        <v>3</v>
      </c>
      <c r="B66" s="9">
        <f t="shared" si="10"/>
        <v>10</v>
      </c>
      <c r="C66" s="9">
        <f t="shared" ca="1" si="10"/>
        <v>1.27</v>
      </c>
      <c r="D66" s="9">
        <f t="shared" ca="1" si="11"/>
        <v>6</v>
      </c>
      <c r="E66" s="9">
        <f t="shared" ca="1" si="12"/>
        <v>10.770590430693439</v>
      </c>
      <c r="F66" s="7">
        <f t="shared" ca="1" si="13"/>
        <v>6.0000000000000027</v>
      </c>
      <c r="G66" s="7">
        <f t="shared" ca="1" si="14"/>
        <v>10.770590430693437</v>
      </c>
    </row>
    <row r="67" spans="1:7">
      <c r="A67" s="11">
        <f t="shared" si="10"/>
        <v>4</v>
      </c>
      <c r="B67" s="9">
        <f t="shared" si="10"/>
        <v>10</v>
      </c>
      <c r="C67" s="9">
        <f t="shared" ca="1" si="10"/>
        <v>1.27</v>
      </c>
      <c r="D67" s="9">
        <f t="shared" ca="1" si="11"/>
        <v>0</v>
      </c>
      <c r="E67" s="9">
        <f t="shared" ca="1" si="12"/>
        <v>10.770590430693439</v>
      </c>
      <c r="F67" s="7">
        <f t="shared" ca="1" si="13"/>
        <v>2.639114444923527E-15</v>
      </c>
      <c r="G67" s="7">
        <f t="shared" ca="1" si="14"/>
        <v>10.770590430693439</v>
      </c>
    </row>
    <row r="68" spans="1:7">
      <c r="A68" s="11">
        <f t="shared" si="10"/>
        <v>5</v>
      </c>
      <c r="B68" s="9">
        <f t="shared" si="10"/>
        <v>10</v>
      </c>
      <c r="C68" s="9">
        <f t="shared" ca="1" si="10"/>
        <v>1.27</v>
      </c>
      <c r="D68" s="9">
        <f t="shared" ca="1" si="11"/>
        <v>-6</v>
      </c>
      <c r="E68" s="9">
        <f t="shared" ca="1" si="12"/>
        <v>10.770590430693439</v>
      </c>
      <c r="F68" s="7">
        <f t="shared" ca="1" si="13"/>
        <v>-5.9999999999999973</v>
      </c>
      <c r="G68" s="7">
        <f t="shared" ca="1" si="14"/>
        <v>10.77059043069344</v>
      </c>
    </row>
    <row r="69" spans="1:7">
      <c r="A69" s="11">
        <f t="shared" si="10"/>
        <v>6</v>
      </c>
      <c r="B69" s="9">
        <f t="shared" si="10"/>
        <v>0</v>
      </c>
      <c r="C69" s="9">
        <f t="shared" ca="1" si="10"/>
        <v>0</v>
      </c>
      <c r="D69" s="9">
        <f t="shared" ca="1" si="11"/>
        <v>-10</v>
      </c>
      <c r="E69" s="9">
        <f t="shared" ca="1" si="12"/>
        <v>-15.229409569306561</v>
      </c>
      <c r="F69" s="7">
        <f t="shared" ca="1" si="13"/>
        <v>-10.000000000000004</v>
      </c>
      <c r="G69" s="7">
        <f t="shared" ca="1" si="14"/>
        <v>-15.22940956930656</v>
      </c>
    </row>
    <row r="70" spans="1:7">
      <c r="A70" s="11">
        <f t="shared" si="10"/>
        <v>7</v>
      </c>
      <c r="B70" s="9">
        <f t="shared" si="10"/>
        <v>0</v>
      </c>
      <c r="C70" s="9">
        <f t="shared" ca="1" si="10"/>
        <v>0</v>
      </c>
      <c r="D70" s="9">
        <f t="shared" ca="1" si="11"/>
        <v>-10</v>
      </c>
      <c r="E70" s="9">
        <f t="shared" ca="1" si="12"/>
        <v>-15.229409569306561</v>
      </c>
      <c r="F70" s="7">
        <f t="shared" ca="1" si="13"/>
        <v>-10.000000000000004</v>
      </c>
      <c r="G70" s="7">
        <f t="shared" ca="1" si="14"/>
        <v>-15.22940956930656</v>
      </c>
    </row>
    <row r="71" spans="1:7">
      <c r="A71" s="11">
        <f t="shared" si="10"/>
        <v>8</v>
      </c>
      <c r="B71" s="9">
        <f t="shared" si="10"/>
        <v>0</v>
      </c>
      <c r="C71" s="9">
        <f t="shared" ca="1" si="10"/>
        <v>0</v>
      </c>
      <c r="D71" s="9">
        <f t="shared" ca="1" si="11"/>
        <v>-10</v>
      </c>
      <c r="E71" s="9">
        <f t="shared" ca="1" si="12"/>
        <v>-15.229409569306561</v>
      </c>
      <c r="F71" s="7">
        <f t="shared" ca="1" si="13"/>
        <v>-10.000000000000004</v>
      </c>
      <c r="G71" s="7">
        <f t="shared" ca="1" si="14"/>
        <v>-15.22940956930656</v>
      </c>
    </row>
    <row r="72" spans="1:7">
      <c r="A72" s="11">
        <f t="shared" si="10"/>
        <v>9</v>
      </c>
      <c r="B72" s="9">
        <f t="shared" si="10"/>
        <v>0</v>
      </c>
      <c r="C72" s="9">
        <f t="shared" ca="1" si="10"/>
        <v>0</v>
      </c>
      <c r="D72" s="9">
        <f t="shared" ca="1" si="11"/>
        <v>-10</v>
      </c>
      <c r="E72" s="9">
        <f t="shared" ca="1" si="12"/>
        <v>-15.229409569306561</v>
      </c>
      <c r="F72" s="7">
        <f t="shared" ca="1" si="13"/>
        <v>-10.000000000000004</v>
      </c>
      <c r="G72" s="7">
        <f t="shared" ca="1" si="14"/>
        <v>-15.22940956930656</v>
      </c>
    </row>
    <row r="73" spans="1:7">
      <c r="A73" s="11">
        <f t="shared" si="10"/>
        <v>10</v>
      </c>
      <c r="B73" s="9">
        <f t="shared" si="10"/>
        <v>0</v>
      </c>
      <c r="C73" s="9">
        <f t="shared" ca="1" si="10"/>
        <v>0</v>
      </c>
      <c r="D73" s="9">
        <f t="shared" ca="1" si="11"/>
        <v>-10</v>
      </c>
      <c r="E73" s="9">
        <f t="shared" ca="1" si="12"/>
        <v>-15.229409569306561</v>
      </c>
      <c r="F73" s="7">
        <f t="shared" ca="1" si="13"/>
        <v>-10.000000000000004</v>
      </c>
      <c r="G73" s="7">
        <f t="shared" ca="1" si="14"/>
        <v>-15.22940956930656</v>
      </c>
    </row>
    <row r="74" spans="1:7">
      <c r="A74" s="11">
        <f t="shared" si="10"/>
        <v>11</v>
      </c>
      <c r="B74" s="9">
        <f t="shared" si="10"/>
        <v>0</v>
      </c>
      <c r="C74" s="9">
        <f t="shared" ca="1" si="10"/>
        <v>0</v>
      </c>
      <c r="D74" s="9">
        <f t="shared" ca="1" si="11"/>
        <v>-10</v>
      </c>
      <c r="E74" s="9">
        <f t="shared" ca="1" si="12"/>
        <v>-15.229409569306561</v>
      </c>
      <c r="F74" s="7">
        <f t="shared" ca="1" si="13"/>
        <v>-10.000000000000004</v>
      </c>
      <c r="G74" s="7">
        <f t="shared" ca="1" si="14"/>
        <v>-15.22940956930656</v>
      </c>
    </row>
    <row r="75" spans="1:7">
      <c r="A75" s="11">
        <f t="shared" si="10"/>
        <v>12</v>
      </c>
      <c r="B75" s="9">
        <f t="shared" si="10"/>
        <v>0</v>
      </c>
      <c r="C75" s="9">
        <f t="shared" ca="1" si="10"/>
        <v>0</v>
      </c>
      <c r="D75" s="9">
        <f t="shared" ca="1" si="11"/>
        <v>-10</v>
      </c>
      <c r="E75" s="9">
        <f t="shared" ca="1" si="12"/>
        <v>-15.229409569306561</v>
      </c>
      <c r="F75" s="7">
        <f t="shared" ca="1" si="13"/>
        <v>-10.000000000000004</v>
      </c>
      <c r="G75" s="7">
        <f t="shared" ca="1" si="14"/>
        <v>-15.22940956930656</v>
      </c>
    </row>
    <row r="77" spans="1:7">
      <c r="D77" t="s">
        <v>0</v>
      </c>
      <c r="E77" t="s">
        <v>1</v>
      </c>
    </row>
    <row r="78" spans="1:7">
      <c r="A78" s="2" t="s">
        <v>41</v>
      </c>
      <c r="B78" s="4">
        <v>8.1632281882855651</v>
      </c>
      <c r="C78" t="s">
        <v>6</v>
      </c>
      <c r="D78" s="7">
        <f ca="1">MIN(C57:C61)</f>
        <v>-10.000000000000004</v>
      </c>
      <c r="E78" s="7">
        <f ca="1">MAX(D57:D61)-B78</f>
        <v>6.6073622424078753</v>
      </c>
    </row>
    <row r="79" spans="1:7">
      <c r="A79" s="2"/>
      <c r="D79" s="7">
        <f ca="1">MAX(C57:C61)</f>
        <v>10.000000000000004</v>
      </c>
      <c r="E79" s="7">
        <f ca="1">E78</f>
        <v>6.6073622424078753</v>
      </c>
    </row>
    <row r="80" spans="1:7">
      <c r="A80" s="2"/>
    </row>
    <row r="81" spans="1:12">
      <c r="A81" s="2" t="s">
        <v>42</v>
      </c>
      <c r="B81" s="1">
        <f>B78*B4</f>
        <v>6.5305825506284512</v>
      </c>
      <c r="C81" t="s">
        <v>6</v>
      </c>
      <c r="D81" t="s">
        <v>0</v>
      </c>
      <c r="E81" t="s">
        <v>1</v>
      </c>
    </row>
    <row r="82" spans="1:12">
      <c r="D82" s="7">
        <f ca="1">MIN(C57:C61)</f>
        <v>-10.000000000000004</v>
      </c>
      <c r="E82" s="7">
        <f ca="1">MAX(D57:D61)-B81</f>
        <v>8.2400078800649901</v>
      </c>
    </row>
    <row r="83" spans="1:12">
      <c r="D83" s="7">
        <f ca="1">MAX(C57:C61)</f>
        <v>10.000000000000004</v>
      </c>
      <c r="E83" s="7">
        <f ca="1">E82</f>
        <v>8.2400078800649901</v>
      </c>
    </row>
    <row r="84" spans="1:12">
      <c r="A84" t="s">
        <v>47</v>
      </c>
    </row>
    <row r="85" spans="1:12">
      <c r="A85" s="2" t="s">
        <v>55</v>
      </c>
      <c r="B85" s="1">
        <f>0.85*B2</f>
        <v>4.25</v>
      </c>
      <c r="C85" t="s">
        <v>5</v>
      </c>
    </row>
    <row r="87" spans="1:12">
      <c r="A87" t="s">
        <v>48</v>
      </c>
      <c r="B87" t="s">
        <v>43</v>
      </c>
      <c r="C87" t="s">
        <v>44</v>
      </c>
      <c r="D87" t="s">
        <v>45</v>
      </c>
      <c r="E87" t="s">
        <v>46</v>
      </c>
      <c r="G87" s="1" t="s">
        <v>49</v>
      </c>
      <c r="H87" s="1" t="s">
        <v>50</v>
      </c>
      <c r="I87" s="1" t="s">
        <v>51</v>
      </c>
      <c r="J87" s="1" t="s">
        <v>52</v>
      </c>
      <c r="K87" s="1" t="s">
        <v>53</v>
      </c>
      <c r="L87" s="1" t="s">
        <v>54</v>
      </c>
    </row>
    <row r="88" spans="1:12">
      <c r="A88">
        <v>1</v>
      </c>
      <c r="B88" s="7">
        <f t="shared" ref="B88:C91" ca="1" si="15">C57</f>
        <v>-10.000000000000004</v>
      </c>
      <c r="C88" s="7">
        <f t="shared" ca="1" si="15"/>
        <v>-15.22940956930656</v>
      </c>
      <c r="D88" s="7">
        <f t="shared" ref="D88:E91" ca="1" si="16">C58</f>
        <v>9.9999999999999964</v>
      </c>
      <c r="E88" s="7">
        <f t="shared" ca="1" si="16"/>
        <v>-15.229409569306563</v>
      </c>
      <c r="F88" s="1">
        <f ca="1">IF(AND(E88&gt;=E$82,C88&lt;=E$82),1,IF(AND(C88&gt;=E$82,E88&gt;=E$82),3,IF(AND(E88&lt;=E$82,C88&gt;=E$82),2,0)))</f>
        <v>0</v>
      </c>
      <c r="G88" s="1" t="str">
        <f ca="1">IF(E88=C88,"H",IF(B88=D88,"V",(E88-C88)/(D88-B88)))</f>
        <v>H</v>
      </c>
      <c r="H88" s="7" t="e">
        <f ca="1">IF(OR(F88=1,F88=2),IF(G88="V",B88,(E$82-C88+(G88*B88))/G88),NA())</f>
        <v>#N/A</v>
      </c>
      <c r="I88" s="7" t="e">
        <f ca="1">IF(OR(F88=1,F88=2),E$82,NA())</f>
        <v>#N/A</v>
      </c>
      <c r="J88" s="8">
        <f ca="1">IF(F88=0,0,IF(F88=1,-0.5*B$85*(H88+D88)*(I88-E88),IF(F88=2,-0.5*B$85*(B88+H88)*(C88-I88),IF(F88=3,-0.5*B$85*(B88+D88)*(C88-E88),0))))</f>
        <v>0</v>
      </c>
      <c r="K88" s="8">
        <f ca="1">IF(F88=1,(1/6)*B$85*(E88-I88)*((H88*(2*I88+E88))+(D88*(I88+2*E88))),IF(F88=2,(1/6)*B$85*(I88-C88)*((B88*(2*C88+I88))+(H88*(C88+2*I88))),IF(F88=3,(1/6)*B$85*(E88-C88)*((B88*(2*C88+E88))+(D88*(C88+2*E88))),0)))</f>
        <v>0</v>
      </c>
      <c r="L88" s="8">
        <f ca="1">IF(F88=1,(1/6)*B$85*(POWER(H88,2)+H88*D88+POWER(D88,2))*(E88-I88),IF(F88=2,(1/6)*B$85*(POWER(B88,2)+B88*H88+POWER(H88,2))*(I88-C88),IF(F88=3,(1/6)*B$85*(POWER(B88,2)+B88*D88+POWER(D88,2))*(E88-C88),0)))</f>
        <v>0</v>
      </c>
    </row>
    <row r="89" spans="1:12">
      <c r="A89">
        <v>2</v>
      </c>
      <c r="B89" s="7">
        <f t="shared" ca="1" si="15"/>
        <v>9.9999999999999964</v>
      </c>
      <c r="C89" s="7">
        <f t="shared" ca="1" si="15"/>
        <v>-15.229409569306563</v>
      </c>
      <c r="D89" s="7">
        <f t="shared" ca="1" si="16"/>
        <v>10.000000000000004</v>
      </c>
      <c r="E89" s="7">
        <f t="shared" ca="1" si="16"/>
        <v>14.770590430693437</v>
      </c>
      <c r="F89" s="1">
        <f t="shared" ref="F89:F91" ca="1" si="17">IF(AND(E89&gt;=E$82,C89&lt;=E$82),1,IF(AND(C89&gt;=E$82,E89&gt;=E$82),3,IF(AND(E89&lt;=E$82,C89&gt;=E$82),2,0)))</f>
        <v>1</v>
      </c>
      <c r="G89" s="1" t="str">
        <f t="shared" ref="G89:G91" ca="1" si="18">IF(E89=C89,"H",IF(B89=D89,"V",(E89-C89)/(D89-B89)))</f>
        <v>V</v>
      </c>
      <c r="H89" s="7">
        <f t="shared" ref="H89:H91" ca="1" si="19">IF(OR(F89=1,F89=2),IF(G89="V",B89,(E$82-C89+(G89*B89))/G89),NA())</f>
        <v>9.9999999999999964</v>
      </c>
      <c r="I89" s="7">
        <f t="shared" ref="I89:I91" ca="1" si="20">IF(OR(F89=1,F89=2),E$82,NA())</f>
        <v>8.2400078800649901</v>
      </c>
      <c r="J89" s="8">
        <f t="shared" ref="J89:J91" ca="1" si="21">IF(F89=0,0,IF(F89=1,-0.5*B$85*(H89+D89)*(I89-E89),IF(F89=2,-0.5*B$85*(B89+H89)*(C89-I89),IF(F89=3,-0.5*B$85*(B89+D89)*(C89-E89),0))))</f>
        <v>277.54975840170897</v>
      </c>
      <c r="K89" s="8">
        <f t="shared" ref="K89:K91" ca="1" si="22">IF(F89=1,(1/6)*B$85*(E89-I89)*((H89*(2*I89+E89))+(D89*(I89+2*E89))),IF(F89=2,(1/6)*B$85*(I89-C89)*((B89*(2*C89+I89))+(H89*(C89+2*I89))),IF(F89=3,(1/6)*B$85*(E89-C89)*((B89*(2*C89+E89))+(D89*(C89+2*E89))),0)))</f>
        <v>3193.2930009148872</v>
      </c>
      <c r="L89" s="8">
        <f t="shared" ref="L89:L91" ca="1" si="23">IF(F89=1,(1/6)*B$85*(POWER(H89,2)+H89*D89+POWER(D89,2))*(E89-I89),IF(F89=2,(1/6)*B$85*(POWER(B89,2)+B89*H89+POWER(H89,2))*(I89-C89),IF(F89=3,(1/6)*B$85*(POWER(B89,2)+B89*D89+POWER(D89,2))*(E89-C89),0)))</f>
        <v>1387.7487920085448</v>
      </c>
    </row>
    <row r="90" spans="1:12">
      <c r="A90">
        <v>3</v>
      </c>
      <c r="B90" s="7">
        <f t="shared" ca="1" si="15"/>
        <v>10.000000000000004</v>
      </c>
      <c r="C90" s="7">
        <f t="shared" ca="1" si="15"/>
        <v>14.770590430693437</v>
      </c>
      <c r="D90" s="7">
        <f t="shared" ca="1" si="16"/>
        <v>-9.9999999999999964</v>
      </c>
      <c r="E90" s="7">
        <f t="shared" ca="1" si="16"/>
        <v>14.77059043069344</v>
      </c>
      <c r="F90" s="1">
        <f t="shared" ca="1" si="17"/>
        <v>3</v>
      </c>
      <c r="G90" s="1" t="str">
        <f t="shared" ca="1" si="18"/>
        <v>H</v>
      </c>
      <c r="H90" s="7" t="e">
        <f t="shared" ca="1" si="19"/>
        <v>#N/A</v>
      </c>
      <c r="I90" s="7" t="e">
        <f t="shared" ca="1" si="20"/>
        <v>#N/A</v>
      </c>
      <c r="J90" s="8">
        <f t="shared" ca="1" si="21"/>
        <v>5.3642541555028803E-29</v>
      </c>
      <c r="K90" s="8">
        <f t="shared" ca="1" si="22"/>
        <v>8.5828066488046084E-28</v>
      </c>
      <c r="L90" s="8">
        <f t="shared" ca="1" si="23"/>
        <v>2.516505522483688E-13</v>
      </c>
    </row>
    <row r="91" spans="1:12" ht="16" thickBot="1">
      <c r="A91">
        <v>4</v>
      </c>
      <c r="B91" s="7">
        <f t="shared" ca="1" si="15"/>
        <v>-9.9999999999999964</v>
      </c>
      <c r="C91" s="7">
        <f t="shared" ca="1" si="15"/>
        <v>14.77059043069344</v>
      </c>
      <c r="D91" s="7">
        <f t="shared" ca="1" si="16"/>
        <v>-10.000000000000004</v>
      </c>
      <c r="E91" s="7">
        <f t="shared" ca="1" si="16"/>
        <v>-15.22940956930656</v>
      </c>
      <c r="F91" s="1">
        <f t="shared" ca="1" si="17"/>
        <v>2</v>
      </c>
      <c r="G91" s="1" t="str">
        <f t="shared" ca="1" si="18"/>
        <v>V</v>
      </c>
      <c r="H91" s="7">
        <f t="shared" ca="1" si="19"/>
        <v>-9.9999999999999964</v>
      </c>
      <c r="I91" s="7">
        <f t="shared" ca="1" si="20"/>
        <v>8.2400078800649901</v>
      </c>
      <c r="J91" s="29">
        <f t="shared" ca="1" si="21"/>
        <v>277.54975840170903</v>
      </c>
      <c r="K91" s="29">
        <f t="shared" ca="1" si="22"/>
        <v>3193.2930009148872</v>
      </c>
      <c r="L91" s="29">
        <f t="shared" ca="1" si="23"/>
        <v>-1387.7487920085446</v>
      </c>
    </row>
    <row r="92" spans="1:12" ht="16" thickTop="1">
      <c r="B92" s="1"/>
      <c r="C92" s="1"/>
      <c r="D92" s="1"/>
      <c r="E92" s="1"/>
      <c r="F92" s="1"/>
      <c r="G92" s="1"/>
      <c r="H92" s="1"/>
      <c r="I92" s="1"/>
      <c r="J92" s="8">
        <f ca="1">SUM(J88:J91)</f>
        <v>555.09951680341806</v>
      </c>
      <c r="K92" s="8">
        <f ca="1">SUM(K88:K91)</f>
        <v>6386.5860018297744</v>
      </c>
      <c r="L92" s="8">
        <f t="shared" ref="L92" ca="1" si="24">SUM(L88:L91)</f>
        <v>0</v>
      </c>
    </row>
    <row r="95" spans="1:12">
      <c r="A95" t="s">
        <v>56</v>
      </c>
    </row>
    <row r="96" spans="1:12">
      <c r="A96" s="2" t="s">
        <v>58</v>
      </c>
      <c r="B96" s="1">
        <v>3.0000000000000001E-3</v>
      </c>
    </row>
    <row r="97" spans="1:10">
      <c r="A97" t="s">
        <v>57</v>
      </c>
      <c r="B97" t="s">
        <v>60</v>
      </c>
      <c r="C97" t="str">
        <f t="shared" ref="C97:C109" si="25">F63</f>
        <v>x'</v>
      </c>
      <c r="D97" t="str">
        <f t="shared" ref="D97:D109" si="26">G63</f>
        <v>y'</v>
      </c>
      <c r="E97" t="s">
        <v>61</v>
      </c>
      <c r="F97" t="s">
        <v>59</v>
      </c>
      <c r="G97" t="s">
        <v>63</v>
      </c>
      <c r="H97" s="1" t="s">
        <v>64</v>
      </c>
      <c r="I97" s="1" t="s">
        <v>65</v>
      </c>
      <c r="J97" s="1" t="s">
        <v>66</v>
      </c>
    </row>
    <row r="98" spans="1:10">
      <c r="A98" s="11">
        <f>A64</f>
        <v>1</v>
      </c>
      <c r="B98" s="10">
        <f ca="1">C13</f>
        <v>1.27</v>
      </c>
      <c r="C98">
        <f t="shared" ca="1" si="25"/>
        <v>-6.0000000000000027</v>
      </c>
      <c r="D98">
        <f t="shared" ca="1" si="26"/>
        <v>-11.22940956930656</v>
      </c>
      <c r="E98" s="10">
        <f ca="1">G$58-D98</f>
        <v>26</v>
      </c>
      <c r="F98" s="14">
        <f ca="1">IF(B98=0,0,((B$78-E98)/B$78)*B$96)</f>
        <v>-6.5550434461616475E-3</v>
      </c>
      <c r="G98" s="7">
        <f ca="1">IF(AND(F98&gt;0,E98&lt;=B$81),MIN((F98*B$11),B$10)-B$85,MAX(F98*B$11,-1*B$10))</f>
        <v>-60</v>
      </c>
      <c r="H98" s="7">
        <f ca="1">G98*B98</f>
        <v>-76.2</v>
      </c>
      <c r="I98" s="7">
        <f ca="1">H98*D98</f>
        <v>855.68100918115988</v>
      </c>
      <c r="J98" s="7">
        <f ca="1">H98*C98</f>
        <v>457.20000000000022</v>
      </c>
    </row>
    <row r="99" spans="1:10">
      <c r="A99" s="11">
        <f t="shared" ref="A99:A108" si="27">A65</f>
        <v>2</v>
      </c>
      <c r="B99" s="10">
        <f t="shared" ref="B99:B109" ca="1" si="28">C14</f>
        <v>1.27</v>
      </c>
      <c r="C99">
        <f t="shared" ca="1" si="25"/>
        <v>5.9999999999999973</v>
      </c>
      <c r="D99">
        <f t="shared" ca="1" si="26"/>
        <v>-11.229409569306563</v>
      </c>
      <c r="E99" s="10">
        <f t="shared" ref="E99:E109" ca="1" si="29">G$58-D99</f>
        <v>26.000000000000004</v>
      </c>
      <c r="F99" s="14">
        <f t="shared" ref="F99:F109" ca="1" si="30">IF(B99=0,0,((B$78-E99)/B$78)*B$96)</f>
        <v>-6.5550434461616484E-3</v>
      </c>
      <c r="G99" s="7">
        <f t="shared" ref="G99:G109" ca="1" si="31">IF(AND(F99&gt;0,E99&lt;=B$81),MIN((F99*B$11),B$10)-B$85,MAX(F99*B$11,-1*B$10))</f>
        <v>-60</v>
      </c>
      <c r="H99" s="7">
        <f t="shared" ref="H99:H109" ca="1" si="32">G99*B99</f>
        <v>-76.2</v>
      </c>
      <c r="I99" s="7">
        <f t="shared" ref="I99:I109" ca="1" si="33">H99*D99</f>
        <v>855.68100918116011</v>
      </c>
      <c r="J99" s="7">
        <f t="shared" ref="J99:J109" ca="1" si="34">H99*C99</f>
        <v>-457.19999999999982</v>
      </c>
    </row>
    <row r="100" spans="1:10">
      <c r="A100" s="11">
        <f t="shared" si="27"/>
        <v>3</v>
      </c>
      <c r="B100" s="10">
        <f t="shared" ca="1" si="28"/>
        <v>1.27</v>
      </c>
      <c r="C100">
        <f t="shared" ca="1" si="25"/>
        <v>6.0000000000000027</v>
      </c>
      <c r="D100">
        <f t="shared" ca="1" si="26"/>
        <v>10.770590430693437</v>
      </c>
      <c r="E100" s="10">
        <f t="shared" ca="1" si="29"/>
        <v>4.0000000000000036</v>
      </c>
      <c r="F100" s="14">
        <f t="shared" ca="1" si="30"/>
        <v>1.5299933159751301E-3</v>
      </c>
      <c r="G100" s="7">
        <f t="shared" ca="1" si="31"/>
        <v>40.119806163278774</v>
      </c>
      <c r="H100" s="7">
        <f t="shared" ca="1" si="32"/>
        <v>50.952153827364043</v>
      </c>
      <c r="I100" s="7">
        <f t="shared" ca="1" si="33"/>
        <v>548.78478043622715</v>
      </c>
      <c r="J100" s="7">
        <f t="shared" ca="1" si="34"/>
        <v>305.71292296418437</v>
      </c>
    </row>
    <row r="101" spans="1:10">
      <c r="A101" s="11">
        <f t="shared" si="27"/>
        <v>4</v>
      </c>
      <c r="B101" s="10">
        <f t="shared" ca="1" si="28"/>
        <v>1.27</v>
      </c>
      <c r="C101">
        <f t="shared" ca="1" si="25"/>
        <v>2.639114444923527E-15</v>
      </c>
      <c r="D101">
        <f t="shared" ca="1" si="26"/>
        <v>10.770590430693439</v>
      </c>
      <c r="E101" s="10">
        <f t="shared" ca="1" si="29"/>
        <v>4.0000000000000018</v>
      </c>
      <c r="F101" s="14">
        <f t="shared" ca="1" si="30"/>
        <v>1.5299933159751307E-3</v>
      </c>
      <c r="G101" s="7">
        <f t="shared" ca="1" si="31"/>
        <v>40.119806163278788</v>
      </c>
      <c r="H101" s="7">
        <f t="shared" ca="1" si="32"/>
        <v>50.952153827364064</v>
      </c>
      <c r="I101" s="7">
        <f t="shared" ca="1" si="33"/>
        <v>548.78478043622749</v>
      </c>
      <c r="J101" s="7">
        <f t="shared" ca="1" si="34"/>
        <v>1.3446856516576207E-13</v>
      </c>
    </row>
    <row r="102" spans="1:10">
      <c r="A102" s="11">
        <f t="shared" si="27"/>
        <v>5</v>
      </c>
      <c r="B102" s="10">
        <f t="shared" ca="1" si="28"/>
        <v>1.27</v>
      </c>
      <c r="C102">
        <f t="shared" ca="1" si="25"/>
        <v>-5.9999999999999973</v>
      </c>
      <c r="D102">
        <f t="shared" ca="1" si="26"/>
        <v>10.77059043069344</v>
      </c>
      <c r="E102" s="10">
        <f t="shared" ca="1" si="29"/>
        <v>4</v>
      </c>
      <c r="F102" s="14">
        <f t="shared" ca="1" si="30"/>
        <v>1.5299933159751314E-3</v>
      </c>
      <c r="G102" s="7">
        <f t="shared" ca="1" si="31"/>
        <v>40.11980616327881</v>
      </c>
      <c r="H102" s="7">
        <f t="shared" ca="1" si="32"/>
        <v>50.952153827364086</v>
      </c>
      <c r="I102" s="7">
        <f t="shared" ca="1" si="33"/>
        <v>548.78478043622772</v>
      </c>
      <c r="J102" s="7">
        <f t="shared" ca="1" si="34"/>
        <v>-305.71292296418437</v>
      </c>
    </row>
    <row r="103" spans="1:10">
      <c r="A103" s="11">
        <f t="shared" si="27"/>
        <v>6</v>
      </c>
      <c r="B103" s="10">
        <f t="shared" ca="1" si="28"/>
        <v>0</v>
      </c>
      <c r="C103">
        <f t="shared" ca="1" si="25"/>
        <v>-10.000000000000004</v>
      </c>
      <c r="D103">
        <f t="shared" ca="1" si="26"/>
        <v>-15.22940956930656</v>
      </c>
      <c r="E103" s="10">
        <f t="shared" ca="1" si="29"/>
        <v>30</v>
      </c>
      <c r="F103" s="14">
        <f t="shared" ca="1" si="30"/>
        <v>0</v>
      </c>
      <c r="G103" s="7">
        <f t="shared" ca="1" si="31"/>
        <v>0</v>
      </c>
      <c r="H103" s="7">
        <f t="shared" ca="1" si="32"/>
        <v>0</v>
      </c>
      <c r="I103" s="7">
        <f t="shared" ca="1" si="33"/>
        <v>0</v>
      </c>
      <c r="J103" s="7">
        <f t="shared" ca="1" si="34"/>
        <v>0</v>
      </c>
    </row>
    <row r="104" spans="1:10">
      <c r="A104" s="11">
        <f t="shared" si="27"/>
        <v>7</v>
      </c>
      <c r="B104" s="10">
        <f t="shared" ca="1" si="28"/>
        <v>0</v>
      </c>
      <c r="C104">
        <f t="shared" ca="1" si="25"/>
        <v>-10.000000000000004</v>
      </c>
      <c r="D104">
        <f t="shared" ca="1" si="26"/>
        <v>-15.22940956930656</v>
      </c>
      <c r="E104" s="10">
        <f t="shared" ca="1" si="29"/>
        <v>30</v>
      </c>
      <c r="F104" s="14">
        <f t="shared" ca="1" si="30"/>
        <v>0</v>
      </c>
      <c r="G104" s="7">
        <f t="shared" ca="1" si="31"/>
        <v>0</v>
      </c>
      <c r="H104" s="7">
        <f t="shared" ca="1" si="32"/>
        <v>0</v>
      </c>
      <c r="I104" s="7">
        <f t="shared" ca="1" si="33"/>
        <v>0</v>
      </c>
      <c r="J104" s="7">
        <f t="shared" ca="1" si="34"/>
        <v>0</v>
      </c>
    </row>
    <row r="105" spans="1:10">
      <c r="A105" s="11">
        <f t="shared" si="27"/>
        <v>8</v>
      </c>
      <c r="B105" s="10">
        <f t="shared" ca="1" si="28"/>
        <v>0</v>
      </c>
      <c r="C105">
        <f t="shared" ca="1" si="25"/>
        <v>-10.000000000000004</v>
      </c>
      <c r="D105">
        <f t="shared" ca="1" si="26"/>
        <v>-15.22940956930656</v>
      </c>
      <c r="E105" s="10">
        <f t="shared" ca="1" si="29"/>
        <v>30</v>
      </c>
      <c r="F105" s="14">
        <f t="shared" ca="1" si="30"/>
        <v>0</v>
      </c>
      <c r="G105" s="7">
        <f t="shared" ca="1" si="31"/>
        <v>0</v>
      </c>
      <c r="H105" s="7">
        <f t="shared" ca="1" si="32"/>
        <v>0</v>
      </c>
      <c r="I105" s="7">
        <f t="shared" ca="1" si="33"/>
        <v>0</v>
      </c>
      <c r="J105" s="7">
        <f t="shared" ca="1" si="34"/>
        <v>0</v>
      </c>
    </row>
    <row r="106" spans="1:10">
      <c r="A106" s="11">
        <f t="shared" si="27"/>
        <v>9</v>
      </c>
      <c r="B106" s="10">
        <f t="shared" ca="1" si="28"/>
        <v>0</v>
      </c>
      <c r="C106">
        <f t="shared" ca="1" si="25"/>
        <v>-10.000000000000004</v>
      </c>
      <c r="D106">
        <f t="shared" ca="1" si="26"/>
        <v>-15.22940956930656</v>
      </c>
      <c r="E106" s="10">
        <f t="shared" ca="1" si="29"/>
        <v>30</v>
      </c>
      <c r="F106" s="14">
        <f t="shared" ca="1" si="30"/>
        <v>0</v>
      </c>
      <c r="G106" s="7">
        <f t="shared" ca="1" si="31"/>
        <v>0</v>
      </c>
      <c r="H106" s="7">
        <f t="shared" ca="1" si="32"/>
        <v>0</v>
      </c>
      <c r="I106" s="7">
        <f t="shared" ca="1" si="33"/>
        <v>0</v>
      </c>
      <c r="J106" s="7">
        <f t="shared" ca="1" si="34"/>
        <v>0</v>
      </c>
    </row>
    <row r="107" spans="1:10">
      <c r="A107" s="11">
        <f t="shared" si="27"/>
        <v>10</v>
      </c>
      <c r="B107" s="10">
        <f t="shared" ca="1" si="28"/>
        <v>0</v>
      </c>
      <c r="C107">
        <f t="shared" ca="1" si="25"/>
        <v>-10.000000000000004</v>
      </c>
      <c r="D107">
        <f t="shared" ca="1" si="26"/>
        <v>-15.22940956930656</v>
      </c>
      <c r="E107" s="10">
        <f t="shared" ca="1" si="29"/>
        <v>30</v>
      </c>
      <c r="F107" s="14">
        <f t="shared" ca="1" si="30"/>
        <v>0</v>
      </c>
      <c r="G107" s="7">
        <f t="shared" ca="1" si="31"/>
        <v>0</v>
      </c>
      <c r="H107" s="7">
        <f t="shared" ca="1" si="32"/>
        <v>0</v>
      </c>
      <c r="I107" s="7">
        <f t="shared" ca="1" si="33"/>
        <v>0</v>
      </c>
      <c r="J107" s="7">
        <f t="shared" ca="1" si="34"/>
        <v>0</v>
      </c>
    </row>
    <row r="108" spans="1:10">
      <c r="A108" s="11">
        <f t="shared" si="27"/>
        <v>11</v>
      </c>
      <c r="B108" s="10">
        <f t="shared" ca="1" si="28"/>
        <v>0</v>
      </c>
      <c r="C108">
        <f t="shared" ca="1" si="25"/>
        <v>-10.000000000000004</v>
      </c>
      <c r="D108">
        <f t="shared" ca="1" si="26"/>
        <v>-15.22940956930656</v>
      </c>
      <c r="E108" s="10">
        <f t="shared" ca="1" si="29"/>
        <v>30</v>
      </c>
      <c r="F108" s="14">
        <f t="shared" ca="1" si="30"/>
        <v>0</v>
      </c>
      <c r="G108" s="7">
        <f t="shared" ca="1" si="31"/>
        <v>0</v>
      </c>
      <c r="H108" s="7">
        <f t="shared" ca="1" si="32"/>
        <v>0</v>
      </c>
      <c r="I108" s="7">
        <f t="shared" ca="1" si="33"/>
        <v>0</v>
      </c>
      <c r="J108" s="7">
        <f t="shared" ca="1" si="34"/>
        <v>0</v>
      </c>
    </row>
    <row r="109" spans="1:10" ht="16" thickBot="1">
      <c r="A109" s="11">
        <f>A75</f>
        <v>12</v>
      </c>
      <c r="B109" s="10">
        <f t="shared" ca="1" si="28"/>
        <v>0</v>
      </c>
      <c r="C109">
        <f t="shared" ca="1" si="25"/>
        <v>-10.000000000000004</v>
      </c>
      <c r="D109">
        <f t="shared" ca="1" si="26"/>
        <v>-15.22940956930656</v>
      </c>
      <c r="E109" s="10">
        <f t="shared" ca="1" si="29"/>
        <v>30</v>
      </c>
      <c r="F109" s="28">
        <f t="shared" ca="1" si="30"/>
        <v>0</v>
      </c>
      <c r="G109" s="7">
        <f t="shared" ca="1" si="31"/>
        <v>0</v>
      </c>
      <c r="H109" s="27">
        <f t="shared" ca="1" si="32"/>
        <v>0</v>
      </c>
      <c r="I109" s="27">
        <f t="shared" ca="1" si="33"/>
        <v>0</v>
      </c>
      <c r="J109" s="27">
        <f t="shared" ca="1" si="34"/>
        <v>0</v>
      </c>
    </row>
    <row r="110" spans="1:10" ht="16" thickTop="1">
      <c r="F110" s="14">
        <f ca="1">MIN(F98:F109)</f>
        <v>-6.5550434461616484E-3</v>
      </c>
      <c r="H110" s="7">
        <f ca="1">SUM(H98:H109)</f>
        <v>0.45646148209218751</v>
      </c>
      <c r="I110" s="7">
        <f ca="1">SUM(I98:I109)</f>
        <v>3357.716359671002</v>
      </c>
      <c r="J110" s="7">
        <f t="shared" ref="J110" ca="1" si="35">SUM(J98:J109)</f>
        <v>5.1159076974727213E-13</v>
      </c>
    </row>
    <row r="113" spans="1:14">
      <c r="A113" s="2" t="s">
        <v>67</v>
      </c>
      <c r="B113" s="37">
        <f ca="1">J92+H110</f>
        <v>555.55597828551026</v>
      </c>
      <c r="C113" t="s">
        <v>20</v>
      </c>
      <c r="D113" t="s">
        <v>68</v>
      </c>
      <c r="I113" s="2" t="s">
        <v>73</v>
      </c>
      <c r="J113" s="1">
        <f ca="1">IF(ABS(F110)&lt;0.002,0.65,IF(ABS(F110)&gt;0.005,0.9,0.65+((ABS(F110)-0.002)*(250/3))))</f>
        <v>0.9</v>
      </c>
    </row>
    <row r="114" spans="1:14">
      <c r="A114" s="2" t="s">
        <v>69</v>
      </c>
      <c r="B114" s="7">
        <f ca="1">((K92+I110)*COS(RADIANS(B53)))+((L92+J110)*SIN(RADIANS(B53)))</f>
        <v>9744.3023615007769</v>
      </c>
      <c r="C114" t="s">
        <v>23</v>
      </c>
      <c r="D114" s="7">
        <f ca="1">(B113*(E49-H7))</f>
        <v>127.4498577041643</v>
      </c>
      <c r="E114" t="s">
        <v>23</v>
      </c>
      <c r="F114" s="7">
        <f ca="1">B114+D114</f>
        <v>9871.7522192049419</v>
      </c>
      <c r="G114" s="13" t="str">
        <f>"= Mnx,gc"</f>
        <v>= Mnx,gc</v>
      </c>
      <c r="H114" s="7">
        <f ca="1">F114/12</f>
        <v>822.64601826707849</v>
      </c>
      <c r="I114" t="s">
        <v>72</v>
      </c>
      <c r="J114" s="34">
        <f ca="1">H114*J113</f>
        <v>740.38141644037069</v>
      </c>
      <c r="K114" t="s">
        <v>72</v>
      </c>
    </row>
    <row r="115" spans="1:14">
      <c r="A115" s="2" t="s">
        <v>70</v>
      </c>
      <c r="B115" s="7">
        <f ca="1">(-1*(K92+I110)*SIN(RADIANS(B53)))+((L92+J110)*COS(RADIANS(B53)))</f>
        <v>-1.8760526267237468E-12</v>
      </c>
      <c r="C115" t="s">
        <v>23</v>
      </c>
      <c r="D115" s="1">
        <f ca="1">-1*B113*(D49-G7)</f>
        <v>0</v>
      </c>
      <c r="E115" t="s">
        <v>23</v>
      </c>
      <c r="F115" s="7">
        <f ca="1">B115+D115</f>
        <v>-1.8760526267237468E-12</v>
      </c>
      <c r="G115" s="13" t="str">
        <f>"= Mny,gc"</f>
        <v>= Mny,gc</v>
      </c>
      <c r="H115" s="7">
        <f ca="1">F115/12</f>
        <v>-1.5633771889364558E-13</v>
      </c>
      <c r="I115" t="s">
        <v>72</v>
      </c>
      <c r="J115" s="34">
        <f ca="1">H115*J113</f>
        <v>-1.4070394700428103E-13</v>
      </c>
      <c r="K115" t="s">
        <v>72</v>
      </c>
      <c r="M115" t="s">
        <v>79</v>
      </c>
      <c r="N115" s="12">
        <f ca="1">IF(J115=0,90,DEGREES(ATAN2(J114,J115)))</f>
        <v>-1.0888634081251266E-14</v>
      </c>
    </row>
    <row r="116" spans="1:14">
      <c r="J116" s="36">
        <f ca="1">B113*J113</f>
        <v>500.00038045695925</v>
      </c>
      <c r="K116" t="s">
        <v>20</v>
      </c>
    </row>
    <row r="117" spans="1:14">
      <c r="A117" s="26" t="s">
        <v>74</v>
      </c>
      <c r="I117" t="s">
        <v>83</v>
      </c>
      <c r="J117" s="1">
        <f ca="1">0.65*((0.85*B2*B5*B6)+((B10-0.85*B2)*SUM(C13:C24)))</f>
        <v>1887.608125</v>
      </c>
      <c r="K117" t="s">
        <v>20</v>
      </c>
    </row>
    <row r="118" spans="1:14">
      <c r="A118" s="2" t="s">
        <v>75</v>
      </c>
      <c r="B118" s="4">
        <v>500</v>
      </c>
      <c r="C118" t="s">
        <v>20</v>
      </c>
      <c r="I118" t="s">
        <v>84</v>
      </c>
      <c r="J118" s="1">
        <f ca="1">-1*0.9*B10*SUM(C13:C24)</f>
        <v>-342.9</v>
      </c>
      <c r="K118" t="s">
        <v>20</v>
      </c>
    </row>
    <row r="119" spans="1:14">
      <c r="A119" s="2" t="s">
        <v>76</v>
      </c>
      <c r="B119" s="4">
        <v>200</v>
      </c>
      <c r="C119" t="s">
        <v>72</v>
      </c>
      <c r="G119" s="2" t="s">
        <v>80</v>
      </c>
      <c r="H119" s="35">
        <v>50</v>
      </c>
    </row>
    <row r="120" spans="1:14">
      <c r="A120" s="2" t="s">
        <v>77</v>
      </c>
      <c r="B120" s="4">
        <v>200</v>
      </c>
      <c r="C120" t="s">
        <v>72</v>
      </c>
      <c r="G120" s="2" t="s">
        <v>81</v>
      </c>
      <c r="H120" s="1">
        <v>13</v>
      </c>
    </row>
    <row r="121" spans="1:14">
      <c r="A121" s="2" t="s">
        <v>78</v>
      </c>
      <c r="B121" s="15">
        <f>IF(B120=0,90,DEGREES(ATAN2(B119,B120)))</f>
        <v>45</v>
      </c>
    </row>
    <row r="123" spans="1:14">
      <c r="A123" s="17"/>
      <c r="B123" s="18"/>
      <c r="C123" s="18"/>
      <c r="D123" s="18"/>
      <c r="E123" s="18"/>
      <c r="F123" s="18"/>
      <c r="G123" s="18"/>
      <c r="H123" s="18"/>
      <c r="I123" s="18"/>
    </row>
    <row r="124" spans="1:14">
      <c r="A124" s="19"/>
      <c r="B124" s="18"/>
      <c r="C124" s="18"/>
      <c r="D124" s="18"/>
      <c r="E124" s="18"/>
      <c r="F124" s="18"/>
      <c r="G124" s="18"/>
      <c r="H124" s="18"/>
      <c r="I124" s="16"/>
      <c r="J124" s="18"/>
      <c r="K124" s="18"/>
      <c r="L124" s="16"/>
      <c r="M124" s="18"/>
      <c r="N124" s="18"/>
    </row>
    <row r="125" spans="1:14">
      <c r="A125" s="19"/>
      <c r="B125" s="25"/>
      <c r="C125" s="18"/>
      <c r="D125" s="19"/>
      <c r="E125" s="20"/>
      <c r="F125" s="20"/>
      <c r="G125" s="19"/>
      <c r="H125" s="20"/>
      <c r="I125" s="16"/>
      <c r="J125" s="19"/>
      <c r="K125" s="20"/>
      <c r="L125" s="16"/>
      <c r="M125" s="19"/>
      <c r="N125" s="20"/>
    </row>
    <row r="126" spans="1:14">
      <c r="A126" s="19"/>
      <c r="B126" s="21"/>
      <c r="C126" s="20"/>
      <c r="D126" s="19"/>
      <c r="E126" s="25"/>
      <c r="F126" s="18"/>
      <c r="G126" s="19"/>
      <c r="H126" s="20"/>
      <c r="I126" s="16"/>
      <c r="J126" s="19"/>
      <c r="K126" s="20"/>
      <c r="L126" s="16"/>
      <c r="M126" s="19"/>
      <c r="N126" s="20"/>
    </row>
    <row r="127" spans="1:14">
      <c r="A127" s="19"/>
      <c r="B127" s="20"/>
      <c r="C127" s="21"/>
      <c r="D127" s="19"/>
      <c r="E127" s="20"/>
      <c r="F127" s="18"/>
      <c r="G127" s="19"/>
      <c r="H127" s="20"/>
      <c r="I127" s="16"/>
      <c r="J127" s="19"/>
      <c r="K127" s="20"/>
      <c r="L127" s="16"/>
      <c r="M127" s="19"/>
      <c r="N127" s="20"/>
    </row>
    <row r="128" spans="1:14">
      <c r="A128" s="19" t="s">
        <v>85</v>
      </c>
      <c r="B128" s="20" t="s">
        <v>76</v>
      </c>
      <c r="C128" s="21" t="s">
        <v>77</v>
      </c>
      <c r="D128" s="19"/>
      <c r="E128" s="20"/>
      <c r="F128" s="18"/>
      <c r="G128" s="19"/>
      <c r="H128" s="20"/>
      <c r="I128" s="16"/>
      <c r="J128" s="19"/>
      <c r="K128" s="20"/>
      <c r="L128" s="16"/>
      <c r="M128" s="19"/>
      <c r="N128" s="20"/>
    </row>
    <row r="129" spans="1:14">
      <c r="A129" s="18">
        <v>0</v>
      </c>
      <c r="B129" s="20">
        <v>740.38113412517203</v>
      </c>
      <c r="C129" s="18">
        <v>0</v>
      </c>
      <c r="D129" s="19"/>
      <c r="E129" s="20"/>
      <c r="F129" s="18"/>
      <c r="G129" s="19"/>
      <c r="H129" s="20"/>
      <c r="I129" s="16"/>
      <c r="J129" s="19"/>
      <c r="K129" s="20"/>
      <c r="L129" s="16"/>
      <c r="M129" s="19"/>
      <c r="N129" s="20"/>
    </row>
    <row r="130" spans="1:14">
      <c r="A130" s="19">
        <v>-1</v>
      </c>
      <c r="B130" s="20">
        <v>739.95257896967405</v>
      </c>
      <c r="C130" s="18">
        <v>4.9472632387742257</v>
      </c>
      <c r="D130" s="19"/>
      <c r="E130" s="20"/>
      <c r="F130" s="18"/>
      <c r="G130" s="19"/>
      <c r="H130" s="20"/>
      <c r="I130" s="16"/>
      <c r="J130" s="19"/>
      <c r="K130" s="20"/>
      <c r="L130" s="16"/>
      <c r="M130" s="19"/>
      <c r="N130" s="20"/>
    </row>
    <row r="131" spans="1:14">
      <c r="A131" s="19">
        <v>-2</v>
      </c>
      <c r="B131" s="20">
        <v>739.47350334150701</v>
      </c>
      <c r="C131" s="18">
        <v>9.8267491923769104</v>
      </c>
      <c r="D131" s="18"/>
      <c r="E131" s="18"/>
      <c r="F131" s="18"/>
      <c r="G131" s="18"/>
      <c r="H131" s="18"/>
      <c r="I131" s="18"/>
    </row>
    <row r="132" spans="1:14">
      <c r="A132" s="18">
        <v>-3</v>
      </c>
      <c r="B132" s="18">
        <v>738.94227482990232</v>
      </c>
      <c r="C132" s="18">
        <v>14.647659353301973</v>
      </c>
      <c r="D132" s="18"/>
      <c r="E132" s="18"/>
      <c r="F132" s="18"/>
      <c r="G132" s="18"/>
      <c r="H132" s="18"/>
      <c r="I132" s="18"/>
    </row>
    <row r="133" spans="1:14">
      <c r="A133" s="18">
        <v>-4</v>
      </c>
      <c r="B133" s="18">
        <v>738.35756451467853</v>
      </c>
      <c r="C133" s="18">
        <v>19.418303534372214</v>
      </c>
      <c r="D133" s="18"/>
      <c r="E133" s="18"/>
      <c r="F133" s="18"/>
      <c r="G133" s="18"/>
      <c r="H133" s="18"/>
      <c r="I133" s="18"/>
    </row>
    <row r="134" spans="1:14">
      <c r="A134" s="19">
        <v>-5</v>
      </c>
      <c r="B134" s="20">
        <v>737.71796664410851</v>
      </c>
      <c r="C134" s="21">
        <v>24.14625202866883</v>
      </c>
      <c r="D134" s="21"/>
      <c r="E134" s="18"/>
      <c r="F134" s="18"/>
      <c r="G134" s="18"/>
      <c r="H134" s="18"/>
      <c r="I134" s="18"/>
    </row>
    <row r="135" spans="1:14">
      <c r="A135" s="19">
        <v>-6</v>
      </c>
      <c r="B135" s="20">
        <v>737.02198555154587</v>
      </c>
      <c r="C135" s="21">
        <v>28.8384597199009</v>
      </c>
      <c r="D135" s="21"/>
      <c r="E135" s="18"/>
      <c r="F135" s="18"/>
      <c r="G135" s="18"/>
      <c r="H135" s="18"/>
      <c r="I135" s="18"/>
    </row>
    <row r="136" spans="1:14">
      <c r="A136" s="18">
        <v>-7</v>
      </c>
      <c r="B136" s="18">
        <v>736.2680231893612</v>
      </c>
      <c r="C136" s="18">
        <v>33.501368362969046</v>
      </c>
      <c r="D136" s="18"/>
      <c r="E136" s="18"/>
      <c r="F136" s="18"/>
      <c r="G136" s="18"/>
      <c r="H136" s="18"/>
      <c r="I136" s="18"/>
    </row>
    <row r="137" spans="1:14">
      <c r="A137" s="18">
        <v>-8</v>
      </c>
      <c r="B137" s="20">
        <v>735.45436696497734</v>
      </c>
      <c r="C137" s="18">
        <v>38.140991732173397</v>
      </c>
      <c r="D137" s="18"/>
      <c r="E137" s="18"/>
      <c r="F137" s="18"/>
      <c r="G137" s="18"/>
      <c r="H137" s="18"/>
      <c r="I137" s="18"/>
    </row>
    <row r="138" spans="1:14">
      <c r="A138" s="19">
        <v>-9</v>
      </c>
      <c r="B138" s="20">
        <v>734.57917763471926</v>
      </c>
      <c r="C138" s="18">
        <v>42.762987224433438</v>
      </c>
      <c r="D138" s="18"/>
      <c r="E138" s="18"/>
      <c r="F138" s="18"/>
      <c r="G138" s="18"/>
      <c r="H138" s="18"/>
      <c r="I138" s="18"/>
    </row>
    <row r="139" spans="1:14">
      <c r="A139" s="19">
        <v>-10</v>
      </c>
      <c r="B139" s="18">
        <v>733.64047704028258</v>
      </c>
      <c r="C139" s="18">
        <v>47.372716686594558</v>
      </c>
      <c r="D139" s="18"/>
      <c r="E139" s="18"/>
      <c r="F139" s="18"/>
      <c r="G139" s="18"/>
      <c r="H139" s="18"/>
      <c r="I139" s="18"/>
    </row>
    <row r="140" spans="1:14">
      <c r="A140" s="18">
        <v>-11</v>
      </c>
      <c r="B140" s="18">
        <v>732.63613549279444</v>
      </c>
      <c r="C140" s="18">
        <v>51.975298626340269</v>
      </c>
      <c r="D140" s="18"/>
      <c r="E140" s="18"/>
      <c r="F140" s="18"/>
      <c r="G140" s="18"/>
      <c r="H140" s="18"/>
      <c r="I140" s="18"/>
    </row>
    <row r="141" spans="1:14">
      <c r="A141" s="18">
        <v>-12</v>
      </c>
      <c r="B141" s="18">
        <v>727.55864899145649</v>
      </c>
      <c r="C141" s="18">
        <v>55.8853476722471</v>
      </c>
      <c r="D141" s="18"/>
      <c r="E141" s="18"/>
      <c r="F141" s="18"/>
      <c r="G141" s="18"/>
      <c r="H141" s="18"/>
      <c r="I141" s="18"/>
    </row>
    <row r="142" spans="1:14">
      <c r="A142" s="19">
        <v>-13</v>
      </c>
      <c r="B142" s="18">
        <v>720.73912597584592</v>
      </c>
      <c r="C142" s="18">
        <v>59.388480822885278</v>
      </c>
      <c r="D142" s="18"/>
      <c r="E142" s="18"/>
      <c r="F142" s="18"/>
      <c r="G142" s="18"/>
      <c r="H142" s="18"/>
      <c r="I142" s="18"/>
    </row>
    <row r="143" spans="1:14">
      <c r="A143" s="19">
        <v>-14</v>
      </c>
      <c r="B143" s="18">
        <v>714.22618835330366</v>
      </c>
      <c r="C143" s="18">
        <v>62.832237819987597</v>
      </c>
      <c r="D143" s="18"/>
      <c r="E143" s="18"/>
      <c r="F143" s="18"/>
      <c r="G143" s="18"/>
      <c r="H143" s="18"/>
      <c r="I143" s="18"/>
    </row>
    <row r="144" spans="1:14">
      <c r="A144" s="18">
        <v>-15</v>
      </c>
      <c r="B144" s="18">
        <v>707.98072145770448</v>
      </c>
      <c r="C144" s="18">
        <v>66.227962344826381</v>
      </c>
      <c r="D144" s="22"/>
      <c r="E144" s="18"/>
      <c r="F144" s="18"/>
      <c r="G144" s="18"/>
      <c r="H144" s="19"/>
      <c r="I144" s="23"/>
    </row>
    <row r="145" spans="1:9">
      <c r="A145" s="18">
        <v>-16</v>
      </c>
      <c r="B145" s="18">
        <v>701.96840556046698</v>
      </c>
      <c r="C145" s="18">
        <v>69.58555014347921</v>
      </c>
      <c r="D145" s="24"/>
      <c r="E145" s="18"/>
      <c r="F145" s="18"/>
      <c r="G145" s="18"/>
      <c r="H145" s="19"/>
      <c r="I145" s="23"/>
    </row>
    <row r="146" spans="1:9">
      <c r="A146" s="19">
        <v>-17</v>
      </c>
      <c r="B146" s="18">
        <v>696.158914808605</v>
      </c>
      <c r="C146" s="18">
        <v>72.913736381774868</v>
      </c>
      <c r="D146" s="18"/>
      <c r="E146" s="18"/>
      <c r="F146" s="18"/>
      <c r="G146" s="18"/>
      <c r="H146" s="18"/>
      <c r="I146" s="18"/>
    </row>
    <row r="147" spans="1:9">
      <c r="A147" s="19">
        <v>-18</v>
      </c>
      <c r="B147">
        <v>690.52507586848355</v>
      </c>
      <c r="C147">
        <v>76.220433206565559</v>
      </c>
    </row>
    <row r="148" spans="1:9">
      <c r="A148" s="18">
        <v>-19</v>
      </c>
      <c r="B148">
        <v>685.04308663545396</v>
      </c>
      <c r="C148">
        <v>79.512448592781595</v>
      </c>
    </row>
    <row r="149" spans="1:9">
      <c r="A149" s="18">
        <v>-20</v>
      </c>
      <c r="B149">
        <v>679.69085482390074</v>
      </c>
      <c r="C149">
        <v>82.796367828187471</v>
      </c>
    </row>
    <row r="150" spans="1:9">
      <c r="A150" s="19">
        <v>-21</v>
      </c>
      <c r="B150">
        <v>674.44846409717695</v>
      </c>
      <c r="C150">
        <v>86.078154346653179</v>
      </c>
    </row>
    <row r="151" spans="1:9">
      <c r="A151" s="19">
        <v>-22</v>
      </c>
      <c r="B151">
        <v>669.29762607832959</v>
      </c>
      <c r="C151">
        <v>89.36338759221286</v>
      </c>
    </row>
    <row r="152" spans="1:9">
      <c r="A152" s="18">
        <v>-23</v>
      </c>
      <c r="B152">
        <v>664.22140407562256</v>
      </c>
      <c r="C152">
        <v>92.657346113502911</v>
      </c>
    </row>
    <row r="153" spans="1:9">
      <c r="A153" s="18">
        <v>-24</v>
      </c>
      <c r="B153">
        <v>659.20397506125335</v>
      </c>
      <c r="C153">
        <v>95.965077904809206</v>
      </c>
    </row>
    <row r="154" spans="1:9">
      <c r="A154" s="19">
        <v>-25</v>
      </c>
      <c r="B154">
        <v>654.23042237825052</v>
      </c>
      <c r="C154">
        <v>99.291460833460363</v>
      </c>
    </row>
    <row r="155" spans="1:9">
      <c r="A155" s="19">
        <v>-26</v>
      </c>
      <c r="B155">
        <v>649.28655309130477</v>
      </c>
      <c r="C155">
        <v>102.64125534935994</v>
      </c>
    </row>
    <row r="156" spans="1:9">
      <c r="A156" s="18">
        <v>-27</v>
      </c>
      <c r="B156">
        <v>644.35873495350813</v>
      </c>
      <c r="C156">
        <v>106.01915122719191</v>
      </c>
    </row>
    <row r="157" spans="1:9">
      <c r="A157" s="18">
        <v>-28</v>
      </c>
      <c r="B157">
        <v>638.1855007458895</v>
      </c>
      <c r="C157">
        <v>110.10259523726332</v>
      </c>
    </row>
    <row r="158" spans="1:9">
      <c r="A158" s="19">
        <v>-29</v>
      </c>
      <c r="B158">
        <v>630.77601057328047</v>
      </c>
      <c r="C158">
        <v>114.87601313701421</v>
      </c>
    </row>
    <row r="159" spans="1:9">
      <c r="A159" s="19">
        <v>-30</v>
      </c>
      <c r="B159">
        <v>623.3901539610107</v>
      </c>
      <c r="C159">
        <v>119.65613596673882</v>
      </c>
    </row>
    <row r="160" spans="1:9">
      <c r="A160" s="18">
        <v>-31</v>
      </c>
      <c r="B160">
        <v>616.01339363685679</v>
      </c>
      <c r="C160">
        <v>124.4495365854124</v>
      </c>
    </row>
    <row r="161" spans="1:3">
      <c r="A161" s="18">
        <v>-32</v>
      </c>
      <c r="B161">
        <v>608.63106908825603</v>
      </c>
      <c r="C161">
        <v>129.26281905702402</v>
      </c>
    </row>
    <row r="162" spans="1:3">
      <c r="A162" s="19">
        <v>-33</v>
      </c>
      <c r="B162">
        <v>601.22829348403172</v>
      </c>
      <c r="C162">
        <v>134.10265622729509</v>
      </c>
    </row>
    <row r="163" spans="1:3">
      <c r="A163" s="19">
        <v>-34</v>
      </c>
      <c r="B163">
        <v>593.78984895875794</v>
      </c>
      <c r="C163">
        <v>138.97582679725389</v>
      </c>
    </row>
    <row r="164" spans="1:3">
      <c r="A164" s="18">
        <v>-35</v>
      </c>
      <c r="B164">
        <v>586.2999650517412</v>
      </c>
      <c r="C164">
        <v>143.88929545671479</v>
      </c>
    </row>
    <row r="165" spans="1:3">
      <c r="A165" s="18">
        <v>-36</v>
      </c>
      <c r="B165">
        <v>581.5825105742482</v>
      </c>
      <c r="C165">
        <v>147.17355777042641</v>
      </c>
    </row>
    <row r="166" spans="1:3">
      <c r="A166" s="19">
        <v>-37</v>
      </c>
      <c r="B166">
        <v>573.87550754845665</v>
      </c>
      <c r="C166">
        <v>152.21378545988759</v>
      </c>
    </row>
    <row r="167" spans="1:3">
      <c r="A167" s="19">
        <v>-38</v>
      </c>
      <c r="B167">
        <v>566.0681677514566</v>
      </c>
      <c r="C167">
        <v>157.31545819955068</v>
      </c>
    </row>
    <row r="168" spans="1:3">
      <c r="A168" s="18">
        <v>-39</v>
      </c>
      <c r="B168">
        <v>558.14167348454316</v>
      </c>
      <c r="C168">
        <v>162.486538871661</v>
      </c>
    </row>
    <row r="169" spans="1:3">
      <c r="A169" s="18">
        <v>-40</v>
      </c>
      <c r="B169">
        <v>550.08982043480069</v>
      </c>
      <c r="C169">
        <v>167.72523572152105</v>
      </c>
    </row>
    <row r="170" spans="1:3">
      <c r="A170" s="19">
        <v>-41</v>
      </c>
      <c r="B170">
        <v>542.08716471923469</v>
      </c>
      <c r="C170">
        <v>172.89830114284939</v>
      </c>
    </row>
    <row r="171" spans="1:3">
      <c r="A171" s="19">
        <v>-42</v>
      </c>
      <c r="B171">
        <v>534.17887953253398</v>
      </c>
      <c r="C171">
        <v>177.97202588493809</v>
      </c>
    </row>
    <row r="172" spans="1:3">
      <c r="A172" s="18">
        <v>-43</v>
      </c>
      <c r="B172">
        <v>526.34796877752638</v>
      </c>
      <c r="C172">
        <v>182.95868755192569</v>
      </c>
    </row>
    <row r="173" spans="1:3">
      <c r="A173" s="18">
        <v>-44</v>
      </c>
      <c r="B173">
        <v>518.57803933530693</v>
      </c>
      <c r="C173">
        <v>187.86979373986352</v>
      </c>
    </row>
    <row r="174" spans="1:3">
      <c r="A174" s="19">
        <v>-45</v>
      </c>
      <c r="B174">
        <v>510.85314879960623</v>
      </c>
      <c r="C174">
        <v>192.71620800979119</v>
      </c>
    </row>
    <row r="175" spans="1:3">
      <c r="A175" s="19">
        <v>-46</v>
      </c>
      <c r="B175">
        <v>503.15766060024799</v>
      </c>
      <c r="C175">
        <v>197.5082633556521</v>
      </c>
    </row>
    <row r="176" spans="1:3">
      <c r="A176" s="18">
        <v>-47</v>
      </c>
      <c r="B176">
        <v>495.47622882519948</v>
      </c>
      <c r="C176">
        <v>202.25585531112711</v>
      </c>
    </row>
    <row r="177" spans="1:3">
      <c r="A177" s="18">
        <v>-48</v>
      </c>
      <c r="B177">
        <v>487.79315218307835</v>
      </c>
      <c r="C177">
        <v>206.96858577161908</v>
      </c>
    </row>
    <row r="178" spans="1:3">
      <c r="A178" s="19">
        <v>-49</v>
      </c>
      <c r="B178">
        <v>480.09289332324488</v>
      </c>
      <c r="C178">
        <v>211.65577120785534</v>
      </c>
    </row>
    <row r="179" spans="1:3">
      <c r="A179" s="19">
        <v>-50</v>
      </c>
      <c r="B179">
        <v>472.35986922402543</v>
      </c>
      <c r="C179">
        <v>216.3265891363958</v>
      </c>
    </row>
    <row r="180" spans="1:3">
      <c r="A180" s="18">
        <v>-51</v>
      </c>
      <c r="B180">
        <v>464.57774121626102</v>
      </c>
      <c r="C180">
        <v>220.99015565428249</v>
      </c>
    </row>
    <row r="181" spans="1:3">
      <c r="A181" s="18">
        <v>-52</v>
      </c>
      <c r="B181">
        <v>456.72972184033677</v>
      </c>
      <c r="C181">
        <v>225.65559822140455</v>
      </c>
    </row>
    <row r="182" spans="1:3">
      <c r="A182" s="19">
        <v>-53</v>
      </c>
      <c r="B182">
        <v>448.79828184157248</v>
      </c>
      <c r="C182">
        <v>230.33214661712967</v>
      </c>
    </row>
    <row r="183" spans="1:3">
      <c r="A183" s="19">
        <v>-54</v>
      </c>
      <c r="B183">
        <v>440.76495750422043</v>
      </c>
      <c r="C183">
        <v>235.029222968526</v>
      </c>
    </row>
    <row r="184" spans="1:3">
      <c r="A184" s="18">
        <v>-55</v>
      </c>
      <c r="B184">
        <v>432.61013471517867</v>
      </c>
      <c r="C184">
        <v>239.75653740606697</v>
      </c>
    </row>
    <row r="185" spans="1:3">
      <c r="A185" s="18">
        <v>-56</v>
      </c>
      <c r="B185">
        <v>424.31280366502295</v>
      </c>
      <c r="C185">
        <v>244.52419166642068</v>
      </c>
    </row>
    <row r="186" spans="1:3">
      <c r="A186" s="19">
        <v>-57</v>
      </c>
      <c r="B186">
        <v>415.85027676147189</v>
      </c>
      <c r="C186">
        <v>249.34279332433488</v>
      </c>
    </row>
    <row r="187" spans="1:3">
      <c r="A187" s="19">
        <v>-58</v>
      </c>
      <c r="B187">
        <v>407.19786058756506</v>
      </c>
      <c r="C187">
        <v>254.22358382671109</v>
      </c>
    </row>
    <row r="188" spans="1:3">
      <c r="A188" s="18">
        <v>-59</v>
      </c>
      <c r="B188">
        <v>398.32847045334989</v>
      </c>
      <c r="C188">
        <v>259.17858415661703</v>
      </c>
    </row>
    <row r="189" spans="1:3">
      <c r="A189" s="18">
        <v>-60</v>
      </c>
      <c r="B189">
        <v>389.2121730850775</v>
      </c>
      <c r="C189">
        <v>264.22076282162658</v>
      </c>
    </row>
    <row r="190" spans="1:3">
      <c r="A190" s="19">
        <v>-61</v>
      </c>
      <c r="B190">
        <v>379.81566657628417</v>
      </c>
      <c r="C190">
        <v>269.3643223196861</v>
      </c>
    </row>
    <row r="191" spans="1:3">
      <c r="A191" s="19">
        <v>-62</v>
      </c>
      <c r="B191">
        <v>370.1014659249455</v>
      </c>
      <c r="C191">
        <v>274.62437618170492</v>
      </c>
    </row>
    <row r="192" spans="1:3">
      <c r="A192" s="18">
        <v>-63</v>
      </c>
      <c r="B192">
        <v>360.02744723485</v>
      </c>
      <c r="C192">
        <v>280.01864401708991</v>
      </c>
    </row>
    <row r="193" spans="1:3">
      <c r="A193" s="18">
        <v>-64</v>
      </c>
      <c r="B193">
        <v>349.54542981848323</v>
      </c>
      <c r="C193">
        <v>285.56585127996141</v>
      </c>
    </row>
    <row r="194" spans="1:3">
      <c r="A194" s="19">
        <v>-65</v>
      </c>
      <c r="B194">
        <v>338.60023306193426</v>
      </c>
      <c r="C194">
        <v>291.28761782049185</v>
      </c>
    </row>
    <row r="195" spans="1:3">
      <c r="A195" s="19">
        <v>-66</v>
      </c>
      <c r="B195">
        <v>327.12803097878998</v>
      </c>
      <c r="C195">
        <v>297.20835204461758</v>
      </c>
    </row>
    <row r="196" spans="1:3">
      <c r="A196" s="18">
        <v>-67</v>
      </c>
      <c r="B196">
        <v>315.05441502570227</v>
      </c>
      <c r="C196">
        <v>303.35597492168432</v>
      </c>
    </row>
    <row r="197" spans="1:3">
      <c r="A197" s="18">
        <v>-68</v>
      </c>
      <c r="B197">
        <v>302.29189763752322</v>
      </c>
      <c r="C197">
        <v>309.76269938055941</v>
      </c>
    </row>
    <row r="198" spans="1:3">
      <c r="A198" s="19">
        <v>-69</v>
      </c>
      <c r="B198">
        <v>288.79964066219668</v>
      </c>
      <c r="C198">
        <v>316.42940405214682</v>
      </c>
    </row>
    <row r="199" spans="1:3">
      <c r="A199" s="19">
        <v>-70</v>
      </c>
      <c r="B199">
        <v>278.80389995961644</v>
      </c>
      <c r="C199">
        <v>322.50434239637525</v>
      </c>
    </row>
    <row r="200" spans="1:3">
      <c r="A200" s="18">
        <v>-71</v>
      </c>
      <c r="B200">
        <v>264.98788307091968</v>
      </c>
      <c r="C200">
        <v>329.02360967940371</v>
      </c>
    </row>
    <row r="201" spans="1:3">
      <c r="A201" s="18">
        <v>-72</v>
      </c>
      <c r="B201">
        <v>251.06441061738579</v>
      </c>
      <c r="C201">
        <v>335.43011208687113</v>
      </c>
    </row>
    <row r="202" spans="1:3">
      <c r="A202" s="19">
        <v>-73</v>
      </c>
      <c r="B202">
        <v>237.01004143060172</v>
      </c>
      <c r="C202">
        <v>341.74026105778023</v>
      </c>
    </row>
    <row r="203" spans="1:3">
      <c r="A203" s="19">
        <v>-74</v>
      </c>
      <c r="B203">
        <v>222.80009043162249</v>
      </c>
      <c r="C203">
        <v>347.97042546221377</v>
      </c>
    </row>
    <row r="204" spans="1:3">
      <c r="A204" s="18">
        <v>-75</v>
      </c>
      <c r="B204">
        <v>208.40850770250529</v>
      </c>
      <c r="C204">
        <v>354.13694265526908</v>
      </c>
    </row>
    <row r="205" spans="1:3">
      <c r="A205" s="18">
        <v>-76</v>
      </c>
      <c r="B205">
        <v>193.80768756813291</v>
      </c>
      <c r="C205">
        <v>360.25621923126721</v>
      </c>
    </row>
    <row r="206" spans="1:3">
      <c r="A206" s="19">
        <v>-77</v>
      </c>
      <c r="B206">
        <v>178.96826189050941</v>
      </c>
      <c r="C206">
        <v>366.34483068629692</v>
      </c>
    </row>
    <row r="207" spans="1:3">
      <c r="A207" s="19">
        <v>-78</v>
      </c>
      <c r="B207">
        <v>163.85887621501328</v>
      </c>
      <c r="C207">
        <v>372.41962012481758</v>
      </c>
    </row>
    <row r="208" spans="1:3">
      <c r="A208" s="18">
        <v>-79</v>
      </c>
      <c r="B208">
        <v>148.44594747124791</v>
      </c>
      <c r="C208">
        <v>378.49779585409522</v>
      </c>
    </row>
    <row r="209" spans="1:3">
      <c r="A209" s="18">
        <v>-80</v>
      </c>
      <c r="B209">
        <v>136.55215524077292</v>
      </c>
      <c r="C209">
        <v>382.63589673316869</v>
      </c>
    </row>
    <row r="210" spans="1:3">
      <c r="A210" s="19">
        <v>-81</v>
      </c>
      <c r="B210">
        <v>120.54007270473471</v>
      </c>
      <c r="C210">
        <v>388.68815767340647</v>
      </c>
    </row>
    <row r="211" spans="1:3">
      <c r="A211" s="19">
        <v>-82</v>
      </c>
      <c r="B211">
        <v>104.11713350894398</v>
      </c>
      <c r="C211">
        <v>394.79342731816854</v>
      </c>
    </row>
    <row r="212" spans="1:3">
      <c r="A212" s="18">
        <v>-83</v>
      </c>
      <c r="B212">
        <v>87.238912194618024</v>
      </c>
      <c r="C212">
        <v>400.97090111633344</v>
      </c>
    </row>
    <row r="213" spans="1:3">
      <c r="A213" s="18">
        <v>-84</v>
      </c>
      <c r="B213">
        <v>71.665810214849799</v>
      </c>
      <c r="C213">
        <v>406.21744661686557</v>
      </c>
    </row>
    <row r="214" spans="1:3">
      <c r="A214" s="19">
        <v>-85</v>
      </c>
      <c r="B214">
        <v>57.016345527540423</v>
      </c>
      <c r="C214">
        <v>410.75847067307672</v>
      </c>
    </row>
    <row r="215" spans="1:3">
      <c r="A215" s="19">
        <v>-86</v>
      </c>
      <c r="B215">
        <v>41.696215676759692</v>
      </c>
      <c r="C215">
        <v>415.4887127008044</v>
      </c>
    </row>
    <row r="216" spans="1:3">
      <c r="A216" s="18">
        <v>-87</v>
      </c>
      <c r="B216">
        <v>25.576721820733781</v>
      </c>
      <c r="C216">
        <v>420.46415288387738</v>
      </c>
    </row>
    <row r="217" spans="1:3">
      <c r="A217" s="18">
        <v>-88</v>
      </c>
      <c r="B217">
        <v>8.4992607692080693</v>
      </c>
      <c r="C217">
        <v>425.75218694918681</v>
      </c>
    </row>
    <row r="218" spans="1:3">
      <c r="A218" s="19">
        <v>-89</v>
      </c>
      <c r="B218">
        <v>-9.7337362371688467</v>
      </c>
      <c r="C218">
        <v>431.43477981092798</v>
      </c>
    </row>
    <row r="219" spans="1:3">
      <c r="A219" s="19">
        <v>-90</v>
      </c>
      <c r="B219">
        <v>-29.371053996776233</v>
      </c>
      <c r="C219">
        <v>437.61256543112466</v>
      </c>
    </row>
    <row r="220" spans="1:3">
      <c r="A220" s="18">
        <v>-91</v>
      </c>
      <c r="B220">
        <v>-41.5696667814968</v>
      </c>
      <c r="C220">
        <v>431.00141155653034</v>
      </c>
    </row>
    <row r="221" spans="1:3">
      <c r="A221" s="18">
        <v>-92</v>
      </c>
      <c r="B221">
        <v>-53.276996719728672</v>
      </c>
      <c r="C221">
        <v>425.13303793892544</v>
      </c>
    </row>
    <row r="222" spans="1:3">
      <c r="A222" s="19">
        <v>-93</v>
      </c>
      <c r="B222">
        <v>-64.596122667436006</v>
      </c>
      <c r="C222">
        <v>419.82957126726984</v>
      </c>
    </row>
    <row r="223" spans="1:3">
      <c r="A223" s="19">
        <v>-94</v>
      </c>
      <c r="B223">
        <v>-75.604736543348196</v>
      </c>
      <c r="C223">
        <v>414.9567533504889</v>
      </c>
    </row>
    <row r="224" spans="1:3">
      <c r="A224" s="18">
        <v>-95</v>
      </c>
      <c r="B224">
        <v>-86.363039732864095</v>
      </c>
      <c r="C224">
        <v>410.41134417281421</v>
      </c>
    </row>
    <row r="225" spans="1:3">
      <c r="A225" s="18">
        <v>-96</v>
      </c>
      <c r="B225">
        <v>-98.911011335092496</v>
      </c>
      <c r="C225">
        <v>405.32458788379034</v>
      </c>
    </row>
    <row r="226" spans="1:3">
      <c r="A226" s="19">
        <v>-97</v>
      </c>
      <c r="B226">
        <v>-113.9750423965567</v>
      </c>
      <c r="C226">
        <v>399.28561498860279</v>
      </c>
    </row>
    <row r="227" spans="1:3">
      <c r="A227" s="19">
        <v>-98</v>
      </c>
      <c r="B227">
        <v>-128.5752855414834</v>
      </c>
      <c r="C227">
        <v>393.42094004292699</v>
      </c>
    </row>
    <row r="228" spans="1:3">
      <c r="A228" s="18">
        <v>-99</v>
      </c>
      <c r="B228">
        <v>-142.77148173743498</v>
      </c>
      <c r="C228">
        <v>387.69381170835027</v>
      </c>
    </row>
    <row r="229" spans="1:3">
      <c r="A229" s="18">
        <v>-100</v>
      </c>
      <c r="B229">
        <v>-156.61606048250493</v>
      </c>
      <c r="C229">
        <v>382.0714041827984</v>
      </c>
    </row>
    <row r="230" spans="1:3">
      <c r="A230" s="19">
        <v>-101</v>
      </c>
      <c r="B230">
        <v>-170.15534935966019</v>
      </c>
      <c r="C230">
        <v>376.5241632718197</v>
      </c>
    </row>
    <row r="231" spans="1:3">
      <c r="A231" s="19">
        <v>-102</v>
      </c>
      <c r="B231">
        <v>-180.6825489929227</v>
      </c>
      <c r="C231">
        <v>372.86878798604084</v>
      </c>
    </row>
    <row r="232" spans="1:3">
      <c r="A232" s="18">
        <v>-103</v>
      </c>
      <c r="B232">
        <v>-193.78457361467878</v>
      </c>
      <c r="C232">
        <v>367.33191592624013</v>
      </c>
    </row>
    <row r="233" spans="1:3">
      <c r="A233" s="18">
        <v>-104</v>
      </c>
      <c r="B233">
        <v>-206.68794469764649</v>
      </c>
      <c r="C233">
        <v>361.79969444364707</v>
      </c>
    </row>
    <row r="234" spans="1:3">
      <c r="A234" s="19">
        <v>-105</v>
      </c>
      <c r="B234">
        <v>-219.4233878109068</v>
      </c>
      <c r="C234">
        <v>356.25042840462805</v>
      </c>
    </row>
    <row r="235" spans="1:3">
      <c r="A235" s="19">
        <v>-106</v>
      </c>
      <c r="B235">
        <v>-232.01897668321112</v>
      </c>
      <c r="C235">
        <v>350.66363599498533</v>
      </c>
    </row>
    <row r="236" spans="1:3">
      <c r="A236" s="18">
        <v>-107</v>
      </c>
      <c r="B236">
        <v>-244.50054718977708</v>
      </c>
      <c r="C236">
        <v>345.01977893019864</v>
      </c>
    </row>
    <row r="237" spans="1:3">
      <c r="A237" s="18">
        <v>-108</v>
      </c>
      <c r="B237">
        <v>-256.89205019964868</v>
      </c>
      <c r="C237">
        <v>339.30002369630415</v>
      </c>
    </row>
    <row r="238" spans="1:3">
      <c r="A238" s="19">
        <v>-109</v>
      </c>
      <c r="B238">
        <v>-269.21585456560297</v>
      </c>
      <c r="C238">
        <v>333.48602751556797</v>
      </c>
    </row>
    <row r="239" spans="1:3">
      <c r="A239" s="19">
        <v>-110</v>
      </c>
      <c r="B239">
        <v>-281.49300925659588</v>
      </c>
      <c r="C239">
        <v>327.55974374383231</v>
      </c>
    </row>
    <row r="240" spans="1:3">
      <c r="A240" s="18">
        <v>-111</v>
      </c>
      <c r="B240">
        <v>-293.7437134092678</v>
      </c>
      <c r="C240">
        <v>321.50313391280935</v>
      </c>
    </row>
    <row r="241" spans="1:3">
      <c r="A241" s="18">
        <v>-112</v>
      </c>
      <c r="B241">
        <v>-305.98651506451188</v>
      </c>
      <c r="C241">
        <v>315.29844275490797</v>
      </c>
    </row>
    <row r="242" spans="1:3">
      <c r="A242" s="19">
        <v>-113</v>
      </c>
      <c r="B242">
        <v>-318.23990565883076</v>
      </c>
      <c r="C242">
        <v>308.92743078242734</v>
      </c>
    </row>
    <row r="243" spans="1:3">
      <c r="A243" s="19">
        <v>-114</v>
      </c>
      <c r="B243">
        <v>-330.23990255060102</v>
      </c>
      <c r="C243">
        <v>302.57562011657285</v>
      </c>
    </row>
    <row r="244" spans="1:3">
      <c r="A244" s="18">
        <v>-115</v>
      </c>
      <c r="B244">
        <v>-341.46721892380555</v>
      </c>
      <c r="C244">
        <v>296.19450647662103</v>
      </c>
    </row>
    <row r="245" spans="1:3">
      <c r="A245" s="18">
        <v>-116</v>
      </c>
      <c r="B245">
        <v>-352.2739620514995</v>
      </c>
      <c r="C245">
        <v>290.02534618890087</v>
      </c>
    </row>
    <row r="246" spans="1:3">
      <c r="A246" s="19">
        <v>-117</v>
      </c>
      <c r="B246">
        <v>-362.73835183530764</v>
      </c>
      <c r="C246">
        <v>284.05795234669813</v>
      </c>
    </row>
    <row r="247" spans="1:3">
      <c r="A247" s="19">
        <v>-118</v>
      </c>
      <c r="B247">
        <v>-372.90811932178872</v>
      </c>
      <c r="C247">
        <v>278.26582676411692</v>
      </c>
    </row>
    <row r="248" spans="1:3">
      <c r="A248" s="18">
        <v>-119</v>
      </c>
      <c r="B248">
        <v>-382.82544482315598</v>
      </c>
      <c r="C248">
        <v>272.62535600819024</v>
      </c>
    </row>
    <row r="249" spans="1:3">
      <c r="A249" s="18">
        <v>-120</v>
      </c>
      <c r="B249">
        <v>-392.52754144494224</v>
      </c>
      <c r="C249">
        <v>267.1153808627916</v>
      </c>
    </row>
    <row r="250" spans="1:3">
      <c r="A250" s="19">
        <v>-121</v>
      </c>
      <c r="B250">
        <v>-402.04745272350226</v>
      </c>
      <c r="C250">
        <v>261.71677323453264</v>
      </c>
    </row>
    <row r="251" spans="1:3">
      <c r="A251" s="19">
        <v>-122</v>
      </c>
      <c r="B251">
        <v>-411.41526586646228</v>
      </c>
      <c r="C251">
        <v>256.41208564792868</v>
      </c>
    </row>
    <row r="252" spans="1:3">
      <c r="A252" s="18">
        <v>-123</v>
      </c>
      <c r="B252">
        <v>-420.6577306772474</v>
      </c>
      <c r="C252">
        <v>251.18525514802542</v>
      </c>
    </row>
    <row r="253" spans="1:3">
      <c r="A253" s="18">
        <v>-124</v>
      </c>
      <c r="B253">
        <v>-429.79973248491348</v>
      </c>
      <c r="C253">
        <v>246.02135541970603</v>
      </c>
    </row>
    <row r="254" spans="1:3">
      <c r="A254" s="19">
        <v>-125</v>
      </c>
      <c r="B254">
        <v>-438.86421134741818</v>
      </c>
      <c r="C254">
        <v>240.90638214759855</v>
      </c>
    </row>
    <row r="255" spans="1:3">
      <c r="A255" s="19">
        <v>-126</v>
      </c>
      <c r="B255">
        <v>-447.87260567041949</v>
      </c>
      <c r="C255">
        <v>235.82706660100982</v>
      </c>
    </row>
    <row r="256" spans="1:3">
      <c r="A256" s="18">
        <v>-127</v>
      </c>
      <c r="B256">
        <v>-456.84514882624546</v>
      </c>
      <c r="C256">
        <v>230.77071047345441</v>
      </c>
    </row>
    <row r="257" spans="1:3">
      <c r="A257" s="18">
        <v>-128</v>
      </c>
      <c r="B257">
        <v>-465.80113054852245</v>
      </c>
      <c r="C257">
        <v>225.72503872768337</v>
      </c>
    </row>
    <row r="258" spans="1:3">
      <c r="A258" s="19">
        <v>-129</v>
      </c>
      <c r="B258">
        <v>-474.75911286704093</v>
      </c>
      <c r="C258">
        <v>220.67805859354138</v>
      </c>
    </row>
    <row r="259" spans="1:3">
      <c r="A259" s="19">
        <v>-130</v>
      </c>
      <c r="B259">
        <v>-483.73715300296982</v>
      </c>
      <c r="C259">
        <v>215.61794006877261</v>
      </c>
    </row>
    <row r="260" spans="1:3">
      <c r="A260" s="18">
        <v>-131</v>
      </c>
      <c r="B260">
        <v>-492.75292985654528</v>
      </c>
      <c r="C260">
        <v>210.53285254049584</v>
      </c>
    </row>
    <row r="261" spans="1:3">
      <c r="A261" s="18">
        <v>-132</v>
      </c>
      <c r="B261">
        <v>-501.65616078683109</v>
      </c>
      <c r="C261">
        <v>205.32758575291686</v>
      </c>
    </row>
    <row r="262" spans="1:3">
      <c r="A262" s="19">
        <v>-133</v>
      </c>
      <c r="B262">
        <v>-510.45155275032317</v>
      </c>
      <c r="C262">
        <v>199.99158828071475</v>
      </c>
    </row>
    <row r="263" spans="1:3">
      <c r="A263" s="19">
        <v>-134</v>
      </c>
      <c r="B263">
        <v>-519.29890083889097</v>
      </c>
      <c r="C263">
        <v>194.5867684904261</v>
      </c>
    </row>
    <row r="264" spans="1:3">
      <c r="A264" s="18">
        <v>-135</v>
      </c>
      <c r="B264">
        <v>-528.21522314846561</v>
      </c>
      <c r="C264">
        <v>189.1012232722093</v>
      </c>
    </row>
    <row r="265" spans="1:3">
      <c r="A265" s="18">
        <v>-136</v>
      </c>
      <c r="B265">
        <v>-537.21780728605108</v>
      </c>
      <c r="C265">
        <v>183.52268480200797</v>
      </c>
    </row>
    <row r="266" spans="1:3">
      <c r="A266" s="19">
        <v>-137</v>
      </c>
      <c r="B266">
        <v>-542.91120493925939</v>
      </c>
      <c r="C266">
        <v>179.43660938707757</v>
      </c>
    </row>
    <row r="267" spans="1:3">
      <c r="A267" s="19">
        <v>-138</v>
      </c>
      <c r="B267">
        <v>-551.50424154645646</v>
      </c>
      <c r="C267">
        <v>174.00699566125698</v>
      </c>
    </row>
    <row r="268" spans="1:3">
      <c r="A268" s="18">
        <v>-139</v>
      </c>
      <c r="B268">
        <v>-559.84793912428472</v>
      </c>
      <c r="C268">
        <v>168.69861231593958</v>
      </c>
    </row>
    <row r="269" spans="1:3">
      <c r="A269" s="18">
        <v>-140</v>
      </c>
      <c r="B269">
        <v>-567.96515460423109</v>
      </c>
      <c r="C269">
        <v>163.50241172819486</v>
      </c>
    </row>
    <row r="270" spans="1:3">
      <c r="A270" s="19">
        <v>-141</v>
      </c>
      <c r="B270">
        <v>-575.87680725561768</v>
      </c>
      <c r="C270">
        <v>158.40997170556287</v>
      </c>
    </row>
    <row r="271" spans="1:3">
      <c r="A271" s="19">
        <v>-142</v>
      </c>
      <c r="B271">
        <v>-583.60210955784135</v>
      </c>
      <c r="C271">
        <v>153.41342040049616</v>
      </c>
    </row>
    <row r="272" spans="1:3">
      <c r="A272" s="18">
        <v>-143</v>
      </c>
      <c r="B272">
        <v>-591.15876736855216</v>
      </c>
      <c r="C272">
        <v>148.50537990099485</v>
      </c>
    </row>
    <row r="273" spans="1:3">
      <c r="A273" s="18">
        <v>-144</v>
      </c>
      <c r="B273">
        <v>-598.56315545110454</v>
      </c>
      <c r="C273">
        <v>143.678915753382</v>
      </c>
    </row>
    <row r="274" spans="1:3">
      <c r="A274" s="19">
        <v>-145</v>
      </c>
      <c r="B274">
        <v>-605.83047195272889</v>
      </c>
      <c r="C274">
        <v>138.92749163781937</v>
      </c>
    </row>
    <row r="275" spans="1:3">
      <c r="A275" s="19">
        <v>-146</v>
      </c>
      <c r="B275">
        <v>-612.97487486106525</v>
      </c>
      <c r="C275">
        <v>134.24492852664488</v>
      </c>
    </row>
    <row r="276" spans="1:3">
      <c r="A276" s="18">
        <v>-147</v>
      </c>
      <c r="B276">
        <v>-620.00960300113888</v>
      </c>
      <c r="C276">
        <v>129.62536774717702</v>
      </c>
    </row>
    <row r="277" spans="1:3">
      <c r="A277" s="18">
        <v>-148</v>
      </c>
      <c r="B277">
        <v>-626.94708374911909</v>
      </c>
      <c r="C277">
        <v>125.06323744777148</v>
      </c>
    </row>
    <row r="278" spans="1:3">
      <c r="A278" s="19">
        <v>-149</v>
      </c>
      <c r="B278">
        <v>-633.7990293187504</v>
      </c>
      <c r="C278">
        <v>120.55322203100316</v>
      </c>
    </row>
    <row r="279" spans="1:3">
      <c r="A279" s="19">
        <v>-150</v>
      </c>
      <c r="B279">
        <v>-640.57652320928776</v>
      </c>
      <c r="C279">
        <v>116.09023417290959</v>
      </c>
    </row>
    <row r="280" spans="1:3">
      <c r="A280" s="18">
        <v>-151</v>
      </c>
      <c r="B280">
        <v>-647.29009818078032</v>
      </c>
      <c r="C280">
        <v>111.66938909384261</v>
      </c>
    </row>
    <row r="281" spans="1:3">
      <c r="A281" s="18">
        <v>-152</v>
      </c>
      <c r="B281">
        <v>-653.94980693590901</v>
      </c>
      <c r="C281">
        <v>107.28598078597436</v>
      </c>
    </row>
    <row r="282" spans="1:3">
      <c r="A282" s="19">
        <v>-153</v>
      </c>
      <c r="B282">
        <v>-660.56528653113855</v>
      </c>
      <c r="C282">
        <v>102.935459935997</v>
      </c>
    </row>
    <row r="283" spans="1:3">
      <c r="A283" s="19">
        <v>-154</v>
      </c>
      <c r="B283">
        <v>-667.03135289672753</v>
      </c>
      <c r="C283">
        <v>98.617309971349741</v>
      </c>
    </row>
    <row r="284" spans="1:3">
      <c r="A284" s="18">
        <v>-155</v>
      </c>
      <c r="B284">
        <v>-672.83138454569882</v>
      </c>
      <c r="C284">
        <v>94.339619734318291</v>
      </c>
    </row>
    <row r="285" spans="1:3">
      <c r="A285" s="18">
        <v>-156</v>
      </c>
      <c r="B285">
        <v>-678.63638128488219</v>
      </c>
      <c r="C285">
        <v>90.071351430266262</v>
      </c>
    </row>
    <row r="286" spans="1:3">
      <c r="A286" s="19">
        <v>-157</v>
      </c>
      <c r="B286">
        <v>-684.45632840389567</v>
      </c>
      <c r="C286">
        <v>85.807519734429036</v>
      </c>
    </row>
    <row r="287" spans="1:3">
      <c r="A287" s="19">
        <v>-158</v>
      </c>
      <c r="B287">
        <v>-690.30133130123625</v>
      </c>
      <c r="C287">
        <v>81.543138048811031</v>
      </c>
    </row>
    <row r="288" spans="1:3">
      <c r="A288" s="18">
        <v>-159</v>
      </c>
      <c r="B288">
        <v>-696.18158276122494</v>
      </c>
      <c r="C288">
        <v>77.273176128306261</v>
      </c>
    </row>
    <row r="289" spans="1:3">
      <c r="A289" s="18">
        <v>-160</v>
      </c>
      <c r="B289">
        <v>-702.10742477101257</v>
      </c>
      <c r="C289">
        <v>72.992534429619937</v>
      </c>
    </row>
    <row r="290" spans="1:3">
      <c r="A290" s="19">
        <v>-161</v>
      </c>
      <c r="B290">
        <v>-708.08950036827969</v>
      </c>
      <c r="C290">
        <v>68.696012449264998</v>
      </c>
    </row>
    <row r="291" spans="1:3">
      <c r="A291" s="19">
        <v>-162</v>
      </c>
      <c r="B291">
        <v>-713.34900406614543</v>
      </c>
      <c r="C291">
        <v>64.974595891581799</v>
      </c>
    </row>
    <row r="292" spans="1:3">
      <c r="A292" s="18">
        <v>-163</v>
      </c>
      <c r="B292">
        <v>-718.02044509992095</v>
      </c>
      <c r="C292">
        <v>61.755559796128388</v>
      </c>
    </row>
    <row r="293" spans="1:3">
      <c r="A293" s="18">
        <v>-164</v>
      </c>
      <c r="B293">
        <v>-722.79410711112905</v>
      </c>
      <c r="C293">
        <v>58.53197426460958</v>
      </c>
    </row>
    <row r="294" spans="1:3">
      <c r="A294" s="19">
        <v>-165</v>
      </c>
      <c r="B294">
        <v>-727.68733850986132</v>
      </c>
      <c r="C294">
        <v>55.298888336755418</v>
      </c>
    </row>
    <row r="295" spans="1:3">
      <c r="A295" s="19">
        <v>-166</v>
      </c>
      <c r="B295">
        <v>-732.71928498279749</v>
      </c>
      <c r="C295">
        <v>52.051031641482908</v>
      </c>
    </row>
    <row r="296" spans="1:3">
      <c r="A296" s="18">
        <v>-167</v>
      </c>
      <c r="B296">
        <v>-737.91122414201277</v>
      </c>
      <c r="C296">
        <v>48.782717464693945</v>
      </c>
    </row>
    <row r="297" spans="1:3">
      <c r="A297" s="18">
        <v>-168</v>
      </c>
      <c r="B297">
        <v>-743.28699420015573</v>
      </c>
      <c r="C297">
        <v>45.487746373383636</v>
      </c>
    </row>
    <row r="298" spans="1:3">
      <c r="A298" s="19">
        <v>-169</v>
      </c>
      <c r="B298">
        <v>-748.87351783873464</v>
      </c>
      <c r="C298">
        <v>42.159288201481885</v>
      </c>
    </row>
    <row r="299" spans="1:3">
      <c r="A299" s="19">
        <v>-170</v>
      </c>
      <c r="B299">
        <v>-754.70144858881429</v>
      </c>
      <c r="C299">
        <v>38.789735810620094</v>
      </c>
    </row>
    <row r="300" spans="1:3">
      <c r="A300" s="18">
        <v>-171</v>
      </c>
      <c r="B300">
        <v>-760.80597625463918</v>
      </c>
      <c r="C300">
        <v>35.370521695629058</v>
      </c>
    </row>
    <row r="301" spans="1:3">
      <c r="A301" s="18">
        <v>-172</v>
      </c>
      <c r="B301">
        <v>-767.2278407937066</v>
      </c>
      <c r="C301">
        <v>31.891885167354332</v>
      </c>
    </row>
    <row r="302" spans="1:3">
      <c r="A302" s="19">
        <v>-173</v>
      </c>
      <c r="B302">
        <v>-774.01462231579637</v>
      </c>
      <c r="C302">
        <v>28.34257302709949</v>
      </c>
    </row>
    <row r="303" spans="1:3">
      <c r="A303" s="19">
        <v>-174</v>
      </c>
      <c r="B303">
        <v>-781.22278741693162</v>
      </c>
      <c r="C303">
        <v>24.709513970530431</v>
      </c>
    </row>
    <row r="304" spans="1:3">
      <c r="A304" s="18">
        <v>-175</v>
      </c>
      <c r="B304">
        <v>-788.91845622974211</v>
      </c>
      <c r="C304">
        <v>20.977053771602456</v>
      </c>
    </row>
    <row r="305" spans="1:3">
      <c r="A305" s="18">
        <v>-176</v>
      </c>
      <c r="B305">
        <v>-797.18218478997517</v>
      </c>
      <c r="C305">
        <v>17.126624531325756</v>
      </c>
    </row>
    <row r="306" spans="1:3">
      <c r="A306" s="19">
        <v>-177</v>
      </c>
      <c r="B306">
        <v>-806.1115918952238</v>
      </c>
      <c r="C306">
        <v>13.135569489054831</v>
      </c>
    </row>
    <row r="307" spans="1:3">
      <c r="A307" s="19">
        <v>-178</v>
      </c>
      <c r="B307">
        <v>-815.82682878384139</v>
      </c>
      <c r="C307">
        <v>8.9758896233977463</v>
      </c>
    </row>
    <row r="308" spans="1:3">
      <c r="A308" s="18">
        <v>-179</v>
      </c>
      <c r="B308">
        <v>-826.47774770789204</v>
      </c>
      <c r="C308">
        <v>4.6123901390965241</v>
      </c>
    </row>
    <row r="309" spans="1:3">
      <c r="A309" s="18">
        <v>-180</v>
      </c>
      <c r="B309">
        <v>-838.25397985108054</v>
      </c>
      <c r="C309">
        <v>6.5634988997728066E-14</v>
      </c>
    </row>
    <row r="310" spans="1:3">
      <c r="A310" s="19">
        <v>-181</v>
      </c>
      <c r="B310">
        <v>-826.47811550552797</v>
      </c>
      <c r="C310">
        <v>-4.6123991850757324</v>
      </c>
    </row>
    <row r="311" spans="1:3">
      <c r="A311" s="19">
        <v>-182</v>
      </c>
      <c r="B311">
        <v>-815.82683025686617</v>
      </c>
      <c r="C311">
        <v>-8.9758896973086326</v>
      </c>
    </row>
    <row r="312" spans="1:3">
      <c r="A312" s="18">
        <v>-183</v>
      </c>
      <c r="B312">
        <v>-806.11159273469946</v>
      </c>
      <c r="C312">
        <v>-13.135569553652385</v>
      </c>
    </row>
    <row r="313" spans="1:3">
      <c r="A313" s="18">
        <v>-184</v>
      </c>
      <c r="B313">
        <v>-797.18218527936313</v>
      </c>
      <c r="C313">
        <v>-17.126624582774934</v>
      </c>
    </row>
    <row r="314" spans="1:3">
      <c r="A314" s="19">
        <v>-185</v>
      </c>
      <c r="B314">
        <v>-788.91845652012955</v>
      </c>
      <c r="C314">
        <v>-20.977053810789261</v>
      </c>
    </row>
    <row r="315" spans="1:3">
      <c r="A315" s="19">
        <v>-186</v>
      </c>
      <c r="B315">
        <v>-781.22278759161725</v>
      </c>
      <c r="C315">
        <v>-24.709513999642745</v>
      </c>
    </row>
    <row r="316" spans="1:3">
      <c r="A316" s="18">
        <v>-187</v>
      </c>
      <c r="B316">
        <v>-774.01490154752275</v>
      </c>
      <c r="C316">
        <v>-28.342629025582582</v>
      </c>
    </row>
    <row r="317" spans="1:3">
      <c r="A317" s="18">
        <v>-188</v>
      </c>
      <c r="B317">
        <v>-767.22830846664556</v>
      </c>
      <c r="C317">
        <v>-31.891995982632992</v>
      </c>
    </row>
    <row r="318" spans="1:3">
      <c r="A318" s="19">
        <v>-189</v>
      </c>
      <c r="B318">
        <v>-760.80631494306488</v>
      </c>
      <c r="C318">
        <v>-35.370615261421619</v>
      </c>
    </row>
    <row r="319" spans="1:3">
      <c r="A319" s="19">
        <v>-190</v>
      </c>
      <c r="B319">
        <v>-754.70169340782013</v>
      </c>
      <c r="C319">
        <v>-38.789813891981247</v>
      </c>
    </row>
    <row r="320" spans="1:3">
      <c r="A320" s="18">
        <v>-191</v>
      </c>
      <c r="B320">
        <v>-748.87369413602414</v>
      </c>
      <c r="C320">
        <v>-42.159352644055645</v>
      </c>
    </row>
    <row r="321" spans="1:3">
      <c r="A321" s="18">
        <v>-192</v>
      </c>
      <c r="B321">
        <v>-743.28712037647688</v>
      </c>
      <c r="C321">
        <v>-45.487798954875707</v>
      </c>
    </row>
    <row r="322" spans="1:3">
      <c r="A322" s="19">
        <v>-193</v>
      </c>
      <c r="B322">
        <v>-737.91131365879517</v>
      </c>
      <c r="C322">
        <v>-48.78275983808264</v>
      </c>
    </row>
    <row r="323" spans="1:3">
      <c r="A323" s="19">
        <v>-194</v>
      </c>
      <c r="B323">
        <v>-732.71934774767749</v>
      </c>
      <c r="C323">
        <v>-52.051065311771666</v>
      </c>
    </row>
    <row r="324" spans="1:3">
      <c r="A324" s="18">
        <v>-195</v>
      </c>
      <c r="B324">
        <v>-727.68738184641279</v>
      </c>
      <c r="C324">
        <v>-55.298914656157272</v>
      </c>
    </row>
    <row r="325" spans="1:3">
      <c r="A325" s="18">
        <v>-196</v>
      </c>
      <c r="B325">
        <v>-722.79413644634042</v>
      </c>
      <c r="C325">
        <v>-58.531994437506448</v>
      </c>
    </row>
    <row r="326" spans="1:3">
      <c r="A326" s="19">
        <v>-197</v>
      </c>
      <c r="B326">
        <v>-718.02046445607937</v>
      </c>
      <c r="C326">
        <v>-61.755574887867851</v>
      </c>
    </row>
    <row r="327" spans="1:3">
      <c r="A327" s="19">
        <v>-198</v>
      </c>
      <c r="B327">
        <v>-713.34899692254112</v>
      </c>
      <c r="C327">
        <v>-64.974589560001874</v>
      </c>
    </row>
    <row r="328" spans="1:3">
      <c r="A328" s="18">
        <v>-199</v>
      </c>
      <c r="B328">
        <v>-708.08929068928603</v>
      </c>
      <c r="C328">
        <v>-68.696024519856579</v>
      </c>
    </row>
    <row r="329" spans="1:3">
      <c r="A329" s="18">
        <v>-200</v>
      </c>
      <c r="B329">
        <v>-702.10764194939588</v>
      </c>
      <c r="C329">
        <v>-72.992526805490755</v>
      </c>
    </row>
    <row r="330" spans="1:3">
      <c r="A330" s="19">
        <v>-201</v>
      </c>
      <c r="B330">
        <v>-696.18158340430261</v>
      </c>
      <c r="C330">
        <v>-77.273176121906346</v>
      </c>
    </row>
    <row r="331" spans="1:3">
      <c r="A331" s="19">
        <v>-202</v>
      </c>
      <c r="B331">
        <v>-690.30133287367164</v>
      </c>
      <c r="C331">
        <v>-81.543138077855843</v>
      </c>
    </row>
    <row r="332" spans="1:3">
      <c r="A332" s="18">
        <v>-203</v>
      </c>
      <c r="B332">
        <v>-684.45633113023121</v>
      </c>
      <c r="C332">
        <v>-85.807519873262322</v>
      </c>
    </row>
    <row r="333" spans="1:3">
      <c r="A333" s="18">
        <v>-204</v>
      </c>
      <c r="B333">
        <v>-678.63638521364169</v>
      </c>
      <c r="C333">
        <v>-90.07135177762774</v>
      </c>
    </row>
    <row r="334" spans="1:3">
      <c r="A334" s="19">
        <v>-205</v>
      </c>
      <c r="B334">
        <v>-672.83138959435666</v>
      </c>
      <c r="C334">
        <v>-94.339620402399063</v>
      </c>
    </row>
    <row r="335" spans="1:3">
      <c r="A335" s="19">
        <v>-206</v>
      </c>
      <c r="B335">
        <v>-667.03126247396983</v>
      </c>
      <c r="C335">
        <v>-98.617293279320194</v>
      </c>
    </row>
    <row r="336" spans="1:3">
      <c r="A336" s="18">
        <v>-207</v>
      </c>
      <c r="B336">
        <v>-660.56532087468725</v>
      </c>
      <c r="C336">
        <v>-102.93546369811867</v>
      </c>
    </row>
    <row r="337" spans="1:3">
      <c r="A337" s="18">
        <v>-208</v>
      </c>
      <c r="B337">
        <v>-653.94984278661502</v>
      </c>
      <c r="C337">
        <v>-107.28598569112387</v>
      </c>
    </row>
    <row r="338" spans="1:3">
      <c r="A338" s="19">
        <v>-209</v>
      </c>
      <c r="B338">
        <v>-647.29013375271836</v>
      </c>
      <c r="C338">
        <v>-111.66939506932586</v>
      </c>
    </row>
    <row r="339" spans="1:3">
      <c r="A339" s="19">
        <v>-210</v>
      </c>
      <c r="B339">
        <v>-640.57655786650946</v>
      </c>
      <c r="C339">
        <v>-116.09024124247482</v>
      </c>
    </row>
    <row r="340" spans="1:3">
      <c r="A340" s="18">
        <v>-211</v>
      </c>
      <c r="B340">
        <v>-633.79906246808457</v>
      </c>
      <c r="C340">
        <v>-120.5532301899959</v>
      </c>
    </row>
    <row r="341" spans="1:3">
      <c r="A341" s="18">
        <v>-212</v>
      </c>
      <c r="B341">
        <v>-626.94711485249002</v>
      </c>
      <c r="C341">
        <v>-125.06324666134675</v>
      </c>
    </row>
    <row r="342" spans="1:3">
      <c r="A342" s="19">
        <v>-213</v>
      </c>
      <c r="B342">
        <v>-620.0096315866183</v>
      </c>
      <c r="C342">
        <v>-129.62537794867609</v>
      </c>
    </row>
    <row r="343" spans="1:3">
      <c r="A343" s="19">
        <v>-214</v>
      </c>
      <c r="B343">
        <v>-612.97490053297656</v>
      </c>
      <c r="C343">
        <v>-134.24493961608277</v>
      </c>
    </row>
    <row r="344" spans="1:3">
      <c r="A344" s="18">
        <v>-215</v>
      </c>
      <c r="B344">
        <v>-605.83049440106834</v>
      </c>
      <c r="C344">
        <v>-138.9275034804283</v>
      </c>
    </row>
    <row r="345" spans="1:3">
      <c r="A345" s="18">
        <v>-216</v>
      </c>
      <c r="B345">
        <v>-598.56317446053038</v>
      </c>
      <c r="C345">
        <v>-143.67892817815957</v>
      </c>
    </row>
    <row r="346" spans="1:3">
      <c r="A346" s="19">
        <v>-217</v>
      </c>
      <c r="B346">
        <v>-591.15878282715198</v>
      </c>
      <c r="C346">
        <v>-148.50539269921637</v>
      </c>
    </row>
    <row r="347" spans="1:3">
      <c r="A347" s="19">
        <v>-218</v>
      </c>
      <c r="B347">
        <v>-583.60212146590322</v>
      </c>
      <c r="C347">
        <v>-153.41343332414459</v>
      </c>
    </row>
    <row r="348" spans="1:3">
      <c r="A348" s="18">
        <v>-219</v>
      </c>
      <c r="B348">
        <v>-575.87681573460168</v>
      </c>
      <c r="C348">
        <v>-158.40998446564129</v>
      </c>
    </row>
    <row r="349" spans="1:3">
      <c r="A349" s="18">
        <v>-220</v>
      </c>
      <c r="B349">
        <v>-567.9651599061466</v>
      </c>
      <c r="C349">
        <v>-163.50242399287754</v>
      </c>
    </row>
    <row r="350" spans="1:3">
      <c r="A350" s="19">
        <v>-221</v>
      </c>
      <c r="B350">
        <v>-559.84794164167897</v>
      </c>
      <c r="C350">
        <v>-168.69862370852624</v>
      </c>
    </row>
    <row r="351" spans="1:3">
      <c r="A351" s="19">
        <v>-222</v>
      </c>
      <c r="B351">
        <v>-551.50424182321501</v>
      </c>
      <c r="C351">
        <v>-174.00700575741214</v>
      </c>
    </row>
    <row r="352" spans="1:3">
      <c r="A352" s="18">
        <v>-223</v>
      </c>
      <c r="B352">
        <v>-542.91120546918887</v>
      </c>
      <c r="C352">
        <v>-179.4366058758105</v>
      </c>
    </row>
    <row r="353" spans="1:3">
      <c r="A353" s="18">
        <v>-224</v>
      </c>
      <c r="B353">
        <v>-537.21778184812786</v>
      </c>
      <c r="C353">
        <v>-183.52276127482526</v>
      </c>
    </row>
    <row r="354" spans="1:3">
      <c r="A354" s="19">
        <v>-225</v>
      </c>
      <c r="B354">
        <v>-528.21522239878163</v>
      </c>
      <c r="C354">
        <v>-189.10122591941368</v>
      </c>
    </row>
    <row r="355" spans="1:3">
      <c r="A355" s="19">
        <v>-226</v>
      </c>
      <c r="B355">
        <v>-519.29891400850977</v>
      </c>
      <c r="C355">
        <v>-194.58670655719737</v>
      </c>
    </row>
    <row r="356" spans="1:3">
      <c r="A356" s="18">
        <v>-227</v>
      </c>
      <c r="B356">
        <v>-510.45155278959083</v>
      </c>
      <c r="C356">
        <v>-199.99158792274866</v>
      </c>
    </row>
    <row r="357" spans="1:3">
      <c r="A357" s="18">
        <v>-228</v>
      </c>
      <c r="B357">
        <v>-501.65616076660234</v>
      </c>
      <c r="C357">
        <v>-205.32758531797126</v>
      </c>
    </row>
    <row r="358" spans="1:3">
      <c r="A358" s="19">
        <v>-229</v>
      </c>
      <c r="B358">
        <v>-492.75297463415427</v>
      </c>
      <c r="C358">
        <v>-210.53288810240593</v>
      </c>
    </row>
    <row r="359" spans="1:3">
      <c r="A359" s="19">
        <v>-230</v>
      </c>
      <c r="B359">
        <v>-483.73714969074803</v>
      </c>
      <c r="C359">
        <v>-215.61793787492775</v>
      </c>
    </row>
    <row r="360" spans="1:3">
      <c r="A360" s="18">
        <v>-231</v>
      </c>
      <c r="B360">
        <v>-474.75921305246339</v>
      </c>
      <c r="C360">
        <v>-220.67811335227171</v>
      </c>
    </row>
    <row r="361" spans="1:3">
      <c r="A361" s="18">
        <v>-232</v>
      </c>
      <c r="B361">
        <v>-465.80112373008143</v>
      </c>
      <c r="C361">
        <v>-225.72503569515115</v>
      </c>
    </row>
    <row r="362" spans="1:3">
      <c r="A362" s="19">
        <v>-233</v>
      </c>
      <c r="B362">
        <v>-456.8451926544235</v>
      </c>
      <c r="C362">
        <v>-230.77072603678184</v>
      </c>
    </row>
    <row r="363" spans="1:3">
      <c r="A363" s="19">
        <v>-234</v>
      </c>
      <c r="B363">
        <v>-447.87271303377167</v>
      </c>
      <c r="C363">
        <v>-235.82709624298647</v>
      </c>
    </row>
    <row r="364" spans="1:3">
      <c r="A364" s="18">
        <v>-235</v>
      </c>
      <c r="B364">
        <v>-438.86433691540094</v>
      </c>
      <c r="C364">
        <v>-240.90640806934138</v>
      </c>
    </row>
    <row r="365" spans="1:3">
      <c r="A365" s="18">
        <v>-236</v>
      </c>
      <c r="B365">
        <v>-429.79984567397565</v>
      </c>
      <c r="C365">
        <v>-246.0213718353111</v>
      </c>
    </row>
    <row r="366" spans="1:3">
      <c r="A366" s="19">
        <v>-237</v>
      </c>
      <c r="B366">
        <v>-420.65781414871191</v>
      </c>
      <c r="C366">
        <v>-251.18526273692194</v>
      </c>
    </row>
    <row r="367" spans="1:3">
      <c r="A367" s="19">
        <v>-238</v>
      </c>
      <c r="B367">
        <v>-411.41531424489244</v>
      </c>
      <c r="C367">
        <v>-256.41208774175186</v>
      </c>
    </row>
    <row r="368" spans="1:3">
      <c r="A368" s="18">
        <v>-239</v>
      </c>
      <c r="B368">
        <v>-402.0475687494116</v>
      </c>
      <c r="C368">
        <v>-261.71677339839522</v>
      </c>
    </row>
    <row r="369" spans="1:3">
      <c r="A369" s="18">
        <v>-240</v>
      </c>
      <c r="B369">
        <v>-392.52754208999647</v>
      </c>
      <c r="C369">
        <v>-267.11538084001961</v>
      </c>
    </row>
    <row r="370" spans="1:3">
      <c r="A370" s="19">
        <v>-241</v>
      </c>
      <c r="B370">
        <v>-382.82545091918934</v>
      </c>
      <c r="C370">
        <v>-272.62535559734602</v>
      </c>
    </row>
    <row r="371" spans="1:3">
      <c r="A371" s="19">
        <v>-242</v>
      </c>
      <c r="B371">
        <v>-372.90817222555808</v>
      </c>
      <c r="C371">
        <v>-278.26582172064377</v>
      </c>
    </row>
    <row r="372" spans="1:3">
      <c r="A372" s="18">
        <v>-243</v>
      </c>
      <c r="B372">
        <v>-362.73851954331326</v>
      </c>
      <c r="C372">
        <v>-284.05793230219365</v>
      </c>
    </row>
    <row r="373" spans="1:3">
      <c r="A373" s="18">
        <v>-244</v>
      </c>
      <c r="B373">
        <v>-352.27434778588218</v>
      </c>
      <c r="C373">
        <v>-290.0252920657997</v>
      </c>
    </row>
    <row r="374" spans="1:3">
      <c r="A374" s="19">
        <v>-245</v>
      </c>
      <c r="B374">
        <v>-341.46743262267438</v>
      </c>
      <c r="C374">
        <v>-296.19447270823849</v>
      </c>
    </row>
    <row r="375" spans="1:3">
      <c r="A375" s="19">
        <v>-246</v>
      </c>
      <c r="B375">
        <v>-330.23988860079828</v>
      </c>
      <c r="C375">
        <v>-302.57562726309237</v>
      </c>
    </row>
    <row r="376" spans="1:3">
      <c r="A376" s="18">
        <v>-247</v>
      </c>
      <c r="B376">
        <v>-318.23988197021532</v>
      </c>
      <c r="C376">
        <v>-308.92744275816284</v>
      </c>
    </row>
    <row r="377" spans="1:3">
      <c r="A377" s="18">
        <v>-248</v>
      </c>
      <c r="B377">
        <v>-305.98631000639352</v>
      </c>
      <c r="C377">
        <v>-315.29854074164871</v>
      </c>
    </row>
    <row r="378" spans="1:3">
      <c r="A378" s="19">
        <v>-249</v>
      </c>
      <c r="B378">
        <v>-293.74347190868014</v>
      </c>
      <c r="C378">
        <v>-321.50324223632839</v>
      </c>
    </row>
    <row r="379" spans="1:3">
      <c r="A379" s="19">
        <v>-250</v>
      </c>
      <c r="B379">
        <v>-281.49277759057225</v>
      </c>
      <c r="C379">
        <v>-327.55984042162436</v>
      </c>
    </row>
    <row r="380" spans="1:3">
      <c r="A380" s="18">
        <v>-251</v>
      </c>
      <c r="B380">
        <v>-269.21585448264506</v>
      </c>
      <c r="C380">
        <v>-333.4860275474058</v>
      </c>
    </row>
    <row r="381" spans="1:3">
      <c r="A381" s="18">
        <v>-252</v>
      </c>
      <c r="B381">
        <v>-256.89205009055053</v>
      </c>
      <c r="C381">
        <v>-339.30002373421001</v>
      </c>
    </row>
    <row r="382" spans="1:3">
      <c r="A382" s="19">
        <v>-253</v>
      </c>
      <c r="B382">
        <v>-244.50054704733864</v>
      </c>
      <c r="C382">
        <v>-345.01977897402469</v>
      </c>
    </row>
    <row r="383" spans="1:3">
      <c r="A383" s="19">
        <v>-254</v>
      </c>
      <c r="B383">
        <v>-232.01897649854754</v>
      </c>
      <c r="C383">
        <v>-350.66363604367695</v>
      </c>
    </row>
    <row r="384" spans="1:3">
      <c r="A384" s="18">
        <v>-255</v>
      </c>
      <c r="B384">
        <v>-219.42338757314238</v>
      </c>
      <c r="C384">
        <v>-356.25042845558966</v>
      </c>
    </row>
    <row r="385" spans="1:3">
      <c r="A385" s="18">
        <v>-256</v>
      </c>
      <c r="B385">
        <v>-206.68794439364686</v>
      </c>
      <c r="C385">
        <v>-361.79969449173734</v>
      </c>
    </row>
    <row r="386" spans="1:3">
      <c r="A386" s="19">
        <v>-257</v>
      </c>
      <c r="B386">
        <v>-193.78457343343644</v>
      </c>
      <c r="C386">
        <v>-367.33191594312808</v>
      </c>
    </row>
    <row r="387" spans="1:3">
      <c r="A387" s="19">
        <v>-258</v>
      </c>
      <c r="B387">
        <v>-183.43055832150839</v>
      </c>
      <c r="C387">
        <v>-371.02524078907726</v>
      </c>
    </row>
    <row r="388" spans="1:3">
      <c r="A388" s="18">
        <v>-259</v>
      </c>
      <c r="B388">
        <v>-170.15534918930624</v>
      </c>
      <c r="C388">
        <v>-376.52416325779825</v>
      </c>
    </row>
    <row r="389" spans="1:3">
      <c r="A389" s="18">
        <v>-260</v>
      </c>
      <c r="B389">
        <v>-156.61605976520352</v>
      </c>
      <c r="C389">
        <v>-382.07140404212066</v>
      </c>
    </row>
    <row r="390" spans="1:3">
      <c r="A390" s="19">
        <v>-261</v>
      </c>
      <c r="B390">
        <v>-142.77148086657485</v>
      </c>
      <c r="C390">
        <v>-387.69381140948695</v>
      </c>
    </row>
    <row r="391" spans="1:3">
      <c r="A391" s="19">
        <v>-262</v>
      </c>
      <c r="B391">
        <v>-128.57528450707792</v>
      </c>
      <c r="C391">
        <v>-393.42093948144964</v>
      </c>
    </row>
    <row r="392" spans="1:3">
      <c r="A392" s="18">
        <v>-263</v>
      </c>
      <c r="B392">
        <v>-113.9750412073568</v>
      </c>
      <c r="C392">
        <v>-399.28561399821399</v>
      </c>
    </row>
    <row r="393" spans="1:3">
      <c r="A393" s="18">
        <v>-264</v>
      </c>
      <c r="B393">
        <v>-98.911026135176186</v>
      </c>
      <c r="C393">
        <v>-405.32460710668738</v>
      </c>
    </row>
    <row r="394" spans="1:3">
      <c r="A394" s="19">
        <v>-265</v>
      </c>
      <c r="B394">
        <v>-86.363083652895654</v>
      </c>
      <c r="C394">
        <v>-410.41134849295759</v>
      </c>
    </row>
    <row r="395" spans="1:3">
      <c r="A395" s="19">
        <v>-266</v>
      </c>
      <c r="B395">
        <v>-75.60472177542897</v>
      </c>
      <c r="C395">
        <v>-414.9567511551403</v>
      </c>
    </row>
    <row r="396" spans="1:3">
      <c r="A396" s="18">
        <v>-267</v>
      </c>
      <c r="B396">
        <v>-64.596099080164819</v>
      </c>
      <c r="C396">
        <v>-419.82956640323675</v>
      </c>
    </row>
    <row r="397" spans="1:3">
      <c r="A397" s="18">
        <v>-268</v>
      </c>
      <c r="B397">
        <v>-53.276957790073176</v>
      </c>
      <c r="C397">
        <v>-425.13302730832987</v>
      </c>
    </row>
    <row r="398" spans="1:3">
      <c r="A398" s="19">
        <v>-269</v>
      </c>
      <c r="B398">
        <v>-41.569600028211589</v>
      </c>
      <c r="C398">
        <v>-431.00138805407107</v>
      </c>
    </row>
    <row r="399" spans="1:3">
      <c r="A399" s="19">
        <v>-270</v>
      </c>
      <c r="B399">
        <v>-29.371025872909243</v>
      </c>
      <c r="C399">
        <v>-437.61255284964295</v>
      </c>
    </row>
    <row r="400" spans="1:3">
      <c r="A400" s="18">
        <v>-271</v>
      </c>
      <c r="B400">
        <v>-9.7337574329863763</v>
      </c>
      <c r="C400">
        <v>-431.43478917903951</v>
      </c>
    </row>
    <row r="401" spans="1:3">
      <c r="A401" s="18">
        <v>-272</v>
      </c>
      <c r="B401">
        <v>8.4992502879733021</v>
      </c>
      <c r="C401">
        <v>-425.75219143566227</v>
      </c>
    </row>
    <row r="402" spans="1:3">
      <c r="A402" s="19">
        <v>-273</v>
      </c>
      <c r="B402">
        <v>25.576716719154923</v>
      </c>
      <c r="C402">
        <v>-420.46415492155603</v>
      </c>
    </row>
    <row r="403" spans="1:3">
      <c r="A403" s="19">
        <v>-274</v>
      </c>
      <c r="B403">
        <v>41.696213297984379</v>
      </c>
      <c r="C403">
        <v>-415.48871351328</v>
      </c>
    </row>
    <row r="404" spans="1:3">
      <c r="A404" s="18">
        <v>-275</v>
      </c>
      <c r="B404">
        <v>57.016344525221221</v>
      </c>
      <c r="C404">
        <v>-410.75847088351145</v>
      </c>
    </row>
    <row r="405" spans="1:3">
      <c r="A405" s="18">
        <v>-276</v>
      </c>
      <c r="B405">
        <v>71.665813787956196</v>
      </c>
      <c r="C405">
        <v>-406.21744743033548</v>
      </c>
    </row>
    <row r="406" spans="1:3">
      <c r="A406" s="19">
        <v>-277</v>
      </c>
      <c r="B406">
        <v>87.238947343328036</v>
      </c>
      <c r="C406">
        <v>-400.97088577620781</v>
      </c>
    </row>
    <row r="407" spans="1:3">
      <c r="A407" s="19">
        <v>-278</v>
      </c>
      <c r="B407">
        <v>104.11713276221238</v>
      </c>
      <c r="C407">
        <v>-394.79342759718719</v>
      </c>
    </row>
    <row r="408" spans="1:3">
      <c r="A408" s="18">
        <v>-279</v>
      </c>
      <c r="B408">
        <v>120.54007224376052</v>
      </c>
      <c r="C408">
        <v>-388.68815780295529</v>
      </c>
    </row>
    <row r="409" spans="1:3">
      <c r="A409" s="18">
        <v>-280</v>
      </c>
      <c r="B409">
        <v>136.55214958332164</v>
      </c>
      <c r="C409">
        <v>-382.63589750361029</v>
      </c>
    </row>
    <row r="410" spans="1:3">
      <c r="A410" s="19">
        <v>-281</v>
      </c>
      <c r="B410">
        <v>148.44594748556267</v>
      </c>
      <c r="C410">
        <v>-378.49779585581723</v>
      </c>
    </row>
    <row r="411" spans="1:3">
      <c r="A411" s="19">
        <v>-282</v>
      </c>
      <c r="B411">
        <v>163.85887612695561</v>
      </c>
      <c r="C411">
        <v>-372.41962007294092</v>
      </c>
    </row>
    <row r="412" spans="1:3">
      <c r="A412" s="18">
        <v>-283</v>
      </c>
      <c r="B412">
        <v>178.96826185481737</v>
      </c>
      <c r="C412">
        <v>-366.34483062007308</v>
      </c>
    </row>
    <row r="413" spans="1:3">
      <c r="A413" s="18">
        <v>-284</v>
      </c>
      <c r="B413">
        <v>193.80768756361684</v>
      </c>
      <c r="C413">
        <v>-360.25621916110015</v>
      </c>
    </row>
    <row r="414" spans="1:3">
      <c r="A414" s="19">
        <v>-285</v>
      </c>
      <c r="B414">
        <v>208.40850771539294</v>
      </c>
      <c r="C414">
        <v>-354.13694258732863</v>
      </c>
    </row>
    <row r="415" spans="1:3">
      <c r="A415" s="19">
        <v>-286</v>
      </c>
      <c r="B415">
        <v>222.80009045313705</v>
      </c>
      <c r="C415">
        <v>-347.97042539989178</v>
      </c>
    </row>
    <row r="416" spans="1:3">
      <c r="A416" s="18">
        <v>-287</v>
      </c>
      <c r="B416">
        <v>237.01004145530229</v>
      </c>
      <c r="C416">
        <v>-341.74026100268151</v>
      </c>
    </row>
    <row r="417" spans="1:3">
      <c r="A417" s="18">
        <v>-288</v>
      </c>
      <c r="B417">
        <v>251.06441064203983</v>
      </c>
      <c r="C417">
        <v>-335.4301120394797</v>
      </c>
    </row>
    <row r="418" spans="1:3">
      <c r="A418" s="19">
        <v>-289</v>
      </c>
      <c r="B418">
        <v>264.98788309373674</v>
      </c>
      <c r="C418">
        <v>-329.02360963952424</v>
      </c>
    </row>
    <row r="419" spans="1:3">
      <c r="A419" s="19">
        <v>-290</v>
      </c>
      <c r="B419">
        <v>278.80395563113041</v>
      </c>
      <c r="C419">
        <v>-322.50425121103598</v>
      </c>
    </row>
    <row r="420" spans="1:3">
      <c r="A420" s="18">
        <v>-291</v>
      </c>
      <c r="B420">
        <v>288.79971082938243</v>
      </c>
      <c r="C420">
        <v>-316.4292944993623</v>
      </c>
    </row>
    <row r="421" spans="1:3">
      <c r="A421" s="18">
        <v>-292</v>
      </c>
      <c r="B421">
        <v>302.2919085477875</v>
      </c>
      <c r="C421">
        <v>-309.76268076155691</v>
      </c>
    </row>
    <row r="422" spans="1:3">
      <c r="A422" s="19">
        <v>-293</v>
      </c>
      <c r="B422">
        <v>315.05442030742154</v>
      </c>
      <c r="C422">
        <v>-303.35596389560959</v>
      </c>
    </row>
    <row r="423" spans="1:3">
      <c r="A423" s="19">
        <v>-294</v>
      </c>
      <c r="B423">
        <v>327.12803325238576</v>
      </c>
      <c r="C423">
        <v>-297.20834587353573</v>
      </c>
    </row>
    <row r="424" spans="1:3">
      <c r="A424" s="18">
        <v>-295</v>
      </c>
      <c r="B424">
        <v>338.60023387351885</v>
      </c>
      <c r="C424">
        <v>-291.28761460829537</v>
      </c>
    </row>
    <row r="425" spans="1:3">
      <c r="A425" s="18">
        <v>-296</v>
      </c>
      <c r="B425">
        <v>349.54543001223379</v>
      </c>
      <c r="C425">
        <v>-285.5658497884977</v>
      </c>
    </row>
    <row r="426" spans="1:3">
      <c r="A426" s="19">
        <v>-297</v>
      </c>
      <c r="B426">
        <v>360.02744723370608</v>
      </c>
      <c r="C426">
        <v>-280.01864344923979</v>
      </c>
    </row>
    <row r="427" spans="1:3">
      <c r="A427" s="19">
        <v>-298</v>
      </c>
      <c r="B427">
        <v>370.10148093646069</v>
      </c>
      <c r="C427">
        <v>-274.62447910347936</v>
      </c>
    </row>
    <row r="428" spans="1:3">
      <c r="A428" s="18">
        <v>-299</v>
      </c>
      <c r="B428">
        <v>379.81563901078715</v>
      </c>
      <c r="C428">
        <v>-269.36423198190909</v>
      </c>
    </row>
    <row r="429" spans="1:3">
      <c r="A429" s="18">
        <v>-300</v>
      </c>
      <c r="B429">
        <v>389.21220512535876</v>
      </c>
      <c r="C429">
        <v>-264.22082893746534</v>
      </c>
    </row>
    <row r="430" spans="1:3">
      <c r="A430" s="19">
        <v>-301</v>
      </c>
      <c r="B430">
        <v>398.32847031755551</v>
      </c>
      <c r="C430">
        <v>-259.17858396002345</v>
      </c>
    </row>
    <row r="431" spans="1:3">
      <c r="A431" s="19">
        <v>-302</v>
      </c>
      <c r="B431">
        <v>407.19786026902437</v>
      </c>
      <c r="C431">
        <v>-254.22358348519677</v>
      </c>
    </row>
    <row r="432" spans="1:3">
      <c r="A432" s="18">
        <v>-303</v>
      </c>
      <c r="B432">
        <v>415.85027618715606</v>
      </c>
      <c r="C432">
        <v>-249.3427928552006</v>
      </c>
    </row>
    <row r="433" spans="1:3">
      <c r="A433" s="18">
        <v>-304</v>
      </c>
      <c r="B433">
        <v>424.31280278112951</v>
      </c>
      <c r="C433">
        <v>-244.52419110919027</v>
      </c>
    </row>
    <row r="434" spans="1:3">
      <c r="A434" s="19">
        <v>-305</v>
      </c>
      <c r="B434">
        <v>432.61013349433148</v>
      </c>
      <c r="C434">
        <v>-239.7565368114972</v>
      </c>
    </row>
    <row r="435" spans="1:3">
      <c r="A435" s="19">
        <v>-306</v>
      </c>
      <c r="B435">
        <v>440.7649559510225</v>
      </c>
      <c r="C435">
        <v>-235.02922239034882</v>
      </c>
    </row>
    <row r="436" spans="1:3">
      <c r="A436" s="18">
        <v>-307</v>
      </c>
      <c r="B436">
        <v>448.7982799975016</v>
      </c>
      <c r="C436">
        <v>-230.33214610541143</v>
      </c>
    </row>
    <row r="437" spans="1:3">
      <c r="A437" s="18">
        <v>-308</v>
      </c>
      <c r="B437">
        <v>456.72971978871232</v>
      </c>
      <c r="C437">
        <v>-225.65559781675137</v>
      </c>
    </row>
    <row r="438" spans="1:3">
      <c r="A438" s="19">
        <v>-309</v>
      </c>
      <c r="B438">
        <v>464.57773908780445</v>
      </c>
      <c r="C438">
        <v>-220.99015538228892</v>
      </c>
    </row>
    <row r="439" spans="1:3">
      <c r="A439" s="19">
        <v>-310</v>
      </c>
      <c r="B439">
        <v>472.35986720344499</v>
      </c>
      <c r="C439">
        <v>-216.32658900183824</v>
      </c>
    </row>
    <row r="440" spans="1:3">
      <c r="A440" s="18">
        <v>-311</v>
      </c>
      <c r="B440">
        <v>480.09289165676819</v>
      </c>
      <c r="C440">
        <v>-211.65577118817416</v>
      </c>
    </row>
    <row r="441" spans="1:3">
      <c r="A441" s="18">
        <v>-312</v>
      </c>
      <c r="B441">
        <v>487.79303265168392</v>
      </c>
      <c r="C441">
        <v>-206.96859030428271</v>
      </c>
    </row>
    <row r="442" spans="1:3">
      <c r="A442" s="19">
        <v>-313</v>
      </c>
      <c r="B442">
        <v>495.47622428155188</v>
      </c>
      <c r="C442">
        <v>-202.25585569108256</v>
      </c>
    </row>
    <row r="443" spans="1:3">
      <c r="A443" s="19">
        <v>-314</v>
      </c>
      <c r="B443">
        <v>503.15779937242246</v>
      </c>
      <c r="C443">
        <v>-197.50824585764582</v>
      </c>
    </row>
    <row r="444" spans="1:3">
      <c r="A444" s="18">
        <v>-315</v>
      </c>
      <c r="B444">
        <v>510.85315098535648</v>
      </c>
      <c r="C444">
        <v>-192.71620764705494</v>
      </c>
    </row>
    <row r="445" spans="1:3">
      <c r="A445" s="18">
        <v>-316</v>
      </c>
      <c r="B445">
        <v>518.57804236198922</v>
      </c>
      <c r="C445">
        <v>-187.86979312326369</v>
      </c>
    </row>
    <row r="446" spans="1:3">
      <c r="A446" s="19">
        <v>-317</v>
      </c>
      <c r="B446">
        <v>526.34797244355377</v>
      </c>
      <c r="C446">
        <v>-182.9586866727972</v>
      </c>
    </row>
    <row r="447" spans="1:3">
      <c r="A447" s="19">
        <v>-318</v>
      </c>
      <c r="B447">
        <v>534.17888362698613</v>
      </c>
      <c r="C447">
        <v>-177.97202476080494</v>
      </c>
    </row>
    <row r="448" spans="1:3">
      <c r="A448" s="18">
        <v>-319</v>
      </c>
      <c r="B448">
        <v>542.08716902581295</v>
      </c>
      <c r="C448">
        <v>-172.89829981532029</v>
      </c>
    </row>
    <row r="449" spans="1:3">
      <c r="A449" s="18">
        <v>-320</v>
      </c>
      <c r="B449">
        <v>550.08982475983589</v>
      </c>
      <c r="C449">
        <v>-167.72523424591051</v>
      </c>
    </row>
    <row r="450" spans="1:3">
      <c r="A450" s="19">
        <v>-321</v>
      </c>
      <c r="B450">
        <v>558.14170868401243</v>
      </c>
      <c r="C450">
        <v>-162.48652644377754</v>
      </c>
    </row>
    <row r="451" spans="1:3">
      <c r="A451" s="19">
        <v>-322</v>
      </c>
      <c r="B451">
        <v>566.06819851399814</v>
      </c>
      <c r="C451">
        <v>-157.31544726680738</v>
      </c>
    </row>
    <row r="452" spans="1:3">
      <c r="A452" s="18">
        <v>-323</v>
      </c>
      <c r="B452">
        <v>573.87553387817525</v>
      </c>
      <c r="C452">
        <v>-152.21377603907786</v>
      </c>
    </row>
    <row r="453" spans="1:3">
      <c r="A453" s="18">
        <v>-324</v>
      </c>
      <c r="B453">
        <v>581.58253566169583</v>
      </c>
      <c r="C453">
        <v>-147.1735487306465</v>
      </c>
    </row>
    <row r="454" spans="1:3">
      <c r="A454" s="19">
        <v>-325</v>
      </c>
      <c r="B454">
        <v>586.3001761766875</v>
      </c>
      <c r="C454">
        <v>-143.88921570497396</v>
      </c>
    </row>
    <row r="455" spans="1:3">
      <c r="A455" s="19">
        <v>-326</v>
      </c>
      <c r="B455">
        <v>593.78986310169967</v>
      </c>
      <c r="C455">
        <v>-138.97582139340446</v>
      </c>
    </row>
    <row r="456" spans="1:3">
      <c r="A456" s="18">
        <v>-327</v>
      </c>
      <c r="B456">
        <v>601.22830416413058</v>
      </c>
      <c r="C456">
        <v>-134.10265209348103</v>
      </c>
    </row>
    <row r="457" spans="1:3">
      <c r="A457" s="18">
        <v>-328</v>
      </c>
      <c r="B457">
        <v>608.63107673813613</v>
      </c>
      <c r="C457">
        <v>-129.26281605131095</v>
      </c>
    </row>
    <row r="458" spans="1:3">
      <c r="A458" s="19">
        <v>-329</v>
      </c>
      <c r="B458">
        <v>616.01339874884695</v>
      </c>
      <c r="C458">
        <v>-124.44953454035993</v>
      </c>
    </row>
    <row r="459" spans="1:3">
      <c r="A459" s="19">
        <v>-330</v>
      </c>
      <c r="B459">
        <v>623.3901570642721</v>
      </c>
      <c r="C459">
        <v>-119.65613469698013</v>
      </c>
    </row>
    <row r="460" spans="1:3">
      <c r="A460" s="18">
        <v>-331</v>
      </c>
      <c r="B460">
        <v>630.77601220767031</v>
      </c>
      <c r="C460">
        <v>-114.87601244804078</v>
      </c>
    </row>
    <row r="461" spans="1:3">
      <c r="A461" s="18">
        <v>-332</v>
      </c>
      <c r="B461">
        <v>638.18549859328164</v>
      </c>
      <c r="C461">
        <v>-110.10259618411138</v>
      </c>
    </row>
    <row r="462" spans="1:3">
      <c r="A462" s="19">
        <v>-333</v>
      </c>
      <c r="B462">
        <v>644.35874557928616</v>
      </c>
      <c r="C462">
        <v>-106.01914564897227</v>
      </c>
    </row>
    <row r="463" spans="1:3">
      <c r="A463" s="19">
        <v>-334</v>
      </c>
      <c r="B463">
        <v>649.28658582466926</v>
      </c>
      <c r="C463">
        <v>-102.64123795934563</v>
      </c>
    </row>
    <row r="464" spans="1:3">
      <c r="A464" s="18">
        <v>-335</v>
      </c>
      <c r="B464">
        <v>654.23047034402759</v>
      </c>
      <c r="C464">
        <v>-99.291435029168042</v>
      </c>
    </row>
    <row r="465" spans="1:3">
      <c r="A465" s="18">
        <v>-336</v>
      </c>
      <c r="B465">
        <v>659.20404246588589</v>
      </c>
      <c r="C465">
        <v>-95.965041158367498</v>
      </c>
    </row>
    <row r="466" spans="1:3">
      <c r="A466" s="19">
        <v>-337</v>
      </c>
      <c r="B466">
        <v>664.22149584666158</v>
      </c>
      <c r="C466">
        <v>-92.657295373199389</v>
      </c>
    </row>
    <row r="467" spans="1:3">
      <c r="A467" s="19">
        <v>-338</v>
      </c>
      <c r="B467">
        <v>669.29774798038454</v>
      </c>
      <c r="C467">
        <v>-89.363319171582688</v>
      </c>
    </row>
    <row r="468" spans="1:3">
      <c r="A468" s="18">
        <v>-339</v>
      </c>
      <c r="B468">
        <v>674.44862286634248</v>
      </c>
      <c r="C468">
        <v>-86.078063786663336</v>
      </c>
    </row>
    <row r="469" spans="1:3">
      <c r="A469" s="18">
        <v>-340</v>
      </c>
      <c r="B469">
        <v>679.69105832089633</v>
      </c>
      <c r="C469">
        <v>-82.796249726090451</v>
      </c>
    </row>
    <row r="470" spans="1:3">
      <c r="A470" s="19">
        <v>-341</v>
      </c>
      <c r="B470">
        <v>685.04334401666972</v>
      </c>
      <c r="C470">
        <v>-79.512296389275932</v>
      </c>
    </row>
    <row r="471" spans="1:3">
      <c r="A471" s="19">
        <v>-342</v>
      </c>
      <c r="B471">
        <v>690.52539768247334</v>
      </c>
      <c r="C471">
        <v>-76.220238974471371</v>
      </c>
    </row>
    <row r="472" spans="1:3">
      <c r="A472" s="18">
        <v>-343</v>
      </c>
      <c r="B472">
        <v>696.15908862482183</v>
      </c>
      <c r="C472">
        <v>-72.913629101149311</v>
      </c>
    </row>
    <row r="473" spans="1:3">
      <c r="A473" s="18">
        <v>-344</v>
      </c>
      <c r="B473">
        <v>701.96840565633283</v>
      </c>
      <c r="C473">
        <v>-69.585550082832867</v>
      </c>
    </row>
    <row r="474" spans="1:3">
      <c r="A474" s="19">
        <v>-345</v>
      </c>
      <c r="B474">
        <v>707.98072159654942</v>
      </c>
      <c r="C474">
        <v>-66.227962254549254</v>
      </c>
    </row>
    <row r="475" spans="1:3">
      <c r="A475" s="19">
        <v>-346</v>
      </c>
      <c r="B475">
        <v>714.22618855315022</v>
      </c>
      <c r="C475">
        <v>-62.832237685989782</v>
      </c>
    </row>
    <row r="476" spans="1:3">
      <c r="A476" s="18">
        <v>-347</v>
      </c>
      <c r="B476">
        <v>720.7391262618753</v>
      </c>
      <c r="C476">
        <v>-59.388480624300705</v>
      </c>
    </row>
    <row r="477" spans="1:3">
      <c r="A477" s="18">
        <v>-348</v>
      </c>
      <c r="B477">
        <v>727.55864923182321</v>
      </c>
      <c r="C477">
        <v>-55.885347498558239</v>
      </c>
    </row>
    <row r="478" spans="1:3">
      <c r="A478" s="19">
        <v>-349</v>
      </c>
      <c r="B478">
        <v>732.63684171439832</v>
      </c>
      <c r="C478">
        <v>-51.975286208030504</v>
      </c>
    </row>
    <row r="479" spans="1:3">
      <c r="A479" s="19">
        <v>-350</v>
      </c>
      <c r="B479">
        <v>733.64053212516308</v>
      </c>
      <c r="C479">
        <v>-47.372715771487499</v>
      </c>
    </row>
    <row r="480" spans="1:3">
      <c r="A480" s="18">
        <v>-351</v>
      </c>
      <c r="B480">
        <v>734.57929686448256</v>
      </c>
      <c r="C480">
        <v>-42.76298536993388</v>
      </c>
    </row>
    <row r="481" spans="1:3">
      <c r="A481" s="18">
        <v>-352</v>
      </c>
      <c r="B481">
        <v>735.4545117795883</v>
      </c>
      <c r="C481">
        <v>-38.14098964699896</v>
      </c>
    </row>
    <row r="482" spans="1:3">
      <c r="A482" s="19">
        <v>-353</v>
      </c>
      <c r="B482">
        <v>736.2681985518775</v>
      </c>
      <c r="C482">
        <v>-33.501366059249158</v>
      </c>
    </row>
    <row r="483" spans="1:3">
      <c r="A483" s="19">
        <v>-354</v>
      </c>
      <c r="B483">
        <v>737.02219741417446</v>
      </c>
      <c r="C483">
        <v>-28.838457229284963</v>
      </c>
    </row>
    <row r="484" spans="1:3">
      <c r="A484" s="18">
        <v>-355</v>
      </c>
      <c r="B484">
        <v>737.71822217150464</v>
      </c>
      <c r="C484">
        <v>-24.146249411647144</v>
      </c>
    </row>
    <row r="485" spans="1:3">
      <c r="A485" s="18">
        <v>-356</v>
      </c>
      <c r="B485">
        <v>738.35787236784449</v>
      </c>
      <c r="C485">
        <v>-19.418300893545325</v>
      </c>
    </row>
    <row r="486" spans="1:3">
      <c r="A486" s="19">
        <v>-357</v>
      </c>
      <c r="B486">
        <v>738.94264552841946</v>
      </c>
      <c r="C486">
        <v>-14.647656852363644</v>
      </c>
    </row>
    <row r="487" spans="1:3">
      <c r="A487" s="19">
        <v>-358</v>
      </c>
      <c r="B487">
        <v>739.47394972951713</v>
      </c>
      <c r="C487">
        <v>-9.826747083397958</v>
      </c>
    </row>
    <row r="488" spans="1:3">
      <c r="A488" s="18">
        <v>-359</v>
      </c>
      <c r="B488">
        <v>739.95311679025315</v>
      </c>
      <c r="C488">
        <v>-4.9472619017378197</v>
      </c>
    </row>
    <row r="489" spans="1:3">
      <c r="A489" s="18">
        <v>-360</v>
      </c>
      <c r="B489">
        <v>740.38141644037069</v>
      </c>
      <c r="C489">
        <v>-1.4070394700428103E-13</v>
      </c>
    </row>
    <row r="490" spans="1:3">
      <c r="B490">
        <f>B129</f>
        <v>740.38113412517203</v>
      </c>
      <c r="C490">
        <f>C129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teraction_point" altText="Attempt to Find_x000a_Interaction point for Goal_x000a_(Form Button)">
                <anchor moveWithCells="1" sizeWithCells="1">
                  <from>
                    <xdr:col>0</xdr:col>
                    <xdr:colOff>774700</xdr:colOff>
                    <xdr:row>121</xdr:row>
                    <xdr:rowOff>63500</xdr:rowOff>
                  </from>
                  <to>
                    <xdr:col>2</xdr:col>
                    <xdr:colOff>889000</xdr:colOff>
                    <xdr:row>126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x_my">
                <anchor moveWithCells="1" sizeWithCells="1">
                  <from>
                    <xdr:col>3</xdr:col>
                    <xdr:colOff>76200</xdr:colOff>
                    <xdr:row>121</xdr:row>
                    <xdr:rowOff>50800</xdr:rowOff>
                  </from>
                  <to>
                    <xdr:col>5</xdr:col>
                    <xdr:colOff>1155700</xdr:colOff>
                    <xdr:row>126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38B661-79DD-4D10-A44E-D95D17099999}">
          <x14:formula1>
            <xm:f>Reference!$A$1:$A$12</xm:f>
          </x14:formula1>
          <xm:sqref>B13:B24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39C7-1FB1-47D1-ABA5-3A9CFB83700E}">
  <sheetPr codeName="Sheet2"/>
  <dimension ref="A1:C12"/>
  <sheetViews>
    <sheetView workbookViewId="0">
      <selection activeCell="C2" sqref="C2"/>
    </sheetView>
  </sheetViews>
  <sheetFormatPr baseColWidth="10" defaultColWidth="8.83203125" defaultRowHeight="15"/>
  <sheetData>
    <row r="1" spans="1:3">
      <c r="A1">
        <v>0</v>
      </c>
      <c r="B1">
        <v>0</v>
      </c>
      <c r="C1">
        <v>0</v>
      </c>
    </row>
    <row r="2" spans="1:3">
      <c r="A2">
        <v>3</v>
      </c>
      <c r="B2">
        <v>0.375</v>
      </c>
      <c r="C2">
        <v>0.11</v>
      </c>
    </row>
    <row r="3" spans="1:3">
      <c r="A3">
        <v>4</v>
      </c>
      <c r="B3">
        <v>0.5</v>
      </c>
      <c r="C3">
        <v>0.2</v>
      </c>
    </row>
    <row r="4" spans="1:3">
      <c r="A4">
        <v>5</v>
      </c>
      <c r="B4">
        <v>0.625</v>
      </c>
      <c r="C4">
        <v>0.31</v>
      </c>
    </row>
    <row r="5" spans="1:3">
      <c r="A5">
        <v>6</v>
      </c>
      <c r="B5">
        <v>0.75</v>
      </c>
      <c r="C5">
        <v>0.44</v>
      </c>
    </row>
    <row r="6" spans="1:3">
      <c r="A6">
        <v>7</v>
      </c>
      <c r="B6">
        <v>0.875</v>
      </c>
      <c r="C6">
        <v>0.6</v>
      </c>
    </row>
    <row r="7" spans="1:3">
      <c r="A7">
        <v>8</v>
      </c>
      <c r="B7">
        <v>1</v>
      </c>
      <c r="C7">
        <v>0.79</v>
      </c>
    </row>
    <row r="8" spans="1:3">
      <c r="A8">
        <v>9</v>
      </c>
      <c r="B8">
        <v>1.1279999999999999</v>
      </c>
      <c r="C8">
        <v>1</v>
      </c>
    </row>
    <row r="9" spans="1:3">
      <c r="A9">
        <v>10</v>
      </c>
      <c r="B9">
        <v>1.27</v>
      </c>
      <c r="C9">
        <v>1.27</v>
      </c>
    </row>
    <row r="10" spans="1:3">
      <c r="A10">
        <v>11</v>
      </c>
      <c r="B10">
        <v>1.41</v>
      </c>
      <c r="C10">
        <v>1.56</v>
      </c>
    </row>
    <row r="11" spans="1:3">
      <c r="A11">
        <v>14</v>
      </c>
      <c r="B11">
        <v>1.6930000000000001</v>
      </c>
      <c r="C11">
        <v>2.25</v>
      </c>
    </row>
    <row r="12" spans="1:3">
      <c r="A12">
        <v>18</v>
      </c>
      <c r="B12">
        <v>2.2570000000000001</v>
      </c>
      <c r="C12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2293755B0C1C458CEABDE3487C809F" ma:contentTypeVersion="11" ma:contentTypeDescription="Create a new document." ma:contentTypeScope="" ma:versionID="17b1a2cd11f8f5d6d4f3bb7988a2da44">
  <xsd:schema xmlns:xsd="http://www.w3.org/2001/XMLSchema" xmlns:xs="http://www.w3.org/2001/XMLSchema" xmlns:p="http://schemas.microsoft.com/office/2006/metadata/properties" xmlns:ns2="e084eb51-e41f-419d-868e-d827d41fdf42" xmlns:ns3="a54a5347-8adb-4f47-b158-08c1baf179b6" targetNamespace="http://schemas.microsoft.com/office/2006/metadata/properties" ma:root="true" ma:fieldsID="747251f9c5377854abca8fc51c5615ab" ns2:_="" ns3:_="">
    <xsd:import namespace="e084eb51-e41f-419d-868e-d827d41fdf42"/>
    <xsd:import namespace="a54a5347-8adb-4f47-b158-08c1baf179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84eb51-e41f-419d-868e-d827d41fdf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4a5347-8adb-4f47-b158-08c1baf179b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A6B3A5-42BC-4C96-82C2-CE544D769DC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13D28E3-3597-4BD9-87AD-5985392E30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84eb51-e41f-419d-868e-d827d41fdf42"/>
    <ds:schemaRef ds:uri="a54a5347-8adb-4f47-b158-08c1baf17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4D90F7A-FC30-45D5-8F55-850AABE494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Donald Bockoven</cp:lastModifiedBy>
  <dcterms:created xsi:type="dcterms:W3CDTF">2020-01-14T22:46:38Z</dcterms:created>
  <dcterms:modified xsi:type="dcterms:W3CDTF">2020-01-16T04:06:21Z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0x010100D02293755B0C1C458CEABDE3487C809F</vt:lpwstr>
  </property>
</Properties>
</file>